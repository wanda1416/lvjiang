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<sst xmlns="http://schemas.openxmlformats.org/spreadsheetml/2006/main" count="6277" uniqueCount="283">
  <si>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</si>
  <si>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</si>
  <si>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</si>
  <si>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</si>
  <si>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</si>
  <si>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</si>
  <si>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</si>
  <si>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</si>
  <si>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</si>
  <si>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</si>
  <si>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</si>
  <si>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</si>
  <si>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</si>
  <si>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</si>
  <si>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</si>
  <si>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</si>
  <si>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</si>
  <si>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</si>
  <si>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</si>
  <si>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</si>
  <si>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</si>
  <si>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</si>
  <si>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</si>
  <si>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</si>
  <si>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</si>
  <si>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</si>
  <si>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</si>
  <si>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</si>
  <si>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</si>
  <si>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</si>
  <si>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</si>
  <si>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</si>
  <si>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</si>
  <si>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</si>
  <si>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</si>
  <si>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</si>
  <si>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</si>
  <si>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</si>
  <si>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</si>
  <si>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</si>
  <si>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</si>
  <si>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</si>
  <si>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</si>
  <si>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</si>
  <si>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</si>
  <si>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</si>
  <si>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</si>
  <si>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</si>
  <si>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</si>
  <si>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</si>
  <si>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</si>
  <si>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</si>
  <si>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</si>
  <si>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</si>
  <si>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</si>
  <si>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</si>
  <si>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</si>
  <si>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</si>
  <si>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</si>
  <si>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</si>
  <si>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</si>
  <si>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</si>
  <si>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</si>
  <si>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</si>
  <si>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</si>
  <si>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</si>
  <si>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</si>
  <si>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</si>
  <si>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</si>
  <si>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</si>
  <si>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</si>
  <si>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</si>
  <si>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</si>
  <si>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</si>
  <si>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</si>
  <si>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</si>
  <si>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倾觞</t>
  </si>
  <si>
    <t>防御</t>
  </si>
  <si>
    <t>千灯一月单次</t>
  </si>
  <si>
    <t>易水歌2层</t>
  </si>
  <si>
    <t>沧海帖2层</t>
  </si>
  <si>
    <t>离猎</t>
  </si>
  <si>
    <t>浅醉</t>
  </si>
  <si>
    <t>醉意增伤</t>
  </si>
  <si>
    <t>N/a</t>
  </si>
  <si>
    <t>惧刃(拐)</t>
  </si>
  <si>
    <t>燕别(0%)</t>
  </si>
  <si>
    <t>裁云(拐)</t>
  </si>
  <si>
    <t>无惧</t>
  </si>
  <si>
    <t>鸣金</t>
  </si>
  <si>
    <t>外抗</t>
  </si>
  <si>
    <t>易水歌3层</t>
  </si>
  <si>
    <t>扶风(拐)</t>
  </si>
  <si>
    <t>断石5层</t>
  </si>
  <si>
    <t>阴阳</t>
  </si>
  <si>
    <t>裂石</t>
  </si>
  <si>
    <t>拳甲</t>
  </si>
  <si>
    <t>属抗</t>
  </si>
  <si>
    <t>易水歌4层</t>
  </si>
  <si>
    <t>沧海帖3层</t>
  </si>
  <si>
    <t>烁鼓(拐)</t>
  </si>
  <si>
    <t>牵丝</t>
  </si>
  <si>
    <t>双刀</t>
  </si>
  <si>
    <t>副本天赋</t>
  </si>
  <si>
    <t>易水歌5层</t>
  </si>
  <si>
    <t>单体奇术</t>
  </si>
  <si>
    <t>沧海帖4层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</si>
  <si>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</si>
  <si>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</si>
  <si>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</si>
  <si>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</si>
  <si>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</si>
  <si>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</si>
  <si>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</si>
  <si>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</si>
  <si>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双刀Q1(浅醉)</t>
  </si>
  <si>
    <t>易水歌1层</t>
  </si>
  <si>
    <t>沧海帖1层</t>
  </si>
  <si>
    <t>会心率</t>
  </si>
  <si>
    <t>拳甲Q2</t>
  </si>
  <si>
    <t>会意率</t>
  </si>
  <si>
    <t>总伤</t>
  </si>
  <si>
    <t>长鲸吸川(拳甲+浅醉)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</si>
  <si>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</si>
  <si>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</si>
  <si>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</si>
  <si>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</si>
  <si>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</si>
  <si>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</si>
  <si>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</si>
  <si>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</si>
  <si>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</si>
  <si>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</si>
  <si>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</si>
  <si>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</si>
  <si>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</si>
  <si>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</si>
  <si>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</si>
  <si>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</si>
  <si>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</si>
  <si>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</si>
  <si>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</si>
  <si>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</si>
  <si>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</si>
  <si>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</si>
  <si>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</si>
  <si>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</si>
  <si>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</si>
  <si>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</si>
  <si>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</si>
  <si>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</si>
  <si>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</si>
  <si>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</si>
  <si>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</si>
  <si>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</si>
  <si>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</si>
  <si>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</si>
  <si>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</si>
  <si>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</si>
  <si>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</si>
  <si>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</si>
  <si>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</si>
  <si>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</si>
  <si>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</si>
  <si>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</si>
  <si>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断石之构</t>
  </si>
  <si>
    <t>碧血为迎·酩酊尾段</t>
  </si>
  <si>
    <t>食物加成</t>
  </si>
  <si>
    <t>第四心法</t>
  </si>
  <si>
    <t>普通拳甲Q1</t>
  </si>
  <si>
    <t>沧海帖6层</t>
  </si>
  <si>
    <t>小燕别(10%)</t>
  </si>
  <si>
    <t>易水歌</t>
  </si>
  <si>
    <t>普通拳甲Q2</t>
  </si>
  <si>
    <t>灯</t>
  </si>
  <si>
    <t>沧海帖7层</t>
  </si>
  <si>
    <t>双刀～</t>
  </si>
  <si>
    <t>双刀Q卸</t>
  </si>
  <si>
    <t>切武器</t>
  </si>
  <si>
    <t>Q2</t>
  </si>
  <si>
    <t>醉杀</t>
  </si>
  <si>
    <t>步乱</t>
  </si>
  <si>
    <t>喝酒</t>
  </si>
  <si>
    <t>惧</t>
  </si>
  <si>
    <t>鼓</t>
  </si>
  <si>
    <t>碧血为迎(浅醉)</t>
  </si>
  <si>
    <t>沧海帖8层</t>
  </si>
  <si>
    <t>燕别(20%)</t>
  </si>
  <si>
    <t>拳～</t>
  </si>
  <si>
    <t>拳～左派</t>
  </si>
  <si>
    <t>断</t>
  </si>
  <si>
    <t>RRRR</t>
  </si>
  <si>
    <t>沧海帖9层</t>
  </si>
  <si>
    <t>RR</t>
  </si>
  <si>
    <t>沧海帖10层</t>
  </si>
  <si>
    <t>气竭</t>
  </si>
  <si>
    <t>真气失衡</t>
  </si>
  <si>
    <t>燕别(30%)</t>
  </si>
  <si>
    <t>断石1层</t>
  </si>
  <si>
    <t>断石2层</t>
  </si>
  <si>
    <t>碧血酩酊</t>
  </si>
  <si>
    <t>断石4层</t>
  </si>
  <si>
    <t>普通Q1</t>
  </si>
  <si>
    <t>普通Q2</t>
  </si>
  <si>
    <t>燕别(40%)</t>
  </si>
  <si>
    <t>小燕别(40%)</t>
  </si>
  <si>
    <t>Q1</t>
  </si>
  <si>
    <t>机制</t>
  </si>
  <si>
    <t>双刀～出伤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</si>
  <si>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</si>
  <si>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</si>
  <si>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</si>
  <si>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</si>
  <si>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</si>
  <si>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</si>
  <si>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</si>
  <si>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</si>
  <si>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</si>
  <si>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</si>
  <si>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</si>
  <si>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</si>
  <si>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</si>
  <si>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</si>
  <si>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</si>
  <si>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拳甲Q1</t>
  </si>
  <si>
    <t>酩酊技</t>
  </si>
  <si>
    <t>碧血为迎·酩酊</t>
  </si>
  <si>
    <t>双刀Q1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</si>
  <si>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</si>
  <si>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</si>
  <si>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</si>
  <si>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</si>
  <si>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</si>
  <si>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</si>
  <si>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</si>
  <si>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</si>
  <si>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</si>
  <si>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</si>
  <si>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</si>
  <si>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</si>
  <si>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</si>
  <si>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</si>
  <si>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</si>
  <si>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</si>
  <si>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</si>
  <si>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</si>
  <si>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</si>
  <si>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</si>
  <si>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</si>
  <si>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</si>
  <si>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小燕别(30%)</t>
  </si>
  <si>
    <t>近战笛</t>
  </si>
  <si>
    <t>进气断石</t>
  </si>
  <si>
    <t>断石3层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</si>
  <si>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</si>
  <si>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</si>
  <si>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</si>
  <si>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</si>
  <si>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</si>
  <si>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</si>
  <si>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</si>
  <si>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</si>
  <si>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</si>
  <si>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</si>
  <si>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</si>
  <si>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</si>
  <si>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</si>
  <si>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</si>
  <si>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</si>
  <si>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</si>
  <si>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</si>
  <si>
    <t>修正尘rd</t>
  </si>
  <si>
    <t>更新南吕相和赛季</t>
  </si>
  <si>
    <t>大小外满值差距2%</t>
  </si>
  <si>
    <t>根据测试将DIY增益抗性调整到实际值32.25%</t>
  </si>
  <si>
    <t>修正DIY外穿错误</t>
  </si>
  <si>
    <t>轴变更为茧中老人木桩轴</t>
  </si>
  <si>
    <t>修正了一些属性错误,略微下调了尘的rd</t>
  </si>
  <si>
    <t>将默认心法切换为断石之构以提高上限</t>
  </si>
  <si>
    <t>修正了一些倍率错误</t>
  </si>
  <si>
    <t>修正定音小数点数值</t>
  </si>
  <si>
    <t>根据测试修正预输入连招的正确时间</t>
  </si>
  <si>
    <t>如果要在浓醺偷3拳只有在气竭或断石的时候有收益,其余时间不增加dps。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</si>
</sst>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4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7"/>
    <col min="12" max="16" width="12.625" style="25" customWidth="1"/>
    <col min="17" max="17" width="9.375"/>
    <col min="18" max="18" width="24.625" style="30" customWidth="1"/>
    <col min="19" max="38" width="9" style="30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1"/>
    <col min="53" max="54" width="9" style="31"/>
    <col min="64" max="64" width="9.375"/>
    <col min="67" max="71" width="9" style="24"/>
    <col min="72" max="73" width="9.00833333333333" style="24" customWidth="1"/>
    <col min="74" max="76" width="9" style="24"/>
    <col min="77" max="77" width="9.00833333333333" style="24" customWidth="1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>
        <v>4473</v>
      </c>
      <c r="C2" s="30">
        <v>3417.6</v>
      </c>
      <c r="D2" s="30">
        <f>58.68+IF($E$22="征人归",5.1,0)</f>
        <v>58.68</v>
      </c>
      <c r="E2" s="41">
        <f>IF($E$22="燕别云岫",2.5%,0)</f>
        <v>0</v>
      </c>
      <c r="F2" s="42" t="s">
        <v>75</v>
      </c>
      <c r="G2" s="43" t="s">
        <v>76</v>
      </c>
      <c r="H2" s="44" t="s">
        <v>77</v>
      </c>
      <c r="I2" s="21">
        <f>687*(1-IF(F17="√",0.06,0)-IF(D20="√",0.04,0))</f>
        <v>618.3</v>
      </c>
      <c r="K2" s="37">
        <f>$L2*VLOOKUP($R2,武学奇术!$A:$ZZ,31,FALSE)</f>
        <v>45122.9645209159</v>
      </c>
      <c r="L2" s="37">
        <f>($M2*$BT2+$N2*$BR2+$O2*$BU2+$P2*$BV2)</f>
        <v>45122.9645209159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45614.9517528995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43340.5273668058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28332.2681695028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24560.4419932235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85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87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0.2042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4330.35</v>
      </c>
      <c r="AU2" cm="1">
        <f t="array" ref="AU2">$E$10*(1+$AS2)+VLOOKUP($R2,武学奇术!$A:$ZZ,4,FALSE)+SUM(_xlfn.XLOOKUP($S2:$AL2,增益!$A:$A,增益!$D:$D,0))-$I$2</f>
        <v>4330.35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0.2734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1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1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-0.14</v>
      </c>
      <c r="BJ2" s="31" cm="1">
        <f t="array" ref="BJ2">$G$13+VLOOKUP($R2,武学奇术!$A:$ZZ,14,FALSE)+SUM(_xlfn.XLOOKUP($S2:$AL2,增益!$A:$A,增益!$N:$N,0))</f>
        <v>0.02</v>
      </c>
      <c r="BK2">
        <f>$D$14*(1+$AX2)</f>
        <v>649.11</v>
      </c>
      <c r="BL2">
        <f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0.08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0.89337855</v>
      </c>
      <c r="BU2" s="24">
        <f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0.1842</v>
      </c>
      <c r="H3" s="44" t="s">
        <v>90</v>
      </c>
      <c r="I3" s="21">
        <f>25-IF(D17="√",7,0)-IF(F17="√",10,0)</f>
        <v>8</v>
      </c>
      <c r="K3" s="37">
        <f>$L3*VLOOKUP($R3,武学奇术!$A:$ZZ,31,FALSE)</f>
        <v>62686.9618161095</v>
      </c>
      <c r="L3" s="37">
        <f t="shared" ref="L3:L34" si="0">($M3*$BT3+$N3*$BR3+$O3*$BU3+$P3*$BV3)</f>
        <v>62686.9618161095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64245.8755724716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52398.5970671052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34540.7933185331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30267.8110318032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85</v>
      </c>
      <c r="Z3" s="39" t="s">
        <v>84</v>
      </c>
      <c r="AA3" s="39" t="s">
        <v>84</v>
      </c>
      <c r="AB3" s="39" t="s">
        <v>86</v>
      </c>
      <c r="AC3" s="39" t="s">
        <v>92</v>
      </c>
      <c r="AD3" s="39" t="s">
        <v>93</v>
      </c>
      <c r="AE3" s="39" t="s">
        <v>87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0.3642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4330.35</v>
      </c>
      <c r="AU3" cm="1">
        <f t="array" ref="AU3">$E$10*(1+$AS3)+VLOOKUP($R3,武学奇术!$A:$ZZ,4,FALSE)+SUM(_xlfn.XLOOKUP($S3:$AL3,增益!$A:$A,增益!$D:$D,0))-$I$2</f>
        <v>4330.35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0.4084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1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1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1" cm="1">
        <f t="array" ref="BJ3">$G$13+VLOOKUP($R3,武学奇术!$A:$ZZ,14,FALSE)+SUM(_xlfn.XLOOKUP($S3:$AL3,增益!$A:$A,增益!$N:$N,0))</f>
        <v>0.02</v>
      </c>
      <c r="BK3">
        <f t="shared" ref="BK3:BK34" si="7">$D$14*(1+$AX3)</f>
        <v>649.11</v>
      </c>
      <c r="BL3">
        <f t="shared" ref="BL3:BL34" si="8">$E$14*(1+$AX3)</f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0.89337855</v>
      </c>
      <c r="BU3" s="24">
        <f t="shared" ref="BU3:BU34" si="10">1-BR3-BT3-BV3</f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63787.2591546634</v>
      </c>
      <c r="L4" s="37">
        <f t="shared" si="0"/>
        <v>63787.2591546634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65405.7871405394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53028.8927594278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34976.3567596467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30672.0522160136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85</v>
      </c>
      <c r="Z4" s="39" t="s">
        <v>84</v>
      </c>
      <c r="AA4" s="39" t="s">
        <v>84</v>
      </c>
      <c r="AB4" s="39" t="s">
        <v>86</v>
      </c>
      <c r="AC4" s="39" t="s">
        <v>100</v>
      </c>
      <c r="AD4" s="39" t="s">
        <v>93</v>
      </c>
      <c r="AE4" s="39" t="s">
        <v>87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0.3742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4330.35</v>
      </c>
      <c r="AU4" cm="1">
        <f t="array" ref="AU4">$E$10*(1+$AS4)+VLOOKUP($R4,武学奇术!$A:$ZZ,4,FALSE)+SUM(_xlfn.XLOOKUP($S4:$AL4,增益!$A:$A,增益!$D:$D,0))-$I$2</f>
        <v>4330.35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0.4184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64583.7783883541</v>
      </c>
      <c r="L5" s="37">
        <f t="shared" si="0"/>
        <v>64583.7783883541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66225.2540984457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53662.771599388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35414.5743841956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31078.9475836593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85</v>
      </c>
      <c r="Z5" s="39" t="s">
        <v>84</v>
      </c>
      <c r="AA5" s="39" t="s">
        <v>84</v>
      </c>
      <c r="AB5" s="39" t="s">
        <v>86</v>
      </c>
      <c r="AC5" s="39" t="s">
        <v>100</v>
      </c>
      <c r="AD5" s="39" t="s">
        <v>93</v>
      </c>
      <c r="AE5" s="39" t="s">
        <v>87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0.3842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4330.35</v>
      </c>
      <c r="AU5" cm="1">
        <f t="array" ref="AU5">$E$10*(1+$AS5)+VLOOKUP($R5,武学奇术!$A:$ZZ,4,FALSE)+SUM(_xlfn.XLOOKUP($S5:$AL5,增益!$A:$A,增益!$D:$D,0))-$I$2</f>
        <v>4330.35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0.4284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>
        <v>539</v>
      </c>
      <c r="C6" s="57">
        <v>1475</v>
      </c>
      <c r="D6" s="57">
        <v>30</v>
      </c>
      <c r="E6" s="58">
        <v>0.15</v>
      </c>
      <c r="F6" s="44" t="s">
        <v>105</v>
      </c>
      <c r="G6" s="48">
        <f>B19</f>
        <v>0</v>
      </c>
      <c r="K6" s="37">
        <f>$L6*VLOOKUP($R6,武学奇术!$A:$ZZ,31,FALSE)</f>
        <v>64900.1645994763</v>
      </c>
      <c r="L6" s="37">
        <f t="shared" si="0"/>
        <v>64900.1645994763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66579.3998422877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53662.771599388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35414.5743841956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31078.9475836593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85</v>
      </c>
      <c r="Z6" s="39" t="s">
        <v>84</v>
      </c>
      <c r="AA6" s="39" t="s">
        <v>84</v>
      </c>
      <c r="AB6" s="39" t="s">
        <v>107</v>
      </c>
      <c r="AC6" s="39" t="s">
        <v>92</v>
      </c>
      <c r="AD6" s="39" t="s">
        <v>93</v>
      </c>
      <c r="AE6" s="39" t="s">
        <v>87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0.3842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4330.35</v>
      </c>
      <c r="AU6" cm="1">
        <f t="array" ref="AU6">$E$10*(1+$AS6)+VLOOKUP($R6,武学奇术!$A:$ZZ,4,FALSE)+SUM(_xlfn.XLOOKUP($S6:$AL6,增益!$A:$A,增益!$D:$D,0))-$I$2</f>
        <v>4330.35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0.4284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85" t="s">
        <v>108</v>
      </c>
      <c r="B7" s="91">
        <v>79.2</v>
      </c>
      <c r="C7" s="59">
        <f>92.4+79.2*2</f>
        <v>250.8</v>
      </c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12903.4925247154</v>
      </c>
      <c r="L7" s="37">
        <f t="shared" si="0"/>
        <v>12903.4925247154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13002.5283612325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12739.27041318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8443.20023456656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7449.90386677756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87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0.3543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4330.35</v>
      </c>
      <c r="AU7" cm="1">
        <f t="array" ref="AU7">$E$10*(1+$AS7)+VLOOKUP($R7,武学奇术!$A:$ZZ,4,FALSE)+SUM(_xlfn.XLOOKUP($S7:$AL7,增益!$A:$A,增益!$D:$D,0))-$I$2</f>
        <v>4330.35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0.2534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v>0.9943</v>
      </c>
      <c r="C8" s="35" t="s">
        <v>113</v>
      </c>
      <c r="D8" s="65"/>
      <c r="E8" s="65"/>
      <c r="F8" s="65"/>
      <c r="G8" s="36"/>
      <c r="H8" s="66" t="s">
        <v>114</v>
      </c>
      <c r="I8" s="18">
        <v>88.6</v>
      </c>
      <c r="J8" s="67"/>
      <c r="K8" s="37">
        <f>$L8*VLOOKUP($R8,武学奇术!$A:$ZZ,31,FALSE)</f>
        <v>31918.0145626547</v>
      </c>
      <c r="L8" s="37">
        <f t="shared" si="0"/>
        <v>31918.0145626547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32272.4472524891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30561.2953372562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20170.2795328057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17702.5625194958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85</v>
      </c>
      <c r="Z8" s="39" t="s">
        <v>84</v>
      </c>
      <c r="AA8" s="39" t="s">
        <v>84</v>
      </c>
      <c r="AB8" s="39" t="s">
        <v>86</v>
      </c>
      <c r="AC8" s="39" t="s">
        <v>92</v>
      </c>
      <c r="AD8" s="39" t="s">
        <v>84</v>
      </c>
      <c r="AE8" s="39" t="s">
        <v>87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0.3643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4330.35</v>
      </c>
      <c r="AU8" cm="1">
        <f t="array" ref="AU8">$E$10*(1+$AS8)+VLOOKUP($R8,武学奇术!$A:$ZZ,4,FALSE)+SUM(_xlfn.XLOOKUP($S8:$AL8,增益!$A:$A,增益!$D:$D,0))-$I$2</f>
        <v>4330.35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0.2634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v>0.7655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121737.772900606</v>
      </c>
      <c r="L9" s="37">
        <f t="shared" si="0"/>
        <v>121737.772900606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125002.691617994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99633.4595624296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65790.89032526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57779.2180116832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85</v>
      </c>
      <c r="Z9" s="39" t="s">
        <v>84</v>
      </c>
      <c r="AA9" s="39" t="s">
        <v>84</v>
      </c>
      <c r="AB9" s="39" t="s">
        <v>86</v>
      </c>
      <c r="AC9" s="39" t="s">
        <v>92</v>
      </c>
      <c r="AD9" s="39" t="s">
        <v>84</v>
      </c>
      <c r="AE9" s="39" t="s">
        <v>87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4330.35</v>
      </c>
      <c r="AU9" cm="1">
        <f t="array" ref="AU9">$E$10*(1+$AS9)+VLOOKUP($R9,武学奇术!$A:$ZZ,4,FALSE)+SUM(_xlfn.XLOOKUP($S9:$AL9,增益!$A:$A,增益!$D:$D,0))-$I$2</f>
        <v>4330.35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0.2734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v>0.0913</v>
      </c>
      <c r="C10" s="44" t="s">
        <v>74</v>
      </c>
      <c r="D10" s="25">
        <f>(B2+B23)*IF($G$2="倾觞",1.05,1)</f>
        <v>4948.65</v>
      </c>
      <c r="E10" s="25">
        <f>MAX(B2+B23,C2+B24)*IF($G$2="倾觞",1.05,1)</f>
        <v>4948.65</v>
      </c>
      <c r="F10">
        <f>D2</f>
        <v>58.68</v>
      </c>
      <c r="G10" s="92">
        <f>E2</f>
        <v>0</v>
      </c>
      <c r="H10" s="66" t="s">
        <v>121</v>
      </c>
      <c r="I10" s="71">
        <f>SUM(L:L)</f>
        <v>16232235.796529</v>
      </c>
      <c r="J10" s="72"/>
      <c r="K10" s="37">
        <f>$L10*VLOOKUP($R10,武学奇术!$A:$ZZ,31,FALSE)</f>
        <v>62530.563052762</v>
      </c>
      <c r="L10" s="37">
        <f t="shared" si="0"/>
        <v>39081.6019079762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39494.9395565051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37670.1992918368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24531.0183580777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21158.1853888688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85</v>
      </c>
      <c r="Z10" s="39" t="s">
        <v>84</v>
      </c>
      <c r="AA10" s="39" t="s">
        <v>84</v>
      </c>
      <c r="AB10" s="39" t="s">
        <v>86</v>
      </c>
      <c r="AC10" s="39" t="s">
        <v>100</v>
      </c>
      <c r="AD10" s="39" t="s">
        <v>84</v>
      </c>
      <c r="AE10" s="39" t="s">
        <v>87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0.3743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4330.35</v>
      </c>
      <c r="AU10" cm="1">
        <f t="array" ref="AU10">$E$10*(1+$AS10)+VLOOKUP($R10,武学奇术!$A:$ZZ,4,FALSE)+SUM(_xlfn.XLOOKUP($S10:$AL10,增益!$A:$A,增益!$D:$D,0))-$I$2</f>
        <v>4330.35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0.2734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4.6%+IF($E$24="易水歌",4.6%,0)+IF($E$22="断石之构",4.1%,0)</f>
        <v>0.133</v>
      </c>
      <c r="C11" s="44" t="s">
        <v>89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9"/>
      <c r="I11" s="73"/>
      <c r="J11" s="74"/>
      <c r="K11" s="37">
        <f>$L11*VLOOKUP($R11,武学奇术!$A:$ZZ,31,FALSE)</f>
        <v>45482.3473767724</v>
      </c>
      <c r="L11" s="37">
        <f t="shared" si="0"/>
        <v>45482.3473767724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46722.5698551426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37043.0666705448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24462.0784581898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21484.8482715317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85</v>
      </c>
      <c r="Z11" s="39" t="s">
        <v>84</v>
      </c>
      <c r="AA11" s="39" t="s">
        <v>84</v>
      </c>
      <c r="AB11" s="39" t="s">
        <v>86</v>
      </c>
      <c r="AC11" s="39" t="s">
        <v>100</v>
      </c>
      <c r="AD11" s="39" t="s">
        <v>84</v>
      </c>
      <c r="AE11" s="39" t="s">
        <v>87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0.4243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4330.35</v>
      </c>
      <c r="AU11" cm="1">
        <f t="array" ref="AU11">$E$10*(1+$AS11)+VLOOKUP($R11,武学奇术!$A:$ZZ,4,FALSE)+SUM(_xlfn.XLOOKUP($S11:$AL11,增益!$A:$A,增益!$D:$D,0))-$I$2</f>
        <v>4330.35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0.2734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v>0</v>
      </c>
      <c r="C12" s="44" t="s">
        <v>95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6" t="s">
        <v>126</v>
      </c>
      <c r="I12" s="37">
        <f>I10/I8</f>
        <v>183208.078967595</v>
      </c>
      <c r="J12" s="75"/>
      <c r="K12" s="37">
        <f>$L12*VLOOKUP($R12,武学奇术!$A:$ZZ,31,FALSE)</f>
        <v>31495.8704000873</v>
      </c>
      <c r="L12" s="37">
        <f t="shared" si="0"/>
        <v>31495.8704000873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32356.1616758547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25636.7488996551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16940.39878317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14890.6131962251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85</v>
      </c>
      <c r="Z12" s="39" t="s">
        <v>84</v>
      </c>
      <c r="AA12" s="39" t="s">
        <v>84</v>
      </c>
      <c r="AB12" s="39" t="s">
        <v>86</v>
      </c>
      <c r="AC12" s="39" t="s">
        <v>100</v>
      </c>
      <c r="AD12" s="39" t="s">
        <v>84</v>
      </c>
      <c r="AE12" s="39" t="s">
        <v>87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0.4343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4330.35</v>
      </c>
      <c r="AU12" cm="1">
        <f t="array" ref="AU12">$E$10*(1+$AS12)+VLOOKUP($R12,武学奇术!$A:$ZZ,4,FALSE)+SUM(_xlfn.XLOOKUP($S12:$AL12,增益!$A:$A,增益!$D:$D,0))-$I$2</f>
        <v>4330.35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0.2834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v>0.54</v>
      </c>
      <c r="C13" s="44" t="s">
        <v>101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9"/>
      <c r="I13" s="76"/>
      <c r="J13" s="74"/>
      <c r="K13" s="37">
        <f>$L13*VLOOKUP($R13,武学奇术!$A:$ZZ,31,FALSE)</f>
        <v>103431.66237642</v>
      </c>
      <c r="L13" s="37">
        <f t="shared" ref="L13:L21" si="11">($M13*$BT13+$N13*$BR13+$O13*$BU13+$P13*$BV13)</f>
        <v>64644.7889852622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66384.2943349661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52890.1653343578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34756.1750444849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30334.4498412972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85</v>
      </c>
      <c r="Z13" s="39" t="s">
        <v>84</v>
      </c>
      <c r="AA13" s="39" t="s">
        <v>84</v>
      </c>
      <c r="AB13" s="39" t="s">
        <v>86</v>
      </c>
      <c r="AC13" s="39" t="s">
        <v>100</v>
      </c>
      <c r="AD13" s="39" t="s">
        <v>93</v>
      </c>
      <c r="AE13" s="39" t="s">
        <v>87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0.5443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4330.35</v>
      </c>
      <c r="AU13" cm="1">
        <f t="array" ref="AU13">$E$10*(1+$AS13)+VLOOKUP($R13,武学奇术!$A:$ZZ,4,FALSE)+SUM(_xlfn.XLOOKUP($S13:$AL13,增益!$A:$A,增益!$D:$D,0))-$I$2</f>
        <v>4330.35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0.4184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v>0.35</v>
      </c>
      <c r="C14" s="52" t="s">
        <v>5</v>
      </c>
      <c r="D14" s="13">
        <f>(B6+IF($G$1=$C14,B7,0))*IF($G$2="倾觞",1.05,1)</f>
        <v>649.11</v>
      </c>
      <c r="E14" s="13">
        <f>(MAX(B6,C6)+IF($G$1=$C14,$C$7,0))*IF($G$2="倾觞",1.05,1)</f>
        <v>1812.09</v>
      </c>
      <c r="F14" s="13">
        <f>D6</f>
        <v>30</v>
      </c>
      <c r="G14" s="93">
        <f>E6</f>
        <v>0.15</v>
      </c>
      <c r="H14" s="35" t="s">
        <v>132</v>
      </c>
      <c r="I14" s="71">
        <f>RD!I14</f>
        <v>168938.231687896</v>
      </c>
      <c r="J14" s="72"/>
      <c r="K14" s="37">
        <f>$L14*VLOOKUP($R14,武学奇术!$A:$ZZ,31,FALSE)</f>
        <v>409430.4943268</v>
      </c>
      <c r="L14" s="37">
        <f t="shared" si="11"/>
        <v>409430.4943268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425575.045572498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287992.858882613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191700.470978603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170072.898340455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85</v>
      </c>
      <c r="Z14" s="39" t="s">
        <v>84</v>
      </c>
      <c r="AA14" s="39" t="s">
        <v>84</v>
      </c>
      <c r="AB14" s="39" t="s">
        <v>86</v>
      </c>
      <c r="AC14" s="39" t="s">
        <v>100</v>
      </c>
      <c r="AD14" s="39" t="s">
        <v>93</v>
      </c>
      <c r="AE14" s="39" t="s">
        <v>87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0.5943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4330.35</v>
      </c>
      <c r="AU14" cm="1">
        <f t="array" ref="AU14">$E$10*(1+$AS14)+VLOOKUP($R14,武学奇术!$A:$ZZ,4,FALSE)+SUM(_xlfn.XLOOKUP($S14:$AL14,增益!$A:$A,增益!$D:$D,0))-$I$2</f>
        <v>4330.35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0.4184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spans="1:77">
      <c r="A15" s="40" t="s">
        <v>134</v>
      </c>
      <c r="B15" s="68"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71619.4454876676</v>
      </c>
      <c r="L15" s="37">
        <f t="shared" si="11"/>
        <v>71619.4454876676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74445.8953064544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50353.6376207625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33534.1870749795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29769.3833197645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85</v>
      </c>
      <c r="Z15" s="39" t="s">
        <v>84</v>
      </c>
      <c r="AA15" s="39" t="s">
        <v>84</v>
      </c>
      <c r="AB15" s="39" t="s">
        <v>86</v>
      </c>
      <c r="AC15" s="39" t="s">
        <v>100</v>
      </c>
      <c r="AD15" s="39" t="s">
        <v>93</v>
      </c>
      <c r="AE15" s="39" t="s">
        <v>87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0.6043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4330.35</v>
      </c>
      <c r="AU15" cm="1">
        <f t="array" ref="AU15">$E$10*(1+$AS15)+VLOOKUP($R15,武学奇术!$A:$ZZ,4,FALSE)+SUM(_xlfn.XLOOKUP($S15:$AL15,增益!$A:$A,增益!$D:$D,0))-$I$2</f>
        <v>4330.35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0.4284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v>0.0892</v>
      </c>
      <c r="C16" s="38" t="s">
        <v>138</v>
      </c>
      <c r="D16" s="78" t="s">
        <v>139</v>
      </c>
      <c r="E16" s="38" t="s">
        <v>140</v>
      </c>
      <c r="F16" s="78" t="s">
        <v>139</v>
      </c>
      <c r="H16" s="66" t="s">
        <v>141</v>
      </c>
      <c r="I16" s="80">
        <f>I12/183208.08</f>
        <v>0.999999994364853</v>
      </c>
      <c r="J16" s="81"/>
      <c r="K16" s="37">
        <f>$L16*VLOOKUP($R16,武学奇术!$A:$ZZ,31,FALSE)</f>
        <v>69147.9860787291</v>
      </c>
      <c r="L16" s="37">
        <f t="shared" si="11"/>
        <v>69147.9860787291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71900.0507449808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48412.1152650291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32242.1752219645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28623.5243216852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85</v>
      </c>
      <c r="Z16" s="39" t="s">
        <v>84</v>
      </c>
      <c r="AA16" s="39" t="s">
        <v>84</v>
      </c>
      <c r="AB16" s="39" t="s">
        <v>86</v>
      </c>
      <c r="AC16" s="39" t="s">
        <v>100</v>
      </c>
      <c r="AD16" s="39" t="s">
        <v>93</v>
      </c>
      <c r="AE16" s="39" t="s">
        <v>87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0.6043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4330.35</v>
      </c>
      <c r="AU16" cm="1">
        <f t="array" ref="AU16">$E$10*(1+$AS16)+VLOOKUP($R16,武学奇术!$A:$ZZ,4,FALSE)+SUM(_xlfn.XLOOKUP($S16:$AL16,增益!$A:$A,增益!$D:$D,0))-$I$2</f>
        <v>4330.35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0.4284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spans="1:77">
      <c r="A17" s="40" t="s">
        <v>143</v>
      </c>
      <c r="B17" s="68">
        <v>0.0854</v>
      </c>
      <c r="C17" s="38" t="s">
        <v>144</v>
      </c>
      <c r="D17" s="78" t="s">
        <v>139</v>
      </c>
      <c r="E17" s="38" t="s">
        <v>145</v>
      </c>
      <c r="F17" s="78" t="s">
        <v>139</v>
      </c>
      <c r="H17" s="69"/>
      <c r="I17" s="82"/>
      <c r="J17" s="83"/>
      <c r="K17" s="37">
        <f>$L17*VLOOKUP($R17,武学奇术!$A:$ZZ,31,FALSE)</f>
        <v>84337.9049064695</v>
      </c>
      <c r="L17" s="37">
        <f t="shared" si="11"/>
        <v>84337.9049064695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87694.3296672359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59048.8356168985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39324.8115099713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34909.7447852029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85</v>
      </c>
      <c r="Z17" s="39" t="s">
        <v>84</v>
      </c>
      <c r="AA17" s="39" t="s">
        <v>84</v>
      </c>
      <c r="AB17" s="39" t="s">
        <v>86</v>
      </c>
      <c r="AC17" s="39" t="s">
        <v>92</v>
      </c>
      <c r="AD17" s="39" t="s">
        <v>93</v>
      </c>
      <c r="AE17" s="39" t="s">
        <v>87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0.6043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4330.35</v>
      </c>
      <c r="AU17" cm="1">
        <f t="array" ref="AU17">$E$10*(1+$AS17)+VLOOKUP($R17,武学奇术!$A:$ZZ,4,FALSE)+SUM(_xlfn.XLOOKUP($S17:$AL17,增益!$A:$A,增益!$D:$D,0))-$I$2</f>
        <v>4330.35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0.4284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v>0.0854</v>
      </c>
      <c r="C18" s="38" t="s">
        <v>148</v>
      </c>
      <c r="D18" s="78" t="s">
        <v>139</v>
      </c>
      <c r="E18" s="38" t="s">
        <v>149</v>
      </c>
      <c r="F18" s="84">
        <v>0.5</v>
      </c>
      <c r="H18" s="66" t="s">
        <v>150</v>
      </c>
      <c r="I18" s="35"/>
      <c r="J18" s="36"/>
      <c r="K18" s="37">
        <f>$L18*VLOOKUP($R18,武学奇术!$A:$ZZ,31,FALSE)</f>
        <v>190387.334263647</v>
      </c>
      <c r="L18" s="37">
        <f t="shared" si="11"/>
        <v>190387.334263647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197964.50527623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133296.337275698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88773.3207516726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78808.613891717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85</v>
      </c>
      <c r="Z18" s="39" t="s">
        <v>84</v>
      </c>
      <c r="AA18" s="39" t="s">
        <v>84</v>
      </c>
      <c r="AB18" s="39" t="s">
        <v>86</v>
      </c>
      <c r="AC18" s="39" t="s">
        <v>92</v>
      </c>
      <c r="AD18" s="39" t="s">
        <v>93</v>
      </c>
      <c r="AE18" s="39" t="s">
        <v>87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0.6043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4330.35</v>
      </c>
      <c r="AU18" cm="1">
        <f t="array" ref="AU18">$E$10*(1+$AS18)+VLOOKUP($R18,武学奇术!$A:$ZZ,4,FALSE)+SUM(_xlfn.XLOOKUP($S18:$AL18,增益!$A:$A,增益!$D:$D,0))-$I$2</f>
        <v>4330.35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0.4284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ht="14.25" spans="1:77">
      <c r="A19" s="40" t="s">
        <v>152</v>
      </c>
      <c r="B19" s="68">
        <v>0</v>
      </c>
      <c r="C19" s="38" t="s">
        <v>153</v>
      </c>
      <c r="D19" s="78" t="s">
        <v>139</v>
      </c>
      <c r="H19" s="69"/>
      <c r="I19" s="79"/>
      <c r="J19" s="94"/>
      <c r="K19" s="37">
        <f>$L19*VLOOKUP($R19,武学奇术!$A:$ZZ,31,FALSE)</f>
        <v>349324.967748681</v>
      </c>
      <c r="L19" s="37">
        <f t="shared" si="11"/>
        <v>349324.967748681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359824.101105411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274714.972514347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181729.343992632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159966.115752413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85</v>
      </c>
      <c r="Z19" s="39" t="s">
        <v>84</v>
      </c>
      <c r="AA19" s="39" t="s">
        <v>84</v>
      </c>
      <c r="AB19" s="39" t="s">
        <v>107</v>
      </c>
      <c r="AC19" s="39" t="s">
        <v>92</v>
      </c>
      <c r="AD19" s="39" t="s">
        <v>84</v>
      </c>
      <c r="AE19" s="39" t="s">
        <v>87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0.6043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4330.35</v>
      </c>
      <c r="AU19" cm="1">
        <f t="array" ref="AU19">$E$10*(1+$AS19)+VLOOKUP($R19,武学奇术!$A:$ZZ,4,FALSE)+SUM(_xlfn.XLOOKUP($S19:$AL19,增益!$A:$A,增益!$D:$D,0))-$I$2</f>
        <v>4330.35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0.3034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v>0</v>
      </c>
      <c r="C20" s="38" t="s">
        <v>155</v>
      </c>
      <c r="D20" s="78" t="s">
        <v>139</v>
      </c>
      <c r="H20" s="66" t="s">
        <v>156</v>
      </c>
      <c r="I20" s="80">
        <f>SUM(K:K)/SUM(L:L)</f>
        <v>0.932690808346802</v>
      </c>
      <c r="J20" s="81"/>
      <c r="K20" s="37">
        <f>$L20*VLOOKUP($R20,武学奇术!$A:$ZZ,31,FALSE)</f>
        <v>192725.596214804</v>
      </c>
      <c r="L20" s="37">
        <f t="shared" si="11"/>
        <v>192725.596214804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198597.280183142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150865.297259127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99797.6282327345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87843.1844216715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85</v>
      </c>
      <c r="Z20" s="39" t="s">
        <v>84</v>
      </c>
      <c r="AA20" s="39" t="s">
        <v>84</v>
      </c>
      <c r="AB20" s="39" t="s">
        <v>107</v>
      </c>
      <c r="AC20" s="39" t="s">
        <v>92</v>
      </c>
      <c r="AD20" s="39" t="s">
        <v>84</v>
      </c>
      <c r="AE20" s="39" t="s">
        <v>87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0.6043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4330.35</v>
      </c>
      <c r="AU20" cm="1">
        <f t="array" ref="AU20">$E$10*(1+$AS20)+VLOOKUP($R20,武学奇术!$A:$ZZ,4,FALSE)+SUM(_xlfn.XLOOKUP($S20:$AL20,增益!$A:$A,增益!$D:$D,0))-$I$2</f>
        <v>4330.35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0.3034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159</v>
      </c>
      <c r="B21" s="86">
        <v>0.3206</v>
      </c>
      <c r="C21" s="38" t="s">
        <v>160</v>
      </c>
      <c r="D21" s="78" t="s">
        <v>161</v>
      </c>
      <c r="E21" s="38" t="s">
        <v>162</v>
      </c>
      <c r="F21" s="38"/>
      <c r="H21" s="69"/>
      <c r="I21" s="82"/>
      <c r="J21" s="83"/>
      <c r="K21" s="37">
        <f>$L21*VLOOKUP($R21,武学奇术!$A:$ZZ,31,FALSE)</f>
        <v>232898.051647663</v>
      </c>
      <c r="L21" s="37">
        <f t="shared" si="11"/>
        <v>232898.051647663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239993.489484419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182313.834208158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120599.743459507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106152.202320379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85</v>
      </c>
      <c r="Z21" s="39" t="s">
        <v>84</v>
      </c>
      <c r="AA21" s="39" t="s">
        <v>84</v>
      </c>
      <c r="AB21" s="39" t="s">
        <v>107</v>
      </c>
      <c r="AC21" s="39" t="s">
        <v>92</v>
      </c>
      <c r="AD21" s="39" t="s">
        <v>84</v>
      </c>
      <c r="AE21" s="39" t="s">
        <v>87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0.4543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4330.35</v>
      </c>
      <c r="AU21" cm="1">
        <f t="array" ref="AU21">$E$10*(1+$AS21)+VLOOKUP($R21,武学奇术!$A:$ZZ,4,FALSE)+SUM(_xlfn.XLOOKUP($S21:$AL21,增益!$A:$A,增益!$D:$D,0))-$I$2</f>
        <v>4330.35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0.3034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v>0.6</v>
      </c>
      <c r="E22" s="88" t="s">
        <v>165</v>
      </c>
      <c r="F22" s="88"/>
      <c r="K22" s="37">
        <f>$L22*VLOOKUP($R22,武学奇术!$A:$ZZ,31,FALSE)</f>
        <v>174705.999236545</v>
      </c>
      <c r="L22" s="37">
        <f t="shared" si="0"/>
        <v>174705.999236545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180028.688256774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136759.584743469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90466.677515967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79629.9589256604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85</v>
      </c>
      <c r="Z22" s="39" t="s">
        <v>84</v>
      </c>
      <c r="AA22" s="39" t="s">
        <v>84</v>
      </c>
      <c r="AB22" s="39" t="s">
        <v>107</v>
      </c>
      <c r="AC22" s="39" t="s">
        <v>92</v>
      </c>
      <c r="AD22" s="39" t="s">
        <v>84</v>
      </c>
      <c r="AE22" s="39" t="s">
        <v>87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0.4543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4330.35</v>
      </c>
      <c r="AU22" cm="1">
        <f t="array" ref="AU22">$E$10*(1+$AS22)+VLOOKUP($R22,武学奇术!$A:$ZZ,4,FALSE)+SUM(_xlfn.XLOOKUP($S22:$AL22,增益!$A:$A,增益!$D:$D,0))-$I$2</f>
        <v>4330.35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0.3034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>
        <v>240</v>
      </c>
      <c r="E23" s="38" t="s">
        <v>168</v>
      </c>
      <c r="F23" s="38"/>
      <c r="K23" s="37">
        <f>$L23*VLOOKUP($R23,武学奇术!$A:$ZZ,31,FALSE)</f>
        <v>29006.6110266342</v>
      </c>
      <c r="L23" s="37">
        <f t="shared" si="0"/>
        <v>29006.6110266342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29332.5008953709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27734.4108841873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18332.8130596068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16121.6180568527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85</v>
      </c>
      <c r="Z23" s="39" t="s">
        <v>84</v>
      </c>
      <c r="AA23" s="39" t="s">
        <v>84</v>
      </c>
      <c r="AB23" s="39" t="s">
        <v>171</v>
      </c>
      <c r="AC23" s="39" t="s">
        <v>92</v>
      </c>
      <c r="AD23" s="39" t="s">
        <v>84</v>
      </c>
      <c r="AE23" s="39" t="s">
        <v>87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0.4043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4330.35</v>
      </c>
      <c r="AU23" cm="1">
        <f t="array" ref="AU23">$E$10*(1+$AS23)+VLOOKUP($R23,武学奇术!$A:$ZZ,4,FALSE)+SUM(_xlfn.XLOOKUP($S23:$AL23,增益!$A:$A,增益!$D:$D,0))-$I$2</f>
        <v>4330.35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0.3034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>
        <v>480</v>
      </c>
      <c r="E24" s="88" t="s">
        <v>172</v>
      </c>
      <c r="F24" s="88"/>
      <c r="K24" s="37">
        <f>$L24*VLOOKUP($R24,武学奇术!$A:$ZZ,31,FALSE)</f>
        <v>37984.5040379902</v>
      </c>
      <c r="L24" s="37">
        <f t="shared" si="0"/>
        <v>37984.5040379902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38429.4860869934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36129.7128625964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24018.4288043709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21274.1073401518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92</v>
      </c>
      <c r="AD24" s="39" t="s">
        <v>84</v>
      </c>
      <c r="AE24" s="39" t="s">
        <v>87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4330.35</v>
      </c>
      <c r="AU24" cm="1">
        <f t="array" ref="AU24">$E$10*(1+$AS24)+VLOOKUP($R24,武学奇术!$A:$ZZ,4,FALSE)+SUM(_xlfn.XLOOKUP($S24:$AL24,增益!$A:$A,增益!$D:$D,0))-$I$2</f>
        <v>4330.35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0.3034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64966.8732986429</v>
      </c>
      <c r="L25" s="37">
        <f t="shared" si="0"/>
        <v>40604.2958116518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41159.1649965151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37983.75487018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24944.9484827364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21753.7822468211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92</v>
      </c>
      <c r="AD25" s="39" t="s">
        <v>84</v>
      </c>
      <c r="AE25" s="39" t="s">
        <v>87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0.4043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4330.35</v>
      </c>
      <c r="AU25" cm="1">
        <f t="array" ref="AU25">$E$10*(1+$AS25)+VLOOKUP($R25,武学奇术!$A:$ZZ,4,FALSE)+SUM(_xlfn.XLOOKUP($S25:$AL25,增益!$A:$A,增益!$D:$D,0))-$I$2</f>
        <v>4330.35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0.3034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A26" t="s">
        <v>174</v>
      </c>
      <c r="B26">
        <v>4</v>
      </c>
      <c r="K26" s="37">
        <f>$L26*VLOOKUP($R26,武学奇术!$A:$ZZ,31,FALSE)</f>
        <v>47221.6525479972</v>
      </c>
      <c r="L26" s="37">
        <f t="shared" si="0"/>
        <v>47221.6525479972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48636.2738000249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37299.3987028989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24814.4254081759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21999.6665919823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92</v>
      </c>
      <c r="AD26" s="39" t="s">
        <v>84</v>
      </c>
      <c r="AE26" s="39" t="s">
        <v>87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0.4543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4330.35</v>
      </c>
      <c r="AU26" cm="1">
        <f t="array" ref="AU26">$E$10*(1+$AS26)+VLOOKUP($R26,武学奇术!$A:$ZZ,4,FALSE)+SUM(_xlfn.XLOOKUP($S26:$AL26,增益!$A:$A,增益!$D:$D,0))-$I$2</f>
        <v>4330.35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0.3034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A27" t="s">
        <v>176</v>
      </c>
      <c r="B27">
        <v>0.8</v>
      </c>
      <c r="H27">
        <v>3</v>
      </c>
      <c r="K27" s="37">
        <f>$L27*VLOOKUP($R27,武学奇术!$A:$ZZ,31,FALSE)</f>
        <v>32298.4591988989</v>
      </c>
      <c r="L27" s="37">
        <f t="shared" si="0"/>
        <v>32298.4591988989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33266.1250540723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25510.85221889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16972.5127826899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15048.0979958317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92</v>
      </c>
      <c r="AD27" s="39" t="s">
        <v>84</v>
      </c>
      <c r="AE27" s="39" t="s">
        <v>87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0.4543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4330.35</v>
      </c>
      <c r="AU27" cm="1">
        <f t="array" ref="AU27">$E$10*(1+$AS27)+VLOOKUP($R27,武学奇术!$A:$ZZ,4,FALSE)+SUM(_xlfn.XLOOKUP($S27:$AL27,增益!$A:$A,增益!$D:$D,0))-$I$2</f>
        <v>4330.35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0.3034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t="s">
        <v>177</v>
      </c>
      <c r="B28">
        <v>0.7</v>
      </c>
      <c r="H28">
        <v>23</v>
      </c>
      <c r="K28" s="37">
        <f>$L28*VLOOKUP($R28,武学奇术!$A:$ZZ,31,FALSE)</f>
        <v>65323.4378091282</v>
      </c>
      <c r="L28" s="37">
        <f t="shared" si="0"/>
        <v>40827.1486307051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41408.6144813425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37983.75487018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24944.9484827364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21753.7822468211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92</v>
      </c>
      <c r="AD28" s="39" t="s">
        <v>84</v>
      </c>
      <c r="AE28" s="39" t="s">
        <v>87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0.4043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4330.35</v>
      </c>
      <c r="AU28" cm="1">
        <f t="array" ref="AU28">$E$10*(1+$AS28)+VLOOKUP($R28,武学奇术!$A:$ZZ,4,FALSE)+SUM(_xlfn.XLOOKUP($S28:$AL28,增益!$A:$A,增益!$D:$D,0))-$I$2</f>
        <v>4330.35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0.3034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A29" t="s">
        <v>178</v>
      </c>
      <c r="B29">
        <v>0.1</v>
      </c>
      <c r="H29">
        <v>43</v>
      </c>
      <c r="K29" s="37">
        <f>$L29*VLOOKUP($R29,武学奇术!$A:$ZZ,31,FALSE)</f>
        <v>33907.1672093646</v>
      </c>
      <c r="L29" s="37">
        <f t="shared" si="0"/>
        <v>33907.1672093646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34426.1419869455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31172.2488742552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20738.639751172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18386.7247806735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92</v>
      </c>
      <c r="AD29" s="39" t="s">
        <v>84</v>
      </c>
      <c r="AE29" s="39" t="s">
        <v>87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0.4043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4330.35</v>
      </c>
      <c r="AU29" cm="1">
        <f t="array" ref="AU29">$E$10*(1+$AS29)+VLOOKUP($R29,武学奇术!$A:$ZZ,4,FALSE)+SUM(_xlfn.XLOOKUP($S29:$AL29,增益!$A:$A,增益!$D:$D,0))-$I$2</f>
        <v>4330.35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0.3034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A30" t="s">
        <v>179</v>
      </c>
      <c r="B30">
        <v>1.5</v>
      </c>
      <c r="H30">
        <v>63</v>
      </c>
      <c r="K30" s="37">
        <f>$L30*VLOOKUP($R30,武学奇术!$A:$ZZ,31,FALSE)</f>
        <v>246337.665880244</v>
      </c>
      <c r="L30" s="89">
        <f>SUM(L9,L11:L12,L14:L22,L26:L27)*0.2*(1+BY30)</f>
        <v>492675.331760488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87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0.1842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4330.35</v>
      </c>
      <c r="AU30" cm="1">
        <f t="array" ref="AU30">$E$10*(1+$AS30)+VLOOKUP($R30,武学奇术!$A:$ZZ,4,FALSE)+SUM(_xlfn.XLOOKUP($S30:$AL30,增益!$A:$A,增益!$D:$D,0))-$I$2</f>
        <v>4330.35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0.2534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A31" t="s">
        <v>182</v>
      </c>
      <c r="B31">
        <v>0.7</v>
      </c>
      <c r="D31" s="38" t="s">
        <v>183</v>
      </c>
      <c r="E31" s="38" t="s">
        <v>184</v>
      </c>
      <c r="H31">
        <v>83</v>
      </c>
      <c r="K31" s="37">
        <f>$L31*VLOOKUP($R31,武学奇术!$A:$ZZ,31,FALSE)</f>
        <v>20166.882078457</v>
      </c>
      <c r="L31" s="37">
        <f t="shared" si="0"/>
        <v>20166.882078457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20542.1871332284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17951.3772514364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11943.1320542026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10588.9476258596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92</v>
      </c>
      <c r="AD31" s="39" t="s">
        <v>84</v>
      </c>
      <c r="AE31" s="39" t="s">
        <v>87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4330.35</v>
      </c>
      <c r="AU31" cm="1">
        <f t="array" ref="AU31">$E$10*(1+$AS31)+VLOOKUP($R31,武学奇术!$A:$ZZ,4,FALSE)+SUM(_xlfn.XLOOKUP($S31:$AL31,增益!$A:$A,增益!$D:$D,0))-$I$2</f>
        <v>4330.35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0.3034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A32" t="s">
        <v>188</v>
      </c>
      <c r="B32">
        <v>0.9</v>
      </c>
      <c r="D32" s="38"/>
      <c r="E32" s="38"/>
      <c r="K32" s="37">
        <f>$L32*VLOOKUP($R32,武学奇术!$A:$ZZ,31,FALSE)</f>
        <v>173084.513054326</v>
      </c>
      <c r="L32" s="37">
        <f t="shared" si="0"/>
        <v>173084.513054326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178639.512292315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132933.691106509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88435.4021249082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78401.4034301798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92</v>
      </c>
      <c r="AD32" s="39" t="s">
        <v>84</v>
      </c>
      <c r="AE32" s="39" t="s">
        <v>87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0.4543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4330.35</v>
      </c>
      <c r="AU32" cm="1">
        <f t="array" ref="AU32">$E$10*(1+$AS32)+VLOOKUP($R32,武学奇术!$A:$ZZ,4,FALSE)+SUM(_xlfn.XLOOKUP($S32:$AL32,增益!$A:$A,增益!$D:$D,0))-$I$2</f>
        <v>4330.35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0.3034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A33" t="s">
        <v>189</v>
      </c>
      <c r="B33">
        <v>0.6</v>
      </c>
      <c r="D33" s="38"/>
      <c r="E33" s="38"/>
      <c r="K33" s="37">
        <f>$L33*VLOOKUP($R33,武学奇术!$A:$ZZ,31,FALSE)</f>
        <v>236130.28836593</v>
      </c>
      <c r="L33" s="37">
        <f t="shared" si="0"/>
        <v>236130.28836593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243611.481788205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182313.834208158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120599.743459507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106152.202320379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85</v>
      </c>
      <c r="Z33" s="39" t="s">
        <v>84</v>
      </c>
      <c r="AA33" s="39" t="s">
        <v>84</v>
      </c>
      <c r="AB33" s="39" t="s">
        <v>187</v>
      </c>
      <c r="AC33" s="39" t="s">
        <v>100</v>
      </c>
      <c r="AD33" s="39" t="s">
        <v>84</v>
      </c>
      <c r="AE33" s="39" t="s">
        <v>87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0.4543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4330.35</v>
      </c>
      <c r="AU33" cm="1">
        <f t="array" ref="AU33">$E$10*(1+$AS33)+VLOOKUP($R33,武学奇术!$A:$ZZ,4,FALSE)+SUM(_xlfn.XLOOKUP($S33:$AL33,增益!$A:$A,增益!$D:$D,0))-$I$2</f>
        <v>4330.35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0.3034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A34" t="s">
        <v>182</v>
      </c>
      <c r="B34">
        <v>0.7</v>
      </c>
      <c r="D34" s="38"/>
      <c r="E34" s="38"/>
      <c r="F34" s="38" t="s">
        <v>190</v>
      </c>
      <c r="G34" s="38" t="s">
        <v>94</v>
      </c>
      <c r="K34" s="37">
        <f>$L34*VLOOKUP($R34,武学奇术!$A:$ZZ,31,FALSE)</f>
        <v>177130.628912021</v>
      </c>
      <c r="L34" s="37">
        <f t="shared" si="0"/>
        <v>177130.628912021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182742.688582253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136759.584743469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90466.677515967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79629.9589256604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85</v>
      </c>
      <c r="Z34" s="39" t="s">
        <v>84</v>
      </c>
      <c r="AA34" s="39" t="s">
        <v>84</v>
      </c>
      <c r="AB34" s="39" t="s">
        <v>187</v>
      </c>
      <c r="AC34" s="39" t="s">
        <v>100</v>
      </c>
      <c r="AD34" s="39" t="s">
        <v>84</v>
      </c>
      <c r="AE34" s="39" t="s">
        <v>87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0.4543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4330.35</v>
      </c>
      <c r="AU34" cm="1">
        <f t="array" ref="AU34">$E$10*(1+$AS34)+VLOOKUP($R34,武学奇术!$A:$ZZ,4,FALSE)+SUM(_xlfn.XLOOKUP($S34:$AL34,增益!$A:$A,增益!$D:$D,0))-$I$2</f>
        <v>4330.35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0.3034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A35" t="s">
        <v>191</v>
      </c>
      <c r="B35">
        <v>2.4</v>
      </c>
      <c r="D35" s="38"/>
      <c r="E35" s="38"/>
      <c r="F35" s="38"/>
      <c r="G35" s="38"/>
      <c r="K35" s="37">
        <f>$L35*VLOOKUP($R35,武学奇术!$A:$ZZ,31,FALSE)</f>
        <v>324022.194169116</v>
      </c>
      <c r="L35" s="37">
        <f t="shared" ref="L35:L60" si="12">($M35*$BT35+$N35*$BR35+$O35*$BU35+$P35*$BV35)</f>
        <v>324022.194169116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334417.901568299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249029.473619407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164737.88254596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145009.488336804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85</v>
      </c>
      <c r="Z35" s="39" t="s">
        <v>84</v>
      </c>
      <c r="AA35" s="39" t="s">
        <v>84</v>
      </c>
      <c r="AB35" s="39" t="s">
        <v>187</v>
      </c>
      <c r="AC35" s="39" t="s">
        <v>100</v>
      </c>
      <c r="AD35" s="39" t="s">
        <v>84</v>
      </c>
      <c r="AE35" s="39" t="s">
        <v>87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0.4543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4330.35</v>
      </c>
      <c r="AU35" cm="1">
        <f t="array" ref="AU35">$E$10*(1+$AS35)+VLOOKUP($R35,武学奇术!$A:$ZZ,4,FALSE)+SUM(_xlfn.XLOOKUP($S35:$AL35,增益!$A:$A,增益!$D:$D,0))-$I$2</f>
        <v>4330.35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0.3034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1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1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1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649.11</v>
      </c>
      <c r="BL35">
        <f t="shared" ref="BL35:BL66" si="20">$E$14*(1+$AX35)</f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1">MIN((1-BR35)*BO35,BO35*BP35)</f>
        <v>0.89337855</v>
      </c>
      <c r="BU35" s="24">
        <f t="shared" ref="BU35:BU66" si="22">1-BR35-BT35-BV35</f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A36" t="s">
        <v>193</v>
      </c>
      <c r="D36" s="38"/>
      <c r="E36" s="38"/>
      <c r="F36" s="38"/>
      <c r="G36" s="38"/>
      <c r="K36" s="37">
        <f>$L36*VLOOKUP($R36,武学奇术!$A:$ZZ,31,FALSE)</f>
        <v>325493.927075505</v>
      </c>
      <c r="L36" s="37">
        <f t="shared" si="12"/>
        <v>325493.927075505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336065.280393759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249029.473619407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164737.88254596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145009.488336804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85</v>
      </c>
      <c r="Z36" s="39" t="s">
        <v>84</v>
      </c>
      <c r="AA36" s="39" t="s">
        <v>84</v>
      </c>
      <c r="AB36" s="39" t="s">
        <v>187</v>
      </c>
      <c r="AC36" s="39" t="s">
        <v>100</v>
      </c>
      <c r="AD36" s="39" t="s">
        <v>84</v>
      </c>
      <c r="AE36" s="39" t="s">
        <v>87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0.4543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4330.35</v>
      </c>
      <c r="AU36" cm="1">
        <f t="array" ref="AU36">$E$10*(1+$AS36)+VLOOKUP($R36,武学奇术!$A:$ZZ,4,FALSE)+SUM(_xlfn.XLOOKUP($S36:$AL36,增益!$A:$A,增益!$D:$D,0))-$I$2</f>
        <v>4330.35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0.3034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1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1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1" cm="1">
        <f t="array" ref="BJ36">$G$13+VLOOKUP($R36,武学奇术!$A:$ZZ,14,FALSE)+SUM(_xlfn.XLOOKUP($S36:$AL36,增益!$A:$A,增益!$N:$N,0))</f>
        <v>0.02</v>
      </c>
      <c r="BK36">
        <f t="shared" si="19"/>
        <v>649.11</v>
      </c>
      <c r="BL36">
        <f t="shared" si="20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1"/>
        <v>0.89337855</v>
      </c>
      <c r="BU36" s="24">
        <f t="shared" si="22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t="s">
        <v>193</v>
      </c>
      <c r="B37">
        <v>2.1</v>
      </c>
      <c r="D37" s="38"/>
      <c r="F37" s="38"/>
      <c r="G37" s="38"/>
      <c r="K37" s="37">
        <f>$L37*VLOOKUP($R37,武学奇术!$A:$ZZ,31,FALSE)</f>
        <v>66444.043518477</v>
      </c>
      <c r="L37" s="37">
        <f t="shared" si="12"/>
        <v>66444.043518477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68601.9408956139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50835.7628479643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33628.4023998107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29600.6841714998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85</v>
      </c>
      <c r="Z37" s="39" t="s">
        <v>195</v>
      </c>
      <c r="AA37" s="39" t="s">
        <v>196</v>
      </c>
      <c r="AB37" s="39" t="s">
        <v>197</v>
      </c>
      <c r="AC37" s="39" t="s">
        <v>92</v>
      </c>
      <c r="AD37" s="39" t="s">
        <v>84</v>
      </c>
      <c r="AE37" s="39" t="s">
        <v>87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0.4543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4330.35</v>
      </c>
      <c r="AU37" cm="1">
        <f t="array" ref="AU37">$E$10*(1+$AS37)+VLOOKUP($R37,武学奇术!$A:$ZZ,4,FALSE)+SUM(_xlfn.XLOOKUP($S37:$AL37,增益!$A:$A,增益!$D:$D,0))-$I$2</f>
        <v>4330.35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0.3034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1" cm="1">
        <f t="array" ref="BB37">$G$11+VLOOKUP($R37,武学奇术!$A:$ZZ,10,FALSE)+SUM(_xlfn.XLOOKUP($S37:$AL37,增益!$A:$A,增益!$J:$J,0))</f>
        <v>0.12</v>
      </c>
      <c r="BC37">
        <f t="shared" si="15"/>
        <v>0</v>
      </c>
      <c r="BD37">
        <f t="shared" si="16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1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1" cm="1">
        <f t="array" ref="BJ37">$G$13+VLOOKUP($R37,武学奇术!$A:$ZZ,14,FALSE)+SUM(_xlfn.XLOOKUP($S37:$AL37,增益!$A:$A,增益!$N:$N,0))</f>
        <v>0.02</v>
      </c>
      <c r="BK37">
        <f t="shared" si="19"/>
        <v>649.11</v>
      </c>
      <c r="BL37">
        <f t="shared" si="20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1"/>
        <v>0.89337855</v>
      </c>
      <c r="BU37" s="24">
        <f t="shared" si="22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0.31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t="s">
        <v>191</v>
      </c>
      <c r="B38">
        <v>1.83</v>
      </c>
      <c r="D38" s="38"/>
      <c r="G38" s="38"/>
      <c r="K38" s="37">
        <f>$L38*VLOOKUP($R38,武学奇术!$A:$ZZ,31,FALSE)</f>
        <v>66195.6924359781</v>
      </c>
      <c r="L38" s="37">
        <f t="shared" si="12"/>
        <v>66195.6924359781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68479.4074785174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49459.4444898883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32765.2667361327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28893.9079242001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85</v>
      </c>
      <c r="Z38" s="39" t="s">
        <v>195</v>
      </c>
      <c r="AA38" s="39" t="s">
        <v>196</v>
      </c>
      <c r="AB38" s="39" t="s">
        <v>197</v>
      </c>
      <c r="AC38" s="39" t="s">
        <v>92</v>
      </c>
      <c r="AD38" s="39" t="s">
        <v>198</v>
      </c>
      <c r="AE38" s="39" t="s">
        <v>87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0.4543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4330.35</v>
      </c>
      <c r="AU38" cm="1">
        <f t="array" ref="AU38">$E$10*(1+$AS38)+VLOOKUP($R38,武学奇术!$A:$ZZ,4,FALSE)+SUM(_xlfn.XLOOKUP($S38:$AL38,增益!$A:$A,增益!$D:$D,0))-$I$2</f>
        <v>4330.35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0.3284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1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1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1" cm="1">
        <f t="array" ref="BJ38">$G$13+VLOOKUP($R38,武学奇术!$A:$ZZ,14,FALSE)+SUM(_xlfn.XLOOKUP($S38:$AL38,增益!$A:$A,增益!$N:$N,0))</f>
        <v>0.02</v>
      </c>
      <c r="BK38">
        <f t="shared" si="19"/>
        <v>649.11</v>
      </c>
      <c r="BL38">
        <f t="shared" si="20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1"/>
        <v>0.89337855</v>
      </c>
      <c r="BU38" s="24">
        <f t="shared" si="22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0.31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t="s">
        <v>178</v>
      </c>
      <c r="B39" s="95">
        <v>0.1</v>
      </c>
      <c r="D39" s="38"/>
      <c r="K39" s="37">
        <f>$L39*VLOOKUP($R39,武学奇术!$A:$ZZ,31,FALSE)</f>
        <v>83602.3125982372</v>
      </c>
      <c r="L39" s="37">
        <f t="shared" si="12"/>
        <v>83602.3125982372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86647.7335276441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61037.5328760306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40489.5951063757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35766.2028971732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85</v>
      </c>
      <c r="Z39" s="39" t="s">
        <v>195</v>
      </c>
      <c r="AA39" s="39" t="s">
        <v>196</v>
      </c>
      <c r="AB39" s="39" t="s">
        <v>197</v>
      </c>
      <c r="AC39" s="39" t="s">
        <v>92</v>
      </c>
      <c r="AD39" s="39" t="s">
        <v>199</v>
      </c>
      <c r="AE39" s="39" t="s">
        <v>87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0.4543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4330.35</v>
      </c>
      <c r="AU39" cm="1">
        <f t="array" ref="AU39">$E$10*(1+$AS39)+VLOOKUP($R39,武学奇术!$A:$ZZ,4,FALSE)+SUM(_xlfn.XLOOKUP($S39:$AL39,增益!$A:$A,增益!$D:$D,0))-$I$2</f>
        <v>4330.35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0.3534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1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1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1" cm="1">
        <f t="array" ref="BJ39">$G$13+VLOOKUP($R39,武学奇术!$A:$ZZ,14,FALSE)+SUM(_xlfn.XLOOKUP($S39:$AL39,增益!$A:$A,增益!$N:$N,0))</f>
        <v>0.02</v>
      </c>
      <c r="BK39">
        <f t="shared" si="19"/>
        <v>649.11</v>
      </c>
      <c r="BL39">
        <f t="shared" si="20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1"/>
        <v>0.89337855</v>
      </c>
      <c r="BU39" s="24">
        <f t="shared" si="22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0.31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A40" t="s">
        <v>200</v>
      </c>
      <c r="B40">
        <v>2.8</v>
      </c>
      <c r="D40" s="38"/>
      <c r="K40" s="37">
        <f>$L40*VLOOKUP($R40,武学奇术!$A:$ZZ,31,FALSE)</f>
        <v>201985.502775091</v>
      </c>
      <c r="L40" s="37">
        <f t="shared" si="12"/>
        <v>201985.502775091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210073.796921395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140998.773110187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93782.9450541942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83122.3544712127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85</v>
      </c>
      <c r="Z40" s="39" t="s">
        <v>195</v>
      </c>
      <c r="AA40" s="39" t="s">
        <v>196</v>
      </c>
      <c r="AB40" s="39" t="s">
        <v>197</v>
      </c>
      <c r="AC40" s="39" t="s">
        <v>92</v>
      </c>
      <c r="AD40" s="39" t="s">
        <v>201</v>
      </c>
      <c r="AE40" s="39" t="s">
        <v>87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0.4543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4330.35</v>
      </c>
      <c r="AU40" cm="1">
        <f t="array" ref="AU40">$E$10*(1+$AS40)+VLOOKUP($R40,武学奇术!$A:$ZZ,4,FALSE)+SUM(_xlfn.XLOOKUP($S40:$AL40,增益!$A:$A,增益!$D:$D,0))-$I$2</f>
        <v>4330.35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0.4034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1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1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1" cm="1">
        <f t="array" ref="BJ40">$G$13+VLOOKUP($R40,武学奇术!$A:$ZZ,14,FALSE)+SUM(_xlfn.XLOOKUP($S40:$AL40,增益!$A:$A,增益!$N:$N,0))</f>
        <v>0.02</v>
      </c>
      <c r="BK40">
        <f t="shared" si="19"/>
        <v>649.11</v>
      </c>
      <c r="BL40">
        <f t="shared" si="20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1"/>
        <v>0.89337855</v>
      </c>
      <c r="BU40" s="24">
        <f t="shared" si="22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0.31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t="s">
        <v>178</v>
      </c>
      <c r="B41">
        <v>0.1</v>
      </c>
      <c r="D41" s="38"/>
      <c r="K41" s="37">
        <f>$L41*VLOOKUP($R41,武学奇术!$A:$ZZ,31,FALSE)</f>
        <v>42471.6445930355</v>
      </c>
      <c r="L41" s="37">
        <f t="shared" si="12"/>
        <v>42471.6445930355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43615.950308462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34677.2217179612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23077.2223854296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20467.6138686657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85</v>
      </c>
      <c r="Z41" s="39" t="s">
        <v>195</v>
      </c>
      <c r="AA41" s="39" t="s">
        <v>196</v>
      </c>
      <c r="AB41" s="39" t="s">
        <v>197</v>
      </c>
      <c r="AC41" s="39" t="s">
        <v>100</v>
      </c>
      <c r="AD41" s="39" t="s">
        <v>93</v>
      </c>
      <c r="AE41" s="39" t="s">
        <v>87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0.4043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4330.35</v>
      </c>
      <c r="AU41" cm="1">
        <f t="array" ref="AU41">$E$10*(1+$AS41)+VLOOKUP($R41,武学奇术!$A:$ZZ,4,FALSE)+SUM(_xlfn.XLOOKUP($S41:$AL41,增益!$A:$A,增益!$D:$D,0))-$I$2</f>
        <v>4330.35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0.4284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1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1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1" cm="1">
        <f t="array" ref="BJ41">$G$13+VLOOKUP($R41,武学奇术!$A:$ZZ,14,FALSE)+SUM(_xlfn.XLOOKUP($S41:$AL41,增益!$A:$A,增益!$N:$N,0))</f>
        <v>0.02</v>
      </c>
      <c r="BK41">
        <f t="shared" si="19"/>
        <v>649.11</v>
      </c>
      <c r="BL41">
        <f t="shared" si="20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1"/>
        <v>0.89337855</v>
      </c>
      <c r="BU41" s="24">
        <f t="shared" si="22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0.31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t="s">
        <v>202</v>
      </c>
      <c r="B42">
        <v>0.7</v>
      </c>
      <c r="D42" s="38"/>
      <c r="K42" s="37">
        <f>$L42*VLOOKUP($R42,武学奇术!$A:$ZZ,31,FALSE)</f>
        <v>455946.980806768</v>
      </c>
      <c r="L42" s="37">
        <f t="shared" si="12"/>
        <v>455946.980806768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474977.348119002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311440.61110594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207413.689134935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184130.629302508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85</v>
      </c>
      <c r="Z42" s="39" t="s">
        <v>195</v>
      </c>
      <c r="AA42" s="39" t="s">
        <v>196</v>
      </c>
      <c r="AB42" s="39" t="s">
        <v>197</v>
      </c>
      <c r="AC42" s="39" t="s">
        <v>100</v>
      </c>
      <c r="AD42" s="39" t="s">
        <v>93</v>
      </c>
      <c r="AE42" s="39" t="s">
        <v>87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0.4543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4330.35</v>
      </c>
      <c r="AU42" cm="1">
        <f t="array" ref="AU42">$E$10*(1+$AS42)+VLOOKUP($R42,武学奇术!$A:$ZZ,4,FALSE)+SUM(_xlfn.XLOOKUP($S42:$AL42,增益!$A:$A,增益!$D:$D,0))-$I$2</f>
        <v>4330.35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0.4284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1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1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1" cm="1">
        <f t="array" ref="BJ42">$G$13+VLOOKUP($R42,武学奇术!$A:$ZZ,14,FALSE)+SUM(_xlfn.XLOOKUP($S42:$AL42,增益!$A:$A,增益!$N:$N,0))</f>
        <v>0.02</v>
      </c>
      <c r="BK42">
        <f t="shared" si="19"/>
        <v>649.11</v>
      </c>
      <c r="BL42">
        <f t="shared" si="20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1"/>
        <v>0.89337855</v>
      </c>
      <c r="BU42" s="24">
        <f t="shared" si="22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0.31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t="s">
        <v>203</v>
      </c>
      <c r="B43">
        <v>0.8</v>
      </c>
      <c r="D43" s="38"/>
      <c r="K43" s="37">
        <f>$L43*VLOOKUP($R43,武学奇术!$A:$ZZ,31,FALSE)</f>
        <v>455946.980806768</v>
      </c>
      <c r="L43" s="37">
        <f t="shared" si="12"/>
        <v>455946.980806768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474977.348119002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311440.61110594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207413.689134935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184130.629302508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85</v>
      </c>
      <c r="Z43" s="39" t="s">
        <v>195</v>
      </c>
      <c r="AA43" s="39" t="s">
        <v>196</v>
      </c>
      <c r="AB43" s="39" t="s">
        <v>197</v>
      </c>
      <c r="AC43" s="39" t="s">
        <v>100</v>
      </c>
      <c r="AD43" s="39" t="s">
        <v>93</v>
      </c>
      <c r="AE43" s="39" t="s">
        <v>87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0.4543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4330.35</v>
      </c>
      <c r="AU43" cm="1">
        <f t="array" ref="AU43">$E$10*(1+$AS43)+VLOOKUP($R43,武学奇术!$A:$ZZ,4,FALSE)+SUM(_xlfn.XLOOKUP($S43:$AL43,增益!$A:$A,增益!$D:$D,0))-$I$2</f>
        <v>4330.35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0.4284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1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1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1" cm="1">
        <f t="array" ref="BJ43">$G$13+VLOOKUP($R43,武学奇术!$A:$ZZ,14,FALSE)+SUM(_xlfn.XLOOKUP($S43:$AL43,增益!$A:$A,增益!$N:$N,0))</f>
        <v>0.02</v>
      </c>
      <c r="BK43">
        <f t="shared" si="19"/>
        <v>649.11</v>
      </c>
      <c r="BL43">
        <f t="shared" si="20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1"/>
        <v>0.89337855</v>
      </c>
      <c r="BU43" s="24">
        <f t="shared" si="22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0.31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t="s">
        <v>182</v>
      </c>
      <c r="B44">
        <v>0.7</v>
      </c>
      <c r="D44" s="38"/>
      <c r="K44" s="37">
        <f>$L44*VLOOKUP($R44,武学奇术!$A:$ZZ,31,FALSE)</f>
        <v>78864.5401320805</v>
      </c>
      <c r="L44" s="37">
        <f t="shared" si="12"/>
        <v>78864.5401320805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82156.135516768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53870.0759172315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35876.0417103791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31848.3234820681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85</v>
      </c>
      <c r="Z44" s="39" t="s">
        <v>195</v>
      </c>
      <c r="AA44" s="39" t="s">
        <v>196</v>
      </c>
      <c r="AB44" s="39" t="s">
        <v>197</v>
      </c>
      <c r="AC44" s="39" t="s">
        <v>100</v>
      </c>
      <c r="AD44" s="39" t="s">
        <v>93</v>
      </c>
      <c r="AE44" s="39" t="s">
        <v>87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0.4543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4330.35</v>
      </c>
      <c r="AU44" cm="1">
        <f t="array" ref="AU44">$E$10*(1+$AS44)+VLOOKUP($R44,武学奇术!$A:$ZZ,4,FALSE)+SUM(_xlfn.XLOOKUP($S44:$AL44,增益!$A:$A,增益!$D:$D,0))-$I$2</f>
        <v>4330.35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0.4284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1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1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1" cm="1">
        <f t="array" ref="BJ44">$G$13+VLOOKUP($R44,武学奇术!$A:$ZZ,14,FALSE)+SUM(_xlfn.XLOOKUP($S44:$AL44,增益!$A:$A,增益!$N:$N,0))</f>
        <v>0.02</v>
      </c>
      <c r="BK44">
        <f t="shared" si="19"/>
        <v>649.11</v>
      </c>
      <c r="BL44">
        <f t="shared" si="20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1"/>
        <v>0.89337855</v>
      </c>
      <c r="BU44" s="24">
        <f t="shared" si="22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0.31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t="s">
        <v>188</v>
      </c>
      <c r="B45">
        <v>0.9</v>
      </c>
      <c r="K45" s="37">
        <f>$L45*VLOOKUP($R45,武学奇术!$A:$ZZ,31,FALSE)</f>
        <v>75825.8861098242</v>
      </c>
      <c r="L45" s="37">
        <f t="shared" si="12"/>
        <v>75825.8861098242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78990.8075292956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51792.9676557375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34493.8024145395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30622.4436026069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85</v>
      </c>
      <c r="Z45" s="39" t="s">
        <v>195</v>
      </c>
      <c r="AA45" s="39" t="s">
        <v>196</v>
      </c>
      <c r="AB45" s="39" t="s">
        <v>197</v>
      </c>
      <c r="AC45" s="39" t="s">
        <v>100</v>
      </c>
      <c r="AD45" s="39" t="s">
        <v>93</v>
      </c>
      <c r="AE45" s="39" t="s">
        <v>87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0.4543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4330.35</v>
      </c>
      <c r="AU45" cm="1">
        <f t="array" ref="AU45">$E$10*(1+$AS45)+VLOOKUP($R45,武学奇术!$A:$ZZ,4,FALSE)+SUM(_xlfn.XLOOKUP($S45:$AL45,增益!$A:$A,增益!$D:$D,0))-$I$2</f>
        <v>4330.35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0.4284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1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1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1" cm="1">
        <f t="array" ref="BJ45">$G$13+VLOOKUP($R45,武学奇术!$A:$ZZ,14,FALSE)+SUM(_xlfn.XLOOKUP($S45:$AL45,增益!$A:$A,增益!$N:$N,0))</f>
        <v>0.02</v>
      </c>
      <c r="BK45">
        <f t="shared" si="19"/>
        <v>649.11</v>
      </c>
      <c r="BL45">
        <f t="shared" si="20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1"/>
        <v>0.89337855</v>
      </c>
      <c r="BU45" s="24">
        <f t="shared" si="22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0.31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t="s">
        <v>189</v>
      </c>
      <c r="B46">
        <v>0.6</v>
      </c>
      <c r="K46" s="37">
        <f>$L46*VLOOKUP($R46,武学奇术!$A:$ZZ,31,FALSE)</f>
        <v>90505.7496051378</v>
      </c>
      <c r="L46" s="37">
        <f t="shared" si="12"/>
        <v>90505.7496051378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94315.358257665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61504.997312965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41185.7459640458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36812.2346592287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196</v>
      </c>
      <c r="AB46" s="39" t="s">
        <v>197</v>
      </c>
      <c r="AC46" s="39" t="s">
        <v>92</v>
      </c>
      <c r="AD46" s="39" t="s">
        <v>93</v>
      </c>
      <c r="AE46" s="39" t="s">
        <v>87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0.4543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4330.35</v>
      </c>
      <c r="AU46" cm="1">
        <f t="array" ref="AU46">$E$10*(1+$AS46)+VLOOKUP($R46,武学奇术!$A:$ZZ,4,FALSE)+SUM(_xlfn.XLOOKUP($S46:$AL46,增益!$A:$A,增益!$D:$D,0))-$I$2</f>
        <v>4330.35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0.4284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19"/>
        <v>649.11</v>
      </c>
      <c r="BL46">
        <f t="shared" si="20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1"/>
        <v>0.89337855</v>
      </c>
      <c r="BU46" s="24">
        <f t="shared" si="22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0.31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A47" t="s">
        <v>182</v>
      </c>
      <c r="B47">
        <v>0.7</v>
      </c>
      <c r="K47" s="37">
        <f>$L47*VLOOKUP($R47,武学奇术!$A:$ZZ,31,FALSE)</f>
        <v>204309.307809008</v>
      </c>
      <c r="L47" s="37">
        <f t="shared" si="12"/>
        <v>204309.307809008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212909.435787702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138840.034435451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92973.5527457215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83102.6355392572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196</v>
      </c>
      <c r="AB47" s="39" t="s">
        <v>204</v>
      </c>
      <c r="AC47" s="39" t="s">
        <v>92</v>
      </c>
      <c r="AD47" s="39" t="s">
        <v>93</v>
      </c>
      <c r="AE47" s="39" t="s">
        <v>87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0.4543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4330.35</v>
      </c>
      <c r="AU47" cm="1">
        <f t="array" ref="AU47">$E$10*(1+$AS47)+VLOOKUP($R47,武学奇术!$A:$ZZ,4,FALSE)+SUM(_xlfn.XLOOKUP($S47:$AL47,增益!$A:$A,增益!$D:$D,0))-$I$2</f>
        <v>4330.35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0.4284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19"/>
        <v>649.11</v>
      </c>
      <c r="BL47">
        <f t="shared" si="20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1"/>
        <v>0.89337855</v>
      </c>
      <c r="BU47" s="24">
        <f t="shared" si="22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0.31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A48" t="s">
        <v>178</v>
      </c>
      <c r="B48">
        <v>0.1</v>
      </c>
      <c r="K48" s="37">
        <f>$L48*VLOOKUP($R48,武学奇术!$A:$ZZ,31,FALSE)</f>
        <v>245033.153419338</v>
      </c>
      <c r="L48" s="37">
        <f t="shared" si="12"/>
        <v>245033.153419338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255347.045954661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166518.701950071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111505.26024221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99663.3338547379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196</v>
      </c>
      <c r="AB48" s="39" t="s">
        <v>204</v>
      </c>
      <c r="AC48" s="39" t="s">
        <v>92</v>
      </c>
      <c r="AD48" s="39" t="s">
        <v>93</v>
      </c>
      <c r="AE48" s="39" t="s">
        <v>87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0.4543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4330.35</v>
      </c>
      <c r="AU48" cm="1">
        <f t="array" ref="AU48">$E$10*(1+$AS48)+VLOOKUP($R48,武学奇术!$A:$ZZ,4,FALSE)+SUM(_xlfn.XLOOKUP($S48:$AL48,增益!$A:$A,增益!$D:$D,0))-$I$2</f>
        <v>4330.35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0.4284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19"/>
        <v>649.11</v>
      </c>
      <c r="BL48">
        <f t="shared" si="20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1"/>
        <v>0.89337855</v>
      </c>
      <c r="BU48" s="24">
        <f t="shared" si="22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0.31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t="s">
        <v>177</v>
      </c>
      <c r="B49">
        <v>0.7</v>
      </c>
      <c r="K49" s="37">
        <f>$L49*VLOOKUP($R49,武学奇术!$A:$ZZ,31,FALSE)</f>
        <v>276785.69227339</v>
      </c>
      <c r="L49" s="37">
        <f t="shared" si="12"/>
        <v>276785.69227339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288435.991530893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188098.111387537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125954.581454538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112577.228547938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92</v>
      </c>
      <c r="AD49" s="39" t="s">
        <v>93</v>
      </c>
      <c r="AE49" s="39" t="s">
        <v>87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0.4543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4330.35</v>
      </c>
      <c r="AU49" cm="1">
        <f t="array" ref="AU49">$E$10*(1+$AS49)+VLOOKUP($R49,武学奇术!$A:$ZZ,4,FALSE)+SUM(_xlfn.XLOOKUP($S49:$AL49,增益!$A:$A,增益!$D:$D,0))-$I$2</f>
        <v>4330.35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0.4284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19"/>
        <v>649.11</v>
      </c>
      <c r="BL49">
        <f t="shared" si="20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1"/>
        <v>0.89337855</v>
      </c>
      <c r="BU49" s="24">
        <f t="shared" si="22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A50" t="s">
        <v>176</v>
      </c>
      <c r="B50">
        <v>0.8</v>
      </c>
      <c r="K50" s="37">
        <f>$L50*VLOOKUP($R50,武学奇术!$A:$ZZ,31,FALSE)</f>
        <v>207623.511675928</v>
      </c>
      <c r="L50" s="37">
        <f t="shared" si="12"/>
        <v>207623.511675928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216362.764129522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141095.999362274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94481.5563884376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84447.5576937092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92</v>
      </c>
      <c r="AD50" s="39" t="s">
        <v>93</v>
      </c>
      <c r="AE50" s="39" t="s">
        <v>87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0.4543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4330.35</v>
      </c>
      <c r="AU50" cm="1">
        <f t="array" ref="AU50">$E$10*(1+$AS50)+VLOOKUP($R50,武学奇术!$A:$ZZ,4,FALSE)+SUM(_xlfn.XLOOKUP($S50:$AL50,增益!$A:$A,增益!$D:$D,0))-$I$2</f>
        <v>4330.35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0.4284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19"/>
        <v>649.11</v>
      </c>
      <c r="BL50">
        <f t="shared" si="20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1"/>
        <v>0.89337855</v>
      </c>
      <c r="BU50" s="24">
        <f t="shared" si="22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t="s">
        <v>200</v>
      </c>
      <c r="B51">
        <v>2.8</v>
      </c>
      <c r="D51" s="38" t="s">
        <v>183</v>
      </c>
      <c r="E51" t="s">
        <v>184</v>
      </c>
      <c r="K51" s="37">
        <f>$L51*VLOOKUP($R51,武学奇术!$A:$ZZ,31,FALSE)</f>
        <v>35210.2680746471</v>
      </c>
      <c r="L51" s="37">
        <f t="shared" si="12"/>
        <v>35210.2680746471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36173.1054341909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28601.9262064362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19139.2092244396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17091.8064441117</v>
      </c>
      <c r="Q51" s="38">
        <v>1</v>
      </c>
      <c r="R51" s="39" t="s">
        <v>169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92</v>
      </c>
      <c r="AD51" s="39" t="s">
        <v>93</v>
      </c>
      <c r="AE51" s="39" t="s">
        <v>87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拳甲</v>
      </c>
      <c r="AN51" s="24">
        <f>VLOOKUP($R51,武学奇术!$A:$ZZ,26,FALSE)</f>
        <v>0.9193</v>
      </c>
      <c r="AO51" s="25">
        <f>VLOOKUP($R51,武学奇术!$A:$ZZ,27,FALSE)*(1+IF(OR($AM51=$F$4,$AM51=$F$5),$B$22,0))</f>
        <v>408</v>
      </c>
      <c r="AP51" s="24">
        <f>VLOOKUP($R51,武学奇术!$A:$ZZ,28,FALSE)</f>
        <v>1.379</v>
      </c>
      <c r="AQ51" s="25">
        <f>VLOOKUP($R51,武学奇术!$A:$ZZ,29,FALSE)*(1+IF(OR($AM51=$F$4,$AM51=$F$5),$B$22,0))</f>
        <v>222.4</v>
      </c>
      <c r="AR51" s="24" cm="1">
        <f t="array" ref="AR51">$G$3+IFERROR(VLOOKUP($AM51,$F$4:$G$7,2,FALSE),0)+VLOOKUP($R51,武学奇术!$A:$ZZ,2,FALSE)+SUM(_xlfn.XLOOKUP($S51:$AL51,增益!$A:$A,增益!$B:$B,0))</f>
        <v>0.4043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4330.35</v>
      </c>
      <c r="AU51" cm="1">
        <f t="array" ref="AU51">$E$10*(1+$AS51)+VLOOKUP($R51,武学奇术!$A:$ZZ,4,FALSE)+SUM(_xlfn.XLOOKUP($S51:$AL51,增益!$A:$A,增益!$D:$D,0))-$I$2</f>
        <v>4330.35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0.4284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19"/>
        <v>649.11</v>
      </c>
      <c r="BL51">
        <f t="shared" si="20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1"/>
        <v>0.89337855</v>
      </c>
      <c r="BU51" s="24">
        <f t="shared" si="22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0.4</v>
      </c>
      <c r="BY51" s="24" cm="1">
        <f t="array" ref="BY51">SUM(_xlfn.XLOOKUP($S51:$AL51,增益!$A:$A,增益!$X:$X,0))</f>
        <v>0</v>
      </c>
    </row>
    <row r="52" spans="1:77">
      <c r="A52" t="s">
        <v>178</v>
      </c>
      <c r="B52" s="95">
        <v>0.1</v>
      </c>
      <c r="D52" s="38"/>
      <c r="H52" s="4"/>
      <c r="K52" s="37">
        <f>$L52*VLOOKUP($R52,武学奇术!$A:$ZZ,31,FALSE)</f>
        <v>47198.3651225508</v>
      </c>
      <c r="L52" s="37">
        <f t="shared" si="12"/>
        <v>47198.3651225508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48489.0412929539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38339.8634716628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25655.5774036793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22911.2559394602</v>
      </c>
      <c r="Q52" s="38">
        <v>1</v>
      </c>
      <c r="R52" s="39" t="s">
        <v>173</v>
      </c>
      <c r="S52" s="39" t="s">
        <v>104</v>
      </c>
      <c r="T52" s="39" t="s">
        <v>194</v>
      </c>
      <c r="U52" s="39" t="s">
        <v>81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205</v>
      </c>
      <c r="AC52" s="39" t="s">
        <v>92</v>
      </c>
      <c r="AD52" s="39" t="s">
        <v>93</v>
      </c>
      <c r="AE52" s="39" t="s">
        <v>87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拳甲</v>
      </c>
      <c r="AN52" s="24">
        <f>VLOOKUP($R52,武学奇术!$A:$ZZ,26,FALSE)</f>
        <v>1.2324</v>
      </c>
      <c r="AO52" s="25">
        <f>VLOOKUP($R52,武学奇术!$A:$ZZ,27,FALSE)*(1+IF(OR($AM52=$F$4,$AM52=$F$5),$B$22,0))</f>
        <v>547.2</v>
      </c>
      <c r="AP52" s="24">
        <f>VLOOKUP($R52,武学奇术!$A:$ZZ,28,FALSE)</f>
        <v>1.8484</v>
      </c>
      <c r="AQ52" s="25">
        <f>VLOOKUP($R52,武学奇术!$A:$ZZ,29,FALSE)*(1+IF(OR($AM52=$F$4,$AM52=$F$5),$B$22,0))</f>
        <v>297.6</v>
      </c>
      <c r="AR52" s="24" cm="1">
        <f t="array" ref="AR52">$G$3+IFERROR(VLOOKUP($AM52,$F$4:$G$7,2,FALSE),0)+VLOOKUP($R52,武学奇术!$A:$ZZ,2,FALSE)+SUM(_xlfn.XLOOKUP($S52:$AL52,增益!$A:$A,增益!$B:$B,0))</f>
        <v>0.4043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4330.35</v>
      </c>
      <c r="AU52" cm="1">
        <f t="array" ref="AU52">$E$10*(1+$AS52)+VLOOKUP($R52,武学奇术!$A:$ZZ,4,FALSE)+SUM(_xlfn.XLOOKUP($S52:$AL52,增益!$A:$A,增益!$D:$D,0))-$I$2</f>
        <v>4330.35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0.4284</v>
      </c>
      <c r="AW52" s="31" cm="1">
        <f t="array" ref="AW52">$G$10+VLOOKUP($R52,武学奇术!$A:$ZZ,7,FALSE)+SUM(_xlfn.XLOOKUP($S52:$AL52,增益!$A:$A,增益!$G:$G,0))</f>
        <v>0.02</v>
      </c>
      <c r="AX52" s="24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0.02</v>
      </c>
      <c r="BC52">
        <f t="shared" si="15"/>
        <v>0</v>
      </c>
      <c r="BD52">
        <f t="shared" si="16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0.02</v>
      </c>
      <c r="BG52">
        <f t="shared" si="17"/>
        <v>0</v>
      </c>
      <c r="BH52">
        <f t="shared" si="18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0.02</v>
      </c>
      <c r="BK52">
        <f t="shared" si="19"/>
        <v>649.11</v>
      </c>
      <c r="BL52">
        <f t="shared" si="20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0.17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1.89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1"/>
        <v>0.89337855</v>
      </c>
      <c r="BU52" s="24">
        <f t="shared" si="22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0.4</v>
      </c>
      <c r="BY52" s="24" cm="1">
        <f t="array" ref="BY52">SUM(_xlfn.XLOOKUP($S52:$AL52,增益!$A:$A,增益!$X:$X,0))</f>
        <v>0</v>
      </c>
    </row>
    <row r="53" spans="1:77">
      <c r="A53" t="s">
        <v>191</v>
      </c>
      <c r="B53">
        <v>2.4</v>
      </c>
      <c r="D53" s="38"/>
      <c r="E53" s="38"/>
      <c r="K53" s="37">
        <f>$L53*VLOOKUP($R53,武学奇术!$A:$ZZ,31,FALSE)</f>
        <v>80531.9848208471</v>
      </c>
      <c r="L53" s="37">
        <f t="shared" si="12"/>
        <v>50332.4905130294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51777.7668945946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40338.9946801881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26689.570564224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23498.4043283086</v>
      </c>
      <c r="Q53" s="38">
        <v>1</v>
      </c>
      <c r="R53" s="39" t="s">
        <v>122</v>
      </c>
      <c r="S53" s="39" t="s">
        <v>104</v>
      </c>
      <c r="T53" s="39" t="s">
        <v>194</v>
      </c>
      <c r="U53" s="39" t="s">
        <v>81</v>
      </c>
      <c r="V53" s="39" t="s">
        <v>82</v>
      </c>
      <c r="W53" s="39" t="s">
        <v>83</v>
      </c>
      <c r="X53" s="39" t="s">
        <v>84</v>
      </c>
      <c r="Y53" s="39" t="s">
        <v>84</v>
      </c>
      <c r="Z53" s="39" t="s">
        <v>84</v>
      </c>
      <c r="AA53" s="39" t="s">
        <v>84</v>
      </c>
      <c r="AB53" s="39" t="s">
        <v>204</v>
      </c>
      <c r="AC53" s="39" t="s">
        <v>92</v>
      </c>
      <c r="AD53" s="39" t="s">
        <v>93</v>
      </c>
      <c r="AE53" s="39" t="s">
        <v>87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拳甲</v>
      </c>
      <c r="AN53" s="24">
        <f>VLOOKUP($R53,武学奇术!$A:$ZZ,26,FALSE)</f>
        <v>1.862784</v>
      </c>
      <c r="AO53" s="25">
        <f>VLOOKUP($R53,武学奇术!$A:$ZZ,27,FALSE)*(1+IF(OR($AM53=$F$4,$AM53=$F$5),$B$22,0))</f>
        <v>0</v>
      </c>
      <c r="AP53" s="24">
        <f>VLOOKUP($R53,武学奇术!$A:$ZZ,28,FALSE)</f>
        <v>2.794176</v>
      </c>
      <c r="AQ53" s="25">
        <f>VLOOKUP($R53,武学奇术!$A:$ZZ,29,FALSE)*(1+IF(OR($AM53=$F$4,$AM53=$F$5),$B$22,0))</f>
        <v>0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4330.35</v>
      </c>
      <c r="AU53" cm="1">
        <f t="array" ref="AU53">$E$10*(1+$AS53)+VLOOKUP($R53,武学奇术!$A:$ZZ,4,FALSE)+SUM(_xlfn.XLOOKUP($S53:$AL53,增益!$A:$A,增益!$D:$D,0))-$I$2</f>
        <v>4330.35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0.4284</v>
      </c>
      <c r="AW53" s="31" cm="1">
        <f t="array" ref="AW53">$G$10+VLOOKUP($R53,武学奇术!$A:$ZZ,7,FALSE)+SUM(_xlfn.XLOOKUP($S53:$AL53,增益!$A:$A,增益!$G:$G,0))</f>
        <v>0.11</v>
      </c>
      <c r="AX53" s="24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19"/>
        <v>649.11</v>
      </c>
      <c r="BL53">
        <f t="shared" si="20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1.94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1"/>
        <v>0.89337855</v>
      </c>
      <c r="BU53" s="24">
        <f t="shared" si="22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t="s">
        <v>191</v>
      </c>
      <c r="B54">
        <v>2.1</v>
      </c>
      <c r="D54" s="38"/>
      <c r="E54" s="38"/>
      <c r="K54" s="37">
        <f>$L54*VLOOKUP($R54,武学奇术!$A:$ZZ,31,FALSE)</f>
        <v>49005.72328143</v>
      </c>
      <c r="L54" s="37">
        <f t="shared" si="12"/>
        <v>49005.72328143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50515.0837177268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38372.9449966893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25384.4641797622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22344.5246582731</v>
      </c>
      <c r="Q54" s="38">
        <v>1</v>
      </c>
      <c r="R54" s="39" t="s">
        <v>124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85</v>
      </c>
      <c r="Z54" s="39" t="s">
        <v>84</v>
      </c>
      <c r="AA54" s="39" t="s">
        <v>84</v>
      </c>
      <c r="AB54" s="39" t="s">
        <v>204</v>
      </c>
      <c r="AC54" s="39" t="s">
        <v>92</v>
      </c>
      <c r="AD54" s="39" t="s">
        <v>84</v>
      </c>
      <c r="AE54" s="39" t="s">
        <v>87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1.1333</v>
      </c>
      <c r="AO54" s="25">
        <f>VLOOKUP($R54,武学奇术!$A:$ZZ,27,FALSE)*(1+IF(OR($AM54=$F$4,$AM54=$F$5),$B$22,0))</f>
        <v>502.4</v>
      </c>
      <c r="AP54" s="24">
        <f>VLOOKUP($R54,武学奇术!$A:$ZZ,28,FALSE)</f>
        <v>1.6999</v>
      </c>
      <c r="AQ54" s="25">
        <f>VLOOKUP($R54,武学奇术!$A:$ZZ,29,FALSE)*(1+IF(OR($AM54=$F$4,$AM54=$F$5),$B$22,0))</f>
        <v>273.6</v>
      </c>
      <c r="AR54" s="24" cm="1">
        <f t="array" ref="AR54">$G$3+IFERROR(VLOOKUP($AM54,$F$4:$G$7,2,FALSE),0)+VLOOKUP($R54,武学奇术!$A:$ZZ,2,FALSE)+SUM(_xlfn.XLOOKUP($S54:$AL54,增益!$A:$A,增益!$B:$B,0))</f>
        <v>0.4543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4330.35</v>
      </c>
      <c r="AU54" cm="1">
        <f t="array" ref="AU54">$E$10*(1+$AS54)+VLOOKUP($R54,武学奇术!$A:$ZZ,4,FALSE)+SUM(_xlfn.XLOOKUP($S54:$AL54,增益!$A:$A,增益!$D:$D,0))-$I$2</f>
        <v>4330.35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0.3034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1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1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1" cm="1">
        <f t="array" ref="BJ54">$G$13+VLOOKUP($R54,武学奇术!$A:$ZZ,14,FALSE)+SUM(_xlfn.XLOOKUP($S54:$AL54,增益!$A:$A,增益!$N:$N,0))</f>
        <v>0.02</v>
      </c>
      <c r="BK54">
        <f t="shared" si="19"/>
        <v>649.11</v>
      </c>
      <c r="BL54">
        <f t="shared" si="20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1"/>
        <v>0.89337855</v>
      </c>
      <c r="BU54" s="24">
        <f t="shared" si="22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t="s">
        <v>191</v>
      </c>
      <c r="B55">
        <v>1.83</v>
      </c>
      <c r="C55" s="38" t="s">
        <v>195</v>
      </c>
      <c r="D55" s="38"/>
      <c r="E55" s="38"/>
      <c r="K55" s="37">
        <f>$L55*VLOOKUP($R55,武学奇术!$A:$ZZ,31,FALSE)</f>
        <v>33518.4925350599</v>
      </c>
      <c r="L55" s="37">
        <f t="shared" si="12"/>
        <v>33518.4925350599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34550.9570145532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26244.8882012728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17362.2899570619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15283.921987255</v>
      </c>
      <c r="Q55" s="38">
        <v>1</v>
      </c>
      <c r="R55" s="39" t="s">
        <v>127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85</v>
      </c>
      <c r="Z55" s="39" t="s">
        <v>84</v>
      </c>
      <c r="AA55" s="39" t="s">
        <v>84</v>
      </c>
      <c r="AB55" s="39" t="s">
        <v>204</v>
      </c>
      <c r="AC55" s="39" t="s">
        <v>92</v>
      </c>
      <c r="AD55" s="39" t="s">
        <v>84</v>
      </c>
      <c r="AE55" s="39" t="s">
        <v>87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0.7748</v>
      </c>
      <c r="AO55" s="25">
        <f>VLOOKUP($R55,武学奇术!$A:$ZZ,27,FALSE)*(1+IF(OR($AM55=$F$4,$AM55=$F$5),$B$22,0))</f>
        <v>345.6</v>
      </c>
      <c r="AP55" s="24">
        <f>VLOOKUP($R55,武学奇术!$A:$ZZ,28,FALSE)</f>
        <v>1.1622</v>
      </c>
      <c r="AQ55" s="25">
        <f>VLOOKUP($R55,武学奇术!$A:$ZZ,29,FALSE)*(1+IF(OR($AM55=$F$4,$AM55=$F$5),$B$22,0))</f>
        <v>187.2</v>
      </c>
      <c r="AR55" s="24" cm="1">
        <f t="array" ref="AR55">$G$3+IFERROR(VLOOKUP($AM55,$F$4:$G$7,2,FALSE),0)+VLOOKUP($R55,武学奇术!$A:$ZZ,2,FALSE)+SUM(_xlfn.XLOOKUP($S55:$AL55,增益!$A:$A,增益!$B:$B,0))</f>
        <v>0.4543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4330.35</v>
      </c>
      <c r="AU55" cm="1">
        <f t="array" ref="AU55">$E$10*(1+$AS55)+VLOOKUP($R55,武学奇术!$A:$ZZ,4,FALSE)+SUM(_xlfn.XLOOKUP($S55:$AL55,增益!$A:$A,增益!$D:$D,0))-$I$2</f>
        <v>4330.35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0.3034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1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1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1" cm="1">
        <f t="array" ref="BJ55">$G$13+VLOOKUP($R55,武学奇术!$A:$ZZ,14,FALSE)+SUM(_xlfn.XLOOKUP($S55:$AL55,增益!$A:$A,增益!$N:$N,0))</f>
        <v>0.02</v>
      </c>
      <c r="BK55">
        <f t="shared" si="19"/>
        <v>649.11</v>
      </c>
      <c r="BL55">
        <f t="shared" si="20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1"/>
        <v>0.89337855</v>
      </c>
      <c r="BU55" s="24">
        <f t="shared" si="22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A56" t="s">
        <v>206</v>
      </c>
      <c r="B56">
        <v>0.7</v>
      </c>
      <c r="C56" s="38"/>
      <c r="D56" s="38"/>
      <c r="E56" s="38" t="s">
        <v>184</v>
      </c>
      <c r="K56" s="37">
        <f>$L56*VLOOKUP($R56,武学奇术!$A:$ZZ,31,FALSE)</f>
        <v>67866.2898711478</v>
      </c>
      <c r="L56" s="37">
        <f t="shared" si="12"/>
        <v>42416.4311694674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43070.0260113252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39057.7707360409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25485.2224919084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22038.7629571198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85</v>
      </c>
      <c r="Z56" s="39" t="s">
        <v>84</v>
      </c>
      <c r="AA56" s="39" t="s">
        <v>84</v>
      </c>
      <c r="AB56" s="39" t="s">
        <v>204</v>
      </c>
      <c r="AC56" s="39" t="s">
        <v>92</v>
      </c>
      <c r="AD56" s="39" t="s">
        <v>84</v>
      </c>
      <c r="AE56" s="39" t="s">
        <v>87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0.4043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4330.35</v>
      </c>
      <c r="AU56" cm="1">
        <f t="array" ref="AU56">$E$10*(1+$AS56)+VLOOKUP($R56,武学奇术!$A:$ZZ,4,FALSE)+SUM(_xlfn.XLOOKUP($S56:$AL56,增益!$A:$A,增益!$D:$D,0))-$I$2</f>
        <v>4330.35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0.3034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1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1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1" cm="1">
        <f t="array" ref="BJ56">$G$13+VLOOKUP($R56,武学奇术!$A:$ZZ,14,FALSE)+SUM(_xlfn.XLOOKUP($S56:$AL56,增益!$A:$A,增益!$N:$N,0))</f>
        <v>0.02</v>
      </c>
      <c r="BK56">
        <f t="shared" si="19"/>
        <v>649.11</v>
      </c>
      <c r="BL56">
        <f t="shared" si="20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1"/>
        <v>0.89337855</v>
      </c>
      <c r="BU56" s="24">
        <f t="shared" si="22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A57" t="s">
        <v>191</v>
      </c>
      <c r="B57">
        <v>2.5</v>
      </c>
      <c r="C57" s="38"/>
      <c r="D57" s="38"/>
      <c r="E57" s="38"/>
      <c r="K57" s="37">
        <f>$L57*VLOOKUP($R57,武学奇术!$A:$ZZ,31,FALSE)</f>
        <v>35270.8654568232</v>
      </c>
      <c r="L57" s="37">
        <f t="shared" si="12"/>
        <v>35270.8654568232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35853.7935662251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32069.6963550365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21215.262465222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18675.1942970836</v>
      </c>
      <c r="Q57" s="38">
        <v>1</v>
      </c>
      <c r="R57" s="39" t="s">
        <v>115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85</v>
      </c>
      <c r="Z57" s="39" t="s">
        <v>84</v>
      </c>
      <c r="AA57" s="39" t="s">
        <v>84</v>
      </c>
      <c r="AB57" s="39" t="s">
        <v>204</v>
      </c>
      <c r="AC57" s="39" t="s">
        <v>92</v>
      </c>
      <c r="AD57" s="39" t="s">
        <v>84</v>
      </c>
      <c r="AE57" s="39" t="s">
        <v>87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双刀</v>
      </c>
      <c r="AN57" s="24">
        <f>VLOOKUP($R57,武学奇术!$A:$ZZ,26,FALSE)</f>
        <v>1.3728</v>
      </c>
      <c r="AO57" s="25">
        <f>VLOOKUP($R57,武学奇术!$A:$ZZ,27,FALSE)*(1+IF(OR($AM57=$F$4,$AM57=$F$5),$B$22,0))</f>
        <v>609.44</v>
      </c>
      <c r="AP57" s="24">
        <f>VLOOKUP($R57,武学奇术!$A:$ZZ,28,FALSE)</f>
        <v>2.05933</v>
      </c>
      <c r="AQ57" s="25">
        <f>VLOOKUP($R57,武学奇术!$A:$ZZ,29,FALSE)*(1+IF(OR($AM57=$F$4,$AM57=$F$5),$B$22,0))</f>
        <v>332.8</v>
      </c>
      <c r="AR57" s="24" cm="1">
        <f t="array" ref="AR57">$G$3+IFERROR(VLOOKUP($AM57,$F$4:$G$7,2,FALSE),0)+VLOOKUP($R57,武学奇术!$A:$ZZ,2,FALSE)+SUM(_xlfn.XLOOKUP($S57:$AL57,增益!$A:$A,增益!$B:$B,0))</f>
        <v>0.4043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4330.35</v>
      </c>
      <c r="AU57" cm="1">
        <f t="array" ref="AU57">$E$10*(1+$AS57)+VLOOKUP($R57,武学奇术!$A:$ZZ,4,FALSE)+SUM(_xlfn.XLOOKUP($S57:$AL57,增益!$A:$A,增益!$D:$D,0))-$I$2</f>
        <v>4330.35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0.3034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1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1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1" cm="1">
        <f t="array" ref="BJ57">$G$13+VLOOKUP($R57,武学奇术!$A:$ZZ,14,FALSE)+SUM(_xlfn.XLOOKUP($S57:$AL57,增益!$A:$A,增益!$N:$N,0))</f>
        <v>0.02</v>
      </c>
      <c r="BK57">
        <f t="shared" si="19"/>
        <v>649.11</v>
      </c>
      <c r="BL57">
        <f t="shared" si="20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1.69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1"/>
        <v>0.89337855</v>
      </c>
      <c r="BU57" s="24">
        <f t="shared" si="22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</v>
      </c>
      <c r="BY57" s="24" cm="1">
        <f t="array" ref="BY57">SUM(_xlfn.XLOOKUP($S57:$AL57,增益!$A:$A,增益!$X:$X,0))</f>
        <v>0</v>
      </c>
    </row>
    <row r="58" spans="1:77">
      <c r="A58" t="s">
        <v>191</v>
      </c>
      <c r="B58">
        <v>2.25</v>
      </c>
      <c r="C58" s="38"/>
      <c r="D58" s="38"/>
      <c r="E58" s="38"/>
      <c r="K58" s="37">
        <f>$L58*VLOOKUP($R58,武学奇术!$A:$ZZ,31,FALSE)</f>
        <v>469183.650546793</v>
      </c>
      <c r="L58" s="89">
        <f>SUM(L32:L40,L42:L52,L54:L55)*0.2*(1+BY58)</f>
        <v>938367.301093587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0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0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0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0</v>
      </c>
      <c r="Q58" s="38">
        <v>1</v>
      </c>
      <c r="R58" s="39" t="s">
        <v>180</v>
      </c>
      <c r="S58" s="39" t="s">
        <v>181</v>
      </c>
      <c r="T58" s="39" t="s">
        <v>84</v>
      </c>
      <c r="U58" s="39" t="s">
        <v>84</v>
      </c>
      <c r="V58" s="39" t="s">
        <v>84</v>
      </c>
      <c r="W58" s="39" t="s">
        <v>84</v>
      </c>
      <c r="X58" s="39" t="s">
        <v>84</v>
      </c>
      <c r="Y58" s="39" t="s">
        <v>84</v>
      </c>
      <c r="Z58" s="39" t="s">
        <v>84</v>
      </c>
      <c r="AA58" s="39" t="s">
        <v>84</v>
      </c>
      <c r="AB58" s="39" t="s">
        <v>84</v>
      </c>
      <c r="AC58" s="39" t="s">
        <v>84</v>
      </c>
      <c r="AD58" s="39" t="s">
        <v>84</v>
      </c>
      <c r="AE58" s="39" t="s">
        <v>87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心法</v>
      </c>
      <c r="AN58" s="24">
        <f>VLOOKUP($R58,武学奇术!$A:$ZZ,26,FALSE)</f>
        <v>0</v>
      </c>
      <c r="AO58" s="25">
        <f>VLOOKUP($R58,武学奇术!$A:$ZZ,27,FALSE)*(1+IF(OR($AM58=$F$4,$AM58=$F$5),$B$22,0))</f>
        <v>0</v>
      </c>
      <c r="AP58" s="24">
        <f>VLOOKUP($R58,武学奇术!$A:$ZZ,28,FALSE)</f>
        <v>0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0.1842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4330.35</v>
      </c>
      <c r="AU58" cm="1">
        <f t="array" ref="AU58">$E$10*(1+$AS58)+VLOOKUP($R58,武学奇术!$A:$ZZ,4,FALSE)+SUM(_xlfn.XLOOKUP($S58:$AL58,增益!$A:$A,增益!$D:$D,0))-$I$2</f>
        <v>4330.35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0.2534</v>
      </c>
      <c r="AW58" s="31" cm="1">
        <f t="array" ref="AW58">$G$10+VLOOKUP($R58,武学奇术!$A:$ZZ,7,FALSE)+SUM(_xlfn.XLOOKUP($S58:$AL58,增益!$A:$A,增益!$G:$G,0))</f>
        <v>0</v>
      </c>
      <c r="AX58" s="24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</v>
      </c>
      <c r="BC58">
        <f t="shared" si="15"/>
        <v>0</v>
      </c>
      <c r="BD58">
        <f t="shared" si="16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</v>
      </c>
      <c r="BG58">
        <f t="shared" si="17"/>
        <v>0</v>
      </c>
      <c r="BH58">
        <f t="shared" si="18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</v>
      </c>
      <c r="BK58">
        <f t="shared" si="19"/>
        <v>649.11</v>
      </c>
      <c r="BL58">
        <f t="shared" si="20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0.15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1.54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1"/>
        <v>0.89337855</v>
      </c>
      <c r="BU58" s="24">
        <f t="shared" si="22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</v>
      </c>
      <c r="BY58" s="24" cm="1">
        <f t="array" ref="BY58">SUM(_xlfn.XLOOKUP($S58:$AL58,增益!$A:$A,增益!$X:$X,0))</f>
        <v>0.2</v>
      </c>
    </row>
    <row r="59" spans="1:77">
      <c r="A59" t="s">
        <v>191</v>
      </c>
      <c r="B59">
        <v>2</v>
      </c>
      <c r="C59" s="38"/>
      <c r="K59" s="37">
        <f>$L59*VLOOKUP($R59,武学奇术!$A:$ZZ,31,FALSE)</f>
        <v>20857.844794475</v>
      </c>
      <c r="L59" s="37">
        <f t="shared" si="12"/>
        <v>20857.844794475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21258.7133329052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18468.2302065367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12217.6513407501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10755.1321581398</v>
      </c>
      <c r="Q59" s="38">
        <v>1</v>
      </c>
      <c r="R59" s="39" t="s">
        <v>185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85</v>
      </c>
      <c r="Z59" s="39" t="s">
        <v>84</v>
      </c>
      <c r="AA59" s="39" t="s">
        <v>84</v>
      </c>
      <c r="AB59" s="39" t="s">
        <v>204</v>
      </c>
      <c r="AC59" s="39" t="s">
        <v>92</v>
      </c>
      <c r="AD59" s="39" t="s">
        <v>84</v>
      </c>
      <c r="AE59" s="39" t="s">
        <v>87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双刀</v>
      </c>
      <c r="AN59" s="24">
        <f>VLOOKUP($R59,武学奇术!$A:$ZZ,26,FALSE)</f>
        <v>0.79044</v>
      </c>
      <c r="AO59" s="25">
        <f>VLOOKUP($R59,武学奇术!$A:$ZZ,27,FALSE)*(1+IF(OR($AM59=$F$4,$AM59=$F$5),$B$22,0))</f>
        <v>351.36</v>
      </c>
      <c r="AP59" s="24">
        <f>VLOOKUP($R59,武学奇术!$A:$ZZ,28,FALSE)</f>
        <v>1.18572</v>
      </c>
      <c r="AQ59" s="25">
        <f>VLOOKUP($R59,武学奇术!$A:$ZZ,29,FALSE)*(1+IF(OR($AM59=$F$4,$AM59=$F$5),$B$22,0))</f>
        <v>192</v>
      </c>
      <c r="AR59" s="24" cm="1">
        <f t="array" ref="AR59">$G$3+IFERROR(VLOOKUP($AM59,$F$4:$G$7,2,FALSE),0)+VLOOKUP($R59,武学奇术!$A:$ZZ,2,FALSE)+SUM(_xlfn.XLOOKUP($S59:$AL59,增益!$A:$A,增益!$B:$B,0))</f>
        <v>0.4043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4330.35</v>
      </c>
      <c r="AU59" cm="1">
        <f t="array" ref="AU59">$E$10*(1+$AS59)+VLOOKUP($R59,武学奇术!$A:$ZZ,4,FALSE)+SUM(_xlfn.XLOOKUP($S59:$AL59,增益!$A:$A,增益!$D:$D,0))-$I$2</f>
        <v>4330.35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0.3034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1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1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1" cm="1">
        <f t="array" ref="BJ59">$G$13+VLOOKUP($R59,武学奇术!$A:$ZZ,14,FALSE)+SUM(_xlfn.XLOOKUP($S59:$AL59,增益!$A:$A,增益!$N:$N,0))</f>
        <v>0.02</v>
      </c>
      <c r="BK59">
        <f t="shared" si="19"/>
        <v>649.11</v>
      </c>
      <c r="BL59">
        <f t="shared" si="20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1"/>
        <v>0.89337855</v>
      </c>
      <c r="BU59" s="24">
        <f t="shared" si="22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t="s">
        <v>178</v>
      </c>
      <c r="B60" s="95">
        <v>0.1</v>
      </c>
      <c r="C60" s="38"/>
      <c r="K60" s="37">
        <f>$L60*VLOOKUP($R60,武学奇术!$A:$ZZ,31,FALSE)</f>
        <v>178747.048695671</v>
      </c>
      <c r="L60" s="37">
        <f t="shared" si="12"/>
        <v>178747.048695671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184552.022132573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136759.584743469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90466.677515967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79629.9589256604</v>
      </c>
      <c r="Q60" s="38">
        <v>1</v>
      </c>
      <c r="R60" s="39" t="s">
        <v>157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85</v>
      </c>
      <c r="Z60" s="39" t="s">
        <v>84</v>
      </c>
      <c r="AA60" s="39" t="s">
        <v>84</v>
      </c>
      <c r="AB60" s="39" t="s">
        <v>204</v>
      </c>
      <c r="AC60" s="39" t="s">
        <v>92</v>
      </c>
      <c r="AD60" s="39" t="s">
        <v>84</v>
      </c>
      <c r="AE60" s="39" t="s">
        <v>87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双刀</v>
      </c>
      <c r="AN60" s="24">
        <f>VLOOKUP($R60,武学奇术!$A:$ZZ,26,FALSE)</f>
        <v>2.85516</v>
      </c>
      <c r="AO60" s="25">
        <f>VLOOKUP($R60,武学奇术!$A:$ZZ,27,FALSE)*(1+IF(OR($AM60=$F$4,$AM60=$F$5),$B$22,0))</f>
        <v>1263.36</v>
      </c>
      <c r="AP60" s="24">
        <f>VLOOKUP($R60,武学奇术!$A:$ZZ,28,FALSE)</f>
        <v>4.28274</v>
      </c>
      <c r="AQ60" s="25">
        <f>VLOOKUP($R60,武学奇术!$A:$ZZ,29,FALSE)*(1+IF(OR($AM60=$F$4,$AM60=$F$5),$B$22,0))</f>
        <v>687.68</v>
      </c>
      <c r="AR60" s="24" cm="1">
        <f t="array" ref="AR60">$G$3+IFERROR(VLOOKUP($AM60,$F$4:$G$7,2,FALSE),0)+VLOOKUP($R60,武学奇术!$A:$ZZ,2,FALSE)+SUM(_xlfn.XLOOKUP($S60:$AL60,增益!$A:$A,增益!$B:$B,0))</f>
        <v>0.4543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4330.35</v>
      </c>
      <c r="AU60" cm="1">
        <f t="array" ref="AU60">$E$10*(1+$AS60)+VLOOKUP($R60,武学奇术!$A:$ZZ,4,FALSE)+SUM(_xlfn.XLOOKUP($S60:$AL60,增益!$A:$A,增益!$D:$D,0))-$I$2</f>
        <v>4330.35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0.3034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1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1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1" cm="1">
        <f t="array" ref="BJ60">$G$13+VLOOKUP($R60,武学奇术!$A:$ZZ,14,FALSE)+SUM(_xlfn.XLOOKUP($S60:$AL60,增益!$A:$A,增益!$N:$N,0))</f>
        <v>0.02</v>
      </c>
      <c r="BK60">
        <f t="shared" si="19"/>
        <v>649.11</v>
      </c>
      <c r="BL60">
        <f t="shared" si="20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1"/>
        <v>0.89337855</v>
      </c>
      <c r="BU60" s="24">
        <f t="shared" si="22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0.5</v>
      </c>
      <c r="BY60" s="24" cm="1">
        <f t="array" ref="BY60">SUM(_xlfn.XLOOKUP($S60:$AL60,增益!$A:$A,增益!$X:$X,0))</f>
        <v>0</v>
      </c>
    </row>
    <row r="61" spans="1:77">
      <c r="A61" t="s">
        <v>200</v>
      </c>
      <c r="B61">
        <v>2.8</v>
      </c>
      <c r="K61" s="37">
        <f>$L61*VLOOKUP($R61,武学奇术!$A:$ZZ,31,FALSE)</f>
        <v>238285.112844775</v>
      </c>
      <c r="L61" s="37">
        <f t="shared" ref="L61:L73" si="23">($M61*$BT61+$N61*$BR61+$O61*$BU61+$P61*$BV61)</f>
        <v>238285.112844775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246023.476657395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182313.834208158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120599.743459507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106152.202320379</v>
      </c>
      <c r="Q61" s="38">
        <v>1</v>
      </c>
      <c r="R61" s="39" t="s">
        <v>163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85</v>
      </c>
      <c r="Z61" s="39" t="s">
        <v>84</v>
      </c>
      <c r="AA61" s="39" t="s">
        <v>84</v>
      </c>
      <c r="AB61" s="39" t="s">
        <v>204</v>
      </c>
      <c r="AC61" s="39" t="s">
        <v>92</v>
      </c>
      <c r="AD61" s="39" t="s">
        <v>84</v>
      </c>
      <c r="AE61" s="39" t="s">
        <v>87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双刀</v>
      </c>
      <c r="AN61" s="24">
        <f>VLOOKUP($R61,武学奇术!$A:$ZZ,26,FALSE)</f>
        <v>3.80688</v>
      </c>
      <c r="AO61" s="25">
        <f>VLOOKUP($R61,武学奇术!$A:$ZZ,27,FALSE)*(1+IF(OR($AM61=$F$4,$AM61=$F$5),$B$22,0))</f>
        <v>1684.48</v>
      </c>
      <c r="AP61" s="24">
        <f>VLOOKUP($R61,武学奇术!$A:$ZZ,28,FALSE)</f>
        <v>5.70976</v>
      </c>
      <c r="AQ61" s="25">
        <f>VLOOKUP($R61,武学奇术!$A:$ZZ,29,FALSE)*(1+IF(OR($AM61=$F$4,$AM61=$F$5),$B$22,0))</f>
        <v>913.92</v>
      </c>
      <c r="AR61" s="24" cm="1">
        <f t="array" ref="AR61">$G$3+IFERROR(VLOOKUP($AM61,$F$4:$G$7,2,FALSE),0)+VLOOKUP($R61,武学奇术!$A:$ZZ,2,FALSE)+SUM(_xlfn.XLOOKUP($S61:$AL61,增益!$A:$A,增益!$B:$B,0))</f>
        <v>0.4543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4330.35</v>
      </c>
      <c r="AU61" cm="1">
        <f t="array" ref="AU61">$E$10*(1+$AS61)+VLOOKUP($R61,武学奇术!$A:$ZZ,4,FALSE)+SUM(_xlfn.XLOOKUP($S61:$AL61,增益!$A:$A,增益!$D:$D,0))-$I$2</f>
        <v>4330.35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0.3034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1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1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1" cm="1">
        <f t="array" ref="BJ61">$G$13+VLOOKUP($R61,武学奇术!$A:$ZZ,14,FALSE)+SUM(_xlfn.XLOOKUP($S61:$AL61,增益!$A:$A,增益!$N:$N,0))</f>
        <v>0.02</v>
      </c>
      <c r="BK61">
        <f t="shared" si="19"/>
        <v>649.11</v>
      </c>
      <c r="BL61">
        <f t="shared" si="20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1"/>
        <v>0.89337855</v>
      </c>
      <c r="BU61" s="24">
        <f t="shared" si="22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0.5</v>
      </c>
      <c r="BY61" s="24" cm="1">
        <f t="array" ref="BY61">SUM(_xlfn.XLOOKUP($S61:$AL61,增益!$A:$A,增益!$X:$X,0))</f>
        <v>0</v>
      </c>
    </row>
    <row r="62" spans="1:77">
      <c r="A62" t="s">
        <v>178</v>
      </c>
      <c r="B62">
        <v>0.1</v>
      </c>
      <c r="K62" s="37">
        <f>$L62*VLOOKUP($R62,武学奇术!$A:$ZZ,31,FALSE)</f>
        <v>178747.048695671</v>
      </c>
      <c r="L62" s="37">
        <f t="shared" si="23"/>
        <v>178747.048695671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184552.022132573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136759.584743469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90466.677515967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79629.9589256604</v>
      </c>
      <c r="Q62" s="38">
        <v>1</v>
      </c>
      <c r="R62" s="39" t="s">
        <v>166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85</v>
      </c>
      <c r="Z62" s="39" t="s">
        <v>84</v>
      </c>
      <c r="AA62" s="39" t="s">
        <v>84</v>
      </c>
      <c r="AB62" s="39" t="s">
        <v>204</v>
      </c>
      <c r="AC62" s="39" t="s">
        <v>92</v>
      </c>
      <c r="AD62" s="39" t="s">
        <v>84</v>
      </c>
      <c r="AE62" s="39" t="s">
        <v>87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双刀</v>
      </c>
      <c r="AN62" s="24">
        <f>VLOOKUP($R62,武学奇术!$A:$ZZ,26,FALSE)</f>
        <v>2.85516</v>
      </c>
      <c r="AO62" s="25">
        <f>VLOOKUP($R62,武学奇术!$A:$ZZ,27,FALSE)*(1+IF(OR($AM62=$F$4,$AM62=$F$5),$B$22,0))</f>
        <v>1263.36</v>
      </c>
      <c r="AP62" s="24">
        <f>VLOOKUP($R62,武学奇术!$A:$ZZ,28,FALSE)</f>
        <v>4.28274</v>
      </c>
      <c r="AQ62" s="25">
        <f>VLOOKUP($R62,武学奇术!$A:$ZZ,29,FALSE)*(1+IF(OR($AM62=$F$4,$AM62=$F$5),$B$22,0))</f>
        <v>687.68</v>
      </c>
      <c r="AR62" s="24" cm="1">
        <f t="array" ref="AR62">$G$3+IFERROR(VLOOKUP($AM62,$F$4:$G$7,2,FALSE),0)+VLOOKUP($R62,武学奇术!$A:$ZZ,2,FALSE)+SUM(_xlfn.XLOOKUP($S62:$AL62,增益!$A:$A,增益!$B:$B,0))</f>
        <v>0.4543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4330.35</v>
      </c>
      <c r="AU62" cm="1">
        <f t="array" ref="AU62">$E$10*(1+$AS62)+VLOOKUP($R62,武学奇术!$A:$ZZ,4,FALSE)+SUM(_xlfn.XLOOKUP($S62:$AL62,增益!$A:$A,增益!$D:$D,0))-$I$2</f>
        <v>4330.35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0.3034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1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1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1" cm="1">
        <f t="array" ref="BJ62">$G$13+VLOOKUP($R62,武学奇术!$A:$ZZ,14,FALSE)+SUM(_xlfn.XLOOKUP($S62:$AL62,增益!$A:$A,增益!$N:$N,0))</f>
        <v>0.02</v>
      </c>
      <c r="BK62">
        <f t="shared" si="19"/>
        <v>649.11</v>
      </c>
      <c r="BL62">
        <f t="shared" si="20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1"/>
        <v>0.89337855</v>
      </c>
      <c r="BU62" s="24">
        <f t="shared" si="22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0.5</v>
      </c>
      <c r="BY62" s="24" cm="1">
        <f t="array" ref="BY62">SUM(_xlfn.XLOOKUP($S62:$AL62,增益!$A:$A,增益!$X:$X,0))</f>
        <v>0</v>
      </c>
    </row>
    <row r="63" spans="1:77">
      <c r="A63" t="s">
        <v>202</v>
      </c>
      <c r="B63">
        <v>0.7</v>
      </c>
      <c r="K63" s="37">
        <f>$L63*VLOOKUP($R63,武学奇术!$A:$ZZ,31,FALSE)</f>
        <v>325493.927075505</v>
      </c>
      <c r="L63" s="37">
        <f t="shared" si="23"/>
        <v>325493.927075505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336065.280393759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249029.473619407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164737.88254596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145009.488336804</v>
      </c>
      <c r="Q63" s="38">
        <v>1</v>
      </c>
      <c r="R63" s="39" t="s">
        <v>133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85</v>
      </c>
      <c r="Z63" s="39" t="s">
        <v>84</v>
      </c>
      <c r="AA63" s="39" t="s">
        <v>84</v>
      </c>
      <c r="AB63" s="39" t="s">
        <v>204</v>
      </c>
      <c r="AC63" s="39" t="s">
        <v>100</v>
      </c>
      <c r="AD63" s="39" t="s">
        <v>84</v>
      </c>
      <c r="AE63" s="39" t="s">
        <v>87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拳甲</v>
      </c>
      <c r="AN63" s="24">
        <f>VLOOKUP($R63,武学奇术!$A:$ZZ,26,FALSE)</f>
        <v>5.5691</v>
      </c>
      <c r="AO63" s="25">
        <f>VLOOKUP($R63,武学奇术!$A:$ZZ,27,FALSE)*(1+IF(OR($AM63=$F$4,$AM63=$F$5),$B$22,0))</f>
        <v>2470.4</v>
      </c>
      <c r="AP63" s="24">
        <f>VLOOKUP($R63,武学奇术!$A:$ZZ,28,FALSE)</f>
        <v>8.3537</v>
      </c>
      <c r="AQ63" s="25">
        <f>VLOOKUP($R63,武学奇术!$A:$ZZ,29,FALSE)*(1+IF(OR($AM63=$F$4,$AM63=$F$5),$B$22,0))</f>
        <v>1344</v>
      </c>
      <c r="AR63" s="24" cm="1">
        <f t="array" ref="AR63">$G$3+IFERROR(VLOOKUP($AM63,$F$4:$G$7,2,FALSE),0)+VLOOKUP($R63,武学奇术!$A:$ZZ,2,FALSE)+SUM(_xlfn.XLOOKUP($S63:$AL63,增益!$A:$A,增益!$B:$B,0))</f>
        <v>0.4543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4330.35</v>
      </c>
      <c r="AU63" cm="1">
        <f t="array" ref="AU63">$E$10*(1+$AS63)+VLOOKUP($R63,武学奇术!$A:$ZZ,4,FALSE)+SUM(_xlfn.XLOOKUP($S63:$AL63,增益!$A:$A,增益!$D:$D,0))-$I$2</f>
        <v>4330.35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0.3034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1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1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1" cm="1">
        <f t="array" ref="BJ63">$G$13+VLOOKUP($R63,武学奇术!$A:$ZZ,14,FALSE)+SUM(_xlfn.XLOOKUP($S63:$AL63,增益!$A:$A,增益!$N:$N,0))</f>
        <v>0.02</v>
      </c>
      <c r="BK63">
        <f t="shared" si="19"/>
        <v>649.11</v>
      </c>
      <c r="BL63">
        <f t="shared" si="20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1"/>
        <v>0.89337855</v>
      </c>
      <c r="BU63" s="24">
        <f t="shared" si="22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0.4</v>
      </c>
      <c r="BY63" s="24" cm="1">
        <f t="array" ref="BY63">SUM(_xlfn.XLOOKUP($S63:$AL63,增益!$A:$A,增益!$X:$X,0))</f>
        <v>0</v>
      </c>
    </row>
    <row r="64" spans="1:77">
      <c r="A64" t="s">
        <v>203</v>
      </c>
      <c r="B64">
        <v>0.8</v>
      </c>
      <c r="K64" s="37">
        <f>$L64*VLOOKUP($R64,武学奇术!$A:$ZZ,31,FALSE)</f>
        <v>325493.927075505</v>
      </c>
      <c r="L64" s="37">
        <f t="shared" si="23"/>
        <v>325493.927075505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336065.280393759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249029.473619407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164737.88254596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145009.488336804</v>
      </c>
      <c r="Q64" s="38">
        <v>1</v>
      </c>
      <c r="R64" s="39" t="s">
        <v>133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85</v>
      </c>
      <c r="Z64" s="39" t="s">
        <v>84</v>
      </c>
      <c r="AA64" s="39" t="s">
        <v>84</v>
      </c>
      <c r="AB64" s="39" t="s">
        <v>204</v>
      </c>
      <c r="AC64" s="39" t="s">
        <v>100</v>
      </c>
      <c r="AD64" s="39" t="s">
        <v>84</v>
      </c>
      <c r="AE64" s="39" t="s">
        <v>87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拳甲</v>
      </c>
      <c r="AN64" s="24">
        <f>VLOOKUP($R64,武学奇术!$A:$ZZ,26,FALSE)</f>
        <v>5.5691</v>
      </c>
      <c r="AO64" s="25">
        <f>VLOOKUP($R64,武学奇术!$A:$ZZ,27,FALSE)*(1+IF(OR($AM64=$F$4,$AM64=$F$5),$B$22,0))</f>
        <v>2470.4</v>
      </c>
      <c r="AP64" s="24">
        <f>VLOOKUP($R64,武学奇术!$A:$ZZ,28,FALSE)</f>
        <v>8.3537</v>
      </c>
      <c r="AQ64" s="25">
        <f>VLOOKUP($R64,武学奇术!$A:$ZZ,29,FALSE)*(1+IF(OR($AM64=$F$4,$AM64=$F$5),$B$22,0))</f>
        <v>1344</v>
      </c>
      <c r="AR64" s="24" cm="1">
        <f t="array" ref="AR64">$G$3+IFERROR(VLOOKUP($AM64,$F$4:$G$7,2,FALSE),0)+VLOOKUP($R64,武学奇术!$A:$ZZ,2,FALSE)+SUM(_xlfn.XLOOKUP($S64:$AL64,增益!$A:$A,增益!$B:$B,0))</f>
        <v>0.4543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4330.35</v>
      </c>
      <c r="AU64" cm="1">
        <f t="array" ref="AU64">$E$10*(1+$AS64)+VLOOKUP($R64,武学奇术!$A:$ZZ,4,FALSE)+SUM(_xlfn.XLOOKUP($S64:$AL64,增益!$A:$A,增益!$D:$D,0))-$I$2</f>
        <v>4330.35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0.3034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1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1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1" cm="1">
        <f t="array" ref="BJ64">$G$13+VLOOKUP($R64,武学奇术!$A:$ZZ,14,FALSE)+SUM(_xlfn.XLOOKUP($S64:$AL64,增益!$A:$A,增益!$N:$N,0))</f>
        <v>0.02</v>
      </c>
      <c r="BK64">
        <f t="shared" si="19"/>
        <v>649.11</v>
      </c>
      <c r="BL64">
        <f t="shared" si="20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1"/>
        <v>0.89337855</v>
      </c>
      <c r="BU64" s="24">
        <f t="shared" si="22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0.4</v>
      </c>
      <c r="BY64" s="24" cm="1">
        <f t="array" ref="BY64">SUM(_xlfn.XLOOKUP($S64:$AL64,增益!$A:$A,增益!$X:$X,0))</f>
        <v>0</v>
      </c>
    </row>
    <row r="65" spans="1:77">
      <c r="A65" t="s">
        <v>182</v>
      </c>
      <c r="B65">
        <v>0.7</v>
      </c>
      <c r="K65" s="37">
        <f>$L65*VLOOKUP($R65,武学奇术!$A:$ZZ,31,FALSE)</f>
        <v>325493.927075505</v>
      </c>
      <c r="L65" s="37">
        <f t="shared" si="23"/>
        <v>325493.927075505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336065.280393759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249029.473619407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164737.88254596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145009.488336804</v>
      </c>
      <c r="Q65" s="38">
        <v>1</v>
      </c>
      <c r="R65" s="39" t="s">
        <v>133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85</v>
      </c>
      <c r="Z65" s="39" t="s">
        <v>84</v>
      </c>
      <c r="AA65" s="39" t="s">
        <v>84</v>
      </c>
      <c r="AB65" s="39" t="s">
        <v>204</v>
      </c>
      <c r="AC65" s="39" t="s">
        <v>100</v>
      </c>
      <c r="AD65" s="39" t="s">
        <v>84</v>
      </c>
      <c r="AE65" s="39" t="s">
        <v>87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拳甲</v>
      </c>
      <c r="AN65" s="24">
        <f>VLOOKUP($R65,武学奇术!$A:$ZZ,26,FALSE)</f>
        <v>5.5691</v>
      </c>
      <c r="AO65" s="25">
        <f>VLOOKUP($R65,武学奇术!$A:$ZZ,27,FALSE)*(1+IF(OR($AM65=$F$4,$AM65=$F$5),$B$22,0))</f>
        <v>2470.4</v>
      </c>
      <c r="AP65" s="24">
        <f>VLOOKUP($R65,武学奇术!$A:$ZZ,28,FALSE)</f>
        <v>8.3537</v>
      </c>
      <c r="AQ65" s="25">
        <f>VLOOKUP($R65,武学奇术!$A:$ZZ,29,FALSE)*(1+IF(OR($AM65=$F$4,$AM65=$F$5),$B$22,0))</f>
        <v>1344</v>
      </c>
      <c r="AR65" s="24" cm="1">
        <f t="array" ref="AR65">$G$3+IFERROR(VLOOKUP($AM65,$F$4:$G$7,2,FALSE),0)+VLOOKUP($R65,武学奇术!$A:$ZZ,2,FALSE)+SUM(_xlfn.XLOOKUP($S65:$AL65,增益!$A:$A,增益!$B:$B,0))</f>
        <v>0.4543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4330.35</v>
      </c>
      <c r="AU65" cm="1">
        <f t="array" ref="AU65">$E$10*(1+$AS65)+VLOOKUP($R65,武学奇术!$A:$ZZ,4,FALSE)+SUM(_xlfn.XLOOKUP($S65:$AL65,增益!$A:$A,增益!$D:$D,0))-$I$2</f>
        <v>4330.35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0.3034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1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1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1" cm="1">
        <f t="array" ref="BJ65">$G$13+VLOOKUP($R65,武学奇术!$A:$ZZ,14,FALSE)+SUM(_xlfn.XLOOKUP($S65:$AL65,增益!$A:$A,增益!$N:$N,0))</f>
        <v>0.02</v>
      </c>
      <c r="BK65">
        <f t="shared" si="19"/>
        <v>649.11</v>
      </c>
      <c r="BL65">
        <f t="shared" si="20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1"/>
        <v>0.89337855</v>
      </c>
      <c r="BU65" s="24">
        <f t="shared" si="22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0.4</v>
      </c>
      <c r="BY65" s="24" cm="1">
        <f t="array" ref="BY65">SUM(_xlfn.XLOOKUP($S65:$AL65,增益!$A:$A,增益!$X:$X,0))</f>
        <v>0</v>
      </c>
    </row>
    <row r="66" spans="1:77">
      <c r="A66" t="s">
        <v>188</v>
      </c>
      <c r="B66">
        <v>0.9</v>
      </c>
      <c r="D66" s="38" t="s">
        <v>183</v>
      </c>
      <c r="K66" s="37">
        <f>$L66*VLOOKUP($R66,武学奇术!$A:$ZZ,31,FALSE)</f>
        <v>29661.7367045787</v>
      </c>
      <c r="L66" s="37">
        <f t="shared" si="23"/>
        <v>29661.7367045787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30065.8134177552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27734.4108841873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18332.8130596068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16121.6180568527</v>
      </c>
      <c r="Q66" s="38">
        <v>1</v>
      </c>
      <c r="R66" s="39" t="s">
        <v>169</v>
      </c>
      <c r="S66" s="39" t="s">
        <v>104</v>
      </c>
      <c r="T66" s="39" t="s">
        <v>194</v>
      </c>
      <c r="U66" s="39" t="s">
        <v>81</v>
      </c>
      <c r="V66" s="39" t="s">
        <v>84</v>
      </c>
      <c r="W66" s="39" t="s">
        <v>84</v>
      </c>
      <c r="X66" s="39" t="s">
        <v>84</v>
      </c>
      <c r="Y66" s="39" t="s">
        <v>85</v>
      </c>
      <c r="Z66" s="39" t="s">
        <v>84</v>
      </c>
      <c r="AA66" s="39" t="s">
        <v>84</v>
      </c>
      <c r="AB66" s="39" t="s">
        <v>205</v>
      </c>
      <c r="AC66" s="39" t="s">
        <v>92</v>
      </c>
      <c r="AD66" s="39" t="s">
        <v>84</v>
      </c>
      <c r="AE66" s="39" t="s">
        <v>87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拳甲</v>
      </c>
      <c r="AN66" s="24">
        <f>VLOOKUP($R66,武学奇术!$A:$ZZ,26,FALSE)</f>
        <v>0.9193</v>
      </c>
      <c r="AO66" s="25">
        <f>VLOOKUP($R66,武学奇术!$A:$ZZ,27,FALSE)*(1+IF(OR($AM66=$F$4,$AM66=$F$5),$B$22,0))</f>
        <v>408</v>
      </c>
      <c r="AP66" s="24">
        <f>VLOOKUP($R66,武学奇术!$A:$ZZ,28,FALSE)</f>
        <v>1.379</v>
      </c>
      <c r="AQ66" s="25">
        <f>VLOOKUP($R66,武学奇术!$A:$ZZ,29,FALSE)*(1+IF(OR($AM66=$F$4,$AM66=$F$5),$B$22,0))</f>
        <v>222.4</v>
      </c>
      <c r="AR66" s="24" cm="1">
        <f t="array" ref="AR66">$G$3+IFERROR(VLOOKUP($AM66,$F$4:$G$7,2,FALSE),0)+VLOOKUP($R66,武学奇术!$A:$ZZ,2,FALSE)+SUM(_xlfn.XLOOKUP($S66:$AL66,增益!$A:$A,增益!$B:$B,0))</f>
        <v>0.4043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4330.35</v>
      </c>
      <c r="AU66" cm="1">
        <f t="array" ref="AU66">$E$10*(1+$AS66)+VLOOKUP($R66,武学奇术!$A:$ZZ,4,FALSE)+SUM(_xlfn.XLOOKUP($S66:$AL66,增益!$A:$A,增益!$D:$D,0))-$I$2</f>
        <v>4330.35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0.3034</v>
      </c>
      <c r="AW66" s="31" cm="1">
        <f t="array" ref="AW66">$G$10+VLOOKUP($R66,武学奇术!$A:$ZZ,7,FALSE)+SUM(_xlfn.XLOOKUP($S66:$AL66,增益!$A:$A,增益!$G:$G,0))</f>
        <v>0.02</v>
      </c>
      <c r="AX66" s="24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1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1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1" cm="1">
        <f t="array" ref="BJ66">$G$13+VLOOKUP($R66,武学奇术!$A:$ZZ,14,FALSE)+SUM(_xlfn.XLOOKUP($S66:$AL66,增益!$A:$A,增益!$N:$N,0))</f>
        <v>0.02</v>
      </c>
      <c r="BK66">
        <f t="shared" si="19"/>
        <v>649.11</v>
      </c>
      <c r="BL66">
        <f t="shared" si="20"/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1" cm="1">
        <f t="array" ref="BN66">$G$14+VLOOKUP($R66,武学奇术!$A:$ZZ,16,FALSE)+SUM(_xlfn.XLOOKUP($S66:$AL66,增益!$A:$A,增益!$P:$P,0))</f>
        <v>0.17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1.64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1"/>
        <v>0.89337855</v>
      </c>
      <c r="BU66" s="24">
        <f t="shared" si="22"/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0.4</v>
      </c>
      <c r="BY66" s="24" cm="1">
        <f t="array" ref="BY66">SUM(_xlfn.XLOOKUP($S66:$AL66,增益!$A:$A,增益!$X:$X,0))</f>
        <v>0</v>
      </c>
    </row>
    <row r="67" spans="1:77">
      <c r="A67" t="s">
        <v>189</v>
      </c>
      <c r="B67">
        <v>0.6</v>
      </c>
      <c r="D67" s="38"/>
      <c r="K67" s="37">
        <f>$L67*VLOOKUP($R67,武学奇术!$A:$ZZ,31,FALSE)</f>
        <v>38842.8060019313</v>
      </c>
      <c r="L67" s="37">
        <f t="shared" si="23"/>
        <v>38842.8060019313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39390.2232391682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36129.7128625964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24018.4288043708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21274.1073401518</v>
      </c>
      <c r="Q67" s="38">
        <v>1</v>
      </c>
      <c r="R67" s="39" t="s">
        <v>173</v>
      </c>
      <c r="S67" s="39" t="s">
        <v>104</v>
      </c>
      <c r="T67" s="39" t="s">
        <v>194</v>
      </c>
      <c r="U67" s="39" t="s">
        <v>81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205</v>
      </c>
      <c r="AC67" s="39" t="s">
        <v>92</v>
      </c>
      <c r="AD67" s="39" t="s">
        <v>84</v>
      </c>
      <c r="AE67" s="39" t="s">
        <v>87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拳甲</v>
      </c>
      <c r="AN67" s="24">
        <f>VLOOKUP($R67,武学奇术!$A:$ZZ,26,FALSE)</f>
        <v>1.2324</v>
      </c>
      <c r="AO67" s="25">
        <f>VLOOKUP($R67,武学奇术!$A:$ZZ,27,FALSE)*(1+IF(OR($AM67=$F$4,$AM67=$F$5),$B$22,0))</f>
        <v>547.2</v>
      </c>
      <c r="AP67" s="24">
        <f>VLOOKUP($R67,武学奇术!$A:$ZZ,28,FALSE)</f>
        <v>1.8484</v>
      </c>
      <c r="AQ67" s="25">
        <f>VLOOKUP($R67,武学奇术!$A:$ZZ,29,FALSE)*(1+IF(OR($AM67=$F$4,$AM67=$F$5),$B$22,0))</f>
        <v>297.6</v>
      </c>
      <c r="AR67" s="24" cm="1">
        <f t="array" ref="AR67">$G$3+IFERROR(VLOOKUP($AM67,$F$4:$G$7,2,FALSE),0)+VLOOKUP($R67,武学奇术!$A:$ZZ,2,FALSE)+SUM(_xlfn.XLOOKUP($S67:$AL67,增益!$A:$A,增益!$B:$B,0))</f>
        <v>0.4043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4330.35</v>
      </c>
      <c r="AU67" cm="1">
        <f t="array" ref="AU67">$E$10*(1+$AS67)+VLOOKUP($R67,武学奇术!$A:$ZZ,4,FALSE)+SUM(_xlfn.XLOOKUP($S67:$AL67,增益!$A:$A,增益!$D:$D,0))-$I$2</f>
        <v>4330.35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0.3034</v>
      </c>
      <c r="AW67" s="31" cm="1">
        <f t="array" ref="AW67">$G$10+VLOOKUP($R67,武学奇术!$A:$ZZ,7,FALSE)+SUM(_xlfn.XLOOKUP($S67:$AL67,增益!$A:$A,增益!$G:$G,0))</f>
        <v>0.02</v>
      </c>
      <c r="AX67" s="24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0.02</v>
      </c>
      <c r="BC67">
        <f t="shared" ref="BC67:BC98" si="26">$D$12*(1+$AX67)</f>
        <v>0</v>
      </c>
      <c r="BD67">
        <f t="shared" ref="BD67:BD98" si="27">$E$12*(1+$AX67)</f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0.02</v>
      </c>
      <c r="BG67">
        <f t="shared" ref="BG67:BG98" si="28">$D$13*(1+$AX67)</f>
        <v>0</v>
      </c>
      <c r="BH67">
        <f t="shared" ref="BH67:BH98" si="29">$E$13*(1+$AX67)</f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0.02</v>
      </c>
      <c r="BK67">
        <f t="shared" ref="BK67:BK98" si="30">$D$14*(1+$AX67)</f>
        <v>649.11</v>
      </c>
      <c r="BL67">
        <f t="shared" ref="BL67:BL98" si="31">$E$14*(1+$AX67)</f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0.17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2">MIN((1-BR67)*BO67,BO67*BP67)</f>
        <v>0.89337855</v>
      </c>
      <c r="BU67" s="24">
        <f t="shared" ref="BU67:BU98" si="33">1-BR67-BT67-BV67</f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0.4</v>
      </c>
      <c r="BY67" s="24" cm="1">
        <f t="array" ref="BY67">SUM(_xlfn.XLOOKUP($S67:$AL67,增益!$A:$A,增益!$X:$X,0))</f>
        <v>0</v>
      </c>
    </row>
    <row r="68" spans="1:77">
      <c r="A68" t="s">
        <v>182</v>
      </c>
      <c r="B68">
        <v>0.7</v>
      </c>
      <c r="D68" s="38"/>
      <c r="K68" s="37">
        <f>$L68*VLOOKUP($R68,武学奇术!$A:$ZZ,31,FALSE)</f>
        <v>66393.1313405841</v>
      </c>
      <c r="L68" s="37">
        <f t="shared" si="23"/>
        <v>41495.7070878651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42156.9629358246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37983.7548701799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24944.9484827364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21753.7822468211</v>
      </c>
      <c r="Q68" s="38">
        <v>1</v>
      </c>
      <c r="R68" s="39" t="s">
        <v>122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204</v>
      </c>
      <c r="AC68" s="39" t="s">
        <v>92</v>
      </c>
      <c r="AD68" s="39" t="s">
        <v>84</v>
      </c>
      <c r="AE68" s="39" t="s">
        <v>87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拳甲</v>
      </c>
      <c r="AN68" s="24">
        <f>VLOOKUP($R68,武学奇术!$A:$ZZ,26,FALSE)</f>
        <v>1.862784</v>
      </c>
      <c r="AO68" s="25">
        <f>VLOOKUP($R68,武学奇术!$A:$ZZ,27,FALSE)*(1+IF(OR($AM68=$F$4,$AM68=$F$5),$B$22,0))</f>
        <v>0</v>
      </c>
      <c r="AP68" s="24">
        <f>VLOOKUP($R68,武学奇术!$A:$ZZ,28,FALSE)</f>
        <v>2.794176</v>
      </c>
      <c r="AQ68" s="25">
        <f>VLOOKUP($R68,武学奇术!$A:$ZZ,29,FALSE)*(1+IF(OR($AM68=$F$4,$AM68=$F$5),$B$22,0))</f>
        <v>0</v>
      </c>
      <c r="AR68" s="24" cm="1">
        <f t="array" ref="AR68">$G$3+IFERROR(VLOOKUP($AM68,$F$4:$G$7,2,FALSE),0)+VLOOKUP($R68,武学奇术!$A:$ZZ,2,FALSE)+SUM(_xlfn.XLOOKUP($S68:$AL68,增益!$A:$A,增益!$B:$B,0))</f>
        <v>0.4043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4330.35</v>
      </c>
      <c r="AU68" cm="1">
        <f t="array" ref="AU68">$E$10*(1+$AS68)+VLOOKUP($R68,武学奇术!$A:$ZZ,4,FALSE)+SUM(_xlfn.XLOOKUP($S68:$AL68,增益!$A:$A,增益!$D:$D,0))-$I$2</f>
        <v>4330.35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0.3034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30"/>
        <v>649.11</v>
      </c>
      <c r="BL68">
        <f t="shared" si="31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2"/>
        <v>0.89337855</v>
      </c>
      <c r="BU68" s="24">
        <f t="shared" si="33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t="s">
        <v>178</v>
      </c>
      <c r="B69" s="95">
        <v>0.1</v>
      </c>
      <c r="D69" s="38"/>
      <c r="H69" s="95"/>
      <c r="K69" s="37">
        <f>$L69*VLOOKUP($R69,武学奇术!$A:$ZZ,31,FALSE)</f>
        <v>47886.7128097044</v>
      </c>
      <c r="L69" s="37">
        <f t="shared" si="23"/>
        <v>47886.7128097044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49380.7065622701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37299.3987028989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24814.4254081759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21999.6665919823</v>
      </c>
      <c r="Q69" s="38">
        <v>1</v>
      </c>
      <c r="R69" s="39" t="s">
        <v>124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92</v>
      </c>
      <c r="AD69" s="39" t="s">
        <v>84</v>
      </c>
      <c r="AE69" s="39" t="s">
        <v>87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1.1333</v>
      </c>
      <c r="AO69" s="25">
        <f>VLOOKUP($R69,武学奇术!$A:$ZZ,27,FALSE)*(1+IF(OR($AM69=$F$4,$AM69=$F$5),$B$22,0))</f>
        <v>502.4</v>
      </c>
      <c r="AP69" s="24">
        <f>VLOOKUP($R69,武学奇术!$A:$ZZ,28,FALSE)</f>
        <v>1.6999</v>
      </c>
      <c r="AQ69" s="25">
        <f>VLOOKUP($R69,武学奇术!$A:$ZZ,29,FALSE)*(1+IF(OR($AM69=$F$4,$AM69=$F$5),$B$22,0))</f>
        <v>273.6</v>
      </c>
      <c r="AR69" s="24" cm="1">
        <f t="array" ref="AR69">$G$3+IFERROR(VLOOKUP($AM69,$F$4:$G$7,2,FALSE),0)+VLOOKUP($R69,武学奇术!$A:$ZZ,2,FALSE)+SUM(_xlfn.XLOOKUP($S69:$AL69,增益!$A:$A,增益!$B:$B,0))</f>
        <v>0.4543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4330.35</v>
      </c>
      <c r="AU69" cm="1">
        <f t="array" ref="AU69">$E$10*(1+$AS69)+VLOOKUP($R69,武学奇术!$A:$ZZ,4,FALSE)+SUM(_xlfn.XLOOKUP($S69:$AL69,增益!$A:$A,增益!$D:$D,0))-$I$2</f>
        <v>4330.35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0.3034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30"/>
        <v>649.11</v>
      </c>
      <c r="BL69">
        <f t="shared" si="31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2"/>
        <v>0.89337855</v>
      </c>
      <c r="BU69" s="24">
        <f t="shared" si="33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A70" t="s">
        <v>177</v>
      </c>
      <c r="B70">
        <v>0.7</v>
      </c>
      <c r="D70" s="38"/>
      <c r="K70" s="37">
        <f>$L70*VLOOKUP($R70,武学奇术!$A:$ZZ,31,FALSE)</f>
        <v>33518.4925350599</v>
      </c>
      <c r="L70" s="37">
        <f t="shared" si="23"/>
        <v>33518.4925350599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34550.9570145532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26244.8882012728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17362.2899570619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15283.921987255</v>
      </c>
      <c r="Q70" s="38">
        <v>1</v>
      </c>
      <c r="R70" s="39" t="s">
        <v>127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85</v>
      </c>
      <c r="Z70" s="39" t="s">
        <v>84</v>
      </c>
      <c r="AA70" s="39" t="s">
        <v>84</v>
      </c>
      <c r="AB70" s="39" t="s">
        <v>204</v>
      </c>
      <c r="AC70" s="39" t="s">
        <v>92</v>
      </c>
      <c r="AD70" s="39" t="s">
        <v>84</v>
      </c>
      <c r="AE70" s="39" t="s">
        <v>87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0.7748</v>
      </c>
      <c r="AO70" s="25">
        <f>VLOOKUP($R70,武学奇术!$A:$ZZ,27,FALSE)*(1+IF(OR($AM70=$F$4,$AM70=$F$5),$B$22,0))</f>
        <v>345.6</v>
      </c>
      <c r="AP70" s="24">
        <f>VLOOKUP($R70,武学奇术!$A:$ZZ,28,FALSE)</f>
        <v>1.1622</v>
      </c>
      <c r="AQ70" s="25">
        <f>VLOOKUP($R70,武学奇术!$A:$ZZ,29,FALSE)*(1+IF(OR($AM70=$F$4,$AM70=$F$5),$B$22,0))</f>
        <v>187.2</v>
      </c>
      <c r="AR70" s="24" cm="1">
        <f t="array" ref="AR70">$G$3+IFERROR(VLOOKUP($AM70,$F$4:$G$7,2,FALSE),0)+VLOOKUP($R70,武学奇术!$A:$ZZ,2,FALSE)+SUM(_xlfn.XLOOKUP($S70:$AL70,增益!$A:$A,增益!$B:$B,0))</f>
        <v>0.4543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4330.35</v>
      </c>
      <c r="AU70" cm="1">
        <f t="array" ref="AU70">$E$10*(1+$AS70)+VLOOKUP($R70,武学奇术!$A:$ZZ,4,FALSE)+SUM(_xlfn.XLOOKUP($S70:$AL70,增益!$A:$A,增益!$D:$D,0))-$I$2</f>
        <v>4330.35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0.3034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1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1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1" cm="1">
        <f t="array" ref="BJ70">$G$13+VLOOKUP($R70,武学奇术!$A:$ZZ,14,FALSE)+SUM(_xlfn.XLOOKUP($S70:$AL70,增益!$A:$A,增益!$N:$N,0))</f>
        <v>0.02</v>
      </c>
      <c r="BK70">
        <f t="shared" si="30"/>
        <v>649.11</v>
      </c>
      <c r="BL70">
        <f t="shared" si="31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2"/>
        <v>0.89337855</v>
      </c>
      <c r="BU70" s="24">
        <f t="shared" si="33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A71" t="s">
        <v>176</v>
      </c>
      <c r="B71">
        <v>0.8</v>
      </c>
      <c r="D71" s="38"/>
      <c r="K71" s="37">
        <f>$L71*VLOOKUP($R71,武学奇术!$A:$ZZ,31,FALSE)</f>
        <v>90978.1951241962</v>
      </c>
      <c r="L71" s="37">
        <f t="shared" si="23"/>
        <v>56861.3719526226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58468.4853632649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45836.5322877762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30138.3945171468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26323.8021544594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85</v>
      </c>
      <c r="Z71" s="39" t="s">
        <v>84</v>
      </c>
      <c r="AA71" s="39" t="s">
        <v>84</v>
      </c>
      <c r="AB71" s="39" t="s">
        <v>204</v>
      </c>
      <c r="AC71" s="39" t="s">
        <v>92</v>
      </c>
      <c r="AD71" s="39" t="s">
        <v>93</v>
      </c>
      <c r="AE71" s="39" t="s">
        <v>87</v>
      </c>
      <c r="AF71" s="39" t="s">
        <v>88</v>
      </c>
      <c r="AG71" s="39" t="s">
        <v>94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0.5543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4330.35</v>
      </c>
      <c r="AU71" cm="1">
        <f t="array" ref="AU71">$E$10*(1+$AS71)+VLOOKUP($R71,武学奇术!$A:$ZZ,4,FALSE)+SUM(_xlfn.XLOOKUP($S71:$AL71,增益!$A:$A,增益!$D:$D,0))-$I$2</f>
        <v>4330.35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0.4284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1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1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1" cm="1">
        <f t="array" ref="BJ71">$G$13+VLOOKUP($R71,武学奇术!$A:$ZZ,14,FALSE)+SUM(_xlfn.XLOOKUP($S71:$AL71,增益!$A:$A,增益!$N:$N,0))</f>
        <v>0.02</v>
      </c>
      <c r="BK71">
        <f t="shared" si="30"/>
        <v>649.11</v>
      </c>
      <c r="BL71">
        <f t="shared" si="31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1.94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2"/>
        <v>0.89337855</v>
      </c>
      <c r="BU71" s="24">
        <f t="shared" si="33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t="s">
        <v>200</v>
      </c>
      <c r="B72">
        <v>2.8</v>
      </c>
      <c r="D72" s="38"/>
      <c r="K72" s="37">
        <f>$L72*VLOOKUP($R72,武学奇术!$A:$ZZ,31,FALSE)</f>
        <v>47219.3892202864</v>
      </c>
      <c r="L72" s="37">
        <f t="shared" si="23"/>
        <v>47219.3892202864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48597.5973375225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37613.2854213239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25050.3079059395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22238.9229071945</v>
      </c>
      <c r="Q72" s="38">
        <v>1</v>
      </c>
      <c r="R72" s="39" t="s">
        <v>115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85</v>
      </c>
      <c r="Z72" s="39" t="s">
        <v>84</v>
      </c>
      <c r="AA72" s="39" t="s">
        <v>84</v>
      </c>
      <c r="AB72" s="39" t="s">
        <v>204</v>
      </c>
      <c r="AC72" s="39" t="s">
        <v>92</v>
      </c>
      <c r="AD72" s="39" t="s">
        <v>93</v>
      </c>
      <c r="AE72" s="39" t="s">
        <v>87</v>
      </c>
      <c r="AF72" s="39" t="s">
        <v>88</v>
      </c>
      <c r="AG72" s="39" t="s">
        <v>94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双刀</v>
      </c>
      <c r="AN72" s="24">
        <f>VLOOKUP($R72,武学奇术!$A:$ZZ,26,FALSE)</f>
        <v>1.3728</v>
      </c>
      <c r="AO72" s="25">
        <f>VLOOKUP($R72,武学奇术!$A:$ZZ,27,FALSE)*(1+IF(OR($AM72=$F$4,$AM72=$F$5),$B$22,0))</f>
        <v>609.44</v>
      </c>
      <c r="AP72" s="24">
        <f>VLOOKUP($R72,武学奇术!$A:$ZZ,28,FALSE)</f>
        <v>2.05933</v>
      </c>
      <c r="AQ72" s="25">
        <f>VLOOKUP($R72,武学奇术!$A:$ZZ,29,FALSE)*(1+IF(OR($AM72=$F$4,$AM72=$F$5),$B$22,0))</f>
        <v>332.8</v>
      </c>
      <c r="AR72" s="24" cm="1">
        <f t="array" ref="AR72">$G$3+IFERROR(VLOOKUP($AM72,$F$4:$G$7,2,FALSE),0)+VLOOKUP($R72,武学奇术!$A:$ZZ,2,FALSE)+SUM(_xlfn.XLOOKUP($S72:$AL72,增益!$A:$A,增益!$B:$B,0))</f>
        <v>0.5543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4330.35</v>
      </c>
      <c r="AU72" cm="1">
        <f t="array" ref="AU72">$E$10*(1+$AS72)+VLOOKUP($R72,武学奇术!$A:$ZZ,4,FALSE)+SUM(_xlfn.XLOOKUP($S72:$AL72,增益!$A:$A,增益!$D:$D,0))-$I$2</f>
        <v>4330.35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0.4284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1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1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1" cm="1">
        <f t="array" ref="BJ72">$G$13+VLOOKUP($R72,武学奇术!$A:$ZZ,14,FALSE)+SUM(_xlfn.XLOOKUP($S72:$AL72,增益!$A:$A,增益!$N:$N,0))</f>
        <v>0.02</v>
      </c>
      <c r="BK72">
        <f t="shared" si="30"/>
        <v>649.11</v>
      </c>
      <c r="BL72">
        <f t="shared" si="31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2"/>
        <v>0.89337855</v>
      </c>
      <c r="BU72" s="24">
        <f t="shared" si="33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</v>
      </c>
      <c r="BY72" s="24" cm="1">
        <f t="array" ref="BY72">SUM(_xlfn.XLOOKUP($S72:$AL72,增益!$A:$A,增益!$X:$X,0))</f>
        <v>0</v>
      </c>
    </row>
    <row r="73" spans="1:77">
      <c r="A73" t="s">
        <v>178</v>
      </c>
      <c r="B73" s="95">
        <v>0.1</v>
      </c>
      <c r="D73" s="38"/>
      <c r="K73" s="37">
        <f>$L73*VLOOKUP($R73,武学奇术!$A:$ZZ,31,FALSE)</f>
        <v>198439.943616888</v>
      </c>
      <c r="L73" s="89">
        <f>SUM(L60:L65,L69:L70)*0.2*(1+BY73)</f>
        <v>396879.887233776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0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0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0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0</v>
      </c>
      <c r="Q73" s="38">
        <v>1</v>
      </c>
      <c r="R73" s="39" t="s">
        <v>180</v>
      </c>
      <c r="S73" s="39" t="s">
        <v>181</v>
      </c>
      <c r="T73" s="39" t="s">
        <v>84</v>
      </c>
      <c r="U73" s="39" t="s">
        <v>84</v>
      </c>
      <c r="V73" s="39" t="s">
        <v>84</v>
      </c>
      <c r="W73" s="39" t="s">
        <v>84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84</v>
      </c>
      <c r="AC73" s="39" t="s">
        <v>84</v>
      </c>
      <c r="AD73" s="39" t="s">
        <v>84</v>
      </c>
      <c r="AE73" s="39" t="s">
        <v>87</v>
      </c>
      <c r="AF73" s="39" t="s">
        <v>88</v>
      </c>
      <c r="AG73" s="39" t="s">
        <v>94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心法</v>
      </c>
      <c r="AN73" s="24">
        <f>VLOOKUP($R73,武学奇术!$A:$ZZ,26,FALSE)</f>
        <v>0</v>
      </c>
      <c r="AO73" s="25">
        <f>VLOOKUP($R73,武学奇术!$A:$ZZ,27,FALSE)*(1+IF(OR($AM73=$F$4,$AM73=$F$5),$B$22,0))</f>
        <v>0</v>
      </c>
      <c r="AP73" s="24">
        <f>VLOOKUP($R73,武学奇术!$A:$ZZ,28,FALSE)</f>
        <v>0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0.3342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4330.35</v>
      </c>
      <c r="AU73" cm="1">
        <f t="array" ref="AU73">$E$10*(1+$AS73)+VLOOKUP($R73,武学奇术!$A:$ZZ,4,FALSE)+SUM(_xlfn.XLOOKUP($S73:$AL73,增益!$A:$A,增益!$D:$D,0))-$I$2</f>
        <v>4330.35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0.2534</v>
      </c>
      <c r="AW73" s="31" cm="1">
        <f t="array" ref="AW73">$G$10+VLOOKUP($R73,武学奇术!$A:$ZZ,7,FALSE)+SUM(_xlfn.XLOOKUP($S73:$AL73,增益!$A:$A,增益!$G:$G,0))</f>
        <v>0</v>
      </c>
      <c r="AX73" s="24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</v>
      </c>
      <c r="BC73">
        <f t="shared" si="26"/>
        <v>0</v>
      </c>
      <c r="BD73">
        <f t="shared" si="27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</v>
      </c>
      <c r="BG73">
        <f t="shared" si="28"/>
        <v>0</v>
      </c>
      <c r="BH73">
        <f t="shared" si="29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</v>
      </c>
      <c r="BK73">
        <f t="shared" si="30"/>
        <v>649.11</v>
      </c>
      <c r="BL73">
        <f t="shared" si="31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0.15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1.54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2"/>
        <v>0.89337855</v>
      </c>
      <c r="BU73" s="24">
        <f t="shared" si="33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</v>
      </c>
      <c r="BY73" s="24" cm="1">
        <f t="array" ref="BY73">SUM(_xlfn.XLOOKUP($S73:$AL73,增益!$A:$A,增益!$X:$X,0))</f>
        <v>0.2</v>
      </c>
    </row>
    <row r="74" spans="1:77">
      <c r="A74" t="s">
        <v>191</v>
      </c>
      <c r="B74">
        <v>2.4</v>
      </c>
      <c r="D74" s="38"/>
      <c r="E74" s="38" t="s">
        <v>184</v>
      </c>
      <c r="K74" s="37">
        <f>$L74*VLOOKUP($R74,武学奇术!$A:$ZZ,31,FALSE)</f>
        <v>27837.4252186678</v>
      </c>
      <c r="L74" s="37">
        <f t="shared" ref="L74:L136" si="34">($M74*$BT74+$N74*$BR74+$O74*$BU74+$P74*$BV74)</f>
        <v>27837.4252186678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28708.0609508158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21660.6138306219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14426.161281817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12807.42342984</v>
      </c>
      <c r="Q74" s="38">
        <v>1</v>
      </c>
      <c r="R74" s="39" t="s">
        <v>185</v>
      </c>
      <c r="S74" s="39" t="s">
        <v>104</v>
      </c>
      <c r="T74" s="39" t="s">
        <v>194</v>
      </c>
      <c r="U74" s="39" t="s">
        <v>81</v>
      </c>
      <c r="V74" s="39" t="s">
        <v>130</v>
      </c>
      <c r="W74" s="39" t="s">
        <v>83</v>
      </c>
      <c r="X74" s="39" t="s">
        <v>84</v>
      </c>
      <c r="Y74" s="39" t="s">
        <v>85</v>
      </c>
      <c r="Z74" s="39" t="s">
        <v>84</v>
      </c>
      <c r="AA74" s="39" t="s">
        <v>84</v>
      </c>
      <c r="AB74" s="39" t="s">
        <v>204</v>
      </c>
      <c r="AC74" s="39" t="s">
        <v>92</v>
      </c>
      <c r="AD74" s="39" t="s">
        <v>93</v>
      </c>
      <c r="AE74" s="39" t="s">
        <v>87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双刀</v>
      </c>
      <c r="AN74" s="24">
        <f>VLOOKUP($R74,武学奇术!$A:$ZZ,26,FALSE)</f>
        <v>0.79044</v>
      </c>
      <c r="AO74" s="25">
        <f>VLOOKUP($R74,武学奇术!$A:$ZZ,27,FALSE)*(1+IF(OR($AM74=$F$4,$AM74=$F$5),$B$22,0))</f>
        <v>351.36</v>
      </c>
      <c r="AP74" s="24">
        <f>VLOOKUP($R74,武学奇术!$A:$ZZ,28,FALSE)</f>
        <v>1.18572</v>
      </c>
      <c r="AQ74" s="25">
        <f>VLOOKUP($R74,武学奇术!$A:$ZZ,29,FALSE)*(1+IF(OR($AM74=$F$4,$AM74=$F$5),$B$22,0))</f>
        <v>192</v>
      </c>
      <c r="AR74" s="24" cm="1">
        <f t="array" ref="AR74">$G$3+IFERROR(VLOOKUP($AM74,$F$4:$G$7,2,FALSE),0)+VLOOKUP($R74,武学奇术!$A:$ZZ,2,FALSE)+SUM(_xlfn.XLOOKUP($S74:$AL74,增益!$A:$A,增益!$B:$B,0))</f>
        <v>0.5543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4330.35</v>
      </c>
      <c r="AU74" cm="1">
        <f t="array" ref="AU74">$E$10*(1+$AS74)+VLOOKUP($R74,武学奇术!$A:$ZZ,4,FALSE)+SUM(_xlfn.XLOOKUP($S74:$AL74,增益!$A:$A,增益!$D:$D,0))-$I$2</f>
        <v>4330.35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0.4284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1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1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1" cm="1">
        <f t="array" ref="BJ74">$G$13+VLOOKUP($R74,武学奇术!$A:$ZZ,14,FALSE)+SUM(_xlfn.XLOOKUP($S74:$AL74,增益!$A:$A,增益!$N:$N,0))</f>
        <v>0.02</v>
      </c>
      <c r="BK74">
        <f t="shared" si="30"/>
        <v>649.11</v>
      </c>
      <c r="BL74">
        <f t="shared" si="31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1.99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2"/>
        <v>0.89337855</v>
      </c>
      <c r="BU74" s="24">
        <f t="shared" si="33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t="s">
        <v>191</v>
      </c>
      <c r="B75">
        <v>2.1</v>
      </c>
      <c r="D75" s="38"/>
      <c r="E75" s="38"/>
      <c r="K75" s="37">
        <f>$L75*VLOOKUP($R75,武学奇术!$A:$ZZ,31,FALSE)</f>
        <v>68380.4129218204</v>
      </c>
      <c r="L75" s="37">
        <f t="shared" si="34"/>
        <v>68380.4129218204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70475.0030245492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53662.771599388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35414.5743841956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31078.9475836593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85</v>
      </c>
      <c r="Z75" s="39" t="s">
        <v>84</v>
      </c>
      <c r="AA75" s="39" t="s">
        <v>84</v>
      </c>
      <c r="AB75" s="39" t="s">
        <v>204</v>
      </c>
      <c r="AC75" s="39" t="s">
        <v>92</v>
      </c>
      <c r="AD75" s="39" t="s">
        <v>93</v>
      </c>
      <c r="AE75" s="39" t="s">
        <v>87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0.3842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4330.35</v>
      </c>
      <c r="AU75" cm="1">
        <f t="array" ref="AU75">$E$10*(1+$AS75)+VLOOKUP($R75,武学奇术!$A:$ZZ,4,FALSE)+SUM(_xlfn.XLOOKUP($S75:$AL75,增益!$A:$A,增益!$D:$D,0))-$I$2</f>
        <v>4330.35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0.4284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1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1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1" cm="1">
        <f t="array" ref="BJ75">$G$13+VLOOKUP($R75,武学奇术!$A:$ZZ,14,FALSE)+SUM(_xlfn.XLOOKUP($S75:$AL75,增益!$A:$A,增益!$N:$N,0))</f>
        <v>0.02</v>
      </c>
      <c r="BK75">
        <f t="shared" si="30"/>
        <v>649.11</v>
      </c>
      <c r="BL75">
        <f t="shared" si="31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2"/>
        <v>0.89337855</v>
      </c>
      <c r="BU75" s="24">
        <f t="shared" si="33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A76" t="s">
        <v>191</v>
      </c>
      <c r="B76">
        <v>1.83</v>
      </c>
      <c r="D76" s="38"/>
      <c r="E76" s="38"/>
      <c r="K76" s="37">
        <f>$L76*VLOOKUP($R76,武学奇术!$A:$ZZ,31,FALSE)</f>
        <v>68380.4129218204</v>
      </c>
      <c r="L76" s="37">
        <f t="shared" si="34"/>
        <v>68380.4129218204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70475.0030245492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53662.771599388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35414.5743841956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31078.9475836593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85</v>
      </c>
      <c r="Z76" s="39" t="s">
        <v>84</v>
      </c>
      <c r="AA76" s="39" t="s">
        <v>84</v>
      </c>
      <c r="AB76" s="39" t="s">
        <v>204</v>
      </c>
      <c r="AC76" s="39" t="s">
        <v>92</v>
      </c>
      <c r="AD76" s="39" t="s">
        <v>93</v>
      </c>
      <c r="AE76" s="39" t="s">
        <v>87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0.3842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4330.35</v>
      </c>
      <c r="AU76" cm="1">
        <f t="array" ref="AU76">$E$10*(1+$AS76)+VLOOKUP($R76,武学奇术!$A:$ZZ,4,FALSE)+SUM(_xlfn.XLOOKUP($S76:$AL76,增益!$A:$A,增益!$D:$D,0))-$I$2</f>
        <v>4330.35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0.4284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1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1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1" cm="1">
        <f t="array" ref="BJ76">$G$13+VLOOKUP($R76,武学奇术!$A:$ZZ,14,FALSE)+SUM(_xlfn.XLOOKUP($S76:$AL76,增益!$A:$A,增益!$N:$N,0))</f>
        <v>0.02</v>
      </c>
      <c r="BK76">
        <f t="shared" si="30"/>
        <v>649.11</v>
      </c>
      <c r="BL76">
        <f t="shared" si="31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2"/>
        <v>0.89337855</v>
      </c>
      <c r="BU76" s="24">
        <f t="shared" si="33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0.11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t="s">
        <v>174</v>
      </c>
      <c r="B77">
        <v>1.1</v>
      </c>
      <c r="D77" s="38"/>
      <c r="K77" s="37">
        <f>$L77*VLOOKUP($R77,武学奇术!$A:$ZZ,31,FALSE)</f>
        <v>80701.2080428692</v>
      </c>
      <c r="L77" s="37">
        <f t="shared" si="34"/>
        <v>80701.2080428692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83173.2017677112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63331.7394551336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41795.5787777443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36678.7579590934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85</v>
      </c>
      <c r="Z77" s="39" t="s">
        <v>195</v>
      </c>
      <c r="AA77" s="39" t="s">
        <v>196</v>
      </c>
      <c r="AB77" s="39" t="s">
        <v>204</v>
      </c>
      <c r="AC77" s="39" t="s">
        <v>92</v>
      </c>
      <c r="AD77" s="39" t="s">
        <v>93</v>
      </c>
      <c r="AE77" s="39" t="s">
        <v>87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0.3842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4330.35</v>
      </c>
      <c r="AU77" cm="1">
        <f t="array" ref="AU77">$E$10*(1+$AS77)+VLOOKUP($R77,武学奇术!$A:$ZZ,4,FALSE)+SUM(_xlfn.XLOOKUP($S77:$AL77,增益!$A:$A,增益!$D:$D,0))-$I$2</f>
        <v>4330.35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0.4284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1" cm="1">
        <f t="array" ref="BB77">$G$11+VLOOKUP($R77,武学奇术!$A:$ZZ,10,FALSE)+SUM(_xlfn.XLOOKUP($S77:$AL77,增益!$A:$A,增益!$J:$J,0))</f>
        <v>0.12</v>
      </c>
      <c r="BC77">
        <f t="shared" si="26"/>
        <v>0</v>
      </c>
      <c r="BD77">
        <f t="shared" si="27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1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1" cm="1">
        <f t="array" ref="BJ77">$G$13+VLOOKUP($R77,武学奇术!$A:$ZZ,14,FALSE)+SUM(_xlfn.XLOOKUP($S77:$AL77,增益!$A:$A,增益!$N:$N,0))</f>
        <v>0.02</v>
      </c>
      <c r="BK77">
        <f t="shared" si="30"/>
        <v>649.11</v>
      </c>
      <c r="BL77">
        <f t="shared" si="31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2"/>
        <v>0.89337855</v>
      </c>
      <c r="BU77" s="24">
        <f t="shared" si="33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0.31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t="s">
        <v>202</v>
      </c>
      <c r="B78">
        <v>0.7</v>
      </c>
      <c r="D78" s="38"/>
      <c r="K78" s="37">
        <f>$L78*VLOOKUP($R78,武学奇术!$A:$ZZ,31,FALSE)</f>
        <v>80701.2080428692</v>
      </c>
      <c r="L78" s="37">
        <f t="shared" si="34"/>
        <v>80701.2080428692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83173.2017677112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63331.7394551336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41795.5787777443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36678.7579590934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85</v>
      </c>
      <c r="Z78" s="39" t="s">
        <v>195</v>
      </c>
      <c r="AA78" s="39" t="s">
        <v>196</v>
      </c>
      <c r="AB78" s="39" t="s">
        <v>204</v>
      </c>
      <c r="AC78" s="39" t="s">
        <v>92</v>
      </c>
      <c r="AD78" s="39" t="s">
        <v>93</v>
      </c>
      <c r="AE78" s="39" t="s">
        <v>87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0.3842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4330.35</v>
      </c>
      <c r="AU78" cm="1">
        <f t="array" ref="AU78">$E$10*(1+$AS78)+VLOOKUP($R78,武学奇术!$A:$ZZ,4,FALSE)+SUM(_xlfn.XLOOKUP($S78:$AL78,增益!$A:$A,增益!$D:$D,0))-$I$2</f>
        <v>4330.35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0.4284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1" cm="1">
        <f t="array" ref="BB78">$G$11+VLOOKUP($R78,武学奇术!$A:$ZZ,10,FALSE)+SUM(_xlfn.XLOOKUP($S78:$AL78,增益!$A:$A,增益!$J:$J,0))</f>
        <v>0.12</v>
      </c>
      <c r="BC78">
        <f t="shared" si="26"/>
        <v>0</v>
      </c>
      <c r="BD78">
        <f t="shared" si="27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1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1" cm="1">
        <f t="array" ref="BJ78">$G$13+VLOOKUP($R78,武学奇术!$A:$ZZ,14,FALSE)+SUM(_xlfn.XLOOKUP($S78:$AL78,增益!$A:$A,增益!$N:$N,0))</f>
        <v>0.02</v>
      </c>
      <c r="BK78">
        <f t="shared" si="30"/>
        <v>649.11</v>
      </c>
      <c r="BL78">
        <f t="shared" si="31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2"/>
        <v>0.89337855</v>
      </c>
      <c r="BU78" s="24">
        <f t="shared" si="33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0.31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t="s">
        <v>207</v>
      </c>
      <c r="B79">
        <v>2.17</v>
      </c>
      <c r="K79" s="37">
        <f>$L79*VLOOKUP($R79,武学奇术!$A:$ZZ,31,FALSE)</f>
        <v>80701.2080428692</v>
      </c>
      <c r="L79" s="37">
        <f t="shared" si="34"/>
        <v>80701.2080428692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83173.2017677112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63331.7394551336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41795.5787777443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36678.7579590934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85</v>
      </c>
      <c r="Z79" s="39" t="s">
        <v>195</v>
      </c>
      <c r="AA79" s="39" t="s">
        <v>196</v>
      </c>
      <c r="AB79" s="39" t="s">
        <v>204</v>
      </c>
      <c r="AC79" s="39" t="s">
        <v>100</v>
      </c>
      <c r="AD79" s="39" t="s">
        <v>93</v>
      </c>
      <c r="AE79" s="39" t="s">
        <v>87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0.3842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4330.35</v>
      </c>
      <c r="AU79" cm="1">
        <f t="array" ref="AU79">$E$10*(1+$AS79)+VLOOKUP($R79,武学奇术!$A:$ZZ,4,FALSE)+SUM(_xlfn.XLOOKUP($S79:$AL79,增益!$A:$A,增益!$D:$D,0))-$I$2</f>
        <v>4330.35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0.4284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1" cm="1">
        <f t="array" ref="BB79">$G$11+VLOOKUP($R79,武学奇术!$A:$ZZ,10,FALSE)+SUM(_xlfn.XLOOKUP($S79:$AL79,增益!$A:$A,增益!$J:$J,0))</f>
        <v>0.12</v>
      </c>
      <c r="BC79">
        <f t="shared" si="26"/>
        <v>0</v>
      </c>
      <c r="BD79">
        <f t="shared" si="27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1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1" cm="1">
        <f t="array" ref="BJ79">$G$13+VLOOKUP($R79,武学奇术!$A:$ZZ,14,FALSE)+SUM(_xlfn.XLOOKUP($S79:$AL79,增益!$A:$A,增益!$N:$N,0))</f>
        <v>0.02</v>
      </c>
      <c r="BK79">
        <f t="shared" si="30"/>
        <v>649.11</v>
      </c>
      <c r="BL79">
        <f t="shared" si="31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2"/>
        <v>0.89337855</v>
      </c>
      <c r="BU79" s="24">
        <f t="shared" si="33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0.31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t="s">
        <v>203</v>
      </c>
      <c r="B80">
        <v>0.8</v>
      </c>
      <c r="K80" s="37">
        <f>$L80*VLOOKUP($R80,武学奇术!$A:$ZZ,31,FALSE)</f>
        <v>234042.246987175</v>
      </c>
      <c r="L80" s="37">
        <f t="shared" si="34"/>
        <v>234042.246987175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243810.340022421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159869.485621035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106467.397389704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94512.9535786406</v>
      </c>
      <c r="Q80" s="38">
        <v>1</v>
      </c>
      <c r="R80" s="39" t="s">
        <v>157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85</v>
      </c>
      <c r="Z80" s="39" t="s">
        <v>84</v>
      </c>
      <c r="AA80" s="39" t="s">
        <v>84</v>
      </c>
      <c r="AB80" s="39" t="s">
        <v>204</v>
      </c>
      <c r="AC80" s="39" t="s">
        <v>92</v>
      </c>
      <c r="AD80" s="39" t="s">
        <v>93</v>
      </c>
      <c r="AE80" s="39" t="s">
        <v>87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双刀</v>
      </c>
      <c r="AN80" s="24">
        <f>VLOOKUP($R80,武学奇术!$A:$ZZ,26,FALSE)</f>
        <v>2.85516</v>
      </c>
      <c r="AO80" s="25">
        <f>VLOOKUP($R80,武学奇术!$A:$ZZ,27,FALSE)*(1+IF(OR($AM80=$F$4,$AM80=$F$5),$B$22,0))</f>
        <v>1263.36</v>
      </c>
      <c r="AP80" s="24">
        <f>VLOOKUP($R80,武学奇术!$A:$ZZ,28,FALSE)</f>
        <v>4.28274</v>
      </c>
      <c r="AQ80" s="25">
        <f>VLOOKUP($R80,武学奇术!$A:$ZZ,29,FALSE)*(1+IF(OR($AM80=$F$4,$AM80=$F$5),$B$22,0))</f>
        <v>687.68</v>
      </c>
      <c r="AR80" s="24" cm="1">
        <f t="array" ref="AR80">$G$3+IFERROR(VLOOKUP($AM80,$F$4:$G$7,2,FALSE),0)+VLOOKUP($R80,武学奇术!$A:$ZZ,2,FALSE)+SUM(_xlfn.XLOOKUP($S80:$AL80,增益!$A:$A,增益!$B:$B,0))</f>
        <v>0.6043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4330.35</v>
      </c>
      <c r="AU80" cm="1">
        <f t="array" ref="AU80">$E$10*(1+$AS80)+VLOOKUP($R80,武学奇术!$A:$ZZ,4,FALSE)+SUM(_xlfn.XLOOKUP($S80:$AL80,增益!$A:$A,增益!$D:$D,0))-$I$2</f>
        <v>4330.35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0.4284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1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1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1" cm="1">
        <f t="array" ref="BJ80">$G$13+VLOOKUP($R80,武学奇术!$A:$ZZ,14,FALSE)+SUM(_xlfn.XLOOKUP($S80:$AL80,增益!$A:$A,增益!$N:$N,0))</f>
        <v>0.02</v>
      </c>
      <c r="BK80">
        <f t="shared" si="30"/>
        <v>649.11</v>
      </c>
      <c r="BL80">
        <f t="shared" si="31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2"/>
        <v>0.89337855</v>
      </c>
      <c r="BU80" s="24">
        <f t="shared" si="33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>
        <f>VLOOKUP($R80,武学奇术!$A:$ZZ,32,FALSE)</f>
        <v>0.5</v>
      </c>
      <c r="BY80" s="24" cm="1">
        <f t="array" ref="BY80">SUM(_xlfn.XLOOKUP($S80:$AL80,增益!$A:$A,增益!$X:$X,0))</f>
        <v>0</v>
      </c>
    </row>
    <row r="81" spans="1:77">
      <c r="A81" t="s">
        <v>182</v>
      </c>
      <c r="B81">
        <v>0.7</v>
      </c>
      <c r="K81" s="37">
        <f>$L81*VLOOKUP($R81,武学奇术!$A:$ZZ,31,FALSE)</f>
        <v>312001.934292992</v>
      </c>
      <c r="L81" s="37">
        <f t="shared" si="34"/>
        <v>312001.934292992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325023.631057063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213123.706066913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141931.716618805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125994.021336192</v>
      </c>
      <c r="Q81" s="38">
        <v>1</v>
      </c>
      <c r="R81" s="39" t="s">
        <v>163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85</v>
      </c>
      <c r="Z81" s="39" t="s">
        <v>84</v>
      </c>
      <c r="AA81" s="39" t="s">
        <v>84</v>
      </c>
      <c r="AB81" s="39" t="s">
        <v>204</v>
      </c>
      <c r="AC81" s="39" t="s">
        <v>92</v>
      </c>
      <c r="AD81" s="39" t="s">
        <v>93</v>
      </c>
      <c r="AE81" s="39" t="s">
        <v>87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双刀</v>
      </c>
      <c r="AN81" s="24">
        <f>VLOOKUP($R81,武学奇术!$A:$ZZ,26,FALSE)</f>
        <v>3.80688</v>
      </c>
      <c r="AO81" s="25">
        <f>VLOOKUP($R81,武学奇术!$A:$ZZ,27,FALSE)*(1+IF(OR($AM81=$F$4,$AM81=$F$5),$B$22,0))</f>
        <v>1684.48</v>
      </c>
      <c r="AP81" s="24">
        <f>VLOOKUP($R81,武学奇术!$A:$ZZ,28,FALSE)</f>
        <v>5.70976</v>
      </c>
      <c r="AQ81" s="25">
        <f>VLOOKUP($R81,武学奇术!$A:$ZZ,29,FALSE)*(1+IF(OR($AM81=$F$4,$AM81=$F$5),$B$22,0))</f>
        <v>913.92</v>
      </c>
      <c r="AR81" s="24" cm="1">
        <f t="array" ref="AR81">$G$3+IFERROR(VLOOKUP($AM81,$F$4:$G$7,2,FALSE),0)+VLOOKUP($R81,武学奇术!$A:$ZZ,2,FALSE)+SUM(_xlfn.XLOOKUP($S81:$AL81,增益!$A:$A,增益!$B:$B,0))</f>
        <v>0.6043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4330.35</v>
      </c>
      <c r="AU81" cm="1">
        <f t="array" ref="AU81">$E$10*(1+$AS81)+VLOOKUP($R81,武学奇术!$A:$ZZ,4,FALSE)+SUM(_xlfn.XLOOKUP($S81:$AL81,增益!$A:$A,增益!$D:$D,0))-$I$2</f>
        <v>4330.35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0.4284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1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1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1" cm="1">
        <f t="array" ref="BJ81">$G$13+VLOOKUP($R81,武学奇术!$A:$ZZ,14,FALSE)+SUM(_xlfn.XLOOKUP($S81:$AL81,增益!$A:$A,增益!$N:$N,0))</f>
        <v>0.02</v>
      </c>
      <c r="BK81">
        <f t="shared" si="30"/>
        <v>649.11</v>
      </c>
      <c r="BL81">
        <f t="shared" si="31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2"/>
        <v>0.89337855</v>
      </c>
      <c r="BU81" s="24">
        <f t="shared" si="33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>
        <f>VLOOKUP($R81,武学奇术!$A:$ZZ,32,FALSE)</f>
        <v>0.5</v>
      </c>
      <c r="BY81" s="24" cm="1">
        <f t="array" ref="BY81">SUM(_xlfn.XLOOKUP($S81:$AL81,增益!$A:$A,增益!$X:$X,0))</f>
        <v>0</v>
      </c>
    </row>
    <row r="82" spans="1:77">
      <c r="A82" t="s">
        <v>188</v>
      </c>
      <c r="B82">
        <v>0.9</v>
      </c>
      <c r="K82" s="37">
        <f>$L82*VLOOKUP($R82,武学奇术!$A:$ZZ,31,FALSE)</f>
        <v>276212.021219098</v>
      </c>
      <c r="L82" s="37">
        <f t="shared" si="34"/>
        <v>276212.021219098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287740.131017452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188674.798345546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125650.712234695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111542.314583801</v>
      </c>
      <c r="Q82" s="38">
        <v>1</v>
      </c>
      <c r="R82" s="39" t="s">
        <v>166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85</v>
      </c>
      <c r="Z82" s="39" t="s">
        <v>195</v>
      </c>
      <c r="AA82" s="39" t="s">
        <v>196</v>
      </c>
      <c r="AB82" s="39" t="s">
        <v>204</v>
      </c>
      <c r="AC82" s="39" t="s">
        <v>92</v>
      </c>
      <c r="AD82" s="39" t="s">
        <v>93</v>
      </c>
      <c r="AE82" s="39" t="s">
        <v>87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双刀</v>
      </c>
      <c r="AN82" s="24">
        <f>VLOOKUP($R82,武学奇术!$A:$ZZ,26,FALSE)</f>
        <v>2.85516</v>
      </c>
      <c r="AO82" s="25">
        <f>VLOOKUP($R82,武学奇术!$A:$ZZ,27,FALSE)*(1+IF(OR($AM82=$F$4,$AM82=$F$5),$B$22,0))</f>
        <v>1263.36</v>
      </c>
      <c r="AP82" s="24">
        <f>VLOOKUP($R82,武学奇术!$A:$ZZ,28,FALSE)</f>
        <v>4.28274</v>
      </c>
      <c r="AQ82" s="25">
        <f>VLOOKUP($R82,武学奇术!$A:$ZZ,29,FALSE)*(1+IF(OR($AM82=$F$4,$AM82=$F$5),$B$22,0))</f>
        <v>687.68</v>
      </c>
      <c r="AR82" s="24" cm="1">
        <f t="array" ref="AR82">$G$3+IFERROR(VLOOKUP($AM82,$F$4:$G$7,2,FALSE),0)+VLOOKUP($R82,武学奇术!$A:$ZZ,2,FALSE)+SUM(_xlfn.XLOOKUP($S82:$AL82,增益!$A:$A,增益!$B:$B,0))</f>
        <v>0.6043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4330.35</v>
      </c>
      <c r="AU82" cm="1">
        <f t="array" ref="AU82">$E$10*(1+$AS82)+VLOOKUP($R82,武学奇术!$A:$ZZ,4,FALSE)+SUM(_xlfn.XLOOKUP($S82:$AL82,增益!$A:$A,增益!$D:$D,0))-$I$2</f>
        <v>4330.35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0.4284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1" cm="1">
        <f t="array" ref="BB82">$G$11+VLOOKUP($R82,武学奇术!$A:$ZZ,10,FALSE)+SUM(_xlfn.XLOOKUP($S82:$AL82,增益!$A:$A,增益!$J:$J,0))</f>
        <v>0.12</v>
      </c>
      <c r="BC82">
        <f t="shared" si="26"/>
        <v>0</v>
      </c>
      <c r="BD82">
        <f t="shared" si="27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1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1" cm="1">
        <f t="array" ref="BJ82">$G$13+VLOOKUP($R82,武学奇术!$A:$ZZ,14,FALSE)+SUM(_xlfn.XLOOKUP($S82:$AL82,增益!$A:$A,增益!$N:$N,0))</f>
        <v>0.02</v>
      </c>
      <c r="BK82">
        <f t="shared" si="30"/>
        <v>649.11</v>
      </c>
      <c r="BL82">
        <f t="shared" si="31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2"/>
        <v>0.89337855</v>
      </c>
      <c r="BU82" s="24">
        <f t="shared" si="33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0.31</v>
      </c>
      <c r="BX82" s="24">
        <f>VLOOKUP($R82,武学奇术!$A:$ZZ,32,FALSE)</f>
        <v>0.5</v>
      </c>
      <c r="BY82" s="24" cm="1">
        <f t="array" ref="BY82">SUM(_xlfn.XLOOKUP($S82:$AL82,增益!$A:$A,增益!$X:$X,0))</f>
        <v>0</v>
      </c>
    </row>
    <row r="83" spans="1:77">
      <c r="A83" t="s">
        <v>189</v>
      </c>
      <c r="B83">
        <v>0.6</v>
      </c>
      <c r="D83" s="38" t="s">
        <v>183</v>
      </c>
      <c r="K83" s="37">
        <f>$L83*VLOOKUP($R83,武学奇术!$A:$ZZ,31,FALSE)</f>
        <v>86998.8184926746</v>
      </c>
      <c r="L83" s="37">
        <f t="shared" si="34"/>
        <v>86998.8184926746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90629.9169425503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59426.365119999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39576.3829443451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35133.2361701725</v>
      </c>
      <c r="Q83" s="38">
        <v>1</v>
      </c>
      <c r="R83" s="39" t="s">
        <v>136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85</v>
      </c>
      <c r="Z83" s="39" t="s">
        <v>195</v>
      </c>
      <c r="AA83" s="39" t="s">
        <v>196</v>
      </c>
      <c r="AB83" s="39" t="s">
        <v>204</v>
      </c>
      <c r="AC83" s="39" t="s">
        <v>92</v>
      </c>
      <c r="AD83" s="39" t="s">
        <v>93</v>
      </c>
      <c r="AE83" s="39" t="s">
        <v>87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0.9634</v>
      </c>
      <c r="AO83" s="25">
        <f>VLOOKUP($R83,武学奇术!$A:$ZZ,27,FALSE)*(1+IF(OR($AM83=$F$4,$AM83=$F$5),$B$22,0))</f>
        <v>427.2</v>
      </c>
      <c r="AP83" s="24">
        <f>VLOOKUP($R83,武学奇术!$A:$ZZ,28,FALSE)</f>
        <v>1.4451</v>
      </c>
      <c r="AQ83" s="25">
        <f>VLOOKUP($R83,武学奇术!$A:$ZZ,29,FALSE)*(1+IF(OR($AM83=$F$4,$AM83=$F$5),$B$22,0))</f>
        <v>232</v>
      </c>
      <c r="AR83" s="24" cm="1">
        <f t="array" ref="AR83">$G$3+IFERROR(VLOOKUP($AM83,$F$4:$G$7,2,FALSE),0)+VLOOKUP($R83,武学奇术!$A:$ZZ,2,FALSE)+SUM(_xlfn.XLOOKUP($S83:$AL83,增益!$A:$A,增益!$B:$B,0))</f>
        <v>0.6043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4330.35</v>
      </c>
      <c r="AU83" cm="1">
        <f t="array" ref="AU83">$E$10*(1+$AS83)+VLOOKUP($R83,武学奇术!$A:$ZZ,4,FALSE)+SUM(_xlfn.XLOOKUP($S83:$AL83,增益!$A:$A,增益!$D:$D,0))-$I$2</f>
        <v>4330.35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0.4284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1" cm="1">
        <f t="array" ref="BB83">$G$11+VLOOKUP($R83,武学奇术!$A:$ZZ,10,FALSE)+SUM(_xlfn.XLOOKUP($S83:$AL83,增益!$A:$A,增益!$J:$J,0))</f>
        <v>0.12</v>
      </c>
      <c r="BC83">
        <f t="shared" si="26"/>
        <v>0</v>
      </c>
      <c r="BD83">
        <f t="shared" si="27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1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1" cm="1">
        <f t="array" ref="BJ83">$G$13+VLOOKUP($R83,武学奇术!$A:$ZZ,14,FALSE)+SUM(_xlfn.XLOOKUP($S83:$AL83,增益!$A:$A,增益!$N:$N,0))</f>
        <v>0.02</v>
      </c>
      <c r="BK83">
        <f t="shared" si="30"/>
        <v>649.11</v>
      </c>
      <c r="BL83">
        <f t="shared" si="31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2"/>
        <v>0.89337855</v>
      </c>
      <c r="BU83" s="24">
        <f t="shared" si="33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0.31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A84" t="s">
        <v>182</v>
      </c>
      <c r="B84">
        <v>0.7</v>
      </c>
      <c r="D84" s="38"/>
      <c r="F84" s="38" t="s">
        <v>190</v>
      </c>
      <c r="K84" s="37">
        <f>$L84*VLOOKUP($R84,武学奇术!$A:$ZZ,31,FALSE)</f>
        <v>83646.7503857464</v>
      </c>
      <c r="L84" s="37">
        <f t="shared" si="34"/>
        <v>83646.7503857464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87138.1094129471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57135.0189163857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38051.576162859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33780.9160913582</v>
      </c>
      <c r="Q84" s="38">
        <v>1</v>
      </c>
      <c r="R84" s="39" t="s">
        <v>142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85</v>
      </c>
      <c r="Z84" s="39" t="s">
        <v>195</v>
      </c>
      <c r="AA84" s="39" t="s">
        <v>196</v>
      </c>
      <c r="AB84" s="39" t="s">
        <v>204</v>
      </c>
      <c r="AC84" s="39" t="s">
        <v>92</v>
      </c>
      <c r="AD84" s="39" t="s">
        <v>93</v>
      </c>
      <c r="AE84" s="39" t="s">
        <v>87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0.926</v>
      </c>
      <c r="AO84" s="25">
        <f>VLOOKUP($R84,武学奇术!$A:$ZZ,27,FALSE)*(1+IF(OR($AM84=$F$4,$AM84=$F$5),$B$22,0))</f>
        <v>411.2</v>
      </c>
      <c r="AP84" s="24">
        <f>VLOOKUP($R84,武学奇术!$A:$ZZ,28,FALSE)</f>
        <v>1.389</v>
      </c>
      <c r="AQ84" s="25">
        <f>VLOOKUP($R84,武学奇术!$A:$ZZ,29,FALSE)*(1+IF(OR($AM84=$F$4,$AM84=$F$5),$B$22,0))</f>
        <v>224</v>
      </c>
      <c r="AR84" s="24" cm="1">
        <f t="array" ref="AR84">$G$3+IFERROR(VLOOKUP($AM84,$F$4:$G$7,2,FALSE),0)+VLOOKUP($R84,武学奇术!$A:$ZZ,2,FALSE)+SUM(_xlfn.XLOOKUP($S84:$AL84,增益!$A:$A,增益!$B:$B,0))</f>
        <v>0.6043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4330.35</v>
      </c>
      <c r="AU84" cm="1">
        <f t="array" ref="AU84">$E$10*(1+$AS84)+VLOOKUP($R84,武学奇术!$A:$ZZ,4,FALSE)+SUM(_xlfn.XLOOKUP($S84:$AL84,增益!$A:$A,增益!$D:$D,0))-$I$2</f>
        <v>4330.35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0.4284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1" cm="1">
        <f t="array" ref="BB84">$G$11+VLOOKUP($R84,武学奇术!$A:$ZZ,10,FALSE)+SUM(_xlfn.XLOOKUP($S84:$AL84,增益!$A:$A,增益!$J:$J,0))</f>
        <v>0.12</v>
      </c>
      <c r="BC84">
        <f t="shared" si="26"/>
        <v>0</v>
      </c>
      <c r="BD84">
        <f t="shared" si="27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1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1" cm="1">
        <f t="array" ref="BJ84">$G$13+VLOOKUP($R84,武学奇术!$A:$ZZ,14,FALSE)+SUM(_xlfn.XLOOKUP($S84:$AL84,增益!$A:$A,增益!$N:$N,0))</f>
        <v>0.02</v>
      </c>
      <c r="BK84">
        <f t="shared" si="30"/>
        <v>649.11</v>
      </c>
      <c r="BL84">
        <f t="shared" si="31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2"/>
        <v>0.89337855</v>
      </c>
      <c r="BU84" s="24">
        <f t="shared" si="33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0.31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t="s">
        <v>178</v>
      </c>
      <c r="B85" s="95">
        <v>0.1</v>
      </c>
      <c r="D85" s="38"/>
      <c r="F85" s="38"/>
      <c r="K85" s="37">
        <f>$L85*VLOOKUP($R85,武学奇术!$A:$ZZ,31,FALSE)</f>
        <v>102021.645183801</v>
      </c>
      <c r="L85" s="37">
        <f t="shared" si="34"/>
        <v>102021.645183801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106279.731575462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69688.2654577811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46410.3631333895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41199.7888906448</v>
      </c>
      <c r="Q85" s="38">
        <v>1</v>
      </c>
      <c r="R85" s="39" t="s">
        <v>146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85</v>
      </c>
      <c r="Z85" s="39" t="s">
        <v>195</v>
      </c>
      <c r="AA85" s="39" t="s">
        <v>196</v>
      </c>
      <c r="AB85" s="39" t="s">
        <v>204</v>
      </c>
      <c r="AC85" s="39" t="s">
        <v>92</v>
      </c>
      <c r="AD85" s="39" t="s">
        <v>93</v>
      </c>
      <c r="AE85" s="39" t="s">
        <v>87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1.1298</v>
      </c>
      <c r="AO85" s="25">
        <f>VLOOKUP($R85,武学奇术!$A:$ZZ,27,FALSE)*(1+IF(OR($AM85=$F$4,$AM85=$F$5),$B$22,0))</f>
        <v>500.8</v>
      </c>
      <c r="AP85" s="24">
        <f>VLOOKUP($R85,武学奇术!$A:$ZZ,28,FALSE)</f>
        <v>1.6947</v>
      </c>
      <c r="AQ85" s="25">
        <f>VLOOKUP($R85,武学奇术!$A:$ZZ,29,FALSE)*(1+IF(OR($AM85=$F$4,$AM85=$F$5),$B$22,0))</f>
        <v>272</v>
      </c>
      <c r="AR85" s="24" cm="1">
        <f t="array" ref="AR85">$G$3+IFERROR(VLOOKUP($AM85,$F$4:$G$7,2,FALSE),0)+VLOOKUP($R85,武学奇术!$A:$ZZ,2,FALSE)+SUM(_xlfn.XLOOKUP($S85:$AL85,增益!$A:$A,增益!$B:$B,0))</f>
        <v>0.6043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4330.35</v>
      </c>
      <c r="AU85" cm="1">
        <f t="array" ref="AU85">$E$10*(1+$AS85)+VLOOKUP($R85,武学奇术!$A:$ZZ,4,FALSE)+SUM(_xlfn.XLOOKUP($S85:$AL85,增益!$A:$A,增益!$D:$D,0))-$I$2</f>
        <v>4330.35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0.4284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1" cm="1">
        <f t="array" ref="BB85">$G$11+VLOOKUP($R85,武学奇术!$A:$ZZ,10,FALSE)+SUM(_xlfn.XLOOKUP($S85:$AL85,增益!$A:$A,增益!$J:$J,0))</f>
        <v>0.12</v>
      </c>
      <c r="BC85">
        <f t="shared" si="26"/>
        <v>0</v>
      </c>
      <c r="BD85">
        <f t="shared" si="27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1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1" cm="1">
        <f t="array" ref="BJ85">$G$13+VLOOKUP($R85,武学奇术!$A:$ZZ,14,FALSE)+SUM(_xlfn.XLOOKUP($S85:$AL85,增益!$A:$A,增益!$N:$N,0))</f>
        <v>0.02</v>
      </c>
      <c r="BK85">
        <f t="shared" si="30"/>
        <v>649.11</v>
      </c>
      <c r="BL85">
        <f t="shared" si="31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2"/>
        <v>0.89337855</v>
      </c>
      <c r="BU85" s="24">
        <f t="shared" si="33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0.31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A86" t="s">
        <v>177</v>
      </c>
      <c r="B86">
        <v>0.7</v>
      </c>
      <c r="D86" s="38"/>
      <c r="F86" s="38"/>
      <c r="K86" s="37">
        <f>$L86*VLOOKUP($R86,武学奇术!$A:$ZZ,31,FALSE)</f>
        <v>230307.235025516</v>
      </c>
      <c r="L86" s="37">
        <f t="shared" si="34"/>
        <v>230307.235025516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239919.896326975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157313.695343391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104768.513679902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93008.3641424769</v>
      </c>
      <c r="Q86" s="38">
        <v>1</v>
      </c>
      <c r="R86" s="39" t="s">
        <v>151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85</v>
      </c>
      <c r="Z86" s="39" t="s">
        <v>195</v>
      </c>
      <c r="AA86" s="39" t="s">
        <v>196</v>
      </c>
      <c r="AB86" s="39" t="s">
        <v>204</v>
      </c>
      <c r="AC86" s="39" t="s">
        <v>100</v>
      </c>
      <c r="AD86" s="39" t="s">
        <v>93</v>
      </c>
      <c r="AE86" s="39" t="s">
        <v>87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拳甲</v>
      </c>
      <c r="AN86" s="24">
        <f>VLOOKUP($R86,武学奇术!$A:$ZZ,26,FALSE)</f>
        <v>2.5499</v>
      </c>
      <c r="AO86" s="25">
        <f>VLOOKUP($R86,武学奇术!$A:$ZZ,27,FALSE)*(1+IF(OR($AM86=$F$4,$AM86=$F$5),$B$22,0))</f>
        <v>1131.2</v>
      </c>
      <c r="AP86" s="24">
        <f>VLOOKUP($R86,武学奇术!$A:$ZZ,28,FALSE)</f>
        <v>3.8249</v>
      </c>
      <c r="AQ86" s="25">
        <f>VLOOKUP($R86,武学奇术!$A:$ZZ,29,FALSE)*(1+IF(OR($AM86=$F$4,$AM86=$F$5),$B$22,0))</f>
        <v>616</v>
      </c>
      <c r="AR86" s="24" cm="1">
        <f t="array" ref="AR86">$G$3+IFERROR(VLOOKUP($AM86,$F$4:$G$7,2,FALSE),0)+VLOOKUP($R86,武学奇术!$A:$ZZ,2,FALSE)+SUM(_xlfn.XLOOKUP($S86:$AL86,增益!$A:$A,增益!$B:$B,0))</f>
        <v>0.6043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4330.35</v>
      </c>
      <c r="AU86" cm="1">
        <f t="array" ref="AU86">$E$10*(1+$AS86)+VLOOKUP($R86,武学奇术!$A:$ZZ,4,FALSE)+SUM(_xlfn.XLOOKUP($S86:$AL86,增益!$A:$A,增益!$D:$D,0))-$I$2</f>
        <v>4330.35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0.4284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1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1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1" cm="1">
        <f t="array" ref="BJ86">$G$13+VLOOKUP($R86,武学奇术!$A:$ZZ,14,FALSE)+SUM(_xlfn.XLOOKUP($S86:$AL86,增益!$A:$A,增益!$N:$N,0))</f>
        <v>0.02</v>
      </c>
      <c r="BK86">
        <f t="shared" si="30"/>
        <v>649.11</v>
      </c>
      <c r="BL86">
        <f t="shared" si="31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2"/>
        <v>0.89337855</v>
      </c>
      <c r="BU86" s="24">
        <f t="shared" si="33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0.31</v>
      </c>
      <c r="BX86" s="24">
        <f>VLOOKUP($R86,武学奇术!$A:$ZZ,32,FALSE)</f>
        <v>0.4</v>
      </c>
      <c r="BY86" s="24" cm="1">
        <f t="array" ref="BY86">SUM(_xlfn.XLOOKUP($S86:$AL86,增益!$A:$A,增益!$X:$X,0))</f>
        <v>0</v>
      </c>
    </row>
    <row r="87" spans="1:77">
      <c r="A87" t="s">
        <v>176</v>
      </c>
      <c r="B87">
        <v>0.8</v>
      </c>
      <c r="D87" s="38"/>
      <c r="F87" s="38"/>
      <c r="K87" s="37">
        <f>$L87*VLOOKUP($R87,武学奇术!$A:$ZZ,31,FALSE)</f>
        <v>455946.980806768</v>
      </c>
      <c r="L87" s="37">
        <f t="shared" si="34"/>
        <v>455946.980806768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474977.348119002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311440.61110594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207413.689134935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184130.629302508</v>
      </c>
      <c r="Q87" s="38">
        <v>1</v>
      </c>
      <c r="R87" s="39" t="s">
        <v>133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85</v>
      </c>
      <c r="Z87" s="39" t="s">
        <v>195</v>
      </c>
      <c r="AA87" s="39" t="s">
        <v>196</v>
      </c>
      <c r="AB87" s="39" t="s">
        <v>204</v>
      </c>
      <c r="AC87" s="39" t="s">
        <v>100</v>
      </c>
      <c r="AD87" s="39" t="s">
        <v>93</v>
      </c>
      <c r="AE87" s="39" t="s">
        <v>87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拳甲</v>
      </c>
      <c r="AN87" s="24">
        <f>VLOOKUP($R87,武学奇术!$A:$ZZ,26,FALSE)</f>
        <v>5.5691</v>
      </c>
      <c r="AO87" s="25">
        <f>VLOOKUP($R87,武学奇术!$A:$ZZ,27,FALSE)*(1+IF(OR($AM87=$F$4,$AM87=$F$5),$B$22,0))</f>
        <v>2470.4</v>
      </c>
      <c r="AP87" s="24">
        <f>VLOOKUP($R87,武学奇术!$A:$ZZ,28,FALSE)</f>
        <v>8.3537</v>
      </c>
      <c r="AQ87" s="25">
        <f>VLOOKUP($R87,武学奇术!$A:$ZZ,29,FALSE)*(1+IF(OR($AM87=$F$4,$AM87=$F$5),$B$22,0))</f>
        <v>1344</v>
      </c>
      <c r="AR87" s="24" cm="1">
        <f t="array" ref="AR87">$G$3+IFERROR(VLOOKUP($AM87,$F$4:$G$7,2,FALSE),0)+VLOOKUP($R87,武学奇术!$A:$ZZ,2,FALSE)+SUM(_xlfn.XLOOKUP($S87:$AL87,增益!$A:$A,增益!$B:$B,0))</f>
        <v>0.4543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4330.35</v>
      </c>
      <c r="AU87" cm="1">
        <f t="array" ref="AU87">$E$10*(1+$AS87)+VLOOKUP($R87,武学奇术!$A:$ZZ,4,FALSE)+SUM(_xlfn.XLOOKUP($S87:$AL87,增益!$A:$A,增益!$D:$D,0))-$I$2</f>
        <v>4330.35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0.4284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1" cm="1">
        <f t="array" ref="BB87">$G$11+VLOOKUP($R87,武学奇术!$A:$ZZ,10,FALSE)+SUM(_xlfn.XLOOKUP($S87:$AL87,增益!$A:$A,增益!$J:$J,0))</f>
        <v>0.12</v>
      </c>
      <c r="BC87">
        <f t="shared" si="26"/>
        <v>0</v>
      </c>
      <c r="BD87">
        <f t="shared" si="27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1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1" cm="1">
        <f t="array" ref="BJ87">$G$13+VLOOKUP($R87,武学奇术!$A:$ZZ,14,FALSE)+SUM(_xlfn.XLOOKUP($S87:$AL87,增益!$A:$A,增益!$N:$N,0))</f>
        <v>0.02</v>
      </c>
      <c r="BK87">
        <f t="shared" si="30"/>
        <v>649.11</v>
      </c>
      <c r="BL87">
        <f t="shared" si="31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2"/>
        <v>0.89337855</v>
      </c>
      <c r="BU87" s="24">
        <f t="shared" si="33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0.31</v>
      </c>
      <c r="BX87" s="24">
        <f>VLOOKUP($R87,武学奇术!$A:$ZZ,32,FALSE)</f>
        <v>0.4</v>
      </c>
      <c r="BY87" s="24" cm="1">
        <f t="array" ref="BY87">SUM(_xlfn.XLOOKUP($S87:$AL87,增益!$A:$A,增益!$X:$X,0))</f>
        <v>0</v>
      </c>
    </row>
    <row r="88" spans="1:77">
      <c r="A88" t="s">
        <v>200</v>
      </c>
      <c r="B88">
        <v>2.8</v>
      </c>
      <c r="D88" s="38"/>
      <c r="F88" s="38"/>
      <c r="K88" s="37">
        <f>$L88*VLOOKUP($R88,武学奇术!$A:$ZZ,31,FALSE)</f>
        <v>455946.980806768</v>
      </c>
      <c r="L88" s="37">
        <f t="shared" si="34"/>
        <v>455946.980806768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474977.348119002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311440.61110594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207413.689134935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184130.629302508</v>
      </c>
      <c r="Q88" s="38">
        <v>1</v>
      </c>
      <c r="R88" s="39" t="s">
        <v>133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85</v>
      </c>
      <c r="Z88" s="39" t="s">
        <v>195</v>
      </c>
      <c r="AA88" s="39" t="s">
        <v>196</v>
      </c>
      <c r="AB88" s="39" t="s">
        <v>204</v>
      </c>
      <c r="AC88" s="39" t="s">
        <v>100</v>
      </c>
      <c r="AD88" s="39" t="s">
        <v>93</v>
      </c>
      <c r="AE88" s="39" t="s">
        <v>87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拳甲</v>
      </c>
      <c r="AN88" s="24">
        <f>VLOOKUP($R88,武学奇术!$A:$ZZ,26,FALSE)</f>
        <v>5.5691</v>
      </c>
      <c r="AO88" s="25">
        <f>VLOOKUP($R88,武学奇术!$A:$ZZ,27,FALSE)*(1+IF(OR($AM88=$F$4,$AM88=$F$5),$B$22,0))</f>
        <v>2470.4</v>
      </c>
      <c r="AP88" s="24">
        <f>VLOOKUP($R88,武学奇术!$A:$ZZ,28,FALSE)</f>
        <v>8.3537</v>
      </c>
      <c r="AQ88" s="25">
        <f>VLOOKUP($R88,武学奇术!$A:$ZZ,29,FALSE)*(1+IF(OR($AM88=$F$4,$AM88=$F$5),$B$22,0))</f>
        <v>1344</v>
      </c>
      <c r="AR88" s="24" cm="1">
        <f t="array" ref="AR88">$G$3+IFERROR(VLOOKUP($AM88,$F$4:$G$7,2,FALSE),0)+VLOOKUP($R88,武学奇术!$A:$ZZ,2,FALSE)+SUM(_xlfn.XLOOKUP($S88:$AL88,增益!$A:$A,增益!$B:$B,0))</f>
        <v>0.4543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4330.35</v>
      </c>
      <c r="AU88" cm="1">
        <f t="array" ref="AU88">$E$10*(1+$AS88)+VLOOKUP($R88,武学奇术!$A:$ZZ,4,FALSE)+SUM(_xlfn.XLOOKUP($S88:$AL88,增益!$A:$A,增益!$D:$D,0))-$I$2</f>
        <v>4330.35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0.4284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1" cm="1">
        <f t="array" ref="BB88">$G$11+VLOOKUP($R88,武学奇术!$A:$ZZ,10,FALSE)+SUM(_xlfn.XLOOKUP($S88:$AL88,增益!$A:$A,增益!$J:$J,0))</f>
        <v>0.12</v>
      </c>
      <c r="BC88">
        <f t="shared" si="26"/>
        <v>0</v>
      </c>
      <c r="BD88">
        <f t="shared" si="27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1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1" cm="1">
        <f t="array" ref="BJ88">$G$13+VLOOKUP($R88,武学奇术!$A:$ZZ,14,FALSE)+SUM(_xlfn.XLOOKUP($S88:$AL88,增益!$A:$A,增益!$N:$N,0))</f>
        <v>0.02</v>
      </c>
      <c r="BK88">
        <f t="shared" si="30"/>
        <v>649.11</v>
      </c>
      <c r="BL88">
        <f t="shared" si="31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2"/>
        <v>0.89337855</v>
      </c>
      <c r="BU88" s="24">
        <f t="shared" si="33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0.31</v>
      </c>
      <c r="BX88" s="24">
        <f>VLOOKUP($R88,武学奇术!$A:$ZZ,32,FALSE)</f>
        <v>0.4</v>
      </c>
      <c r="BY88" s="24" cm="1">
        <f t="array" ref="BY88">SUM(_xlfn.XLOOKUP($S88:$AL88,增益!$A:$A,增益!$X:$X,0))</f>
        <v>0</v>
      </c>
    </row>
    <row r="89" spans="1:77">
      <c r="A89" t="s">
        <v>178</v>
      </c>
      <c r="B89" s="95">
        <v>0.1</v>
      </c>
      <c r="C89" s="38" t="s">
        <v>195</v>
      </c>
      <c r="D89" s="38"/>
      <c r="K89" s="37">
        <f>$L89*VLOOKUP($R89,武学奇术!$A:$ZZ,31,FALSE)</f>
        <v>42471.6445930355</v>
      </c>
      <c r="L89" s="37">
        <f t="shared" si="34"/>
        <v>42471.6445930355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43615.950308462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34677.2217179612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23077.2223854296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20467.6138686657</v>
      </c>
      <c r="Q89" s="38">
        <v>1</v>
      </c>
      <c r="R89" s="39" t="s">
        <v>169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85</v>
      </c>
      <c r="Z89" s="39" t="s">
        <v>195</v>
      </c>
      <c r="AA89" s="39" t="s">
        <v>196</v>
      </c>
      <c r="AB89" s="39" t="s">
        <v>205</v>
      </c>
      <c r="AC89" s="39" t="s">
        <v>100</v>
      </c>
      <c r="AD89" s="39" t="s">
        <v>93</v>
      </c>
      <c r="AE89" s="39" t="s">
        <v>87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拳甲</v>
      </c>
      <c r="AN89" s="24">
        <f>VLOOKUP($R89,武学奇术!$A:$ZZ,26,FALSE)</f>
        <v>0.9193</v>
      </c>
      <c r="AO89" s="25">
        <f>VLOOKUP($R89,武学奇术!$A:$ZZ,27,FALSE)*(1+IF(OR($AM89=$F$4,$AM89=$F$5),$B$22,0))</f>
        <v>408</v>
      </c>
      <c r="AP89" s="24">
        <f>VLOOKUP($R89,武学奇术!$A:$ZZ,28,FALSE)</f>
        <v>1.379</v>
      </c>
      <c r="AQ89" s="25">
        <f>VLOOKUP($R89,武学奇术!$A:$ZZ,29,FALSE)*(1+IF(OR($AM89=$F$4,$AM89=$F$5),$B$22,0))</f>
        <v>222.4</v>
      </c>
      <c r="AR89" s="24" cm="1">
        <f t="array" ref="AR89">$G$3+IFERROR(VLOOKUP($AM89,$F$4:$G$7,2,FALSE),0)+VLOOKUP($R89,武学奇术!$A:$ZZ,2,FALSE)+SUM(_xlfn.XLOOKUP($S89:$AL89,增益!$A:$A,增益!$B:$B,0))</f>
        <v>0.4043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4330.35</v>
      </c>
      <c r="AU89" cm="1">
        <f t="array" ref="AU89">$E$10*(1+$AS89)+VLOOKUP($R89,武学奇术!$A:$ZZ,4,FALSE)+SUM(_xlfn.XLOOKUP($S89:$AL89,增益!$A:$A,增益!$D:$D,0))-$I$2</f>
        <v>4330.35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0.4284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1" cm="1">
        <f t="array" ref="BB89">$G$11+VLOOKUP($R89,武学奇术!$A:$ZZ,10,FALSE)+SUM(_xlfn.XLOOKUP($S89:$AL89,增益!$A:$A,增益!$J:$J,0))</f>
        <v>0.12</v>
      </c>
      <c r="BC89">
        <f t="shared" si="26"/>
        <v>0</v>
      </c>
      <c r="BD89">
        <f t="shared" si="27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1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1" cm="1">
        <f t="array" ref="BJ89">$G$13+VLOOKUP($R89,武学奇术!$A:$ZZ,14,FALSE)+SUM(_xlfn.XLOOKUP($S89:$AL89,增益!$A:$A,增益!$N:$N,0))</f>
        <v>0.02</v>
      </c>
      <c r="BK89">
        <f t="shared" si="30"/>
        <v>649.11</v>
      </c>
      <c r="BL89">
        <f t="shared" si="31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2"/>
        <v>0.89337855</v>
      </c>
      <c r="BU89" s="24">
        <f t="shared" si="33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0.31</v>
      </c>
      <c r="BX89" s="24">
        <f>VLOOKUP($R89,武学奇术!$A:$ZZ,32,FALSE)</f>
        <v>0.4</v>
      </c>
      <c r="BY89" s="24" cm="1">
        <f t="array" ref="BY89">SUM(_xlfn.XLOOKUP($S89:$AL89,增益!$A:$A,增益!$X:$X,0))</f>
        <v>0</v>
      </c>
    </row>
    <row r="90" spans="1:77">
      <c r="A90" t="s">
        <v>191</v>
      </c>
      <c r="B90">
        <v>2.4</v>
      </c>
      <c r="C90" s="38"/>
      <c r="D90" s="38"/>
      <c r="K90" s="37">
        <f>$L90*VLOOKUP($R90,武学奇术!$A:$ZZ,31,FALSE)</f>
        <v>56931.6284979542</v>
      </c>
      <c r="L90" s="37">
        <f t="shared" si="34"/>
        <v>56931.6284979542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58465.5493672555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46483.2680514635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30934.153104368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27436.2558002444</v>
      </c>
      <c r="Q90" s="38">
        <v>1</v>
      </c>
      <c r="R90" s="39" t="s">
        <v>173</v>
      </c>
      <c r="S90" s="39" t="s">
        <v>104</v>
      </c>
      <c r="T90" s="39" t="s">
        <v>194</v>
      </c>
      <c r="U90" s="39" t="s">
        <v>81</v>
      </c>
      <c r="V90" s="39" t="s">
        <v>84</v>
      </c>
      <c r="W90" s="39" t="s">
        <v>84</v>
      </c>
      <c r="X90" s="39" t="s">
        <v>84</v>
      </c>
      <c r="Y90" s="39" t="s">
        <v>85</v>
      </c>
      <c r="Z90" s="39" t="s">
        <v>195</v>
      </c>
      <c r="AA90" s="39" t="s">
        <v>196</v>
      </c>
      <c r="AB90" s="39" t="s">
        <v>205</v>
      </c>
      <c r="AC90" s="39" t="s">
        <v>100</v>
      </c>
      <c r="AD90" s="39" t="s">
        <v>93</v>
      </c>
      <c r="AE90" s="39" t="s">
        <v>87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拳甲</v>
      </c>
      <c r="AN90" s="24">
        <f>VLOOKUP($R90,武学奇术!$A:$ZZ,26,FALSE)</f>
        <v>1.2324</v>
      </c>
      <c r="AO90" s="25">
        <f>VLOOKUP($R90,武学奇术!$A:$ZZ,27,FALSE)*(1+IF(OR($AM90=$F$4,$AM90=$F$5),$B$22,0))</f>
        <v>547.2</v>
      </c>
      <c r="AP90" s="24">
        <f>VLOOKUP($R90,武学奇术!$A:$ZZ,28,FALSE)</f>
        <v>1.8484</v>
      </c>
      <c r="AQ90" s="25">
        <f>VLOOKUP($R90,武学奇术!$A:$ZZ,29,FALSE)*(1+IF(OR($AM90=$F$4,$AM90=$F$5),$B$22,0))</f>
        <v>297.6</v>
      </c>
      <c r="AR90" s="24" cm="1">
        <f t="array" ref="AR90">$G$3+IFERROR(VLOOKUP($AM90,$F$4:$G$7,2,FALSE),0)+VLOOKUP($R90,武学奇术!$A:$ZZ,2,FALSE)+SUM(_xlfn.XLOOKUP($S90:$AL90,增益!$A:$A,增益!$B:$B,0))</f>
        <v>0.4043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4330.35</v>
      </c>
      <c r="AU90" cm="1">
        <f t="array" ref="AU90">$E$10*(1+$AS90)+VLOOKUP($R90,武学奇术!$A:$ZZ,4,FALSE)+SUM(_xlfn.XLOOKUP($S90:$AL90,增益!$A:$A,增益!$D:$D,0))-$I$2</f>
        <v>4330.35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0.4284</v>
      </c>
      <c r="AW90" s="31" cm="1">
        <f t="array" ref="AW90">$G$10+VLOOKUP($R90,武学奇术!$A:$ZZ,7,FALSE)+SUM(_xlfn.XLOOKUP($S90:$AL90,增益!$A:$A,增益!$G:$G,0))</f>
        <v>0.02</v>
      </c>
      <c r="AX90" s="24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1" cm="1">
        <f t="array" ref="BB90">$G$11+VLOOKUP($R90,武学奇术!$A:$ZZ,10,FALSE)+SUM(_xlfn.XLOOKUP($S90:$AL90,增益!$A:$A,增益!$J:$J,0))</f>
        <v>0.12</v>
      </c>
      <c r="BC90">
        <f t="shared" si="26"/>
        <v>0</v>
      </c>
      <c r="BD90">
        <f t="shared" si="27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1" cm="1">
        <f t="array" ref="BF90">$G$12+VLOOKUP($R90,武学奇术!$A:$ZZ,12,FALSE)+SUM(_xlfn.XLOOKUP($S90:$AL90,增益!$A:$A,增益!$L:$L,0))</f>
        <v>0.02</v>
      </c>
      <c r="BG90">
        <f t="shared" si="28"/>
        <v>0</v>
      </c>
      <c r="BH90">
        <f t="shared" si="29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1" cm="1">
        <f t="array" ref="BJ90">$G$13+VLOOKUP($R90,武学奇术!$A:$ZZ,14,FALSE)+SUM(_xlfn.XLOOKUP($S90:$AL90,增益!$A:$A,增益!$N:$N,0))</f>
        <v>0.02</v>
      </c>
      <c r="BK90">
        <f t="shared" si="30"/>
        <v>649.11</v>
      </c>
      <c r="BL90">
        <f t="shared" si="31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1" cm="1">
        <f t="array" ref="BN90">$G$14+VLOOKUP($R90,武学奇术!$A:$ZZ,16,FALSE)+SUM(_xlfn.XLOOKUP($S90:$AL90,增益!$A:$A,增益!$P:$P,0))</f>
        <v>0.17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2"/>
        <v>0.89337855</v>
      </c>
      <c r="BU90" s="24">
        <f t="shared" si="33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0.31</v>
      </c>
      <c r="BX90" s="24">
        <f>VLOOKUP($R90,武学奇术!$A:$ZZ,32,FALSE)</f>
        <v>0.4</v>
      </c>
      <c r="BY90" s="24" cm="1">
        <f t="array" ref="BY90">SUM(_xlfn.XLOOKUP($S90:$AL90,增益!$A:$A,增益!$X:$X,0))</f>
        <v>0</v>
      </c>
    </row>
    <row r="91" spans="1:77">
      <c r="A91" t="s">
        <v>191</v>
      </c>
      <c r="B91">
        <v>2.1</v>
      </c>
      <c r="C91" s="38"/>
      <c r="D91" s="38"/>
      <c r="E91" s="38" t="s">
        <v>184</v>
      </c>
      <c r="K91" s="37">
        <f>$L91*VLOOKUP($R91,武学奇术!$A:$ZZ,31,FALSE)</f>
        <v>97008.6995106923</v>
      </c>
      <c r="L91" s="37">
        <f t="shared" si="34"/>
        <v>60630.4371941827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62344.0783773229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48874.81424804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32136.1228749087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28068.6796401582</v>
      </c>
      <c r="Q91" s="38">
        <v>1</v>
      </c>
      <c r="R91" s="39" t="s">
        <v>122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85</v>
      </c>
      <c r="Z91" s="39" t="s">
        <v>195</v>
      </c>
      <c r="AA91" s="39" t="s">
        <v>196</v>
      </c>
      <c r="AB91" s="39" t="s">
        <v>204</v>
      </c>
      <c r="AC91" s="39" t="s">
        <v>92</v>
      </c>
      <c r="AD91" s="39" t="s">
        <v>93</v>
      </c>
      <c r="AE91" s="39" t="s">
        <v>87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拳甲</v>
      </c>
      <c r="AN91" s="24">
        <f>VLOOKUP($R91,武学奇术!$A:$ZZ,26,FALSE)</f>
        <v>1.862784</v>
      </c>
      <c r="AO91" s="25">
        <f>VLOOKUP($R91,武学奇术!$A:$ZZ,27,FALSE)*(1+IF(OR($AM91=$F$4,$AM91=$F$5),$B$22,0))</f>
        <v>0</v>
      </c>
      <c r="AP91" s="24">
        <f>VLOOKUP($R91,武学奇术!$A:$ZZ,28,FALSE)</f>
        <v>2.794176</v>
      </c>
      <c r="AQ91" s="25">
        <f>VLOOKUP($R91,武学奇术!$A:$ZZ,29,FALSE)*(1+IF(OR($AM91=$F$4,$AM91=$F$5),$B$22,0))</f>
        <v>0</v>
      </c>
      <c r="AR91" s="24" cm="1">
        <f t="array" ref="AR91">$G$3+IFERROR(VLOOKUP($AM91,$F$4:$G$7,2,FALSE),0)+VLOOKUP($R91,武学奇术!$A:$ZZ,2,FALSE)+SUM(_xlfn.XLOOKUP($S91:$AL91,增益!$A:$A,增益!$B:$B,0))</f>
        <v>0.4043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4330.35</v>
      </c>
      <c r="AU91" cm="1">
        <f t="array" ref="AU91">$E$10*(1+$AS91)+VLOOKUP($R91,武学奇术!$A:$ZZ,4,FALSE)+SUM(_xlfn.XLOOKUP($S91:$AL91,增益!$A:$A,增益!$D:$D,0))-$I$2</f>
        <v>4330.35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0.4284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1" cm="1">
        <f t="array" ref="BB91">$G$11+VLOOKUP($R91,武学奇术!$A:$ZZ,10,FALSE)+SUM(_xlfn.XLOOKUP($S91:$AL91,增益!$A:$A,增益!$J:$J,0))</f>
        <v>0.12</v>
      </c>
      <c r="BC91">
        <f t="shared" si="26"/>
        <v>0</v>
      </c>
      <c r="BD91">
        <f t="shared" si="27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1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1" cm="1">
        <f t="array" ref="BJ91">$G$13+VLOOKUP($R91,武学奇术!$A:$ZZ,14,FALSE)+SUM(_xlfn.XLOOKUP($S91:$AL91,增益!$A:$A,增益!$N:$N,0))</f>
        <v>0.02</v>
      </c>
      <c r="BK91">
        <f t="shared" si="30"/>
        <v>649.11</v>
      </c>
      <c r="BL91">
        <f t="shared" si="31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2"/>
        <v>0.89337855</v>
      </c>
      <c r="BU91" s="24">
        <f t="shared" si="33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0.31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A92" t="s">
        <v>191</v>
      </c>
      <c r="B92">
        <v>1.83</v>
      </c>
      <c r="C92" s="38"/>
      <c r="D92" s="38"/>
      <c r="E92" s="38"/>
      <c r="K92" s="37">
        <f>$L92*VLOOKUP($R92,武学奇术!$A:$ZZ,31,FALSE)</f>
        <v>42662.4128431115</v>
      </c>
      <c r="L92" s="37">
        <f t="shared" si="34"/>
        <v>42662.4128431115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43907.6149656327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33983.3601731745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22632.7912193983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20092.7230512599</v>
      </c>
      <c r="Q92" s="38">
        <v>1</v>
      </c>
      <c r="R92" s="39" t="s">
        <v>115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85</v>
      </c>
      <c r="Z92" s="39" t="s">
        <v>84</v>
      </c>
      <c r="AA92" s="39" t="s">
        <v>84</v>
      </c>
      <c r="AB92" s="39" t="s">
        <v>204</v>
      </c>
      <c r="AC92" s="39" t="s">
        <v>92</v>
      </c>
      <c r="AD92" s="39" t="s">
        <v>93</v>
      </c>
      <c r="AE92" s="39" t="s">
        <v>87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双刀</v>
      </c>
      <c r="AN92" s="24">
        <f>VLOOKUP($R92,武学奇术!$A:$ZZ,26,FALSE)</f>
        <v>1.3728</v>
      </c>
      <c r="AO92" s="25">
        <f>VLOOKUP($R92,武学奇术!$A:$ZZ,27,FALSE)*(1+IF(OR($AM92=$F$4,$AM92=$F$5),$B$22,0))</f>
        <v>609.44</v>
      </c>
      <c r="AP92" s="24">
        <f>VLOOKUP($R92,武学奇术!$A:$ZZ,28,FALSE)</f>
        <v>2.05933</v>
      </c>
      <c r="AQ92" s="25">
        <f>VLOOKUP($R92,武学奇术!$A:$ZZ,29,FALSE)*(1+IF(OR($AM92=$F$4,$AM92=$F$5),$B$22,0))</f>
        <v>332.8</v>
      </c>
      <c r="AR92" s="24" cm="1">
        <f t="array" ref="AR92">$G$3+IFERROR(VLOOKUP($AM92,$F$4:$G$7,2,FALSE),0)+VLOOKUP($R92,武学奇术!$A:$ZZ,2,FALSE)+SUM(_xlfn.XLOOKUP($S92:$AL92,增益!$A:$A,增益!$B:$B,0))</f>
        <v>0.4043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4330.35</v>
      </c>
      <c r="AU92" cm="1">
        <f t="array" ref="AU92">$E$10*(1+$AS92)+VLOOKUP($R92,武学奇术!$A:$ZZ,4,FALSE)+SUM(_xlfn.XLOOKUP($S92:$AL92,增益!$A:$A,增益!$D:$D,0))-$I$2</f>
        <v>4330.35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0.4284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1" cm="1">
        <f t="array" ref="BB92">$G$11+VLOOKUP($R92,武学奇术!$A:$ZZ,10,FALSE)+SUM(_xlfn.XLOOKUP($S92:$AL92,增益!$A:$A,增益!$J:$J,0))</f>
        <v>0.02</v>
      </c>
      <c r="BC92">
        <f t="shared" si="26"/>
        <v>0</v>
      </c>
      <c r="BD92">
        <f t="shared" si="27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1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1" cm="1">
        <f t="array" ref="BJ92">$G$13+VLOOKUP($R92,武学奇术!$A:$ZZ,14,FALSE)+SUM(_xlfn.XLOOKUP($S92:$AL92,增益!$A:$A,增益!$N:$N,0))</f>
        <v>0.02</v>
      </c>
      <c r="BK92">
        <f t="shared" si="30"/>
        <v>649.11</v>
      </c>
      <c r="BL92">
        <f t="shared" si="31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2"/>
        <v>0.89337855</v>
      </c>
      <c r="BU92" s="24">
        <f t="shared" si="33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0.11</v>
      </c>
      <c r="BX92" s="24">
        <f>VLOOKUP($R92,武学奇术!$A:$ZZ,32,FALSE)</f>
        <v>0</v>
      </c>
      <c r="BY92" s="24" cm="1">
        <f t="array" ref="BY92">SUM(_xlfn.XLOOKUP($S92:$AL92,增益!$A:$A,增益!$X:$X,0))</f>
        <v>0</v>
      </c>
    </row>
    <row r="93" spans="1:77">
      <c r="A93" t="s">
        <v>202</v>
      </c>
      <c r="B93">
        <v>0.7</v>
      </c>
      <c r="C93" s="38"/>
      <c r="D93" s="38"/>
      <c r="E93" s="38"/>
      <c r="K93" s="37">
        <f>$L93*VLOOKUP($R93,武学奇术!$A:$ZZ,31,FALSE)</f>
        <v>268454.953584065</v>
      </c>
      <c r="L93" s="89">
        <f>SUM(L80:L88)*0.2*(1+BY93)</f>
        <v>536909.907168129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0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0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0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0</v>
      </c>
      <c r="Q93" s="38">
        <v>1</v>
      </c>
      <c r="R93" s="39" t="s">
        <v>180</v>
      </c>
      <c r="S93" s="39" t="s">
        <v>181</v>
      </c>
      <c r="T93" s="39" t="s">
        <v>84</v>
      </c>
      <c r="U93" s="39" t="s">
        <v>84</v>
      </c>
      <c r="V93" s="39" t="s">
        <v>84</v>
      </c>
      <c r="W93" s="39" t="s">
        <v>84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84</v>
      </c>
      <c r="AC93" s="39" t="s">
        <v>84</v>
      </c>
      <c r="AD93" s="39" t="s">
        <v>84</v>
      </c>
      <c r="AE93" s="39" t="s">
        <v>87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心法</v>
      </c>
      <c r="AN93" s="24">
        <f>VLOOKUP($R93,武学奇术!$A:$ZZ,26,FALSE)</f>
        <v>0</v>
      </c>
      <c r="AO93" s="25">
        <f>VLOOKUP($R93,武学奇术!$A:$ZZ,27,FALSE)*(1+IF(OR($AM93=$F$4,$AM93=$F$5),$B$22,0))</f>
        <v>0</v>
      </c>
      <c r="AP93" s="24">
        <f>VLOOKUP($R93,武学奇术!$A:$ZZ,28,FALSE)</f>
        <v>0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0.1842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4330.35</v>
      </c>
      <c r="AU93" cm="1">
        <f t="array" ref="AU93">$E$10*(1+$AS93)+VLOOKUP($R93,武学奇术!$A:$ZZ,4,FALSE)+SUM(_xlfn.XLOOKUP($S93:$AL93,增益!$A:$A,增益!$D:$D,0))-$I$2</f>
        <v>4330.35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0.2534</v>
      </c>
      <c r="AW93" s="31" cm="1">
        <f t="array" ref="AW93">$G$10+VLOOKUP($R93,武学奇术!$A:$ZZ,7,FALSE)+SUM(_xlfn.XLOOKUP($S93:$AL93,增益!$A:$A,增益!$G:$G,0))</f>
        <v>0</v>
      </c>
      <c r="AX93" s="24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</v>
      </c>
      <c r="BC93">
        <f t="shared" si="26"/>
        <v>0</v>
      </c>
      <c r="BD93">
        <f t="shared" si="27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</v>
      </c>
      <c r="BG93">
        <f t="shared" si="28"/>
        <v>0</v>
      </c>
      <c r="BH93">
        <f t="shared" si="29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</v>
      </c>
      <c r="BK93">
        <f t="shared" si="30"/>
        <v>649.11</v>
      </c>
      <c r="BL93">
        <f t="shared" si="31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0.15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1.54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2"/>
        <v>0.89337855</v>
      </c>
      <c r="BU93" s="24">
        <f t="shared" si="33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</v>
      </c>
      <c r="BY93" s="24" cm="1">
        <f t="array" ref="BY93">SUM(_xlfn.XLOOKUP($S93:$AL93,增益!$A:$A,增益!$X:$X,0))</f>
        <v>0.2</v>
      </c>
    </row>
    <row r="94" spans="1:77">
      <c r="A94" t="s">
        <v>203</v>
      </c>
      <c r="B94">
        <v>0.8</v>
      </c>
      <c r="C94" s="38"/>
      <c r="D94" s="38"/>
      <c r="E94" s="38"/>
      <c r="K94" s="37">
        <f>$L94*VLOOKUP($R94,武学奇术!$A:$ZZ,31,FALSE)</f>
        <v>57058.793040539</v>
      </c>
      <c r="L94" s="37">
        <f t="shared" si="34"/>
        <v>57058.793040539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59384.3001889323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39589.5696050126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26510.8482986305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23696.0894824369</v>
      </c>
      <c r="Q94" s="38">
        <v>1</v>
      </c>
      <c r="R94" s="39" t="s">
        <v>124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92</v>
      </c>
      <c r="AD94" s="39" t="s">
        <v>93</v>
      </c>
      <c r="AE94" s="39" t="s">
        <v>87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1.1333</v>
      </c>
      <c r="AO94" s="25">
        <f>VLOOKUP($R94,武学奇术!$A:$ZZ,27,FALSE)*(1+IF(OR($AM94=$F$4,$AM94=$F$5),$B$22,0))</f>
        <v>502.4</v>
      </c>
      <c r="AP94" s="24">
        <f>VLOOKUP($R94,武学奇术!$A:$ZZ,28,FALSE)</f>
        <v>1.6999</v>
      </c>
      <c r="AQ94" s="25">
        <f>VLOOKUP($R94,武学奇术!$A:$ZZ,29,FALSE)*(1+IF(OR($AM94=$F$4,$AM94=$F$5),$B$22,0))</f>
        <v>273.6</v>
      </c>
      <c r="AR94" s="24" cm="1">
        <f t="array" ref="AR94">$G$3+IFERROR(VLOOKUP($AM94,$F$4:$G$7,2,FALSE),0)+VLOOKUP($R94,武学奇术!$A:$ZZ,2,FALSE)+SUM(_xlfn.XLOOKUP($S94:$AL94,增益!$A:$A,增益!$B:$B,0))</f>
        <v>0.4543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4330.35</v>
      </c>
      <c r="AU94" cm="1">
        <f t="array" ref="AU94">$E$10*(1+$AS94)+VLOOKUP($R94,武学奇术!$A:$ZZ,4,FALSE)+SUM(_xlfn.XLOOKUP($S94:$AL94,增益!$A:$A,增益!$D:$D,0))-$I$2</f>
        <v>4330.35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0.4284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26"/>
        <v>0</v>
      </c>
      <c r="BD94">
        <f t="shared" si="27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30"/>
        <v>649.11</v>
      </c>
      <c r="BL94">
        <f t="shared" si="31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2.24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2"/>
        <v>0.89337855</v>
      </c>
      <c r="BU94" s="24">
        <f t="shared" si="33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0.4</v>
      </c>
      <c r="BY94" s="24" cm="1">
        <f t="array" ref="BY94">SUM(_xlfn.XLOOKUP($S94:$AL94,增益!$A:$A,增益!$X:$X,0))</f>
        <v>0</v>
      </c>
    </row>
    <row r="95" spans="1:77">
      <c r="A95" t="s">
        <v>182</v>
      </c>
      <c r="B95">
        <v>0.7</v>
      </c>
      <c r="C95" s="38"/>
      <c r="D95" s="38"/>
      <c r="K95" s="37">
        <f>$L95*VLOOKUP($R95,武学奇术!$A:$ZZ,31,FALSE)</f>
        <v>39027.1427240279</v>
      </c>
      <c r="L95" s="37">
        <f t="shared" si="34"/>
        <v>39027.1427240279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40617.8482042331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27077.4666924883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18132.9679483183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16208.5531614601</v>
      </c>
      <c r="Q95" s="38">
        <v>1</v>
      </c>
      <c r="R95" s="39" t="s">
        <v>127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92</v>
      </c>
      <c r="AD95" s="39" t="s">
        <v>93</v>
      </c>
      <c r="AE95" s="39" t="s">
        <v>87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0.7748</v>
      </c>
      <c r="AO95" s="25">
        <f>VLOOKUP($R95,武学奇术!$A:$ZZ,27,FALSE)*(1+IF(OR($AM95=$F$4,$AM95=$F$5),$B$22,0))</f>
        <v>345.6</v>
      </c>
      <c r="AP95" s="24">
        <f>VLOOKUP($R95,武学奇术!$A:$ZZ,28,FALSE)</f>
        <v>1.1622</v>
      </c>
      <c r="AQ95" s="25">
        <f>VLOOKUP($R95,武学奇术!$A:$ZZ,29,FALSE)*(1+IF(OR($AM95=$F$4,$AM95=$F$5),$B$22,0))</f>
        <v>187.2</v>
      </c>
      <c r="AR95" s="24" cm="1">
        <f t="array" ref="AR95">$G$3+IFERROR(VLOOKUP($AM95,$F$4:$G$7,2,FALSE),0)+VLOOKUP($R95,武学奇术!$A:$ZZ,2,FALSE)+SUM(_xlfn.XLOOKUP($S95:$AL95,增益!$A:$A,增益!$B:$B,0))</f>
        <v>0.4543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4330.35</v>
      </c>
      <c r="AU95" cm="1">
        <f t="array" ref="AU95">$E$10*(1+$AS95)+VLOOKUP($R95,武学奇术!$A:$ZZ,4,FALSE)+SUM(_xlfn.XLOOKUP($S95:$AL95,增益!$A:$A,增益!$D:$D,0))-$I$2</f>
        <v>4330.35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0.4284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26"/>
        <v>0</v>
      </c>
      <c r="BD95">
        <f t="shared" si="27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30"/>
        <v>649.11</v>
      </c>
      <c r="BL95">
        <f t="shared" si="31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2"/>
        <v>0.89337855</v>
      </c>
      <c r="BU95" s="24">
        <f t="shared" si="33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t="s">
        <v>178</v>
      </c>
      <c r="B96" s="95">
        <v>0.1</v>
      </c>
      <c r="C96" s="38"/>
      <c r="D96" s="38"/>
      <c r="K96" s="37">
        <f>$L96*VLOOKUP($R96,武学奇术!$A:$ZZ,31,FALSE)</f>
        <v>82439.4960089102</v>
      </c>
      <c r="L96" s="37">
        <f t="shared" si="34"/>
        <v>51524.6850055689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53112.2454228058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40338.9946801881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26689.570564224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23498.4043283086</v>
      </c>
      <c r="Q96" s="38">
        <v>1</v>
      </c>
      <c r="R96" s="39" t="s">
        <v>122</v>
      </c>
      <c r="S96" s="39" t="s">
        <v>104</v>
      </c>
      <c r="T96" s="39" t="s">
        <v>194</v>
      </c>
      <c r="U96" s="39" t="s">
        <v>81</v>
      </c>
      <c r="V96" s="39" t="s">
        <v>130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92</v>
      </c>
      <c r="AD96" s="39" t="s">
        <v>93</v>
      </c>
      <c r="AE96" s="39" t="s">
        <v>87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1.862784</v>
      </c>
      <c r="AO96" s="25">
        <f>VLOOKUP($R96,武学奇术!$A:$ZZ,27,FALSE)*(1+IF(OR($AM96=$F$4,$AM96=$F$5),$B$22,0))</f>
        <v>0</v>
      </c>
      <c r="AP96" s="24">
        <f>VLOOKUP($R96,武学奇术!$A:$ZZ,28,FALSE)</f>
        <v>2.794176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0.4043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4330.35</v>
      </c>
      <c r="AU96" cm="1">
        <f t="array" ref="AU96">$E$10*(1+$AS96)+VLOOKUP($R96,武学奇术!$A:$ZZ,4,FALSE)+SUM(_xlfn.XLOOKUP($S96:$AL96,增益!$A:$A,增益!$D:$D,0))-$I$2</f>
        <v>4330.35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0.4284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26"/>
        <v>0</v>
      </c>
      <c r="BD96">
        <f t="shared" si="27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30"/>
        <v>649.11</v>
      </c>
      <c r="BL96">
        <f t="shared" si="31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1.99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2"/>
        <v>0.89337855</v>
      </c>
      <c r="BU96" s="24">
        <f t="shared" si="33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</v>
      </c>
      <c r="BY96" s="24" cm="1">
        <f t="array" ref="BY96">SUM(_xlfn.XLOOKUP($S96:$AL96,增益!$A:$A,增益!$X:$X,0))</f>
        <v>0</v>
      </c>
    </row>
    <row r="97" spans="1:77">
      <c r="A97" t="s">
        <v>177</v>
      </c>
      <c r="B97">
        <v>0.7</v>
      </c>
      <c r="D97" s="38"/>
      <c r="K97" s="37">
        <f>$L97*VLOOKUP($R97,武学奇术!$A:$ZZ,31,FALSE)</f>
        <v>65395.6460935634</v>
      </c>
      <c r="L97" s="37">
        <f t="shared" si="34"/>
        <v>65395.6460935634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68148.3239526224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44440.7753978107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29759.0934290928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26599.0939709184</v>
      </c>
      <c r="Q97" s="38">
        <v>1</v>
      </c>
      <c r="R97" s="39" t="s">
        <v>136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84</v>
      </c>
      <c r="Z97" s="39" t="s">
        <v>84</v>
      </c>
      <c r="AA97" s="39" t="s">
        <v>84</v>
      </c>
      <c r="AB97" s="39" t="s">
        <v>204</v>
      </c>
      <c r="AC97" s="39" t="s">
        <v>92</v>
      </c>
      <c r="AD97" s="39" t="s">
        <v>93</v>
      </c>
      <c r="AE97" s="39" t="s">
        <v>87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0.9634</v>
      </c>
      <c r="AO97" s="25">
        <f>VLOOKUP($R97,武学奇术!$A:$ZZ,27,FALSE)*(1+IF(OR($AM97=$F$4,$AM97=$F$5),$B$22,0))</f>
        <v>427.2</v>
      </c>
      <c r="AP97" s="24">
        <f>VLOOKUP($R97,武学奇术!$A:$ZZ,28,FALSE)</f>
        <v>1.4451</v>
      </c>
      <c r="AQ97" s="25">
        <f>VLOOKUP($R97,武学奇术!$A:$ZZ,29,FALSE)*(1+IF(OR($AM97=$F$4,$AM97=$F$5),$B$22,0))</f>
        <v>232</v>
      </c>
      <c r="AR97" s="24" cm="1">
        <f t="array" ref="AR97">$G$3+IFERROR(VLOOKUP($AM97,$F$4:$G$7,2,FALSE),0)+VLOOKUP($R97,武学奇术!$A:$ZZ,2,FALSE)+SUM(_xlfn.XLOOKUP($S97:$AL97,增益!$A:$A,增益!$B:$B,0))</f>
        <v>0.4543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4330.35</v>
      </c>
      <c r="AU97" cm="1">
        <f t="array" ref="AU97">$E$10*(1+$AS97)+VLOOKUP($R97,武学奇术!$A:$ZZ,4,FALSE)+SUM(_xlfn.XLOOKUP($S97:$AL97,增益!$A:$A,增益!$D:$D,0))-$I$2</f>
        <v>4330.35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0.4284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26"/>
        <v>0</v>
      </c>
      <c r="BD97">
        <f t="shared" si="27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28"/>
        <v>0</v>
      </c>
      <c r="BH97">
        <f t="shared" si="29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30"/>
        <v>649.11</v>
      </c>
      <c r="BL97">
        <f t="shared" si="31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2.29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2"/>
        <v>0.89337855</v>
      </c>
      <c r="BU97" s="24">
        <f t="shared" si="33"/>
        <v>0.0153214500000001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>
        <f>VLOOKUP($R97,武学奇术!$A:$ZZ,32,FALSE)</f>
        <v>0.4</v>
      </c>
      <c r="BY97" s="24" cm="1">
        <f t="array" ref="BY97">SUM(_xlfn.XLOOKUP($S97:$AL97,增益!$A:$A,增益!$X:$X,0))</f>
        <v>0</v>
      </c>
    </row>
    <row r="98" spans="1:77">
      <c r="A98" t="s">
        <v>176</v>
      </c>
      <c r="B98">
        <v>0.8</v>
      </c>
      <c r="K98" s="37">
        <f>$L98*VLOOKUP($R98,武学奇术!$A:$ZZ,31,FALSE)</f>
        <v>62875.3724468652</v>
      </c>
      <c r="L98" s="37">
        <f t="shared" si="34"/>
        <v>62875.3724468652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65522.0803764205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42726.9435150386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28612.2621731094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25574.9365573013</v>
      </c>
      <c r="Q98" s="38">
        <v>1</v>
      </c>
      <c r="R98" s="39" t="s">
        <v>142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84</v>
      </c>
      <c r="Z98" s="39" t="s">
        <v>84</v>
      </c>
      <c r="AA98" s="39" t="s">
        <v>84</v>
      </c>
      <c r="AB98" s="39" t="s">
        <v>204</v>
      </c>
      <c r="AC98" s="39" t="s">
        <v>92</v>
      </c>
      <c r="AD98" s="39" t="s">
        <v>93</v>
      </c>
      <c r="AE98" s="39" t="s">
        <v>87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0.926</v>
      </c>
      <c r="AO98" s="25">
        <f>VLOOKUP($R98,武学奇术!$A:$ZZ,27,FALSE)*(1+IF(OR($AM98=$F$4,$AM98=$F$5),$B$22,0))</f>
        <v>411.2</v>
      </c>
      <c r="AP98" s="24">
        <f>VLOOKUP($R98,武学奇术!$A:$ZZ,28,FALSE)</f>
        <v>1.389</v>
      </c>
      <c r="AQ98" s="25">
        <f>VLOOKUP($R98,武学奇术!$A:$ZZ,29,FALSE)*(1+IF(OR($AM98=$F$4,$AM98=$F$5),$B$22,0))</f>
        <v>224</v>
      </c>
      <c r="AR98" s="24" cm="1">
        <f t="array" ref="AR98">$G$3+IFERROR(VLOOKUP($AM98,$F$4:$G$7,2,FALSE),0)+VLOOKUP($R98,武学奇术!$A:$ZZ,2,FALSE)+SUM(_xlfn.XLOOKUP($S98:$AL98,增益!$A:$A,增益!$B:$B,0))</f>
        <v>0.4543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4330.35</v>
      </c>
      <c r="AU98" cm="1">
        <f t="array" ref="AU98">$E$10*(1+$AS98)+VLOOKUP($R98,武学奇术!$A:$ZZ,4,FALSE)+SUM(_xlfn.XLOOKUP($S98:$AL98,增益!$A:$A,增益!$D:$D,0))-$I$2</f>
        <v>4330.35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0.4284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26"/>
        <v>0</v>
      </c>
      <c r="BD98">
        <f t="shared" si="27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30"/>
        <v>649.11</v>
      </c>
      <c r="BL98">
        <f t="shared" si="31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2"/>
        <v>0.89337855</v>
      </c>
      <c r="BU98" s="24">
        <f t="shared" si="33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:77">
      <c r="A99" t="s">
        <v>178</v>
      </c>
      <c r="B99" s="95">
        <v>0.1</v>
      </c>
      <c r="K99" s="37">
        <f>$L99*VLOOKUP($R99,武学奇术!$A:$ZZ,31,FALSE)</f>
        <v>76688.0779096969</v>
      </c>
      <c r="L99" s="37">
        <f t="shared" si="34"/>
        <v>76688.0779096969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79916.0669206169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52114.9213873215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34897.8458168633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31192.0461616365</v>
      </c>
      <c r="Q99" s="38">
        <v>1</v>
      </c>
      <c r="R99" s="39" t="s">
        <v>146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84</v>
      </c>
      <c r="Z99" s="39" t="s">
        <v>84</v>
      </c>
      <c r="AA99" s="39" t="s">
        <v>84</v>
      </c>
      <c r="AB99" s="39" t="s">
        <v>204</v>
      </c>
      <c r="AC99" s="39" t="s">
        <v>92</v>
      </c>
      <c r="AD99" s="39" t="s">
        <v>93</v>
      </c>
      <c r="AE99" s="39" t="s">
        <v>87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1.1298</v>
      </c>
      <c r="AO99" s="25">
        <f>VLOOKUP($R99,武学奇术!$A:$ZZ,27,FALSE)*(1+IF(OR($AM99=$F$4,$AM99=$F$5),$B$22,0))</f>
        <v>500.8</v>
      </c>
      <c r="AP99" s="24">
        <f>VLOOKUP($R99,武学奇术!$A:$ZZ,28,FALSE)</f>
        <v>1.6947</v>
      </c>
      <c r="AQ99" s="25">
        <f>VLOOKUP($R99,武学奇术!$A:$ZZ,29,FALSE)*(1+IF(OR($AM99=$F$4,$AM99=$F$5),$B$22,0))</f>
        <v>272</v>
      </c>
      <c r="AR99" s="24" cm="1">
        <f t="array" ref="AR99">$G$3+IFERROR(VLOOKUP($AM99,$F$4:$G$7,2,FALSE),0)+VLOOKUP($R99,武学奇术!$A:$ZZ,2,FALSE)+SUM(_xlfn.XLOOKUP($S99:$AL99,增益!$A:$A,增益!$B:$B,0))</f>
        <v>0.4543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4330.35</v>
      </c>
      <c r="AU99" cm="1">
        <f t="array" ref="AU99">$E$10*(1+$AS99)+VLOOKUP($R99,武学奇术!$A:$ZZ,4,FALSE)+SUM(_xlfn.XLOOKUP($S99:$AL99,增益!$A:$A,增益!$D:$D,0))-$I$2</f>
        <v>4330.35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0.4284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ref="BC99:BC136" si="37">$D$12*(1+$AX99)</f>
        <v>0</v>
      </c>
      <c r="BD99">
        <f t="shared" ref="BD99:BD136" si="38">$E$12*(1+$AX99)</f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ref="BG99:BG136" si="39">$D$13*(1+$AX99)</f>
        <v>0</v>
      </c>
      <c r="BH99">
        <f t="shared" ref="BH99:BH136" si="40">$E$13*(1+$AX99)</f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ref="BK99:BK136" si="41">$D$14*(1+$AX99)</f>
        <v>649.11</v>
      </c>
      <c r="BL99">
        <f t="shared" ref="BL99:BL136" si="42">$E$14*(1+$AX99)</f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2.29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3">MIN((1-BR99)*BO99,BO99*BP99)</f>
        <v>0.89337855</v>
      </c>
      <c r="BU99" s="24">
        <f t="shared" ref="BU99:BU136" si="44">1-BR99-BT99-BV99</f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:77">
      <c r="A100" t="s">
        <v>188</v>
      </c>
      <c r="B100">
        <v>0.9</v>
      </c>
      <c r="K100" s="37">
        <f>$L100*VLOOKUP($R100,武学奇术!$A:$ZZ,31,FALSE)</f>
        <v>145636.499360546</v>
      </c>
      <c r="L100" s="37">
        <f t="shared" si="34"/>
        <v>145636.499360546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150425.855791616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110837.796592053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73738.1646037335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65374.2576577981</v>
      </c>
      <c r="Q100" s="38">
        <v>1</v>
      </c>
      <c r="R100" s="39" t="s">
        <v>151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84</v>
      </c>
      <c r="Z100" s="39" t="s">
        <v>84</v>
      </c>
      <c r="AA100" s="39" t="s">
        <v>84</v>
      </c>
      <c r="AB100" s="39" t="s">
        <v>204</v>
      </c>
      <c r="AC100" s="39" t="s">
        <v>92</v>
      </c>
      <c r="AD100" s="39" t="s">
        <v>84</v>
      </c>
      <c r="AE100" s="39" t="s">
        <v>87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2.5499</v>
      </c>
      <c r="AO100" s="25">
        <f>VLOOKUP($R100,武学奇术!$A:$ZZ,27,FALSE)*(1+IF(OR($AM100=$F$4,$AM100=$F$5),$B$22,0))</f>
        <v>1131.2</v>
      </c>
      <c r="AP100" s="24">
        <f>VLOOKUP($R100,武学奇术!$A:$ZZ,28,FALSE)</f>
        <v>3.8249</v>
      </c>
      <c r="AQ100" s="25">
        <f>VLOOKUP($R100,武学奇术!$A:$ZZ,29,FALSE)*(1+IF(OR($AM100=$F$4,$AM100=$F$5),$B$22,0))</f>
        <v>616</v>
      </c>
      <c r="AR100" s="24" cm="1">
        <f t="array" ref="AR100">$G$3+IFERROR(VLOOKUP($AM100,$F$4:$G$7,2,FALSE),0)+VLOOKUP($R100,武学奇术!$A:$ZZ,2,FALSE)+SUM(_xlfn.XLOOKUP($S100:$AL100,增益!$A:$A,增益!$B:$B,0))</f>
        <v>0.4543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4330.35</v>
      </c>
      <c r="AU100" cm="1">
        <f t="array" ref="AU100">$E$10*(1+$AS100)+VLOOKUP($R100,武学奇术!$A:$ZZ,4,FALSE)+SUM(_xlfn.XLOOKUP($S100:$AL100,增益!$A:$A,增益!$D:$D,0))-$I$2</f>
        <v>4330.35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0.3034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37"/>
        <v>0</v>
      </c>
      <c r="BD100">
        <f t="shared" si="3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39"/>
        <v>0</v>
      </c>
      <c r="BH100">
        <f t="shared" si="4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41"/>
        <v>649.11</v>
      </c>
      <c r="BL100">
        <f t="shared" si="42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3"/>
        <v>0.89337855</v>
      </c>
      <c r="BU100" s="24">
        <f t="shared" si="44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:77">
      <c r="A101" t="s">
        <v>189</v>
      </c>
      <c r="B101">
        <v>0.6</v>
      </c>
      <c r="K101" s="37">
        <f>$L101*VLOOKUP($R101,武学奇术!$A:$ZZ,31,FALSE)</f>
        <v>325493.927075505</v>
      </c>
      <c r="L101" s="37">
        <f t="shared" si="34"/>
        <v>325493.927075505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336065.280393759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249029.473619407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164737.88254596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145009.488336804</v>
      </c>
      <c r="Q101" s="38">
        <v>1</v>
      </c>
      <c r="R101" s="39" t="s">
        <v>133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85</v>
      </c>
      <c r="Z101" s="39" t="s">
        <v>84</v>
      </c>
      <c r="AA101" s="39" t="s">
        <v>84</v>
      </c>
      <c r="AB101" s="39" t="s">
        <v>204</v>
      </c>
      <c r="AC101" s="39" t="s">
        <v>92</v>
      </c>
      <c r="AD101" s="39" t="s">
        <v>84</v>
      </c>
      <c r="AE101" s="39" t="s">
        <v>87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5.5691</v>
      </c>
      <c r="AO101" s="25">
        <f>VLOOKUP($R101,武学奇术!$A:$ZZ,27,FALSE)*(1+IF(OR($AM101=$F$4,$AM101=$F$5),$B$22,0))</f>
        <v>2470.4</v>
      </c>
      <c r="AP101" s="24">
        <f>VLOOKUP($R101,武学奇术!$A:$ZZ,28,FALSE)</f>
        <v>8.3537</v>
      </c>
      <c r="AQ101" s="25">
        <f>VLOOKUP($R101,武学奇术!$A:$ZZ,29,FALSE)*(1+IF(OR($AM101=$F$4,$AM101=$F$5),$B$22,0))</f>
        <v>1344</v>
      </c>
      <c r="AR101" s="24" cm="1">
        <f t="array" ref="AR101">$G$3+IFERROR(VLOOKUP($AM101,$F$4:$G$7,2,FALSE),0)+VLOOKUP($R101,武学奇术!$A:$ZZ,2,FALSE)+SUM(_xlfn.XLOOKUP($S101:$AL101,增益!$A:$A,增益!$B:$B,0))</f>
        <v>0.4543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4330.35</v>
      </c>
      <c r="AU101" cm="1">
        <f t="array" ref="AU101">$E$10*(1+$AS101)+VLOOKUP($R101,武学奇术!$A:$ZZ,4,FALSE)+SUM(_xlfn.XLOOKUP($S101:$AL101,增益!$A:$A,增益!$D:$D,0))-$I$2</f>
        <v>4330.35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0.3034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1" cm="1">
        <f t="array" ref="BB101">$G$11+VLOOKUP($R101,武学奇术!$A:$ZZ,10,FALSE)+SUM(_xlfn.XLOOKUP($S101:$AL101,增益!$A:$A,增益!$J:$J,0))</f>
        <v>0.02</v>
      </c>
      <c r="BC101">
        <f t="shared" si="37"/>
        <v>0</v>
      </c>
      <c r="BD101">
        <f t="shared" si="3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1" cm="1">
        <f t="array" ref="BF101">$G$12+VLOOKUP($R101,武学奇术!$A:$ZZ,12,FALSE)+SUM(_xlfn.XLOOKUP($S101:$AL101,增益!$A:$A,增益!$L:$L,0))</f>
        <v>0.02</v>
      </c>
      <c r="BG101">
        <f t="shared" si="39"/>
        <v>0</v>
      </c>
      <c r="BH101">
        <f t="shared" si="4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1" cm="1">
        <f t="array" ref="BJ101">$G$13+VLOOKUP($R101,武学奇术!$A:$ZZ,14,FALSE)+SUM(_xlfn.XLOOKUP($S101:$AL101,增益!$A:$A,增益!$N:$N,0))</f>
        <v>0.02</v>
      </c>
      <c r="BK101">
        <f t="shared" si="41"/>
        <v>649.11</v>
      </c>
      <c r="BL101">
        <f t="shared" si="42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3"/>
        <v>0.89337855</v>
      </c>
      <c r="BU101" s="24">
        <f t="shared" si="44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:77">
      <c r="A102" t="s">
        <v>182</v>
      </c>
      <c r="B102">
        <v>0.7</v>
      </c>
      <c r="K102" s="37">
        <f>$L102*VLOOKUP($R102,武学奇术!$A:$ZZ,31,FALSE)</f>
        <v>325493.927075505</v>
      </c>
      <c r="L102" s="37">
        <f t="shared" si="34"/>
        <v>325493.927075505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336065.280393759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249029.473619407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164737.88254596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145009.488336804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85</v>
      </c>
      <c r="Z102" s="39" t="s">
        <v>84</v>
      </c>
      <c r="AA102" s="39" t="s">
        <v>84</v>
      </c>
      <c r="AB102" s="39" t="s">
        <v>204</v>
      </c>
      <c r="AC102" s="39" t="s">
        <v>92</v>
      </c>
      <c r="AD102" s="39" t="s">
        <v>84</v>
      </c>
      <c r="AE102" s="39" t="s">
        <v>87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0.4543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4330.35</v>
      </c>
      <c r="AU102" cm="1">
        <f t="array" ref="AU102">$E$10*(1+$AS102)+VLOOKUP($R102,武学奇术!$A:$ZZ,4,FALSE)+SUM(_xlfn.XLOOKUP($S102:$AL102,增益!$A:$A,增益!$D:$D,0))-$I$2</f>
        <v>4330.35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0.3034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1" cm="1">
        <f t="array" ref="BB102">$G$11+VLOOKUP($R102,武学奇术!$A:$ZZ,10,FALSE)+SUM(_xlfn.XLOOKUP($S102:$AL102,增益!$A:$A,增益!$J:$J,0))</f>
        <v>0.02</v>
      </c>
      <c r="BC102">
        <f t="shared" si="37"/>
        <v>0</v>
      </c>
      <c r="BD102">
        <f t="shared" si="3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1" cm="1">
        <f t="array" ref="BF102">$G$12+VLOOKUP($R102,武学奇术!$A:$ZZ,12,FALSE)+SUM(_xlfn.XLOOKUP($S102:$AL102,增益!$A:$A,增益!$L:$L,0))</f>
        <v>0.02</v>
      </c>
      <c r="BG102">
        <f t="shared" si="39"/>
        <v>0</v>
      </c>
      <c r="BH102">
        <f t="shared" si="4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1" cm="1">
        <f t="array" ref="BJ102">$G$13+VLOOKUP($R102,武学奇术!$A:$ZZ,14,FALSE)+SUM(_xlfn.XLOOKUP($S102:$AL102,增益!$A:$A,增益!$N:$N,0))</f>
        <v>0.02</v>
      </c>
      <c r="BK102">
        <f t="shared" si="41"/>
        <v>649.11</v>
      </c>
      <c r="BL102">
        <f t="shared" si="42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3"/>
        <v>0.89337855</v>
      </c>
      <c r="BU102" s="24">
        <f t="shared" si="44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:77">
      <c r="A103" t="s">
        <v>191</v>
      </c>
      <c r="B103">
        <v>2.4</v>
      </c>
      <c r="K103" s="37">
        <f>$L103*VLOOKUP($R103,武学奇术!$A:$ZZ,31,FALSE)</f>
        <v>178747.048695671</v>
      </c>
      <c r="L103" s="37">
        <f t="shared" si="34"/>
        <v>178747.048695671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184552.022132573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136759.584743469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90466.677515967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79629.9589256604</v>
      </c>
      <c r="Q103" s="38">
        <v>1</v>
      </c>
      <c r="R103" s="39" t="s">
        <v>157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85</v>
      </c>
      <c r="Z103" s="39" t="s">
        <v>84</v>
      </c>
      <c r="AA103" s="39" t="s">
        <v>84</v>
      </c>
      <c r="AB103" s="39" t="s">
        <v>204</v>
      </c>
      <c r="AC103" s="39" t="s">
        <v>92</v>
      </c>
      <c r="AD103" s="39" t="s">
        <v>84</v>
      </c>
      <c r="AE103" s="39" t="s">
        <v>87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双刀</v>
      </c>
      <c r="AN103" s="24">
        <f>VLOOKUP($R103,武学奇术!$A:$ZZ,26,FALSE)</f>
        <v>2.85516</v>
      </c>
      <c r="AO103" s="25">
        <f>VLOOKUP($R103,武学奇术!$A:$ZZ,27,FALSE)*(1+IF(OR($AM103=$F$4,$AM103=$F$5),$B$22,0))</f>
        <v>1263.36</v>
      </c>
      <c r="AP103" s="24">
        <f>VLOOKUP($R103,武学奇术!$A:$ZZ,28,FALSE)</f>
        <v>4.28274</v>
      </c>
      <c r="AQ103" s="25">
        <f>VLOOKUP($R103,武学奇术!$A:$ZZ,29,FALSE)*(1+IF(OR($AM103=$F$4,$AM103=$F$5),$B$22,0))</f>
        <v>687.68</v>
      </c>
      <c r="AR103" s="24" cm="1">
        <f t="array" ref="AR103">$G$3+IFERROR(VLOOKUP($AM103,$F$4:$G$7,2,FALSE),0)+VLOOKUP($R103,武学奇术!$A:$ZZ,2,FALSE)+SUM(_xlfn.XLOOKUP($S103:$AL103,增益!$A:$A,增益!$B:$B,0))</f>
        <v>0.4543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4330.35</v>
      </c>
      <c r="AU103" cm="1">
        <f t="array" ref="AU103">$E$10*(1+$AS103)+VLOOKUP($R103,武学奇术!$A:$ZZ,4,FALSE)+SUM(_xlfn.XLOOKUP($S103:$AL103,增益!$A:$A,增益!$D:$D,0))-$I$2</f>
        <v>4330.35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0.3034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1" cm="1">
        <f t="array" ref="BB103">$G$11+VLOOKUP($R103,武学奇术!$A:$ZZ,10,FALSE)+SUM(_xlfn.XLOOKUP($S103:$AL103,增益!$A:$A,增益!$J:$J,0))</f>
        <v>0.02</v>
      </c>
      <c r="BC103">
        <f t="shared" si="37"/>
        <v>0</v>
      </c>
      <c r="BD103">
        <f t="shared" si="3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1" cm="1">
        <f t="array" ref="BF103">$G$12+VLOOKUP($R103,武学奇术!$A:$ZZ,12,FALSE)+SUM(_xlfn.XLOOKUP($S103:$AL103,增益!$A:$A,增益!$L:$L,0))</f>
        <v>0.02</v>
      </c>
      <c r="BG103">
        <f t="shared" si="39"/>
        <v>0</v>
      </c>
      <c r="BH103">
        <f t="shared" si="4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1" cm="1">
        <f t="array" ref="BJ103">$G$13+VLOOKUP($R103,武学奇术!$A:$ZZ,14,FALSE)+SUM(_xlfn.XLOOKUP($S103:$AL103,增益!$A:$A,增益!$N:$N,0))</f>
        <v>0.02</v>
      </c>
      <c r="BK103">
        <f t="shared" si="41"/>
        <v>649.11</v>
      </c>
      <c r="BL103">
        <f t="shared" si="42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3"/>
        <v>0.89337855</v>
      </c>
      <c r="BU103" s="24">
        <f t="shared" si="44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0.5</v>
      </c>
      <c r="BY103" s="24" cm="1">
        <f t="array" ref="BY103">SUM(_xlfn.XLOOKUP($S103:$AL103,增益!$A:$A,增益!$X:$X,0))</f>
        <v>0</v>
      </c>
    </row>
    <row r="104" spans="1:77">
      <c r="A104" t="s">
        <v>191</v>
      </c>
      <c r="B104">
        <v>2.1</v>
      </c>
      <c r="D104" t="s">
        <v>183</v>
      </c>
      <c r="K104" s="37">
        <f>$L104*VLOOKUP($R104,武学奇术!$A:$ZZ,31,FALSE)</f>
        <v>238285.112844775</v>
      </c>
      <c r="L104" s="37">
        <f t="shared" si="34"/>
        <v>238285.112844775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246023.476657395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182313.834208158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120599.743459507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106152.202320379</v>
      </c>
      <c r="Q104" s="38">
        <v>1</v>
      </c>
      <c r="R104" s="39" t="s">
        <v>163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85</v>
      </c>
      <c r="Z104" s="39" t="s">
        <v>84</v>
      </c>
      <c r="AA104" s="39" t="s">
        <v>84</v>
      </c>
      <c r="AB104" s="39" t="s">
        <v>204</v>
      </c>
      <c r="AC104" s="39" t="s">
        <v>92</v>
      </c>
      <c r="AD104" s="39" t="s">
        <v>84</v>
      </c>
      <c r="AE104" s="39" t="s">
        <v>87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3.80688</v>
      </c>
      <c r="AO104" s="25">
        <f>VLOOKUP($R104,武学奇术!$A:$ZZ,27,FALSE)*(1+IF(OR($AM104=$F$4,$AM104=$F$5),$B$22,0))</f>
        <v>1684.48</v>
      </c>
      <c r="AP104" s="24">
        <f>VLOOKUP($R104,武学奇术!$A:$ZZ,28,FALSE)</f>
        <v>5.70976</v>
      </c>
      <c r="AQ104" s="25">
        <f>VLOOKUP($R104,武学奇术!$A:$ZZ,29,FALSE)*(1+IF(OR($AM104=$F$4,$AM104=$F$5),$B$22,0))</f>
        <v>913.92</v>
      </c>
      <c r="AR104" s="24" cm="1">
        <f t="array" ref="AR104">$G$3+IFERROR(VLOOKUP($AM104,$F$4:$G$7,2,FALSE),0)+VLOOKUP($R104,武学奇术!$A:$ZZ,2,FALSE)+SUM(_xlfn.XLOOKUP($S104:$AL104,增益!$A:$A,增益!$B:$B,0))</f>
        <v>0.4543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4330.35</v>
      </c>
      <c r="AU104" cm="1">
        <f t="array" ref="AU104">$E$10*(1+$AS104)+VLOOKUP($R104,武学奇术!$A:$ZZ,4,FALSE)+SUM(_xlfn.XLOOKUP($S104:$AL104,增益!$A:$A,增益!$D:$D,0))-$I$2</f>
        <v>4330.35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0.3034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1" cm="1">
        <f t="array" ref="BB104">$G$11+VLOOKUP($R104,武学奇术!$A:$ZZ,10,FALSE)+SUM(_xlfn.XLOOKUP($S104:$AL104,增益!$A:$A,增益!$J:$J,0))</f>
        <v>0.02</v>
      </c>
      <c r="BC104">
        <f t="shared" si="37"/>
        <v>0</v>
      </c>
      <c r="BD104">
        <f t="shared" si="3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1" cm="1">
        <f t="array" ref="BF104">$G$12+VLOOKUP($R104,武学奇术!$A:$ZZ,12,FALSE)+SUM(_xlfn.XLOOKUP($S104:$AL104,增益!$A:$A,增益!$L:$L,0))</f>
        <v>0.02</v>
      </c>
      <c r="BG104">
        <f t="shared" si="39"/>
        <v>0</v>
      </c>
      <c r="BH104">
        <f t="shared" si="4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1" cm="1">
        <f t="array" ref="BJ104">$G$13+VLOOKUP($R104,武学奇术!$A:$ZZ,14,FALSE)+SUM(_xlfn.XLOOKUP($S104:$AL104,增益!$A:$A,增益!$N:$N,0))</f>
        <v>0.02</v>
      </c>
      <c r="BK104">
        <f t="shared" si="41"/>
        <v>649.11</v>
      </c>
      <c r="BL104">
        <f t="shared" si="42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3"/>
        <v>0.89337855</v>
      </c>
      <c r="BU104" s="24">
        <f t="shared" si="44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:77">
      <c r="A105" t="s">
        <v>191</v>
      </c>
      <c r="B105">
        <v>1.83</v>
      </c>
      <c r="K105" s="37">
        <f>$L105*VLOOKUP($R105,武学奇术!$A:$ZZ,31,FALSE)</f>
        <v>178747.048695671</v>
      </c>
      <c r="L105" s="37">
        <f t="shared" si="34"/>
        <v>178747.048695671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184552.022132573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136759.584743469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90466.677515967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79629.9589256604</v>
      </c>
      <c r="Q105" s="38">
        <v>1</v>
      </c>
      <c r="R105" s="39" t="s">
        <v>166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85</v>
      </c>
      <c r="Z105" s="39" t="s">
        <v>84</v>
      </c>
      <c r="AA105" s="39" t="s">
        <v>84</v>
      </c>
      <c r="AB105" s="39" t="s">
        <v>204</v>
      </c>
      <c r="AC105" s="39" t="s">
        <v>92</v>
      </c>
      <c r="AD105" s="39" t="s">
        <v>84</v>
      </c>
      <c r="AE105" s="39" t="s">
        <v>87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2.85516</v>
      </c>
      <c r="AO105" s="25">
        <f>VLOOKUP($R105,武学奇术!$A:$ZZ,27,FALSE)*(1+IF(OR($AM105=$F$4,$AM105=$F$5),$B$22,0))</f>
        <v>1263.36</v>
      </c>
      <c r="AP105" s="24">
        <f>VLOOKUP($R105,武学奇术!$A:$ZZ,28,FALSE)</f>
        <v>4.28274</v>
      </c>
      <c r="AQ105" s="25">
        <f>VLOOKUP($R105,武学奇术!$A:$ZZ,29,FALSE)*(1+IF(OR($AM105=$F$4,$AM105=$F$5),$B$22,0))</f>
        <v>687.68</v>
      </c>
      <c r="AR105" s="24" cm="1">
        <f t="array" ref="AR105">$G$3+IFERROR(VLOOKUP($AM105,$F$4:$G$7,2,FALSE),0)+VLOOKUP($R105,武学奇术!$A:$ZZ,2,FALSE)+SUM(_xlfn.XLOOKUP($S105:$AL105,增益!$A:$A,增益!$B:$B,0))</f>
        <v>0.4543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4330.35</v>
      </c>
      <c r="AU105" cm="1">
        <f t="array" ref="AU105">$E$10*(1+$AS105)+VLOOKUP($R105,武学奇术!$A:$ZZ,4,FALSE)+SUM(_xlfn.XLOOKUP($S105:$AL105,增益!$A:$A,增益!$D:$D,0))-$I$2</f>
        <v>4330.35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0.3034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1" cm="1">
        <f t="array" ref="BB105">$G$11+VLOOKUP($R105,武学奇术!$A:$ZZ,10,FALSE)+SUM(_xlfn.XLOOKUP($S105:$AL105,增益!$A:$A,增益!$J:$J,0))</f>
        <v>0.02</v>
      </c>
      <c r="BC105">
        <f t="shared" si="37"/>
        <v>0</v>
      </c>
      <c r="BD105">
        <f t="shared" si="3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1" cm="1">
        <f t="array" ref="BF105">$G$12+VLOOKUP($R105,武学奇术!$A:$ZZ,12,FALSE)+SUM(_xlfn.XLOOKUP($S105:$AL105,增益!$A:$A,增益!$L:$L,0))</f>
        <v>0.02</v>
      </c>
      <c r="BG105">
        <f t="shared" si="39"/>
        <v>0</v>
      </c>
      <c r="BH105">
        <f t="shared" si="4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1" cm="1">
        <f t="array" ref="BJ105">$G$13+VLOOKUP($R105,武学奇术!$A:$ZZ,14,FALSE)+SUM(_xlfn.XLOOKUP($S105:$AL105,增益!$A:$A,增益!$N:$N,0))</f>
        <v>0.02</v>
      </c>
      <c r="BK105">
        <f t="shared" si="41"/>
        <v>649.11</v>
      </c>
      <c r="BL105">
        <f t="shared" si="42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0.08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3"/>
        <v>0.89337855</v>
      </c>
      <c r="BU105" s="24">
        <f t="shared" si="44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:77">
      <c r="A106" t="s">
        <v>178</v>
      </c>
      <c r="B106" s="95">
        <v>0.1</v>
      </c>
      <c r="K106" s="37">
        <f>$L106*VLOOKUP($R106,武学奇术!$A:$ZZ,31,FALSE)</f>
        <v>15185.587375313</v>
      </c>
      <c r="L106" s="37">
        <f t="shared" si="34"/>
        <v>15185.587375313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15392.4977922523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14198.4638879999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9385.66938551967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8253.95811326164</v>
      </c>
      <c r="Q106" s="38">
        <v>1</v>
      </c>
      <c r="R106" s="39" t="s">
        <v>110</v>
      </c>
      <c r="S106" s="39" t="s">
        <v>104</v>
      </c>
      <c r="T106" s="39" t="s">
        <v>194</v>
      </c>
      <c r="U106" s="39" t="s">
        <v>81</v>
      </c>
      <c r="V106" s="39" t="s">
        <v>84</v>
      </c>
      <c r="W106" s="39" t="s">
        <v>84</v>
      </c>
      <c r="X106" s="39" t="s">
        <v>84</v>
      </c>
      <c r="Y106" s="39" t="s">
        <v>85</v>
      </c>
      <c r="Z106" s="39" t="s">
        <v>84</v>
      </c>
      <c r="AA106" s="39" t="s">
        <v>84</v>
      </c>
      <c r="AB106" s="39" t="s">
        <v>205</v>
      </c>
      <c r="AC106" s="39" t="s">
        <v>92</v>
      </c>
      <c r="AD106" s="39" t="s">
        <v>84</v>
      </c>
      <c r="AE106" s="39" t="s">
        <v>87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0.6587</v>
      </c>
      <c r="AO106" s="25">
        <f>VLOOKUP($R106,武学奇术!$A:$ZZ,27,FALSE)*(1+IF(OR($AM106=$F$4,$AM106=$F$5),$B$22,0))</f>
        <v>292.8</v>
      </c>
      <c r="AP106" s="24">
        <f>VLOOKUP($R106,武学奇术!$A:$ZZ,28,FALSE)</f>
        <v>0.9881</v>
      </c>
      <c r="AQ106" s="25">
        <f>VLOOKUP($R106,武学奇术!$A:$ZZ,29,FALSE)*(1+IF(OR($AM106=$F$4,$AM106=$F$5),$B$22,0))</f>
        <v>160</v>
      </c>
      <c r="AR106" s="24" cm="1">
        <f t="array" ref="AR106">$G$3+IFERROR(VLOOKUP($AM106,$F$4:$G$7,2,FALSE),0)+VLOOKUP($R106,武学奇术!$A:$ZZ,2,FALSE)+SUM(_xlfn.XLOOKUP($S106:$AL106,增益!$A:$A,增益!$B:$B,0))</f>
        <v>0.4043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4330.35</v>
      </c>
      <c r="AU106" cm="1">
        <f t="array" ref="AU106">$E$10*(1+$AS106)+VLOOKUP($R106,武学奇术!$A:$ZZ,4,FALSE)+SUM(_xlfn.XLOOKUP($S106:$AL106,增益!$A:$A,增益!$D:$D,0))-$I$2</f>
        <v>4330.35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0.3034</v>
      </c>
      <c r="AW106" s="31" cm="1">
        <f t="array" ref="AW106">$G$10+VLOOKUP($R106,武学奇术!$A:$ZZ,7,FALSE)+SUM(_xlfn.XLOOKUP($S106:$AL106,增益!$A:$A,增益!$G:$G,0))</f>
        <v>0.02</v>
      </c>
      <c r="AX106" s="24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1" cm="1">
        <f t="array" ref="BB106">$G$11+VLOOKUP($R106,武学奇术!$A:$ZZ,10,FALSE)+SUM(_xlfn.XLOOKUP($S106:$AL106,增益!$A:$A,增益!$J:$J,0))</f>
        <v>0.02</v>
      </c>
      <c r="BC106">
        <f t="shared" si="37"/>
        <v>0</v>
      </c>
      <c r="BD106">
        <f t="shared" si="3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1" cm="1">
        <f t="array" ref="BF106">$G$12+VLOOKUP($R106,武学奇术!$A:$ZZ,12,FALSE)+SUM(_xlfn.XLOOKUP($S106:$AL106,增益!$A:$A,增益!$L:$L,0))</f>
        <v>0.02</v>
      </c>
      <c r="BG106">
        <f t="shared" si="39"/>
        <v>0</v>
      </c>
      <c r="BH106">
        <f t="shared" si="4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1" cm="1">
        <f t="array" ref="BJ106">$G$13+VLOOKUP($R106,武学奇术!$A:$ZZ,14,FALSE)+SUM(_xlfn.XLOOKUP($S106:$AL106,增益!$A:$A,增益!$N:$N,0))</f>
        <v>0.02</v>
      </c>
      <c r="BK106">
        <f t="shared" si="41"/>
        <v>649.11</v>
      </c>
      <c r="BL106">
        <f t="shared" si="42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0.08</v>
      </c>
      <c r="BN106" s="31" cm="1">
        <f t="array" ref="BN106">$G$14+VLOOKUP($R106,武学奇术!$A:$ZZ,16,FALSE)+SUM(_xlfn.XLOOKUP($S106:$AL106,增益!$A:$A,增益!$P:$P,0))</f>
        <v>0.17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1.64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3"/>
        <v>0.89337855</v>
      </c>
      <c r="BU106" s="24">
        <f t="shared" si="44"/>
        <v>0.01014186</v>
      </c>
      <c r="BV106" s="24">
        <f>IF(VLOOKUP($R106,武学奇术!$A:$ZZ,22,FALSE)=1,0,(1-$BO106))*(1-$BR106)</f>
        <v>0.00517959000000003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</v>
      </c>
      <c r="BY106" s="24" cm="1">
        <f t="array" ref="BY106">SUM(_xlfn.XLOOKUP($S106:$AL106,增益!$A:$A,增益!$X:$X,0))</f>
        <v>0</v>
      </c>
    </row>
    <row r="107" spans="1:77">
      <c r="A107" t="s">
        <v>200</v>
      </c>
      <c r="B107">
        <v>2.8</v>
      </c>
      <c r="K107" s="37">
        <f>$L107*VLOOKUP($R107,武学奇术!$A:$ZZ,31,FALSE)</f>
        <v>203213.831515484</v>
      </c>
      <c r="L107" s="89">
        <f>SUM(L94:L95,L97:L105)*0.2*(1+BY107)</f>
        <v>406427.663030968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0</v>
      </c>
      <c r="Q107" s="38">
        <v>1</v>
      </c>
      <c r="R107" s="39" t="s">
        <v>180</v>
      </c>
      <c r="S107" s="39" t="s">
        <v>181</v>
      </c>
      <c r="T107" s="39" t="s">
        <v>84</v>
      </c>
      <c r="U107" s="39" t="s">
        <v>84</v>
      </c>
      <c r="V107" s="39" t="s">
        <v>84</v>
      </c>
      <c r="W107" s="39" t="s">
        <v>84</v>
      </c>
      <c r="X107" s="39" t="s">
        <v>84</v>
      </c>
      <c r="Y107" s="39" t="s">
        <v>84</v>
      </c>
      <c r="Z107" s="39" t="s">
        <v>84</v>
      </c>
      <c r="AA107" s="39" t="s">
        <v>84</v>
      </c>
      <c r="AB107" s="39" t="s">
        <v>84</v>
      </c>
      <c r="AC107" s="39" t="s">
        <v>84</v>
      </c>
      <c r="AD107" s="39" t="s">
        <v>84</v>
      </c>
      <c r="AE107" s="39" t="s">
        <v>87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0.1842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4330.35</v>
      </c>
      <c r="AU107" cm="1">
        <f t="array" ref="AU107">$E$10*(1+$AS107)+VLOOKUP($R107,武学奇术!$A:$ZZ,4,FALSE)+SUM(_xlfn.XLOOKUP($S107:$AL107,增益!$A:$A,增益!$D:$D,0))-$I$2</f>
        <v>4330.35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0.2534</v>
      </c>
      <c r="AW107" s="31" cm="1">
        <f t="array" ref="AW107">$G$10+VLOOKUP($R107,武学奇术!$A:$ZZ,7,FALSE)+SUM(_xlfn.XLOOKUP($S107:$AL107,增益!$A:$A,增益!$G:$G,0))</f>
        <v>0</v>
      </c>
      <c r="AX107" s="24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41"/>
        <v>649.11</v>
      </c>
      <c r="BL107">
        <f t="shared" si="42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3"/>
        <v>0.89337855</v>
      </c>
      <c r="BU107" s="24">
        <f t="shared" si="44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0.2</v>
      </c>
    </row>
    <row r="108" spans="1:77">
      <c r="A108" t="s">
        <v>208</v>
      </c>
      <c r="B108">
        <v>0.7</v>
      </c>
      <c r="K108" s="37">
        <f>$L108*VLOOKUP($R108,武学奇术!$A:$ZZ,31,FALSE)</f>
        <v>0</v>
      </c>
      <c r="L108" s="37">
        <f>($M108*$BT108+$N108*$BR108+$O108*$BU108+$P108*$BV108)</f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84</v>
      </c>
      <c r="S108" s="39" t="s">
        <v>84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87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4330.35</v>
      </c>
      <c r="AU108" cm="1">
        <f t="array" ref="AU108">$E$10*(1+$AS108)+VLOOKUP($R108,武学奇术!$A:$ZZ,4,FALSE)+SUM(_xlfn.XLOOKUP($S108:$AL108,增益!$A:$A,增益!$D:$D,0))-$I$2</f>
        <v>4330.35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0.2534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41"/>
        <v>649.11</v>
      </c>
      <c r="BL108">
        <f t="shared" si="42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3"/>
        <v>0.89337855</v>
      </c>
      <c r="BU108" s="24">
        <f t="shared" si="44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</v>
      </c>
    </row>
    <row r="109" spans="1:77">
      <c r="B109" s="95"/>
      <c r="K109" s="37">
        <f>$L109*VLOOKUP($R109,武学奇术!$A:$ZZ,31,FALSE)</f>
        <v>0</v>
      </c>
      <c r="L109" s="37">
        <f t="shared" si="34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87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4330.35</v>
      </c>
      <c r="AU109" cm="1">
        <f t="array" ref="AU109">$E$10*(1+$AS109)+VLOOKUP($R109,武学奇术!$A:$ZZ,4,FALSE)+SUM(_xlfn.XLOOKUP($S109:$AL109,增益!$A:$A,增益!$D:$D,0))-$I$2</f>
        <v>4330.35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0.2534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41"/>
        <v>649.11</v>
      </c>
      <c r="BL109">
        <f t="shared" si="42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3"/>
        <v>0.89337855</v>
      </c>
      <c r="BU109" s="24">
        <f t="shared" si="44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:77">
      <c r="K110" s="37">
        <f>$L110*VLOOKUP($R110,武学奇术!$A:$ZZ,31,FALSE)</f>
        <v>0</v>
      </c>
      <c r="L110" s="37">
        <f t="shared" si="34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87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4330.35</v>
      </c>
      <c r="AU110" cm="1">
        <f t="array" ref="AU110">$E$10*(1+$AS110)+VLOOKUP($R110,武学奇术!$A:$ZZ,4,FALSE)+SUM(_xlfn.XLOOKUP($S110:$AL110,增益!$A:$A,增益!$D:$D,0))-$I$2</f>
        <v>4330.35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0.2534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41"/>
        <v>649.11</v>
      </c>
      <c r="BL110">
        <f t="shared" si="42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3"/>
        <v>0.89337855</v>
      </c>
      <c r="BU110" s="24">
        <f t="shared" si="44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:77">
      <c r="K111" s="37">
        <f>$L111*VLOOKUP($R111,武学奇术!$A:$ZZ,31,FALSE)</f>
        <v>0</v>
      </c>
      <c r="L111" s="37">
        <f t="shared" si="34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87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4330.35</v>
      </c>
      <c r="AU111" cm="1">
        <f t="array" ref="AU111">$E$10*(1+$AS111)+VLOOKUP($R111,武学奇术!$A:$ZZ,4,FALSE)+SUM(_xlfn.XLOOKUP($S111:$AL111,增益!$A:$A,增益!$D:$D,0))-$I$2</f>
        <v>4330.35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0.2534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41"/>
        <v>649.11</v>
      </c>
      <c r="BL111">
        <f t="shared" si="42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3"/>
        <v>0.89337855</v>
      </c>
      <c r="BU111" s="24">
        <f t="shared" si="44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:77">
      <c r="K112" s="37">
        <f>$L112*VLOOKUP($R112,武学奇术!$A:$ZZ,31,FALSE)</f>
        <v>0</v>
      </c>
      <c r="L112" s="37">
        <f t="shared" si="34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87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4330.35</v>
      </c>
      <c r="AU112" cm="1">
        <f t="array" ref="AU112">$E$10*(1+$AS112)+VLOOKUP($R112,武学奇术!$A:$ZZ,4,FALSE)+SUM(_xlfn.XLOOKUP($S112:$AL112,增益!$A:$A,增益!$D:$D,0))-$I$2</f>
        <v>4330.35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0.2534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41"/>
        <v>649.11</v>
      </c>
      <c r="BL112">
        <f t="shared" si="42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3"/>
        <v>0.89337855</v>
      </c>
      <c r="BU112" s="24">
        <f t="shared" si="44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2:77">
      <c r="K113" s="37">
        <f>$L113*VLOOKUP($R113,武学奇术!$A:$ZZ,31,FALSE)</f>
        <v>0</v>
      </c>
      <c r="L113" s="37">
        <f t="shared" si="34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87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4330.35</v>
      </c>
      <c r="AU113" cm="1">
        <f t="array" ref="AU113">$E$10*(1+$AS113)+VLOOKUP($R113,武学奇术!$A:$ZZ,4,FALSE)+SUM(_xlfn.XLOOKUP($S113:$AL113,增益!$A:$A,增益!$D:$D,0))-$I$2</f>
        <v>4330.35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0.2534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41"/>
        <v>649.11</v>
      </c>
      <c r="BL113">
        <f t="shared" si="42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3"/>
        <v>0.89337855</v>
      </c>
      <c r="BU113" s="24">
        <f t="shared" si="44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2:77">
      <c r="K114" s="37">
        <f>$L114*VLOOKUP($R114,武学奇术!$A:$ZZ,31,FALSE)</f>
        <v>0</v>
      </c>
      <c r="L114" s="37">
        <f t="shared" si="34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87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4330.35</v>
      </c>
      <c r="AU114" cm="1">
        <f t="array" ref="AU114">$E$10*(1+$AS114)+VLOOKUP($R114,武学奇术!$A:$ZZ,4,FALSE)+SUM(_xlfn.XLOOKUP($S114:$AL114,增益!$A:$A,增益!$D:$D,0))-$I$2</f>
        <v>4330.35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0.2534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41"/>
        <v>649.11</v>
      </c>
      <c r="BL114">
        <f t="shared" si="42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3"/>
        <v>0.89337855</v>
      </c>
      <c r="BU114" s="24">
        <f t="shared" si="44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2:77">
      <c r="K115" s="37">
        <f>$L115*VLOOKUP($R115,武学奇术!$A:$ZZ,31,FALSE)</f>
        <v>0</v>
      </c>
      <c r="L115" s="37">
        <f t="shared" si="34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87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4330.35</v>
      </c>
      <c r="AU115" cm="1">
        <f t="array" ref="AU115">$E$10*(1+$AS115)+VLOOKUP($R115,武学奇术!$A:$ZZ,4,FALSE)+SUM(_xlfn.XLOOKUP($S115:$AL115,增益!$A:$A,增益!$D:$D,0))-$I$2</f>
        <v>4330.35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0.2534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41"/>
        <v>649.11</v>
      </c>
      <c r="BL115">
        <f t="shared" si="42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3"/>
        <v>0.89337855</v>
      </c>
      <c r="BU115" s="24">
        <f t="shared" si="44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2:77">
      <c r="K116" s="37">
        <f>$L116*VLOOKUP($R116,武学奇术!$A:$ZZ,31,FALSE)</f>
        <v>0</v>
      </c>
      <c r="L116" s="37">
        <f t="shared" si="34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87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4330.35</v>
      </c>
      <c r="AU116" cm="1">
        <f t="array" ref="AU116">$E$10*(1+$AS116)+VLOOKUP($R116,武学奇术!$A:$ZZ,4,FALSE)+SUM(_xlfn.XLOOKUP($S116:$AL116,增益!$A:$A,增益!$D:$D,0))-$I$2</f>
        <v>4330.35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0.2534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41"/>
        <v>649.11</v>
      </c>
      <c r="BL116">
        <f t="shared" si="42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3"/>
        <v>0.89337855</v>
      </c>
      <c r="BU116" s="24">
        <f t="shared" si="44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2:77">
      <c r="K117" s="37">
        <f>$L117*VLOOKUP($R117,武学奇术!$A:$ZZ,31,FALSE)</f>
        <v>0</v>
      </c>
      <c r="L117" s="37">
        <f t="shared" si="34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87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4330.35</v>
      </c>
      <c r="AU117" cm="1">
        <f t="array" ref="AU117">$E$10*(1+$AS117)+VLOOKUP($R117,武学奇术!$A:$ZZ,4,FALSE)+SUM(_xlfn.XLOOKUP($S117:$AL117,增益!$A:$A,增益!$D:$D,0))-$I$2</f>
        <v>4330.35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0.2534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41"/>
        <v>649.11</v>
      </c>
      <c r="BL117">
        <f t="shared" si="42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3"/>
        <v>0.89337855</v>
      </c>
      <c r="BU117" s="24">
        <f t="shared" si="44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2:77">
      <c r="K118" s="37">
        <f>$L118*VLOOKUP($R118,武学奇术!$A:$ZZ,31,FALSE)</f>
        <v>0</v>
      </c>
      <c r="L118" s="37">
        <f t="shared" si="34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87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4330.35</v>
      </c>
      <c r="AU118" cm="1">
        <f t="array" ref="AU118">$E$10*(1+$AS118)+VLOOKUP($R118,武学奇术!$A:$ZZ,4,FALSE)+SUM(_xlfn.XLOOKUP($S118:$AL118,增益!$A:$A,增益!$D:$D,0))-$I$2</f>
        <v>4330.35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0.2534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41"/>
        <v>649.11</v>
      </c>
      <c r="BL118">
        <f t="shared" si="42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3"/>
        <v>0.89337855</v>
      </c>
      <c r="BU118" s="24">
        <f t="shared" si="44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2:77">
      <c r="K119" s="37">
        <f>$L119*VLOOKUP($R119,武学奇术!$A:$ZZ,31,FALSE)</f>
        <v>0</v>
      </c>
      <c r="L119" s="37">
        <f t="shared" si="34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87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4330.35</v>
      </c>
      <c r="AU119" cm="1">
        <f t="array" ref="AU119">$E$10*(1+$AS119)+VLOOKUP($R119,武学奇术!$A:$ZZ,4,FALSE)+SUM(_xlfn.XLOOKUP($S119:$AL119,增益!$A:$A,增益!$D:$D,0))-$I$2</f>
        <v>4330.35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0.2534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41"/>
        <v>649.11</v>
      </c>
      <c r="BL119">
        <f t="shared" si="42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3"/>
        <v>0.89337855</v>
      </c>
      <c r="BU119" s="24">
        <f t="shared" si="44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2:77">
      <c r="K120" s="37">
        <f>$L120*VLOOKUP($R120,武学奇术!$A:$ZZ,31,FALSE)</f>
        <v>0</v>
      </c>
      <c r="L120" s="37">
        <f t="shared" si="34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87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4330.35</v>
      </c>
      <c r="AU120" cm="1">
        <f t="array" ref="AU120">$E$10*(1+$AS120)+VLOOKUP($R120,武学奇术!$A:$ZZ,4,FALSE)+SUM(_xlfn.XLOOKUP($S120:$AL120,增益!$A:$A,增益!$D:$D,0))-$I$2</f>
        <v>4330.35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0.2534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41"/>
        <v>649.11</v>
      </c>
      <c r="BL120">
        <f t="shared" si="42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3"/>
        <v>0.89337855</v>
      </c>
      <c r="BU120" s="24">
        <f t="shared" si="44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2:77">
      <c r="B121" s="95"/>
      <c r="K121" s="37">
        <f>$L121*VLOOKUP($R121,武学奇术!$A:$ZZ,31,FALSE)</f>
        <v>0</v>
      </c>
      <c r="L121" s="37">
        <f t="shared" si="34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87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4330.35</v>
      </c>
      <c r="AU121" cm="1">
        <f t="array" ref="AU121">$E$10*(1+$AS121)+VLOOKUP($R121,武学奇术!$A:$ZZ,4,FALSE)+SUM(_xlfn.XLOOKUP($S121:$AL121,增益!$A:$A,增益!$D:$D,0))-$I$2</f>
        <v>4330.35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0.2534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41"/>
        <v>649.11</v>
      </c>
      <c r="BL121">
        <f t="shared" si="42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3"/>
        <v>0.89337855</v>
      </c>
      <c r="BU121" s="24">
        <f t="shared" si="44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2:77">
      <c r="K122" s="37">
        <f>$L122*VLOOKUP($R122,武学奇术!$A:$ZZ,31,FALSE)</f>
        <v>0</v>
      </c>
      <c r="L122" s="37">
        <f t="shared" si="34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87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4330.35</v>
      </c>
      <c r="AU122" cm="1">
        <f t="array" ref="AU122">$E$10*(1+$AS122)+VLOOKUP($R122,武学奇术!$A:$ZZ,4,FALSE)+SUM(_xlfn.XLOOKUP($S122:$AL122,增益!$A:$A,增益!$D:$D,0))-$I$2</f>
        <v>4330.35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0.2534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41"/>
        <v>649.11</v>
      </c>
      <c r="BL122">
        <f t="shared" si="42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3"/>
        <v>0.89337855</v>
      </c>
      <c r="BU122" s="24">
        <f t="shared" si="44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2:77">
      <c r="K123" s="37">
        <f>$L123*VLOOKUP($R123,武学奇术!$A:$ZZ,31,FALSE)</f>
        <v>0</v>
      </c>
      <c r="L123" s="37">
        <f t="shared" si="34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87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4330.35</v>
      </c>
      <c r="AU123" cm="1">
        <f t="array" ref="AU123">$E$10*(1+$AS123)+VLOOKUP($R123,武学奇术!$A:$ZZ,4,FALSE)+SUM(_xlfn.XLOOKUP($S123:$AL123,增益!$A:$A,增益!$D:$D,0))-$I$2</f>
        <v>4330.35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0.2534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41"/>
        <v>649.11</v>
      </c>
      <c r="BL123">
        <f t="shared" si="42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3"/>
        <v>0.89337855</v>
      </c>
      <c r="BU123" s="24">
        <f t="shared" si="44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2:77">
      <c r="K124" s="37">
        <f>$L124*VLOOKUP($R124,武学奇术!$A:$ZZ,31,FALSE)</f>
        <v>0</v>
      </c>
      <c r="L124" s="37">
        <f t="shared" si="34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87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4330.35</v>
      </c>
      <c r="AU124" cm="1">
        <f t="array" ref="AU124">$E$10*(1+$AS124)+VLOOKUP($R124,武学奇术!$A:$ZZ,4,FALSE)+SUM(_xlfn.XLOOKUP($S124:$AL124,增益!$A:$A,增益!$D:$D,0))-$I$2</f>
        <v>4330.35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0.2534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41"/>
        <v>649.11</v>
      </c>
      <c r="BL124">
        <f t="shared" si="42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3"/>
        <v>0.89337855</v>
      </c>
      <c r="BU124" s="24">
        <f t="shared" si="44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2:77">
      <c r="K125" s="37">
        <f>$L125*VLOOKUP($R125,武学奇术!$A:$ZZ,31,FALSE)</f>
        <v>0</v>
      </c>
      <c r="L125" s="37">
        <f t="shared" si="34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87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4330.35</v>
      </c>
      <c r="AU125" cm="1">
        <f t="array" ref="AU125">$E$10*(1+$AS125)+VLOOKUP($R125,武学奇术!$A:$ZZ,4,FALSE)+SUM(_xlfn.XLOOKUP($S125:$AL125,增益!$A:$A,增益!$D:$D,0))-$I$2</f>
        <v>4330.35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0.2534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41"/>
        <v>649.11</v>
      </c>
      <c r="BL125">
        <f t="shared" si="42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3"/>
        <v>0.89337855</v>
      </c>
      <c r="BU125" s="24">
        <f t="shared" si="44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2:77">
      <c r="K126" s="37">
        <f>$L126*VLOOKUP($R126,武学奇术!$A:$ZZ,31,FALSE)</f>
        <v>0</v>
      </c>
      <c r="L126" s="37">
        <f t="shared" si="34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87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4330.35</v>
      </c>
      <c r="AU126" cm="1">
        <f t="array" ref="AU126">$E$10*(1+$AS126)+VLOOKUP($R126,武学奇术!$A:$ZZ,4,FALSE)+SUM(_xlfn.XLOOKUP($S126:$AL126,增益!$A:$A,增益!$D:$D,0))-$I$2</f>
        <v>4330.35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0.2534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41"/>
        <v>649.11</v>
      </c>
      <c r="BL126">
        <f t="shared" si="42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3"/>
        <v>0.89337855</v>
      </c>
      <c r="BU126" s="24">
        <f t="shared" si="44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2:77">
      <c r="K127" s="37">
        <f>$L127*VLOOKUP($R127,武学奇术!$A:$ZZ,31,FALSE)</f>
        <v>17863.1539631833</v>
      </c>
      <c r="L127" s="37">
        <f t="shared" si="34"/>
        <v>17863.1539631833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18164.5945505474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16147.4068847316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10877.0027248787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9792.9633129192</v>
      </c>
      <c r="Q127" s="38">
        <f t="shared" ref="Q127:Q136" si="45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85</v>
      </c>
      <c r="Z127" s="39" t="s">
        <v>84</v>
      </c>
      <c r="AA127" s="39" t="s">
        <v>84</v>
      </c>
      <c r="AB127" s="39" t="s">
        <v>86</v>
      </c>
      <c r="AC127" s="39" t="s">
        <v>100</v>
      </c>
      <c r="AD127" s="39" t="s">
        <v>84</v>
      </c>
      <c r="AE127" s="39" t="s">
        <v>87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0.2342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4330.35</v>
      </c>
      <c r="AU127" cm="1">
        <f t="array" ref="AU127">$E$10*(1+$AS127)+VLOOKUP($R127,武学奇术!$A:$ZZ,4,FALSE)+SUM(_xlfn.XLOOKUP($S127:$AL127,增益!$A:$A,增益!$D:$D,0))-$I$2</f>
        <v>4330.35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0.3034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1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1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1" cm="1">
        <f t="array" ref="BJ127">$G$13+VLOOKUP($R127,武学奇术!$A:$ZZ,14,FALSE)+SUM(_xlfn.XLOOKUP($S127:$AL127,增益!$A:$A,增益!$N:$N,0))</f>
        <v>0.02</v>
      </c>
      <c r="BK127">
        <f t="shared" si="41"/>
        <v>649.11</v>
      </c>
      <c r="BL127">
        <f t="shared" si="42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3"/>
        <v>0.89337855</v>
      </c>
      <c r="BU127" s="24">
        <f t="shared" si="44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2:77">
      <c r="B128" s="95"/>
      <c r="K128" s="37">
        <f>$L128*VLOOKUP($R128,武学奇术!$A:$ZZ,31,FALSE)</f>
        <v>15657.5433996518</v>
      </c>
      <c r="L128" s="37">
        <f t="shared" si="34"/>
        <v>15657.5433996518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15873.6820776322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14568.4903452812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9859.42986188335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8927.38539392876</v>
      </c>
      <c r="Q128" s="38">
        <f t="shared" si="45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92</v>
      </c>
      <c r="AD128" s="39" t="s">
        <v>84</v>
      </c>
      <c r="AE128" s="39" t="s">
        <v>87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4330.35</v>
      </c>
      <c r="AU128" cm="1">
        <f t="array" ref="AU128">$E$10*(1+$AS128)+VLOOKUP($R128,武学奇术!$A:$ZZ,4,FALSE)+SUM(_xlfn.XLOOKUP($S128:$AL128,增益!$A:$A,增益!$D:$D,0))-$I$2</f>
        <v>4330.35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0.3034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41"/>
        <v>649.11</v>
      </c>
      <c r="BL128">
        <f t="shared" si="42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3"/>
        <v>0.89337855</v>
      </c>
      <c r="BU128" s="24">
        <f t="shared" si="44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2:77">
      <c r="K129" s="37">
        <f>$L129*VLOOKUP($R129,武学奇术!$A:$ZZ,31,FALSE)</f>
        <v>18543.3636277721</v>
      </c>
      <c r="L129" s="37">
        <f t="shared" si="34"/>
        <v>18543.3636277721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18925.984741289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16147.4068847316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10877.0027248787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9792.9633129192</v>
      </c>
      <c r="Q129" s="38">
        <f t="shared" si="45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85</v>
      </c>
      <c r="Z129" s="39" t="s">
        <v>84</v>
      </c>
      <c r="AA129" s="39" t="s">
        <v>84</v>
      </c>
      <c r="AB129" s="39" t="s">
        <v>187</v>
      </c>
      <c r="AC129" s="39" t="s">
        <v>100</v>
      </c>
      <c r="AD129" s="39" t="s">
        <v>84</v>
      </c>
      <c r="AE129" s="39" t="s">
        <v>87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4330.35</v>
      </c>
      <c r="AU129" cm="1">
        <f t="array" ref="AU129">$E$10*(1+$AS129)+VLOOKUP($R129,武学奇术!$A:$ZZ,4,FALSE)+SUM(_xlfn.XLOOKUP($S129:$AL129,增益!$A:$A,增益!$D:$D,0))-$I$2</f>
        <v>4330.35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0.3034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1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1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1" cm="1">
        <f t="array" ref="BJ129">$G$13+VLOOKUP($R129,武学奇术!$A:$ZZ,14,FALSE)+SUM(_xlfn.XLOOKUP($S129:$AL129,增益!$A:$A,增益!$N:$N,0))</f>
        <v>0.02</v>
      </c>
      <c r="BK129">
        <f t="shared" si="41"/>
        <v>649.11</v>
      </c>
      <c r="BL129">
        <f t="shared" si="42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3"/>
        <v>0.89337855</v>
      </c>
      <c r="BU129" s="24">
        <f t="shared" si="44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2:77">
      <c r="K130" s="37">
        <f>$L130*VLOOKUP($R130,武学奇术!$A:$ZZ,31,FALSE)</f>
        <v>26217.6657192065</v>
      </c>
      <c r="L130" s="37">
        <f t="shared" si="34"/>
        <v>26217.6657192065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27079.3242334753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19969.5981224407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13607.7006198368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12423.106334162</v>
      </c>
      <c r="Q130" s="38">
        <f t="shared" si="45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196</v>
      </c>
      <c r="AB130" s="39" t="s">
        <v>197</v>
      </c>
      <c r="AC130" s="39" t="s">
        <v>92</v>
      </c>
      <c r="AD130" s="39" t="s">
        <v>93</v>
      </c>
      <c r="AE130" s="39" t="s">
        <v>87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4330.35</v>
      </c>
      <c r="AU130" cm="1">
        <f t="array" ref="AU130">$E$10*(1+$AS130)+VLOOKUP($R130,武学奇术!$A:$ZZ,4,FALSE)+SUM(_xlfn.XLOOKUP($S130:$AL130,增益!$A:$A,增益!$D:$D,0))-$I$2</f>
        <v>4330.35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0.4284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0.12</v>
      </c>
      <c r="BC130">
        <f t="shared" si="37"/>
        <v>0</v>
      </c>
      <c r="BD130">
        <f t="shared" si="38"/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si="41"/>
        <v>649.11</v>
      </c>
      <c r="BL130">
        <f t="shared" si="42"/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3"/>
        <v>0.89337855</v>
      </c>
      <c r="BU130" s="24">
        <f t="shared" si="44"/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0.31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2:77">
      <c r="K131" s="37">
        <f>$L131*VLOOKUP($R131,武学奇术!$A:$ZZ,31,FALSE)</f>
        <v>18057.4995816372</v>
      </c>
      <c r="L131" s="37">
        <f t="shared" si="34"/>
        <v>18057.4995816372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18382.134605045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16147.4068847316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10877.0027248787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9792.9633129192</v>
      </c>
      <c r="Q131" s="38">
        <f t="shared" si="45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85</v>
      </c>
      <c r="Z131" s="39" t="s">
        <v>84</v>
      </c>
      <c r="AA131" s="39" t="s">
        <v>84</v>
      </c>
      <c r="AB131" s="39" t="s">
        <v>204</v>
      </c>
      <c r="AC131" s="39" t="s">
        <v>92</v>
      </c>
      <c r="AD131" s="39" t="s">
        <v>84</v>
      </c>
      <c r="AE131" s="39" t="s">
        <v>87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4330.35</v>
      </c>
      <c r="AU131" cm="1">
        <f t="array" ref="AU131">$E$10*(1+$AS131)+VLOOKUP($R131,武学奇术!$A:$ZZ,4,FALSE)+SUM(_xlfn.XLOOKUP($S131:$AL131,增益!$A:$A,增益!$D:$D,0))-$I$2</f>
        <v>4330.35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0.3034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1" cm="1">
        <f t="array" ref="BB131">$G$11+VLOOKUP($R131,武学奇术!$A:$ZZ,10,FALSE)+SUM(_xlfn.XLOOKUP($S131:$AL131,增益!$A:$A,增益!$J:$J,0))</f>
        <v>0.02</v>
      </c>
      <c r="BC131">
        <f t="shared" si="37"/>
        <v>0</v>
      </c>
      <c r="BD131">
        <f t="shared" si="38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1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1" cm="1">
        <f t="array" ref="BJ131">$G$13+VLOOKUP($R131,武学奇术!$A:$ZZ,14,FALSE)+SUM(_xlfn.XLOOKUP($S131:$AL131,增益!$A:$A,增益!$N:$N,0))</f>
        <v>0.02</v>
      </c>
      <c r="BK131">
        <f t="shared" si="41"/>
        <v>649.11</v>
      </c>
      <c r="BL131">
        <f t="shared" si="42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3"/>
        <v>0.89337855</v>
      </c>
      <c r="BU131" s="24">
        <f t="shared" si="44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2:77">
      <c r="B132" s="95"/>
      <c r="K132" s="37">
        <f>$L132*VLOOKUP($R132,武学奇术!$A:$ZZ,31,FALSE)</f>
        <v>18246.1708698022</v>
      </c>
      <c r="L132" s="37">
        <f t="shared" si="34"/>
        <v>18246.1708698022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18630.295711686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15809.5890412575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10707.0665009689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9703.32630471015</v>
      </c>
      <c r="Q132" s="38">
        <f t="shared" si="45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100</v>
      </c>
      <c r="AD132" s="39" t="s">
        <v>84</v>
      </c>
      <c r="AE132" s="39" t="s">
        <v>87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4330.35</v>
      </c>
      <c r="AU132" cm="1">
        <f t="array" ref="AU132">$E$10*(1+$AS132)+VLOOKUP($R132,武学奇术!$A:$ZZ,4,FALSE)+SUM(_xlfn.XLOOKUP($S132:$AL132,增益!$A:$A,增益!$D:$D,0))-$I$2</f>
        <v>4330.35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0.3034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41"/>
        <v>649.11</v>
      </c>
      <c r="BL132">
        <f t="shared" si="42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3"/>
        <v>0.89337855</v>
      </c>
      <c r="BU132" s="24">
        <f t="shared" si="44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2:77">
      <c r="K133" s="37">
        <f>$L133*VLOOKUP($R133,武学奇术!$A:$ZZ,31,FALSE)</f>
        <v>18543.3636277721</v>
      </c>
      <c r="L133" s="37">
        <f t="shared" si="34"/>
        <v>18543.3636277721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18925.984741289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16147.4068847316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10877.0027248787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9792.9633129192</v>
      </c>
      <c r="Q133" s="38">
        <f t="shared" si="45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85</v>
      </c>
      <c r="Z133" s="39" t="s">
        <v>84</v>
      </c>
      <c r="AA133" s="39" t="s">
        <v>84</v>
      </c>
      <c r="AB133" s="39" t="s">
        <v>204</v>
      </c>
      <c r="AC133" s="39" t="s">
        <v>92</v>
      </c>
      <c r="AD133" s="39" t="s">
        <v>84</v>
      </c>
      <c r="AE133" s="39" t="s">
        <v>87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4330.35</v>
      </c>
      <c r="AU133" cm="1">
        <f t="array" ref="AU133">$E$10*(1+$AS133)+VLOOKUP($R133,武学奇术!$A:$ZZ,4,FALSE)+SUM(_xlfn.XLOOKUP($S133:$AL133,增益!$A:$A,增益!$D:$D,0))-$I$2</f>
        <v>4330.35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0.3034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1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1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1" cm="1">
        <f t="array" ref="BJ133">$G$13+VLOOKUP($R133,武学奇术!$A:$ZZ,14,FALSE)+SUM(_xlfn.XLOOKUP($S133:$AL133,增益!$A:$A,增益!$N:$N,0))</f>
        <v>0.02</v>
      </c>
      <c r="BK133">
        <f t="shared" si="41"/>
        <v>649.11</v>
      </c>
      <c r="BL133">
        <f t="shared" si="42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3"/>
        <v>0.89337855</v>
      </c>
      <c r="BU133" s="24">
        <f t="shared" si="44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2:77">
      <c r="K134" s="37">
        <f>$L134*VLOOKUP($R134,武学奇术!$A:$ZZ,31,FALSE)</f>
        <v>28722.3455137945</v>
      </c>
      <c r="L134" s="37">
        <f t="shared" si="34"/>
        <v>28722.3455137945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29607.3664268981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22396.6275490864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15261.5290860299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13932.9636912551</v>
      </c>
      <c r="Q134" s="38">
        <f t="shared" si="45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196</v>
      </c>
      <c r="AB134" s="39" t="s">
        <v>204</v>
      </c>
      <c r="AC134" s="39" t="s">
        <v>100</v>
      </c>
      <c r="AD134" s="39" t="s">
        <v>93</v>
      </c>
      <c r="AE134" s="39" t="s">
        <v>87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0.3842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4330.35</v>
      </c>
      <c r="AU134" cm="1">
        <f t="array" ref="AU134">$E$10*(1+$AS134)+VLOOKUP($R134,武学奇术!$A:$ZZ,4,FALSE)+SUM(_xlfn.XLOOKUP($S134:$AL134,增益!$A:$A,增益!$D:$D,0))-$I$2</f>
        <v>4330.35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0.4284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0.12</v>
      </c>
      <c r="BC134">
        <f t="shared" si="37"/>
        <v>0</v>
      </c>
      <c r="BD134">
        <f t="shared" si="38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41"/>
        <v>649.11</v>
      </c>
      <c r="BL134">
        <f t="shared" si="42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3"/>
        <v>0.89337855</v>
      </c>
      <c r="BU134" s="24">
        <f t="shared" si="44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0.31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2:77">
      <c r="B135" s="95"/>
      <c r="K135" s="37">
        <f>$L135*VLOOKUP($R135,武学奇术!$A:$ZZ,31,FALSE)</f>
        <v>18543.3636277721</v>
      </c>
      <c r="L135" s="37">
        <f t="shared" si="34"/>
        <v>18543.3636277721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18925.984741289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16147.4068847316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10877.0027248787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9792.9633129192</v>
      </c>
      <c r="Q135" s="38">
        <f t="shared" si="45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85</v>
      </c>
      <c r="Z135" s="39" t="s">
        <v>84</v>
      </c>
      <c r="AA135" s="39" t="s">
        <v>84</v>
      </c>
      <c r="AB135" s="39" t="s">
        <v>204</v>
      </c>
      <c r="AC135" s="39" t="s">
        <v>92</v>
      </c>
      <c r="AD135" s="39" t="s">
        <v>84</v>
      </c>
      <c r="AE135" s="39" t="s">
        <v>87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4330.35</v>
      </c>
      <c r="AU135" cm="1">
        <f t="array" ref="AU135">$E$10*(1+$AS135)+VLOOKUP($R135,武学奇术!$A:$ZZ,4,FALSE)+SUM(_xlfn.XLOOKUP($S135:$AL135,增益!$A:$A,增益!$D:$D,0))-$I$2</f>
        <v>4330.35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0.3034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1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1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1" cm="1">
        <f t="array" ref="BJ135">$G$13+VLOOKUP($R135,武学奇术!$A:$ZZ,14,FALSE)+SUM(_xlfn.XLOOKUP($S135:$AL135,增益!$A:$A,增益!$N:$N,0))</f>
        <v>0.02</v>
      </c>
      <c r="BK135">
        <f t="shared" si="41"/>
        <v>649.11</v>
      </c>
      <c r="BL135">
        <f t="shared" si="42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3"/>
        <v>0.89337855</v>
      </c>
      <c r="BU135" s="24">
        <f t="shared" si="44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2:77">
      <c r="K136" s="37">
        <f>$L136*VLOOKUP($R136,武学奇术!$A:$ZZ,31,FALSE)</f>
        <v>0</v>
      </c>
      <c r="L136" s="37">
        <f t="shared" si="34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45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87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4330.35</v>
      </c>
      <c r="AU136" cm="1">
        <f t="array" ref="AU136">$E$10*(1+$AS136)+VLOOKUP($R136,武学奇术!$A:$ZZ,4,FALSE)+SUM(_xlfn.XLOOKUP($S136:$AL136,增益!$A:$A,增益!$D:$D,0))-$I$2</f>
        <v>4330.35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0.2534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37"/>
        <v>0</v>
      </c>
      <c r="BD136">
        <f t="shared" si="38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9"/>
        <v>0</v>
      </c>
      <c r="BH136">
        <f t="shared" si="40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41"/>
        <v>649.11</v>
      </c>
      <c r="BL136">
        <f t="shared" si="42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3"/>
        <v>0.89337855</v>
      </c>
      <c r="BU136" s="24">
        <f t="shared" si="44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  <row r="140" spans="2:77">
      <c r="B140" s="95"/>
    </row>
  </sheetData>
  <mergeCells count="34">
    <mergeCell ref="H1:I1"/>
    <mergeCell ref="C8:G8"/>
    <mergeCell ref="C15:D15"/>
    <mergeCell ref="E21:F21"/>
    <mergeCell ref="E22:F22"/>
    <mergeCell ref="E23:F23"/>
    <mergeCell ref="E24:F24"/>
    <mergeCell ref="C55:C60"/>
    <mergeCell ref="C89:C96"/>
    <mergeCell ref="D31:D44"/>
    <mergeCell ref="D51:D58"/>
    <mergeCell ref="D66:D78"/>
    <mergeCell ref="D83:D97"/>
    <mergeCell ref="E31:E36"/>
    <mergeCell ref="E56:E58"/>
    <mergeCell ref="E74:E76"/>
    <mergeCell ref="E91:E94"/>
    <mergeCell ref="F34:F37"/>
    <mergeCell ref="F84:F88"/>
    <mergeCell ref="G34:G3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S53:AC53 AD53 AE53:AL53 S2:AL52 S54:AL136">
      <formula1>增益!$A:$A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36"/>
  <sheetViews>
    <sheetView topLeftCell="A19" workbookViewId="0">
      <selection activeCell="AD57" sqref="AD57"/>
    </sheetView>
  </sheetViews>
  <sheetFormatPr defaultColWidth="9" defaultRowHeight="13.5"/>
  <cols>
    <col min="1" max="1" width="12.875" customWidth="1"/>
    <col min="11" max="15" width="12.625" style="25" customWidth="1"/>
    <col min="16" max="16" width="12.625" customWidth="1"/>
    <col min="17" max="17" width="9.00833333333333" style="30" customWidth="1"/>
    <col min="18" max="18" width="24.625" style="30" customWidth="1"/>
    <col min="19" max="32" width="9" style="30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1"/>
    <col min="47" max="48" width="9" style="31"/>
    <col min="61" max="65" width="9" style="24"/>
    <col min="66" max="67" width="9.00833333333333" style="24" customWidth="1"/>
    <col min="68" max="69" width="9" style="24"/>
    <col min="70" max="70" width="12.625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/>
      <c r="C2" s="30"/>
      <c r="D2" s="30"/>
      <c r="E2" s="41"/>
      <c r="F2" s="42" t="s">
        <v>75</v>
      </c>
      <c r="G2" s="43" t="str">
        <f>期望!G2</f>
        <v>倾觞</v>
      </c>
      <c r="H2" s="44" t="s">
        <v>77</v>
      </c>
      <c r="I2" s="21">
        <f>687*(1-IF(F17="√",0.06,0)-IF(D20="√",0.04,0))</f>
        <v>687</v>
      </c>
      <c r="K2" s="37">
        <f>$L2*VLOOKUP($R2,武学奇术!$A:$ZZ,31,FALSE)</f>
        <v>38800.3185988669</v>
      </c>
      <c r="L2" s="37">
        <f t="shared" ref="L2:L29" si="0">($M2*$BT2+$N2*$BR2+$O2*$BU2+$P2*$BV2)</f>
        <v>38800.3185988669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39221.307148422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37288.9916111744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24361.0603406348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21100.645413733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84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84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0.1242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4261.65</v>
      </c>
      <c r="AU2" cm="1">
        <f t="array" ref="AU2">$E$10*(1+$AS2)+VLOOKUP($R2,武学奇术!$A:$ZZ,4,FALSE)+SUM(_xlfn.XLOOKUP($S2:$AL2,增益!$A:$A,增益!$D:$D,0))-$I$2</f>
        <v>4261.65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0.1884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1" cm="1">
        <f t="array" ref="BB2">$G$11+VLOOKUP($R2,武学奇术!$A:$ZZ,10,FALSE)+SUM(_xlfn.XLOOKUP($S2:$AL2,增益!$A:$A,增益!$J:$J,0))</f>
        <v>0.02</v>
      </c>
      <c r="BC2">
        <f t="shared" ref="BC2:BC65" si="3">$D$12*(1+$AX2)</f>
        <v>0</v>
      </c>
      <c r="BD2">
        <f t="shared" ref="BD2:BD65" si="4"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1" cm="1">
        <f t="array" ref="BF2">$G$12+VLOOKUP($R2,武学奇术!$A:$ZZ,12,FALSE)+SUM(_xlfn.XLOOKUP($S2:$AL2,增益!$A:$A,增益!$L:$L,0))</f>
        <v>0.02</v>
      </c>
      <c r="BG2">
        <f t="shared" ref="BG2:BG65" si="5">$D$13*(1+$AX2)</f>
        <v>0</v>
      </c>
      <c r="BH2">
        <f t="shared" ref="BH2:BH65" si="6"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1" cm="1">
        <f t="array" ref="BJ2">$G$13+VLOOKUP($R2,武学奇术!$A:$ZZ,14,FALSE)+SUM(_xlfn.XLOOKUP($S2:$AL2,增益!$A:$A,增益!$N:$N,0))</f>
        <v>0.02</v>
      </c>
      <c r="BK2">
        <f t="shared" ref="BK2:BK65" si="7">$D$14*(1+$AX2)</f>
        <v>649.11</v>
      </c>
      <c r="BL2">
        <f t="shared" ref="BL2:BL65" si="8"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0.89337855</v>
      </c>
      <c r="BU2" s="24">
        <f t="shared" ref="BU2:BU65" si="10"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0.1042</v>
      </c>
      <c r="H3" s="44" t="s">
        <v>90</v>
      </c>
      <c r="I3" s="21">
        <f>25-IF(D17="√",7,0)-IF(F17="√",10,0)</f>
        <v>25</v>
      </c>
      <c r="K3" s="37">
        <f>$L3*VLOOKUP($R3,武学奇术!$A:$ZZ,31,FALSE)</f>
        <v>54616.9175315987</v>
      </c>
      <c r="L3" s="37">
        <f t="shared" si="0"/>
        <v>54616.9175315987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55974.9543550435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45654.9882890091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30094.0614812062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26369.6131187019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84</v>
      </c>
      <c r="Z3" s="39" t="s">
        <v>84</v>
      </c>
      <c r="AA3" s="39" t="s">
        <v>84</v>
      </c>
      <c r="AB3" s="39" t="s">
        <v>86</v>
      </c>
      <c r="AC3" s="39" t="s">
        <v>84</v>
      </c>
      <c r="AD3" s="39" t="s">
        <v>93</v>
      </c>
      <c r="AE3" s="39" t="s">
        <v>84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0.2842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4261.65</v>
      </c>
      <c r="AU3" cm="1">
        <f t="array" ref="AU3">$E$10*(1+$AS3)+VLOOKUP($R3,武学奇术!$A:$ZZ,4,FALSE)+SUM(_xlfn.XLOOKUP($S3:$AL3,增益!$A:$A,增益!$D:$D,0))-$I$2</f>
        <v>4261.65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0.3234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1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1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1" cm="1">
        <f t="array" ref="BJ3">$G$13+VLOOKUP($R3,武学奇术!$A:$ZZ,14,FALSE)+SUM(_xlfn.XLOOKUP($S3:$AL3,增益!$A:$A,增益!$N:$N,0))</f>
        <v>0.02</v>
      </c>
      <c r="BK3">
        <f t="shared" si="7"/>
        <v>649.11</v>
      </c>
      <c r="BL3">
        <f t="shared" si="8"/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0.89337855</v>
      </c>
      <c r="BU3" s="24">
        <f t="shared" si="10"/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55619.1854035212</v>
      </c>
      <c r="L4" s="37">
        <f t="shared" si="0"/>
        <v>55619.1854035212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57030.4189179284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46238.8509122227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30497.5502234911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26744.0997712617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84</v>
      </c>
      <c r="Z4" s="39" t="s">
        <v>84</v>
      </c>
      <c r="AA4" s="39" t="s">
        <v>84</v>
      </c>
      <c r="AB4" s="39" t="s">
        <v>86</v>
      </c>
      <c r="AC4" s="39" t="s">
        <v>84</v>
      </c>
      <c r="AD4" s="39" t="s">
        <v>93</v>
      </c>
      <c r="AE4" s="39" t="s">
        <v>84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0.2942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4261.65</v>
      </c>
      <c r="AU4" cm="1">
        <f t="array" ref="AU4">$E$10*(1+$AS4)+VLOOKUP($R4,武学奇术!$A:$ZZ,4,FALSE)+SUM(_xlfn.XLOOKUP($S4:$AL4,增益!$A:$A,增益!$D:$D,0))-$I$2</f>
        <v>4261.65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0.3334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56357.328504106</v>
      </c>
      <c r="L5" s="37">
        <f t="shared" si="0"/>
        <v>56357.328504106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57789.8309268865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46826.2423494444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30903.6529020783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27121.2003601237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84</v>
      </c>
      <c r="Z5" s="39" t="s">
        <v>84</v>
      </c>
      <c r="AA5" s="39" t="s">
        <v>84</v>
      </c>
      <c r="AB5" s="39" t="s">
        <v>86</v>
      </c>
      <c r="AC5" s="39" t="s">
        <v>84</v>
      </c>
      <c r="AD5" s="39" t="s">
        <v>93</v>
      </c>
      <c r="AE5" s="39" t="s">
        <v>84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0.3042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4261.65</v>
      </c>
      <c r="AU5" cm="1">
        <f t="array" ref="AU5">$E$10*(1+$AS5)+VLOOKUP($R5,武学奇术!$A:$ZZ,4,FALSE)+SUM(_xlfn.XLOOKUP($S5:$AL5,增益!$A:$A,增益!$D:$D,0))-$I$2</f>
        <v>4261.65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0.3434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/>
      <c r="C6" s="57"/>
      <c r="D6" s="57"/>
      <c r="E6" s="58"/>
      <c r="F6" s="44" t="s">
        <v>105</v>
      </c>
      <c r="G6" s="48">
        <f>B19</f>
        <v>0</v>
      </c>
      <c r="K6" s="37">
        <f>$L6*VLOOKUP($R6,武学奇术!$A:$ZZ,31,FALSE)</f>
        <v>56633.4151102996</v>
      </c>
      <c r="L6" s="37">
        <f t="shared" si="0"/>
        <v>56633.4151102996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58098.8674559072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46826.2423494444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30903.6529020783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27121.2003601237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84</v>
      </c>
      <c r="Z6" s="39" t="s">
        <v>84</v>
      </c>
      <c r="AA6" s="39" t="s">
        <v>84</v>
      </c>
      <c r="AB6" s="39" t="s">
        <v>107</v>
      </c>
      <c r="AC6" s="39" t="s">
        <v>84</v>
      </c>
      <c r="AD6" s="39" t="s">
        <v>93</v>
      </c>
      <c r="AE6" s="39" t="s">
        <v>84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0.3042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4261.65</v>
      </c>
      <c r="AU6" cm="1">
        <f t="array" ref="AU6">$E$10*(1+$AS6)+VLOOKUP($R6,武学奇术!$A:$ZZ,4,FALSE)+SUM(_xlfn.XLOOKUP($S6:$AL6,增益!$A:$A,增益!$D:$D,0))-$I$2</f>
        <v>4261.65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0.3434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40" t="s">
        <v>108</v>
      </c>
      <c r="B7" s="59"/>
      <c r="C7" s="59"/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11455.3519817381</v>
      </c>
      <c r="L7" s="37">
        <f t="shared" si="0"/>
        <v>11455.3519817381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11536.9331773634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11375.2840079088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7491.51505023595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6556.89379831722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84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0.2743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4261.65</v>
      </c>
      <c r="AU7" cm="1">
        <f t="array" ref="AU7">$E$10*(1+$AS7)+VLOOKUP($R7,武学奇术!$A:$ZZ,4,FALSE)+SUM(_xlfn.XLOOKUP($S7:$AL7,增益!$A:$A,增益!$D:$D,0))-$I$2</f>
        <v>4261.65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0.1684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f>期望!B8</f>
        <v>0.9943</v>
      </c>
      <c r="C8" s="65" t="s">
        <v>113</v>
      </c>
      <c r="D8" s="65"/>
      <c r="E8" s="65"/>
      <c r="F8" s="65"/>
      <c r="G8" s="36"/>
      <c r="H8" s="66" t="s">
        <v>114</v>
      </c>
      <c r="I8" s="18">
        <f>期望!I8</f>
        <v>88.6</v>
      </c>
      <c r="J8" s="67"/>
      <c r="K8" s="37">
        <f>$L8*VLOOKUP($R8,武学奇术!$A:$ZZ,31,FALSE)</f>
        <v>27684.6066828338</v>
      </c>
      <c r="L8" s="37">
        <f t="shared" si="0"/>
        <v>27684.6066828338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27990.7614658476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26520.9733663754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17494.2259161548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15343.2863757352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84</v>
      </c>
      <c r="Z8" s="39" t="s">
        <v>84</v>
      </c>
      <c r="AA8" s="39" t="s">
        <v>84</v>
      </c>
      <c r="AB8" s="39" t="s">
        <v>86</v>
      </c>
      <c r="AC8" s="39" t="s">
        <v>84</v>
      </c>
      <c r="AD8" s="39" t="s">
        <v>84</v>
      </c>
      <c r="AE8" s="39" t="s">
        <v>84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0.2843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4261.65</v>
      </c>
      <c r="AU8" cm="1">
        <f t="array" ref="AU8">$E$10*(1+$AS8)+VLOOKUP($R8,武学奇术!$A:$ZZ,4,FALSE)+SUM(_xlfn.XLOOKUP($S8:$AL8,增益!$A:$A,增益!$D:$D,0))-$I$2</f>
        <v>4261.65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0.1784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f>期望!B9</f>
        <v>0.7655</v>
      </c>
      <c r="C9" s="20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105906.845117103</v>
      </c>
      <c r="L9" s="37">
        <f t="shared" si="0"/>
        <v>105906.845117103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108743.313371733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86717.0772749663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57233.3228272279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50231.7735989252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84</v>
      </c>
      <c r="Z9" s="39" t="s">
        <v>84</v>
      </c>
      <c r="AA9" s="39" t="s">
        <v>84</v>
      </c>
      <c r="AB9" s="39" t="s">
        <v>86</v>
      </c>
      <c r="AC9" s="39" t="s">
        <v>84</v>
      </c>
      <c r="AD9" s="39" t="s">
        <v>84</v>
      </c>
      <c r="AE9" s="39" t="s">
        <v>84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0.3443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4261.65</v>
      </c>
      <c r="AU9" cm="1">
        <f t="array" ref="AU9">$E$10*(1+$AS9)+VLOOKUP($R9,武学奇术!$A:$ZZ,4,FALSE)+SUM(_xlfn.XLOOKUP($S9:$AL9,增益!$A:$A,增益!$D:$D,0))-$I$2</f>
        <v>4261.65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0.1884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f>期望!B10</f>
        <v>0.0913</v>
      </c>
      <c r="C10" s="20" t="s">
        <v>74</v>
      </c>
      <c r="D10" s="25">
        <f>期望!D10</f>
        <v>4948.65</v>
      </c>
      <c r="E10" s="25">
        <f>期望!E10</f>
        <v>4948.65</v>
      </c>
      <c r="F10" s="25">
        <f>期望!F10</f>
        <v>58.68</v>
      </c>
      <c r="G10" s="48">
        <f>期望!G10</f>
        <v>0</v>
      </c>
      <c r="H10" s="66" t="s">
        <v>121</v>
      </c>
      <c r="I10" s="71">
        <f>SUM(L:L)</f>
        <v>13904727.3275476</v>
      </c>
      <c r="J10" s="72"/>
      <c r="K10" s="37">
        <f>$L10*VLOOKUP($R10,武学奇术!$A:$ZZ,31,FALSE)</f>
        <v>54219.0707208781</v>
      </c>
      <c r="L10" s="37">
        <f t="shared" si="0"/>
        <v>33886.9192005488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34243.3056890362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32683.9501835115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21269.1339683455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18327.9344674231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84</v>
      </c>
      <c r="Z10" s="39" t="s">
        <v>84</v>
      </c>
      <c r="AA10" s="39" t="s">
        <v>84</v>
      </c>
      <c r="AB10" s="39" t="s">
        <v>86</v>
      </c>
      <c r="AC10" s="39" t="s">
        <v>84</v>
      </c>
      <c r="AD10" s="39" t="s">
        <v>84</v>
      </c>
      <c r="AE10" s="39" t="s">
        <v>84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0.2943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4261.65</v>
      </c>
      <c r="AU10" cm="1">
        <f t="array" ref="AU10">$E$10*(1+$AS10)+VLOOKUP($R10,武学奇术!$A:$ZZ,4,FALSE)+SUM(_xlfn.XLOOKUP($S10:$AL10,增益!$A:$A,增益!$D:$D,0))-$I$2</f>
        <v>4261.65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0.1884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期望!B11</f>
        <v>0.133</v>
      </c>
      <c r="C11" s="20" t="s">
        <v>89</v>
      </c>
      <c r="D11" s="25">
        <f>期望!D11</f>
        <v>0</v>
      </c>
      <c r="E11" s="25">
        <f>期望!E11</f>
        <v>0</v>
      </c>
      <c r="F11" s="25">
        <f>期望!F11</f>
        <v>0</v>
      </c>
      <c r="G11" s="48">
        <f>期望!G11</f>
        <v>0</v>
      </c>
      <c r="H11" s="69"/>
      <c r="I11" s="73"/>
      <c r="J11" s="74"/>
      <c r="K11" s="37">
        <f>$L11*VLOOKUP($R11,武学奇术!$A:$ZZ,31,FALSE)</f>
        <v>39567.87607315</v>
      </c>
      <c r="L11" s="37">
        <f t="shared" si="0"/>
        <v>39567.87607315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40645.3812266022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32240.9174318336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21280.3043071216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18678.4475536256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84</v>
      </c>
      <c r="Z11" s="39" t="s">
        <v>84</v>
      </c>
      <c r="AA11" s="39" t="s">
        <v>84</v>
      </c>
      <c r="AB11" s="39" t="s">
        <v>86</v>
      </c>
      <c r="AC11" s="39" t="s">
        <v>84</v>
      </c>
      <c r="AD11" s="39" t="s">
        <v>84</v>
      </c>
      <c r="AE11" s="39" t="s">
        <v>84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0.3443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4261.65</v>
      </c>
      <c r="AU11" cm="1">
        <f t="array" ref="AU11">$E$10*(1+$AS11)+VLOOKUP($R11,武学奇术!$A:$ZZ,4,FALSE)+SUM(_xlfn.XLOOKUP($S11:$AL11,增益!$A:$A,增益!$D:$D,0))-$I$2</f>
        <v>4261.65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0.1884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f>期望!B12</f>
        <v>0</v>
      </c>
      <c r="C12" s="20" t="s">
        <v>95</v>
      </c>
      <c r="D12" s="25">
        <f>期望!D12</f>
        <v>0</v>
      </c>
      <c r="E12" s="25">
        <f>期望!E12</f>
        <v>0</v>
      </c>
      <c r="F12" s="25">
        <f>期望!F12</f>
        <v>0</v>
      </c>
      <c r="G12" s="48">
        <f>期望!G12</f>
        <v>0</v>
      </c>
      <c r="H12" s="66" t="s">
        <v>126</v>
      </c>
      <c r="I12" s="37">
        <f>I10/I8</f>
        <v>156938.231687896</v>
      </c>
      <c r="J12" s="75"/>
      <c r="K12" s="37">
        <f>$L12*VLOOKUP($R12,武学奇术!$A:$ZZ,31,FALSE)</f>
        <v>27421.8824986993</v>
      </c>
      <c r="L12" s="37">
        <f t="shared" si="0"/>
        <v>27421.8824986993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28169.9853551833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22330.0427026161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14748.6834320331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12956.594491758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84</v>
      </c>
      <c r="Z12" s="39" t="s">
        <v>84</v>
      </c>
      <c r="AA12" s="39" t="s">
        <v>84</v>
      </c>
      <c r="AB12" s="39" t="s">
        <v>86</v>
      </c>
      <c r="AC12" s="39" t="s">
        <v>84</v>
      </c>
      <c r="AD12" s="39" t="s">
        <v>84</v>
      </c>
      <c r="AE12" s="39" t="s">
        <v>84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0.3543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4261.65</v>
      </c>
      <c r="AU12" cm="1">
        <f t="array" ref="AU12">$E$10*(1+$AS12)+VLOOKUP($R12,武学奇术!$A:$ZZ,4,FALSE)+SUM(_xlfn.XLOOKUP($S12:$AL12,增益!$A:$A,增益!$D:$D,0))-$I$2</f>
        <v>4261.65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0.1984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f>期望!B13</f>
        <v>0.54</v>
      </c>
      <c r="C13" s="20" t="s">
        <v>101</v>
      </c>
      <c r="D13" s="25">
        <f>期望!D13</f>
        <v>0</v>
      </c>
      <c r="E13" s="25">
        <f>期望!E13</f>
        <v>0</v>
      </c>
      <c r="F13" s="25">
        <f>期望!F13</f>
        <v>0</v>
      </c>
      <c r="G13" s="48">
        <f>期望!G13</f>
        <v>0</v>
      </c>
      <c r="H13" s="69"/>
      <c r="I13" s="76"/>
      <c r="J13" s="74"/>
      <c r="K13" s="37">
        <f>$L13*VLOOKUP($R13,武学奇术!$A:$ZZ,31,FALSE)</f>
        <v>90754.3416726722</v>
      </c>
      <c r="L13" s="37">
        <f t="shared" si="0"/>
        <v>56721.4635454201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58247.4779289483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46410.5143240959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30496.0617429049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26613.9647272202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84</v>
      </c>
      <c r="Z13" s="39" t="s">
        <v>84</v>
      </c>
      <c r="AA13" s="39" t="s">
        <v>84</v>
      </c>
      <c r="AB13" s="39" t="s">
        <v>86</v>
      </c>
      <c r="AC13" s="39" t="s">
        <v>84</v>
      </c>
      <c r="AD13" s="39" t="s">
        <v>93</v>
      </c>
      <c r="AE13" s="39" t="s">
        <v>84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0.4643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4261.65</v>
      </c>
      <c r="AU13" cm="1">
        <f t="array" ref="AU13">$E$10*(1+$AS13)+VLOOKUP($R13,武学奇术!$A:$ZZ,4,FALSE)+SUM(_xlfn.XLOOKUP($S13:$AL13,增益!$A:$A,增益!$D:$D,0))-$I$2</f>
        <v>4261.65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0.3334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f>期望!B14</f>
        <v>0.35</v>
      </c>
      <c r="C14" s="13" t="s">
        <v>5</v>
      </c>
      <c r="D14" s="77">
        <f>期望!D14</f>
        <v>649.11</v>
      </c>
      <c r="E14" s="77">
        <f>期望!E14</f>
        <v>1812.09</v>
      </c>
      <c r="F14" s="77">
        <f>期望!F14</f>
        <v>30</v>
      </c>
      <c r="G14" s="62">
        <f>期望!G14</f>
        <v>0.15</v>
      </c>
      <c r="H14" s="35" t="s">
        <v>132</v>
      </c>
      <c r="I14" s="71">
        <f>I12+150000*8%</f>
        <v>168938.231687896</v>
      </c>
      <c r="J14" s="72"/>
      <c r="K14" s="37">
        <f>$L14*VLOOKUP($R14,武学奇术!$A:$ZZ,31,FALSE)</f>
        <v>360250.322186097</v>
      </c>
      <c r="L14" s="37">
        <f t="shared" si="0"/>
        <v>360250.322186097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374456.778463254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253388.112896522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168674.224532997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149653.550624126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84</v>
      </c>
      <c r="Z14" s="39" t="s">
        <v>84</v>
      </c>
      <c r="AA14" s="39" t="s">
        <v>84</v>
      </c>
      <c r="AB14" s="39" t="s">
        <v>86</v>
      </c>
      <c r="AC14" s="39" t="s">
        <v>84</v>
      </c>
      <c r="AD14" s="39" t="s">
        <v>93</v>
      </c>
      <c r="AE14" s="39" t="s">
        <v>84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0.5143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4261.65</v>
      </c>
      <c r="AU14" cm="1">
        <f t="array" ref="AU14">$E$10*(1+$AS14)+VLOOKUP($R14,武学奇术!$A:$ZZ,4,FALSE)+SUM(_xlfn.XLOOKUP($S14:$AL14,增益!$A:$A,增益!$D:$D,0))-$I$2</f>
        <v>4261.65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0.3334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ht="14.25" spans="1:77">
      <c r="A15" s="40" t="s">
        <v>134</v>
      </c>
      <c r="B15" s="68">
        <f>期望!B15</f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63057.4326928731</v>
      </c>
      <c r="L15" s="37">
        <f t="shared" si="0"/>
        <v>63057.4326928731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65546.3227239775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44330.5854388824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29525.3705963863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26213.2704973041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84</v>
      </c>
      <c r="Z15" s="39" t="s">
        <v>84</v>
      </c>
      <c r="AA15" s="39" t="s">
        <v>84</v>
      </c>
      <c r="AB15" s="39" t="s">
        <v>86</v>
      </c>
      <c r="AC15" s="39" t="s">
        <v>84</v>
      </c>
      <c r="AD15" s="39" t="s">
        <v>93</v>
      </c>
      <c r="AE15" s="39" t="s">
        <v>84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0.5243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4261.65</v>
      </c>
      <c r="AU15" cm="1">
        <f t="array" ref="AU15">$E$10*(1+$AS15)+VLOOKUP($R15,武学奇术!$A:$ZZ,4,FALSE)+SUM(_xlfn.XLOOKUP($S15:$AL15,增益!$A:$A,增益!$D:$D,0))-$I$2</f>
        <v>4261.65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0.3434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f>期望!B16</f>
        <v>0.0892</v>
      </c>
      <c r="C16" s="38" t="s">
        <v>138</v>
      </c>
      <c r="D16" s="78" t="s">
        <v>161</v>
      </c>
      <c r="E16" s="38" t="s">
        <v>140</v>
      </c>
      <c r="F16" s="78" t="s">
        <v>139</v>
      </c>
      <c r="H16" s="66" t="s">
        <v>141</v>
      </c>
      <c r="I16" s="80"/>
      <c r="J16" s="81"/>
      <c r="K16" s="37">
        <f>$L16*VLOOKUP($R16,武学奇术!$A:$ZZ,31,FALSE)</f>
        <v>60881.5097549915</v>
      </c>
      <c r="L16" s="37">
        <f t="shared" si="0"/>
        <v>60881.5097549915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63304.8978003607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42621.3469739948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28387.846547247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25204.3249656089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84</v>
      </c>
      <c r="Z16" s="39" t="s">
        <v>84</v>
      </c>
      <c r="AA16" s="39" t="s">
        <v>84</v>
      </c>
      <c r="AB16" s="39" t="s">
        <v>86</v>
      </c>
      <c r="AC16" s="39" t="s">
        <v>84</v>
      </c>
      <c r="AD16" s="39" t="s">
        <v>93</v>
      </c>
      <c r="AE16" s="39" t="s">
        <v>84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0.5243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4261.65</v>
      </c>
      <c r="AU16" cm="1">
        <f t="array" ref="AU16">$E$10*(1+$AS16)+VLOOKUP($R16,武学奇术!$A:$ZZ,4,FALSE)+SUM(_xlfn.XLOOKUP($S16:$AL16,增益!$A:$A,增益!$D:$D,0))-$I$2</f>
        <v>4261.65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0.3434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ht="14.25" spans="1:77">
      <c r="A17" s="40" t="s">
        <v>143</v>
      </c>
      <c r="B17" s="68">
        <f>期望!B17</f>
        <v>0.0854</v>
      </c>
      <c r="C17" s="38" t="s">
        <v>144</v>
      </c>
      <c r="D17" s="78" t="s">
        <v>161</v>
      </c>
      <c r="E17" s="38" t="s">
        <v>145</v>
      </c>
      <c r="F17" s="78" t="s">
        <v>161</v>
      </c>
      <c r="H17" s="69"/>
      <c r="I17" s="82"/>
      <c r="J17" s="83"/>
      <c r="K17" s="37">
        <f>$L17*VLOOKUP($R17,武学奇术!$A:$ZZ,31,FALSE)</f>
        <v>74255.3916323623</v>
      </c>
      <c r="L17" s="37">
        <f t="shared" si="0"/>
        <v>74255.3916323623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77210.9562289337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51985.690044826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34623.7471878626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30739.5758240023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84</v>
      </c>
      <c r="Z17" s="39" t="s">
        <v>84</v>
      </c>
      <c r="AA17" s="39" t="s">
        <v>84</v>
      </c>
      <c r="AB17" s="39" t="s">
        <v>86</v>
      </c>
      <c r="AC17" s="39" t="s">
        <v>84</v>
      </c>
      <c r="AD17" s="39" t="s">
        <v>93</v>
      </c>
      <c r="AE17" s="39" t="s">
        <v>84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0.5243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4261.65</v>
      </c>
      <c r="AU17" cm="1">
        <f t="array" ref="AU17">$E$10*(1+$AS17)+VLOOKUP($R17,武学奇术!$A:$ZZ,4,FALSE)+SUM(_xlfn.XLOOKUP($S17:$AL17,增益!$A:$A,增益!$D:$D,0))-$I$2</f>
        <v>4261.65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0.3434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f>期望!B18</f>
        <v>0.0854</v>
      </c>
      <c r="C18" s="38" t="s">
        <v>148</v>
      </c>
      <c r="D18" s="78" t="s">
        <v>161</v>
      </c>
      <c r="E18" s="38" t="s">
        <v>149</v>
      </c>
      <c r="F18" s="84">
        <v>0.5</v>
      </c>
      <c r="K18" s="37">
        <f>$L18*VLOOKUP($R18,武学奇术!$A:$ZZ,31,FALSE)</f>
        <v>167626.829464128</v>
      </c>
      <c r="L18" s="37">
        <f t="shared" si="0"/>
        <v>167626.829464128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174299.058676892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117352.126029831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78161.0128595929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69394.5249563478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84</v>
      </c>
      <c r="Z18" s="39" t="s">
        <v>84</v>
      </c>
      <c r="AA18" s="39" t="s">
        <v>84</v>
      </c>
      <c r="AB18" s="39" t="s">
        <v>86</v>
      </c>
      <c r="AC18" s="39" t="s">
        <v>84</v>
      </c>
      <c r="AD18" s="39" t="s">
        <v>93</v>
      </c>
      <c r="AE18" s="39" t="s">
        <v>84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0.5243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4261.65</v>
      </c>
      <c r="AU18" cm="1">
        <f t="array" ref="AU18">$E$10*(1+$AS18)+VLOOKUP($R18,武学奇术!$A:$ZZ,4,FALSE)+SUM(_xlfn.XLOOKUP($S18:$AL18,增益!$A:$A,增益!$D:$D,0))-$I$2</f>
        <v>4261.65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0.3434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spans="1:77">
      <c r="A19" s="40" t="s">
        <v>152</v>
      </c>
      <c r="B19" s="68">
        <f>期望!B19</f>
        <v>0</v>
      </c>
      <c r="C19" s="38" t="s">
        <v>153</v>
      </c>
      <c r="D19" s="78" t="s">
        <v>161</v>
      </c>
      <c r="K19" s="37">
        <f>$L19*VLOOKUP($R19,武学奇术!$A:$ZZ,31,FALSE)</f>
        <v>306265.971547068</v>
      </c>
      <c r="L19" s="37">
        <f t="shared" si="0"/>
        <v>306265.971547068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315462.544584609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240935.57785998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159324.517466974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140178.236519148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84</v>
      </c>
      <c r="Z19" s="39" t="s">
        <v>84</v>
      </c>
      <c r="AA19" s="39" t="s">
        <v>84</v>
      </c>
      <c r="AB19" s="39" t="s">
        <v>107</v>
      </c>
      <c r="AC19" s="39" t="s">
        <v>84</v>
      </c>
      <c r="AD19" s="39" t="s">
        <v>84</v>
      </c>
      <c r="AE19" s="39" t="s">
        <v>84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0.5243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4261.65</v>
      </c>
      <c r="AU19" cm="1">
        <f t="array" ref="AU19">$E$10*(1+$AS19)+VLOOKUP($R19,武学奇术!$A:$ZZ,4,FALSE)+SUM(_xlfn.XLOOKUP($S19:$AL19,增益!$A:$A,增益!$D:$D,0))-$I$2</f>
        <v>4261.65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0.2184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f>期望!B20</f>
        <v>0</v>
      </c>
      <c r="C20" s="38" t="s">
        <v>155</v>
      </c>
      <c r="D20" s="78" t="s">
        <v>161</v>
      </c>
      <c r="K20" s="37">
        <f>$L20*VLOOKUP($R20,武学奇术!$A:$ZZ,31,FALSE)</f>
        <v>168969.14480034</v>
      </c>
      <c r="L20" s="37">
        <f t="shared" si="0"/>
        <v>168969.14480034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174112.431882732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132314.378506953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87493.6843631818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76976.7179804723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84</v>
      </c>
      <c r="Z20" s="39" t="s">
        <v>84</v>
      </c>
      <c r="AA20" s="39" t="s">
        <v>84</v>
      </c>
      <c r="AB20" s="39" t="s">
        <v>107</v>
      </c>
      <c r="AC20" s="39" t="s">
        <v>84</v>
      </c>
      <c r="AD20" s="39" t="s">
        <v>84</v>
      </c>
      <c r="AE20" s="39" t="s">
        <v>84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0.5243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4261.65</v>
      </c>
      <c r="AU20" cm="1">
        <f t="array" ref="AU20">$E$10*(1+$AS20)+VLOOKUP($R20,武学奇术!$A:$ZZ,4,FALSE)+SUM(_xlfn.XLOOKUP($S20:$AL20,增益!$A:$A,增益!$D:$D,0))-$I$2</f>
        <v>4261.65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0.2184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210</v>
      </c>
      <c r="B21" s="86">
        <f>期望!B21</f>
        <v>0.3206</v>
      </c>
      <c r="C21" s="38" t="s">
        <v>160</v>
      </c>
      <c r="D21" s="78" t="s">
        <v>161</v>
      </c>
      <c r="E21" s="38" t="s">
        <v>162</v>
      </c>
      <c r="F21" s="38"/>
      <c r="K21" s="37">
        <f>$L21*VLOOKUP($R21,武学奇术!$A:$ZZ,31,FALSE)</f>
        <v>203084.258589253</v>
      </c>
      <c r="L21" s="37">
        <f t="shared" si="0"/>
        <v>203084.258589253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209265.839746373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159030.253472778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105158.713440389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92517.2391231635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84</v>
      </c>
      <c r="Z21" s="39" t="s">
        <v>84</v>
      </c>
      <c r="AA21" s="39" t="s">
        <v>84</v>
      </c>
      <c r="AB21" s="39" t="s">
        <v>107</v>
      </c>
      <c r="AC21" s="39" t="s">
        <v>84</v>
      </c>
      <c r="AD21" s="39" t="s">
        <v>84</v>
      </c>
      <c r="AE21" s="39" t="s">
        <v>84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0.3743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4261.65</v>
      </c>
      <c r="AU21" cm="1">
        <f t="array" ref="AU21">$E$10*(1+$AS21)+VLOOKUP($R21,武学奇术!$A:$ZZ,4,FALSE)+SUM(_xlfn.XLOOKUP($S21:$AL21,增益!$A:$A,增益!$D:$D,0))-$I$2</f>
        <v>4261.65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0.2184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f>期望!B22</f>
        <v>0.6</v>
      </c>
      <c r="E22" s="38" t="str">
        <f>期望!E22</f>
        <v>断石之构</v>
      </c>
      <c r="F22" s="38"/>
      <c r="K22" s="37">
        <f>$L22*VLOOKUP($R22,武学奇术!$A:$ZZ,31,FALSE)</f>
        <v>152341.596601133</v>
      </c>
      <c r="L22" s="37">
        <f t="shared" si="0"/>
        <v>152341.596601133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156978.754271757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119293.872847934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78883.7961164605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69401.7604937106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84</v>
      </c>
      <c r="Z22" s="39" t="s">
        <v>84</v>
      </c>
      <c r="AA22" s="39" t="s">
        <v>84</v>
      </c>
      <c r="AB22" s="39" t="s">
        <v>107</v>
      </c>
      <c r="AC22" s="39" t="s">
        <v>84</v>
      </c>
      <c r="AD22" s="39" t="s">
        <v>84</v>
      </c>
      <c r="AE22" s="39" t="s">
        <v>84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0.3743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4261.65</v>
      </c>
      <c r="AU22" cm="1">
        <f t="array" ref="AU22">$E$10*(1+$AS22)+VLOOKUP($R22,武学奇术!$A:$ZZ,4,FALSE)+SUM(_xlfn.XLOOKUP($S22:$AL22,增益!$A:$A,增益!$D:$D,0))-$I$2</f>
        <v>4261.65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0.2184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 s="87">
        <f>期望!B23</f>
        <v>240</v>
      </c>
      <c r="E23" s="38" t="s">
        <v>168</v>
      </c>
      <c r="F23" s="38"/>
      <c r="K23" s="37">
        <f>$L23*VLOOKUP($R23,武学奇术!$A:$ZZ,31,FALSE)</f>
        <v>25241.4810631913</v>
      </c>
      <c r="L23" s="37">
        <f t="shared" si="0"/>
        <v>25241.4810631913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25524.275594313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24142.6424096397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15952.6722464456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14021.905670936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84</v>
      </c>
      <c r="Z23" s="39" t="s">
        <v>84</v>
      </c>
      <c r="AA23" s="39" t="s">
        <v>84</v>
      </c>
      <c r="AB23" s="39" t="s">
        <v>171</v>
      </c>
      <c r="AC23" s="39" t="s">
        <v>84</v>
      </c>
      <c r="AD23" s="39" t="s">
        <v>84</v>
      </c>
      <c r="AE23" s="39" t="s">
        <v>84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0.3243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4261.65</v>
      </c>
      <c r="AU23" cm="1">
        <f t="array" ref="AU23">$E$10*(1+$AS23)+VLOOKUP($R23,武学奇术!$A:$ZZ,4,FALSE)+SUM(_xlfn.XLOOKUP($S23:$AL23,增益!$A:$A,增益!$D:$D,0))-$I$2</f>
        <v>4261.65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0.2184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 s="87">
        <f>期望!B24</f>
        <v>480</v>
      </c>
      <c r="E24" s="88" t="str">
        <f>期望!E24</f>
        <v>易水歌</v>
      </c>
      <c r="F24" s="88"/>
      <c r="K24" s="37">
        <f>$L24*VLOOKUP($R24,武学奇术!$A:$ZZ,31,FALSE)</f>
        <v>33834.9463100404</v>
      </c>
      <c r="L24" s="37">
        <f t="shared" si="0"/>
        <v>33834.9463100404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34214.0318893608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32361.8668298043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21383.7699308505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18795.7866544385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84</v>
      </c>
      <c r="AD24" s="39" t="s">
        <v>84</v>
      </c>
      <c r="AE24" s="39" t="s">
        <v>84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4261.65</v>
      </c>
      <c r="AU24" cm="1">
        <f t="array" ref="AU24">$E$10*(1+$AS24)+VLOOKUP($R24,武学奇术!$A:$ZZ,4,FALSE)+SUM(_xlfn.XLOOKUP($S24:$AL24,增益!$A:$A,增益!$D:$D,0))-$I$2</f>
        <v>4261.65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0.2184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57722.7276037084</v>
      </c>
      <c r="L25" s="37">
        <f t="shared" si="0"/>
        <v>36076.7047523178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36548.677623157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33966.1160430756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22150.7137110042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19141.3414641747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84</v>
      </c>
      <c r="AD25" s="39" t="s">
        <v>84</v>
      </c>
      <c r="AE25" s="39" t="s">
        <v>84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0.3243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4261.65</v>
      </c>
      <c r="AU25" cm="1">
        <f t="array" ref="AU25">$E$10*(1+$AS25)+VLOOKUP($R25,武学奇术!$A:$ZZ,4,FALSE)+SUM(_xlfn.XLOOKUP($S25:$AL25,增益!$A:$A,增益!$D:$D,0))-$I$2</f>
        <v>4261.65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0.2184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F26" s="4"/>
      <c r="G26" s="4"/>
      <c r="K26" s="37">
        <f>$L26*VLOOKUP($R26,武学奇术!$A:$ZZ,31,FALSE)</f>
        <v>42139.2227813308</v>
      </c>
      <c r="L26" s="37">
        <f t="shared" si="0"/>
        <v>42139.2227813308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43383.4494359088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33472.3508053893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22134.4129775045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19474.492025091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84</v>
      </c>
      <c r="AD26" s="39" t="s">
        <v>84</v>
      </c>
      <c r="AE26" s="39" t="s">
        <v>84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0.3743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4261.65</v>
      </c>
      <c r="AU26" cm="1">
        <f t="array" ref="AU26">$E$10*(1+$AS26)+VLOOKUP($R26,武学奇术!$A:$ZZ,4,FALSE)+SUM(_xlfn.XLOOKUP($S26:$AL26,增益!$A:$A,增益!$D:$D,0))-$I$2</f>
        <v>4261.65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0.2184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K27" s="37">
        <f>$L27*VLOOKUP($R27,武学奇术!$A:$ZZ,31,FALSE)</f>
        <v>28822.1582508398</v>
      </c>
      <c r="L27" s="37">
        <f t="shared" si="0"/>
        <v>28822.1582508398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29673.2712892588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22893.2706196321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15139.4241271728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13320.8700175811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84</v>
      </c>
      <c r="AD27" s="39" t="s">
        <v>84</v>
      </c>
      <c r="AE27" s="39" t="s">
        <v>84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0.3743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4261.65</v>
      </c>
      <c r="AU27" cm="1">
        <f t="array" ref="AU27">$E$10*(1+$AS27)+VLOOKUP($R27,武学奇术!$A:$ZZ,4,FALSE)+SUM(_xlfn.XLOOKUP($S27:$AL27,增益!$A:$A,增益!$D:$D,0))-$I$2</f>
        <v>4261.65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0.2184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s="4"/>
      <c r="B28" s="4"/>
      <c r="K28" s="37">
        <f>$L28*VLOOKUP($R28,武学奇术!$A:$ZZ,31,FALSE)</f>
        <v>58039.3511636541</v>
      </c>
      <c r="L28" s="37">
        <f t="shared" si="0"/>
        <v>36274.5944772838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36770.184760267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33966.1160430756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22150.7137110042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19141.3414641747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84</v>
      </c>
      <c r="AD28" s="39" t="s">
        <v>84</v>
      </c>
      <c r="AE28" s="39" t="s">
        <v>84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0.3243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4261.65</v>
      </c>
      <c r="AU28" cm="1">
        <f t="array" ref="AU28">$E$10*(1+$AS28)+VLOOKUP($R28,武学奇术!$A:$ZZ,4,FALSE)+SUM(_xlfn.XLOOKUP($S28:$AL28,增益!$A:$A,增益!$D:$D,0))-$I$2</f>
        <v>4261.65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0.2184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K29" s="37">
        <f>$L29*VLOOKUP($R29,武学奇术!$A:$ZZ,31,FALSE)</f>
        <v>30197.4788706301</v>
      </c>
      <c r="L29" s="37">
        <f t="shared" si="0"/>
        <v>30197.4788706301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30644.7665102796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27916.1559911004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18460.7027170359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16242.77136659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84</v>
      </c>
      <c r="AD29" s="39" t="s">
        <v>84</v>
      </c>
      <c r="AE29" s="39" t="s">
        <v>84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0.3243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4261.65</v>
      </c>
      <c r="AU29" cm="1">
        <f t="array" ref="AU29">$E$10*(1+$AS29)+VLOOKUP($R29,武学奇术!$A:$ZZ,4,FALSE)+SUM(_xlfn.XLOOKUP($S29:$AL29,增益!$A:$A,增益!$D:$D,0))-$I$2</f>
        <v>4261.65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0.2184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K30" s="37">
        <f>$L30*VLOOKUP($R30,武学奇术!$A:$ZZ,31,FALSE)</f>
        <v>216070.853038724</v>
      </c>
      <c r="L30" s="89">
        <f>SUM(L9,L11:L12,L14:L22,L26:L27)*0.2*(1+BY30)</f>
        <v>432141.706077449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84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0.1042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4261.65</v>
      </c>
      <c r="AU30" cm="1">
        <f t="array" ref="AU30">$E$10*(1+$AS30)+VLOOKUP($R30,武学奇术!$A:$ZZ,4,FALSE)+SUM(_xlfn.XLOOKUP($S30:$AL30,增益!$A:$A,增益!$D:$D,0))-$I$2</f>
        <v>4261.65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0.1684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K31" s="37">
        <f>$L31*VLOOKUP($R31,武学奇术!$A:$ZZ,31,FALSE)</f>
        <v>17960.2818653866</v>
      </c>
      <c r="L31" s="37">
        <f t="shared" ref="L31:L57" si="11">($M31*$BT31+$N31*$BR31+$O31*$BU31+$P31*$BV31)</f>
        <v>17960.2818653866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18285.9114146163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16076.3173903899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10631.3438457072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9354.30443927367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84</v>
      </c>
      <c r="AD31" s="39" t="s">
        <v>84</v>
      </c>
      <c r="AE31" s="39" t="s">
        <v>84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4261.65</v>
      </c>
      <c r="AU31" cm="1">
        <f t="array" ref="AU31">$E$10*(1+$AS31)+VLOOKUP($R31,武学奇术!$A:$ZZ,4,FALSE)+SUM(_xlfn.XLOOKUP($S31:$AL31,增益!$A:$A,增益!$D:$D,0))-$I$2</f>
        <v>4261.65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0.2184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K32" s="37">
        <f>$L32*VLOOKUP($R32,武学奇术!$A:$ZZ,31,FALSE)</f>
        <v>154455.789342924</v>
      </c>
      <c r="L32" s="37">
        <f t="shared" si="11"/>
        <v>154455.789342924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159345.26815525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119293.872847934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78883.7961164605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69401.7604937106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84</v>
      </c>
      <c r="AD32" s="39" t="s">
        <v>84</v>
      </c>
      <c r="AE32" s="39" t="s">
        <v>84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0.3743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4261.65</v>
      </c>
      <c r="AU32" cm="1">
        <f t="array" ref="AU32">$E$10*(1+$AS32)+VLOOKUP($R32,武学奇术!$A:$ZZ,4,FALSE)+SUM(_xlfn.XLOOKUP($S32:$AL32,增益!$A:$A,增益!$D:$D,0))-$I$2</f>
        <v>4261.65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0.2184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K33" s="37">
        <f>$L33*VLOOKUP($R33,武学奇术!$A:$ZZ,31,FALSE)</f>
        <v>205902.65475725</v>
      </c>
      <c r="L33" s="37">
        <f t="shared" si="11"/>
        <v>205902.65475725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212420.601149585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159030.253472778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105158.713440389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92517.2391231635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84</v>
      </c>
      <c r="Z33" s="39" t="s">
        <v>84</v>
      </c>
      <c r="AA33" s="39" t="s">
        <v>84</v>
      </c>
      <c r="AB33" s="39" t="s">
        <v>187</v>
      </c>
      <c r="AC33" s="39" t="s">
        <v>84</v>
      </c>
      <c r="AD33" s="39" t="s">
        <v>84</v>
      </c>
      <c r="AE33" s="39" t="s">
        <v>84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0.3743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4261.65</v>
      </c>
      <c r="AU33" cm="1">
        <f t="array" ref="AU33">$E$10*(1+$AS33)+VLOOKUP($R33,武学奇术!$A:$ZZ,4,FALSE)+SUM(_xlfn.XLOOKUP($S33:$AL33,增益!$A:$A,增益!$D:$D,0))-$I$2</f>
        <v>4261.65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0.2184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F34" s="4"/>
      <c r="G34" s="90"/>
      <c r="K34" s="37">
        <f>$L34*VLOOKUP($R34,武学奇术!$A:$ZZ,31,FALSE)</f>
        <v>154455.789342924</v>
      </c>
      <c r="L34" s="37">
        <f t="shared" si="11"/>
        <v>154455.789342924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159345.26815525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119293.872847934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78883.7961164605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69401.7604937106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84</v>
      </c>
      <c r="Z34" s="39" t="s">
        <v>84</v>
      </c>
      <c r="AA34" s="39" t="s">
        <v>84</v>
      </c>
      <c r="AB34" s="39" t="s">
        <v>187</v>
      </c>
      <c r="AC34" s="39" t="s">
        <v>84</v>
      </c>
      <c r="AD34" s="39" t="s">
        <v>84</v>
      </c>
      <c r="AE34" s="39" t="s">
        <v>84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0.3743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4261.65</v>
      </c>
      <c r="AU34" cm="1">
        <f t="array" ref="AU34">$E$10*(1+$AS34)+VLOOKUP($R34,武学奇术!$A:$ZZ,4,FALSE)+SUM(_xlfn.XLOOKUP($S34:$AL34,增益!$A:$A,增益!$D:$D,0))-$I$2</f>
        <v>4261.65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0.2184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F35" s="4"/>
      <c r="G35" s="4"/>
      <c r="K35" s="37">
        <f>$L35*VLOOKUP($R35,武学奇术!$A:$ZZ,31,FALSE)</f>
        <v>282544.13105229</v>
      </c>
      <c r="L35" s="37">
        <f t="shared" si="11"/>
        <v>282544.13105229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291601.495270203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217226.113398261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143646.056783351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126383.881419842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84</v>
      </c>
      <c r="Z35" s="39" t="s">
        <v>84</v>
      </c>
      <c r="AA35" s="39" t="s">
        <v>84</v>
      </c>
      <c r="AB35" s="39" t="s">
        <v>187</v>
      </c>
      <c r="AC35" s="39" t="s">
        <v>84</v>
      </c>
      <c r="AD35" s="39" t="s">
        <v>84</v>
      </c>
      <c r="AE35" s="39" t="s">
        <v>84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0.3743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4261.65</v>
      </c>
      <c r="AU35" cm="1">
        <f t="array" ref="AU35">$E$10*(1+$AS35)+VLOOKUP($R35,武学奇术!$A:$ZZ,4,FALSE)+SUM(_xlfn.XLOOKUP($S35:$AL35,增益!$A:$A,增益!$D:$D,0))-$I$2</f>
        <v>4261.65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0.2184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1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1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1" cm="1">
        <f t="array" ref="BJ35">$G$13+VLOOKUP($R35,武学奇术!$A:$ZZ,14,FALSE)+SUM(_xlfn.XLOOKUP($S35:$AL35,增益!$A:$A,增益!$N:$N,0))</f>
        <v>0.02</v>
      </c>
      <c r="BK35">
        <f t="shared" si="7"/>
        <v>649.11</v>
      </c>
      <c r="BL35">
        <f t="shared" si="8"/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0.89337855</v>
      </c>
      <c r="BU35" s="24">
        <f t="shared" si="10"/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F36" s="4"/>
      <c r="G36" s="90"/>
      <c r="K36" s="37">
        <f>$L36*VLOOKUP($R36,武学奇术!$A:$ZZ,31,FALSE)</f>
        <v>283827.434111514</v>
      </c>
      <c r="L36" s="37">
        <f t="shared" si="11"/>
        <v>283827.434111514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293037.955838037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217226.113398261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143646.056783351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126383.881419842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84</v>
      </c>
      <c r="Z36" s="39" t="s">
        <v>84</v>
      </c>
      <c r="AA36" s="39" t="s">
        <v>84</v>
      </c>
      <c r="AB36" s="39" t="s">
        <v>187</v>
      </c>
      <c r="AC36" s="39" t="s">
        <v>84</v>
      </c>
      <c r="AD36" s="39" t="s">
        <v>84</v>
      </c>
      <c r="AE36" s="39" t="s">
        <v>84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0.3743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4261.65</v>
      </c>
      <c r="AU36" cm="1">
        <f t="array" ref="AU36">$E$10*(1+$AS36)+VLOOKUP($R36,武学奇术!$A:$ZZ,4,FALSE)+SUM(_xlfn.XLOOKUP($S36:$AL36,增益!$A:$A,增益!$D:$D,0))-$I$2</f>
        <v>4261.65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0.2184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1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1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1" cm="1">
        <f t="array" ref="BJ36">$G$13+VLOOKUP($R36,武学奇术!$A:$ZZ,14,FALSE)+SUM(_xlfn.XLOOKUP($S36:$AL36,增益!$A:$A,增益!$N:$N,0))</f>
        <v>0.02</v>
      </c>
      <c r="BK36">
        <f t="shared" si="7"/>
        <v>649.11</v>
      </c>
      <c r="BL36">
        <f t="shared" si="8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0.89337855</v>
      </c>
      <c r="BU36" s="24">
        <f t="shared" si="10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s="4"/>
      <c r="B37" s="90"/>
      <c r="K37" s="37">
        <f>$L37*VLOOKUP($R37,武学奇术!$A:$ZZ,31,FALSE)</f>
        <v>53515.7131116348</v>
      </c>
      <c r="L37" s="37">
        <f t="shared" si="11"/>
        <v>53515.7131116348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55252.30627337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40958.5387751977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27084.4638594951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23829.2693669919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84</v>
      </c>
      <c r="Z37" s="39" t="s">
        <v>195</v>
      </c>
      <c r="AA37" s="39" t="s">
        <v>84</v>
      </c>
      <c r="AB37" s="39" t="s">
        <v>197</v>
      </c>
      <c r="AC37" s="39" t="s">
        <v>84</v>
      </c>
      <c r="AD37" s="39" t="s">
        <v>84</v>
      </c>
      <c r="AE37" s="39" t="s">
        <v>84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0.3743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4261.65</v>
      </c>
      <c r="AU37" cm="1">
        <f t="array" ref="AU37">$E$10*(1+$AS37)+VLOOKUP($R37,武学奇术!$A:$ZZ,4,FALSE)+SUM(_xlfn.XLOOKUP($S37:$AL37,增益!$A:$A,增益!$D:$D,0))-$I$2</f>
        <v>4261.65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0.2184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1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1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1" cm="1">
        <f t="array" ref="BJ37">$G$13+VLOOKUP($R37,武学奇术!$A:$ZZ,14,FALSE)+SUM(_xlfn.XLOOKUP($S37:$AL37,增益!$A:$A,增益!$N:$N,0))</f>
        <v>0.02</v>
      </c>
      <c r="BK37">
        <f t="shared" si="7"/>
        <v>649.11</v>
      </c>
      <c r="BL37">
        <f t="shared" si="8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0.89337855</v>
      </c>
      <c r="BU37" s="24">
        <f t="shared" si="10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0.21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s="4"/>
      <c r="B38" s="4"/>
      <c r="F38" s="4"/>
      <c r="G38" s="90"/>
      <c r="K38" s="37">
        <f>$L38*VLOOKUP($R38,武学奇术!$A:$ZZ,31,FALSE)</f>
        <v>53363.3153152406</v>
      </c>
      <c r="L38" s="37">
        <f t="shared" si="11"/>
        <v>53363.3153152406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55203.2994529979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39881.5475011686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26413.0619392335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23284.2368405642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84</v>
      </c>
      <c r="Z38" s="39" t="s">
        <v>195</v>
      </c>
      <c r="AA38" s="39" t="s">
        <v>84</v>
      </c>
      <c r="AB38" s="39" t="s">
        <v>197</v>
      </c>
      <c r="AC38" s="39" t="s">
        <v>84</v>
      </c>
      <c r="AD38" s="39" t="s">
        <v>198</v>
      </c>
      <c r="AE38" s="39" t="s">
        <v>84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0.3743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4261.65</v>
      </c>
      <c r="AU38" cm="1">
        <f t="array" ref="AU38">$E$10*(1+$AS38)+VLOOKUP($R38,武学奇术!$A:$ZZ,4,FALSE)+SUM(_xlfn.XLOOKUP($S38:$AL38,增益!$A:$A,增益!$D:$D,0))-$I$2</f>
        <v>4261.65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0.2434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0.02</v>
      </c>
      <c r="BK38">
        <f t="shared" si="7"/>
        <v>649.11</v>
      </c>
      <c r="BL38">
        <f t="shared" si="8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0.89337855</v>
      </c>
      <c r="BU38" s="24">
        <f t="shared" si="10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0.21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s="4"/>
      <c r="B39" s="90"/>
      <c r="F39" s="4"/>
      <c r="G39" s="90"/>
      <c r="K39" s="37">
        <f>$L39*VLOOKUP($R39,武学奇术!$A:$ZZ,31,FALSE)</f>
        <v>67453.928948516</v>
      </c>
      <c r="L39" s="37">
        <f t="shared" si="11"/>
        <v>67453.928948516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69910.2815662134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49255.8202817585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32668.3558720623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28850.918942822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84</v>
      </c>
      <c r="Z39" s="39" t="s">
        <v>195</v>
      </c>
      <c r="AA39" s="39" t="s">
        <v>84</v>
      </c>
      <c r="AB39" s="39" t="s">
        <v>197</v>
      </c>
      <c r="AC39" s="39" t="s">
        <v>84</v>
      </c>
      <c r="AD39" s="39" t="s">
        <v>199</v>
      </c>
      <c r="AE39" s="39" t="s">
        <v>84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0.3743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4261.65</v>
      </c>
      <c r="AU39" cm="1">
        <f t="array" ref="AU39">$E$10*(1+$AS39)+VLOOKUP($R39,武学奇术!$A:$ZZ,4,FALSE)+SUM(_xlfn.XLOOKUP($S39:$AL39,增益!$A:$A,增益!$D:$D,0))-$I$2</f>
        <v>4261.65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0.2684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1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1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1" cm="1">
        <f t="array" ref="BJ39">$G$13+VLOOKUP($R39,武学奇术!$A:$ZZ,14,FALSE)+SUM(_xlfn.XLOOKUP($S39:$AL39,增益!$A:$A,增益!$N:$N,0))</f>
        <v>0.02</v>
      </c>
      <c r="BK39">
        <f t="shared" si="7"/>
        <v>649.11</v>
      </c>
      <c r="BL39">
        <f t="shared" si="8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0.89337855</v>
      </c>
      <c r="BU39" s="24">
        <f t="shared" si="10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0.21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F40" s="4"/>
      <c r="G40" s="4"/>
      <c r="K40" s="37">
        <f>$L40*VLOOKUP($R40,武学奇术!$A:$ZZ,31,FALSE)</f>
        <v>163242.81014322</v>
      </c>
      <c r="L40" s="37">
        <f t="shared" si="11"/>
        <v>163242.81014322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169779.684225624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113954.0017453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75794.5018864394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67178.6321096936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84</v>
      </c>
      <c r="Z40" s="39" t="s">
        <v>195</v>
      </c>
      <c r="AA40" s="39" t="s">
        <v>84</v>
      </c>
      <c r="AB40" s="39" t="s">
        <v>197</v>
      </c>
      <c r="AC40" s="39" t="s">
        <v>84</v>
      </c>
      <c r="AD40" s="39" t="s">
        <v>201</v>
      </c>
      <c r="AE40" s="39" t="s">
        <v>84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0.3743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4261.65</v>
      </c>
      <c r="AU40" cm="1">
        <f t="array" ref="AU40">$E$10*(1+$AS40)+VLOOKUP($R40,武学奇术!$A:$ZZ,4,FALSE)+SUM(_xlfn.XLOOKUP($S40:$AL40,增益!$A:$A,增益!$D:$D,0))-$I$2</f>
        <v>4261.65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0.3184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1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1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1" cm="1">
        <f t="array" ref="BJ40">$G$13+VLOOKUP($R40,武学奇术!$A:$ZZ,14,FALSE)+SUM(_xlfn.XLOOKUP($S40:$AL40,增益!$A:$A,增益!$N:$N,0))</f>
        <v>0.02</v>
      </c>
      <c r="BK40">
        <f t="shared" si="7"/>
        <v>649.11</v>
      </c>
      <c r="BL40">
        <f t="shared" si="8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0.89337855</v>
      </c>
      <c r="BU40" s="24">
        <f t="shared" si="10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0.21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s="4"/>
      <c r="B41" s="90"/>
      <c r="F41" s="4"/>
      <c r="G41" s="4"/>
      <c r="K41" s="37">
        <f>$L41*VLOOKUP($R41,武学奇术!$A:$ZZ,31,FALSE)</f>
        <v>34281.4437536805</v>
      </c>
      <c r="L41" s="37">
        <f t="shared" si="11"/>
        <v>34281.4437536805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35205.285640032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27987.9904388473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18627.1352592762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16522.4257490359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84</v>
      </c>
      <c r="Z41" s="39" t="s">
        <v>195</v>
      </c>
      <c r="AA41" s="39" t="s">
        <v>84</v>
      </c>
      <c r="AB41" s="39" t="s">
        <v>197</v>
      </c>
      <c r="AC41" s="39" t="s">
        <v>84</v>
      </c>
      <c r="AD41" s="39" t="s">
        <v>93</v>
      </c>
      <c r="AE41" s="39" t="s">
        <v>84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0.3243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4261.65</v>
      </c>
      <c r="AU41" cm="1">
        <f t="array" ref="AU41">$E$10*(1+$AS41)+VLOOKUP($R41,武学奇术!$A:$ZZ,4,FALSE)+SUM(_xlfn.XLOOKUP($S41:$AL41,增益!$A:$A,增益!$D:$D,0))-$I$2</f>
        <v>4261.65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0.3434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1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1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1" cm="1">
        <f t="array" ref="BJ41">$G$13+VLOOKUP($R41,武学奇术!$A:$ZZ,14,FALSE)+SUM(_xlfn.XLOOKUP($S41:$AL41,增益!$A:$A,增益!$N:$N,0))</f>
        <v>0.02</v>
      </c>
      <c r="BK41">
        <f t="shared" si="7"/>
        <v>649.11</v>
      </c>
      <c r="BL41">
        <f t="shared" si="8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0.89337855</v>
      </c>
      <c r="BU41" s="24">
        <f t="shared" si="10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0.21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s="4"/>
      <c r="B42" s="90"/>
      <c r="F42" s="4"/>
      <c r="G42" s="4"/>
      <c r="K42" s="37">
        <f>$L42*VLOOKUP($R42,武学奇术!$A:$ZZ,31,FALSE)</f>
        <v>368787.855264905</v>
      </c>
      <c r="L42" s="37">
        <f t="shared" si="11"/>
        <v>368787.855264905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384182.293958494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251886.40222342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167765.193868338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148947.867571179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84</v>
      </c>
      <c r="Z42" s="39" t="s">
        <v>195</v>
      </c>
      <c r="AA42" s="39" t="s">
        <v>84</v>
      </c>
      <c r="AB42" s="39" t="s">
        <v>197</v>
      </c>
      <c r="AC42" s="39" t="s">
        <v>84</v>
      </c>
      <c r="AD42" s="39" t="s">
        <v>93</v>
      </c>
      <c r="AE42" s="39" t="s">
        <v>84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0.3743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4261.65</v>
      </c>
      <c r="AU42" cm="1">
        <f t="array" ref="AU42">$E$10*(1+$AS42)+VLOOKUP($R42,武学奇术!$A:$ZZ,4,FALSE)+SUM(_xlfn.XLOOKUP($S42:$AL42,增益!$A:$A,增益!$D:$D,0))-$I$2</f>
        <v>4261.65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0.3434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1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1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1" cm="1">
        <f t="array" ref="BJ42">$G$13+VLOOKUP($R42,武学奇术!$A:$ZZ,14,FALSE)+SUM(_xlfn.XLOOKUP($S42:$AL42,增益!$A:$A,增益!$N:$N,0))</f>
        <v>0.02</v>
      </c>
      <c r="BK42">
        <f t="shared" si="7"/>
        <v>649.11</v>
      </c>
      <c r="BL42">
        <f t="shared" si="8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0.89337855</v>
      </c>
      <c r="BU42" s="24">
        <f t="shared" si="10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s="4"/>
      <c r="B43" s="4"/>
      <c r="F43" s="4"/>
      <c r="G43" s="90"/>
      <c r="K43" s="37">
        <f>$L43*VLOOKUP($R43,武学奇术!$A:$ZZ,31,FALSE)</f>
        <v>368787.855264905</v>
      </c>
      <c r="L43" s="37">
        <f t="shared" si="11"/>
        <v>368787.855264905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384182.293958494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251886.40222342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167765.193868338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148947.867571179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84</v>
      </c>
      <c r="Z43" s="39" t="s">
        <v>195</v>
      </c>
      <c r="AA43" s="39" t="s">
        <v>84</v>
      </c>
      <c r="AB43" s="39" t="s">
        <v>197</v>
      </c>
      <c r="AC43" s="39" t="s">
        <v>84</v>
      </c>
      <c r="AD43" s="39" t="s">
        <v>93</v>
      </c>
      <c r="AE43" s="39" t="s">
        <v>84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0.3743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4261.65</v>
      </c>
      <c r="AU43" cm="1">
        <f t="array" ref="AU43">$E$10*(1+$AS43)+VLOOKUP($R43,武学奇术!$A:$ZZ,4,FALSE)+SUM(_xlfn.XLOOKUP($S43:$AL43,增益!$A:$A,增益!$D:$D,0))-$I$2</f>
        <v>4261.65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0.3434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1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1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1" cm="1">
        <f t="array" ref="BJ43">$G$13+VLOOKUP($R43,武学奇术!$A:$ZZ,14,FALSE)+SUM(_xlfn.XLOOKUP($S43:$AL43,增益!$A:$A,增益!$N:$N,0))</f>
        <v>0.02</v>
      </c>
      <c r="BK43">
        <f t="shared" si="7"/>
        <v>649.11</v>
      </c>
      <c r="BL43">
        <f t="shared" si="8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0.89337855</v>
      </c>
      <c r="BU43" s="24">
        <f t="shared" si="10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s="4"/>
      <c r="B44" s="4"/>
      <c r="K44" s="37">
        <f>$L44*VLOOKUP($R44,武学奇术!$A:$ZZ,31,FALSE)</f>
        <v>63788.7248810297</v>
      </c>
      <c r="L44" s="37">
        <f t="shared" si="11"/>
        <v>63788.7248810297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66451.4295503116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43568.9360989058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29018.0915066863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25762.8970141831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84</v>
      </c>
      <c r="Z44" s="39" t="s">
        <v>195</v>
      </c>
      <c r="AA44" s="39" t="s">
        <v>84</v>
      </c>
      <c r="AB44" s="39" t="s">
        <v>197</v>
      </c>
      <c r="AC44" s="39" t="s">
        <v>84</v>
      </c>
      <c r="AD44" s="39" t="s">
        <v>93</v>
      </c>
      <c r="AE44" s="39" t="s">
        <v>84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0.3743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4261.65</v>
      </c>
      <c r="AU44" cm="1">
        <f t="array" ref="AU44">$E$10*(1+$AS44)+VLOOKUP($R44,武学奇术!$A:$ZZ,4,FALSE)+SUM(_xlfn.XLOOKUP($S44:$AL44,增益!$A:$A,增益!$D:$D,0))-$I$2</f>
        <v>4261.65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0.3434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1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1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1" cm="1">
        <f t="array" ref="BJ44">$G$13+VLOOKUP($R44,武学奇术!$A:$ZZ,14,FALSE)+SUM(_xlfn.XLOOKUP($S44:$AL44,增益!$A:$A,增益!$N:$N,0))</f>
        <v>0.02</v>
      </c>
      <c r="BK44">
        <f t="shared" si="7"/>
        <v>649.11</v>
      </c>
      <c r="BL44">
        <f t="shared" si="8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0.89337855</v>
      </c>
      <c r="BU44" s="24">
        <f t="shared" si="10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s="4"/>
      <c r="B45" s="4"/>
      <c r="K45" s="37">
        <f>$L45*VLOOKUP($R45,武学奇术!$A:$ZZ,31,FALSE)</f>
        <v>61331.0185757347</v>
      </c>
      <c r="L45" s="37">
        <f t="shared" si="11"/>
        <v>61331.0185757347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63891.255107576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41889.0642741325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27900.1114006882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24771.286302019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84</v>
      </c>
      <c r="Z45" s="39" t="s">
        <v>195</v>
      </c>
      <c r="AA45" s="39" t="s">
        <v>84</v>
      </c>
      <c r="AB45" s="39" t="s">
        <v>197</v>
      </c>
      <c r="AC45" s="39" t="s">
        <v>84</v>
      </c>
      <c r="AD45" s="39" t="s">
        <v>93</v>
      </c>
      <c r="AE45" s="39" t="s">
        <v>84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0.3743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4261.65</v>
      </c>
      <c r="AU45" cm="1">
        <f t="array" ref="AU45">$E$10*(1+$AS45)+VLOOKUP($R45,武学奇术!$A:$ZZ,4,FALSE)+SUM(_xlfn.XLOOKUP($S45:$AL45,增益!$A:$A,增益!$D:$D,0))-$I$2</f>
        <v>4261.65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0.3434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1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1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1" cm="1">
        <f t="array" ref="BJ45">$G$13+VLOOKUP($R45,武学奇术!$A:$ZZ,14,FALSE)+SUM(_xlfn.XLOOKUP($S45:$AL45,增益!$A:$A,增益!$N:$N,0))</f>
        <v>0.02</v>
      </c>
      <c r="BK45">
        <f t="shared" si="7"/>
        <v>649.11</v>
      </c>
      <c r="BL45">
        <f t="shared" si="8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0.89337855</v>
      </c>
      <c r="BU45" s="24">
        <f t="shared" si="10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s="4"/>
      <c r="B46" s="90"/>
      <c r="F46" s="4"/>
      <c r="G46" s="90"/>
      <c r="K46" s="37">
        <f>$L46*VLOOKUP($R46,武学奇术!$A:$ZZ,31,FALSE)</f>
        <v>74803.6403226797</v>
      </c>
      <c r="L46" s="37">
        <f t="shared" si="11"/>
        <v>74803.6403226797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77926.1174558688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51092.5173939604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34028.8722514711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30211.4353222308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84</v>
      </c>
      <c r="AB46" s="39" t="s">
        <v>197</v>
      </c>
      <c r="AC46" s="39" t="s">
        <v>84</v>
      </c>
      <c r="AD46" s="39" t="s">
        <v>93</v>
      </c>
      <c r="AE46" s="39" t="s">
        <v>84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0.3743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4261.65</v>
      </c>
      <c r="AU46" cm="1">
        <f t="array" ref="AU46">$E$10*(1+$AS46)+VLOOKUP($R46,武学奇术!$A:$ZZ,4,FALSE)+SUM(_xlfn.XLOOKUP($S46:$AL46,增益!$A:$A,增益!$D:$D,0))-$I$2</f>
        <v>4261.65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0.3434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7"/>
        <v>649.11</v>
      </c>
      <c r="BL46">
        <f t="shared" si="8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0.89337855</v>
      </c>
      <c r="BU46" s="24">
        <f t="shared" si="10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K47" s="37">
        <f>$L47*VLOOKUP($R47,武学奇术!$A:$ZZ,31,FALSE)</f>
        <v>168864.471485461</v>
      </c>
      <c r="L47" s="37">
        <f t="shared" si="11"/>
        <v>168864.471485461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175913.491844737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115335.884456421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76818.1187094922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68202.2489327464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84</v>
      </c>
      <c r="AB47" s="39" t="s">
        <v>204</v>
      </c>
      <c r="AC47" s="39" t="s">
        <v>84</v>
      </c>
      <c r="AD47" s="39" t="s">
        <v>93</v>
      </c>
      <c r="AE47" s="39" t="s">
        <v>84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0.3743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4261.65</v>
      </c>
      <c r="AU47" cm="1">
        <f t="array" ref="AU47">$E$10*(1+$AS47)+VLOOKUP($R47,武学奇术!$A:$ZZ,4,FALSE)+SUM(_xlfn.XLOOKUP($S47:$AL47,增益!$A:$A,增益!$D:$D,0))-$I$2</f>
        <v>4261.65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0.3434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7"/>
        <v>649.11</v>
      </c>
      <c r="BL47">
        <f t="shared" si="8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0.89337855</v>
      </c>
      <c r="BU47" s="24">
        <f t="shared" si="10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F48" s="4"/>
      <c r="G48" s="4"/>
      <c r="K48" s="37">
        <f>$L48*VLOOKUP($R48,武学奇术!$A:$ZZ,31,FALSE)</f>
        <v>202522.008051807</v>
      </c>
      <c r="L48" s="37">
        <f t="shared" si="11"/>
        <v>202522.008051807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210975.61451106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138328.239202714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92129.0893061399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81792.816239899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84</v>
      </c>
      <c r="AB48" s="39" t="s">
        <v>204</v>
      </c>
      <c r="AC48" s="39" t="s">
        <v>84</v>
      </c>
      <c r="AD48" s="39" t="s">
        <v>93</v>
      </c>
      <c r="AE48" s="39" t="s">
        <v>84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0.3743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4261.65</v>
      </c>
      <c r="AU48" cm="1">
        <f t="array" ref="AU48">$E$10*(1+$AS48)+VLOOKUP($R48,武学奇术!$A:$ZZ,4,FALSE)+SUM(_xlfn.XLOOKUP($S48:$AL48,增益!$A:$A,增益!$D:$D,0))-$I$2</f>
        <v>4261.65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0.3434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7"/>
        <v>649.11</v>
      </c>
      <c r="BL48">
        <f t="shared" si="8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0.89337855</v>
      </c>
      <c r="BU48" s="24">
        <f t="shared" si="10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s="4"/>
      <c r="B49" s="90"/>
      <c r="K49" s="37">
        <f>$L49*VLOOKUP($R49,武学奇术!$A:$ZZ,31,FALSE)</f>
        <v>247669.724263131</v>
      </c>
      <c r="L49" s="37">
        <f t="shared" si="11"/>
        <v>247669.724263131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258007.747385296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169166.627433123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112667.138596199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100025.664278974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84</v>
      </c>
      <c r="AD49" s="39" t="s">
        <v>93</v>
      </c>
      <c r="AE49" s="39" t="s">
        <v>84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0.3743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4261.65</v>
      </c>
      <c r="AU49" cm="1">
        <f t="array" ref="AU49">$E$10*(1+$AS49)+VLOOKUP($R49,武学奇术!$A:$ZZ,4,FALSE)+SUM(_xlfn.XLOOKUP($S49:$AL49,增益!$A:$A,增益!$D:$D,0))-$I$2</f>
        <v>4261.65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0.3434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7"/>
        <v>649.11</v>
      </c>
      <c r="BL49">
        <f t="shared" si="8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0.89337855</v>
      </c>
      <c r="BU49" s="24">
        <f t="shared" si="10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K50" s="37">
        <f>$L50*VLOOKUP($R50,武学奇术!$A:$ZZ,31,FALSE)</f>
        <v>185784.652014468</v>
      </c>
      <c r="L50" s="37">
        <f t="shared" si="11"/>
        <v>185784.652014468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193539.613311799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126896.153318192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84515.1149833184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75033.0793605685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84</v>
      </c>
      <c r="AD50" s="39" t="s">
        <v>93</v>
      </c>
      <c r="AE50" s="39" t="s">
        <v>84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0.3743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4261.65</v>
      </c>
      <c r="AU50" cm="1">
        <f t="array" ref="AU50">$E$10*(1+$AS50)+VLOOKUP($R50,武学奇术!$A:$ZZ,4,FALSE)+SUM(_xlfn.XLOOKUP($S50:$AL50,增益!$A:$A,增益!$D:$D,0))-$I$2</f>
        <v>4261.65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0.3434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7"/>
        <v>649.11</v>
      </c>
      <c r="BL50">
        <f t="shared" si="8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0.89337855</v>
      </c>
      <c r="BU50" s="24">
        <f t="shared" si="10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s="4"/>
      <c r="B51" s="4"/>
      <c r="F51" s="4"/>
      <c r="G51" s="4"/>
      <c r="K51" s="37">
        <f>$L51*VLOOKUP($R51,武学奇术!$A:$ZZ,31,FALSE)</f>
        <v>31448.2665839548</v>
      </c>
      <c r="L51" s="37">
        <f t="shared" si="11"/>
        <v>31448.2665839548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32295.7579011864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25674.9333777855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17087.7025932203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15156.9360177107</v>
      </c>
      <c r="Q51" s="38">
        <v>1</v>
      </c>
      <c r="R51" s="39" t="s">
        <v>169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84</v>
      </c>
      <c r="AD51" s="39" t="s">
        <v>93</v>
      </c>
      <c r="AE51" s="39" t="s">
        <v>84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拳甲</v>
      </c>
      <c r="AN51" s="24">
        <f>VLOOKUP($R51,武学奇术!$A:$ZZ,26,FALSE)</f>
        <v>0.9193</v>
      </c>
      <c r="AO51" s="25">
        <f>VLOOKUP($R51,武学奇术!$A:$ZZ,27,FALSE)*(1+IF(OR($AM51=$F$4,$AM51=$F$5),$B$22,0))</f>
        <v>408</v>
      </c>
      <c r="AP51" s="24">
        <f>VLOOKUP($R51,武学奇术!$A:$ZZ,28,FALSE)</f>
        <v>1.379</v>
      </c>
      <c r="AQ51" s="25">
        <f>VLOOKUP($R51,武学奇术!$A:$ZZ,29,FALSE)*(1+IF(OR($AM51=$F$4,$AM51=$F$5),$B$22,0))</f>
        <v>222.4</v>
      </c>
      <c r="AR51" s="24" cm="1">
        <f t="array" ref="AR51">$G$3+IFERROR(VLOOKUP($AM51,$F$4:$G$7,2,FALSE),0)+VLOOKUP($R51,武学奇术!$A:$ZZ,2,FALSE)+SUM(_xlfn.XLOOKUP($S51:$AL51,增益!$A:$A,增益!$B:$B,0))</f>
        <v>0.3243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4261.65</v>
      </c>
      <c r="AU51" cm="1">
        <f t="array" ref="AU51">$E$10*(1+$AS51)+VLOOKUP($R51,武学奇术!$A:$ZZ,4,FALSE)+SUM(_xlfn.XLOOKUP($S51:$AL51,增益!$A:$A,增益!$D:$D,0))-$I$2</f>
        <v>4261.65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0.3434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7"/>
        <v>649.11</v>
      </c>
      <c r="BL51">
        <f t="shared" si="8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0.89337855</v>
      </c>
      <c r="BU51" s="24">
        <f t="shared" si="10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0.4</v>
      </c>
      <c r="BY51" s="24" cm="1">
        <f t="array" ref="BY51">SUM(_xlfn.XLOOKUP($S51:$AL51,增益!$A:$A,增益!$X:$X,0))</f>
        <v>0</v>
      </c>
    </row>
    <row r="52" spans="1:77">
      <c r="F52" s="4"/>
      <c r="G52" s="90"/>
      <c r="K52" s="37">
        <f>$L52*VLOOKUP($R52,武学奇术!$A:$ZZ,31,FALSE)</f>
        <v>42155.2307370895</v>
      </c>
      <c r="L52" s="37">
        <f t="shared" si="11"/>
        <v>42155.2307370895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43291.2780894117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34416.1189155931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22905.4381425459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20317.4548661339</v>
      </c>
      <c r="Q52" s="38">
        <v>1</v>
      </c>
      <c r="R52" s="39" t="s">
        <v>173</v>
      </c>
      <c r="S52" s="39" t="s">
        <v>104</v>
      </c>
      <c r="T52" s="39" t="s">
        <v>194</v>
      </c>
      <c r="U52" s="39" t="s">
        <v>81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205</v>
      </c>
      <c r="AC52" s="39" t="s">
        <v>84</v>
      </c>
      <c r="AD52" s="39" t="s">
        <v>93</v>
      </c>
      <c r="AE52" s="39" t="s">
        <v>84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拳甲</v>
      </c>
      <c r="AN52" s="24">
        <f>VLOOKUP($R52,武学奇术!$A:$ZZ,26,FALSE)</f>
        <v>1.2324</v>
      </c>
      <c r="AO52" s="25">
        <f>VLOOKUP($R52,武学奇术!$A:$ZZ,27,FALSE)*(1+IF(OR($AM52=$F$4,$AM52=$F$5),$B$22,0))</f>
        <v>547.2</v>
      </c>
      <c r="AP52" s="24">
        <f>VLOOKUP($R52,武学奇术!$A:$ZZ,28,FALSE)</f>
        <v>1.8484</v>
      </c>
      <c r="AQ52" s="25">
        <f>VLOOKUP($R52,武学奇术!$A:$ZZ,29,FALSE)*(1+IF(OR($AM52=$F$4,$AM52=$F$5),$B$22,0))</f>
        <v>297.6</v>
      </c>
      <c r="AR52" s="24" cm="1">
        <f t="array" ref="AR52">$G$3+IFERROR(VLOOKUP($AM52,$F$4:$G$7,2,FALSE),0)+VLOOKUP($R52,武学奇术!$A:$ZZ,2,FALSE)+SUM(_xlfn.XLOOKUP($S52:$AL52,增益!$A:$A,增益!$B:$B,0))</f>
        <v>0.3243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4261.65</v>
      </c>
      <c r="AU52" cm="1">
        <f t="array" ref="AU52">$E$10*(1+$AS52)+VLOOKUP($R52,武学奇术!$A:$ZZ,4,FALSE)+SUM(_xlfn.XLOOKUP($S52:$AL52,增益!$A:$A,增益!$D:$D,0))-$I$2</f>
        <v>4261.65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0.3434</v>
      </c>
      <c r="AW52" s="31" cm="1">
        <f t="array" ref="AW52">$G$10+VLOOKUP($R52,武学奇术!$A:$ZZ,7,FALSE)+SUM(_xlfn.XLOOKUP($S52:$AL52,增益!$A:$A,增益!$G:$G,0))</f>
        <v>0.02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0.02</v>
      </c>
      <c r="BC52">
        <f t="shared" si="3"/>
        <v>0</v>
      </c>
      <c r="BD52">
        <f t="shared" si="4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0.02</v>
      </c>
      <c r="BG52">
        <f t="shared" si="5"/>
        <v>0</v>
      </c>
      <c r="BH52">
        <f t="shared" si="6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0.02</v>
      </c>
      <c r="BK52">
        <f t="shared" si="7"/>
        <v>649.11</v>
      </c>
      <c r="BL52">
        <f t="shared" si="8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0.17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1.89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0.89337855</v>
      </c>
      <c r="BU52" s="24">
        <f t="shared" si="10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0.4</v>
      </c>
      <c r="BY52" s="24" cm="1">
        <f t="array" ref="BY52">SUM(_xlfn.XLOOKUP($S52:$AL52,增益!$A:$A,增益!$X:$X,0))</f>
        <v>0</v>
      </c>
    </row>
    <row r="53" spans="1:77">
      <c r="K53" s="37">
        <f>$L53*VLOOKUP($R53,武学奇术!$A:$ZZ,31,FALSE)</f>
        <v>71753.7418617604</v>
      </c>
      <c r="L53" s="37">
        <f t="shared" si="11"/>
        <v>44846.0886636003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46113.5033676446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36151.9461137973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23769.847096724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20760.4748498945</v>
      </c>
      <c r="Q53" s="38">
        <v>1</v>
      </c>
      <c r="R53" s="39" t="s">
        <v>122</v>
      </c>
      <c r="S53" s="39" t="s">
        <v>104</v>
      </c>
      <c r="T53" s="39" t="s">
        <v>194</v>
      </c>
      <c r="U53" s="39" t="s">
        <v>81</v>
      </c>
      <c r="V53" s="39" t="s">
        <v>82</v>
      </c>
      <c r="W53" s="39" t="s">
        <v>83</v>
      </c>
      <c r="X53" s="39" t="s">
        <v>84</v>
      </c>
      <c r="Y53" s="39" t="s">
        <v>84</v>
      </c>
      <c r="Z53" s="39" t="s">
        <v>84</v>
      </c>
      <c r="AA53" s="39" t="s">
        <v>84</v>
      </c>
      <c r="AB53" s="39" t="s">
        <v>204</v>
      </c>
      <c r="AC53" s="39" t="s">
        <v>84</v>
      </c>
      <c r="AD53" s="39" t="s">
        <v>93</v>
      </c>
      <c r="AE53" s="39" t="s">
        <v>84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拳甲</v>
      </c>
      <c r="AN53" s="24">
        <f>VLOOKUP($R53,武学奇术!$A:$ZZ,26,FALSE)</f>
        <v>1.862784</v>
      </c>
      <c r="AO53" s="25">
        <f>VLOOKUP($R53,武学奇术!$A:$ZZ,27,FALSE)*(1+IF(OR($AM53=$F$4,$AM53=$F$5),$B$22,0))</f>
        <v>0</v>
      </c>
      <c r="AP53" s="24">
        <f>VLOOKUP($R53,武学奇术!$A:$ZZ,28,FALSE)</f>
        <v>2.794176</v>
      </c>
      <c r="AQ53" s="25">
        <f>VLOOKUP($R53,武学奇术!$A:$ZZ,29,FALSE)*(1+IF(OR($AM53=$F$4,$AM53=$F$5),$B$22,0))</f>
        <v>0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4261.65</v>
      </c>
      <c r="AU53" cm="1">
        <f t="array" ref="AU53">$E$10*(1+$AS53)+VLOOKUP($R53,武学奇术!$A:$ZZ,4,FALSE)+SUM(_xlfn.XLOOKUP($S53:$AL53,增益!$A:$A,增益!$D:$D,0))-$I$2</f>
        <v>4261.65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0.3434</v>
      </c>
      <c r="AW53" s="31" cm="1">
        <f t="array" ref="AW53">$G$10+VLOOKUP($R53,武学奇术!$A:$ZZ,7,FALSE)+SUM(_xlfn.XLOOKUP($S53:$AL53,增益!$A:$A,增益!$G:$G,0))</f>
        <v>0.11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7"/>
        <v>649.11</v>
      </c>
      <c r="BL53">
        <f t="shared" si="8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1.94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0.89337855</v>
      </c>
      <c r="BU53" s="24">
        <f t="shared" si="10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s="4"/>
      <c r="B54" s="4"/>
      <c r="K54" s="37">
        <f>$L54*VLOOKUP($R54,武学奇术!$A:$ZZ,31,FALSE)</f>
        <v>42732.4550744591</v>
      </c>
      <c r="L54" s="37">
        <f t="shared" si="11"/>
        <v>42732.4550744591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44047.4818252339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33472.3508053893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22134.4129775045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19474.492025091</v>
      </c>
      <c r="Q54" s="38">
        <v>1</v>
      </c>
      <c r="R54" s="39" t="s">
        <v>124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84</v>
      </c>
      <c r="Z54" s="39" t="s">
        <v>84</v>
      </c>
      <c r="AA54" s="39" t="s">
        <v>84</v>
      </c>
      <c r="AB54" s="39" t="s">
        <v>204</v>
      </c>
      <c r="AC54" s="39" t="s">
        <v>84</v>
      </c>
      <c r="AD54" s="39" t="s">
        <v>84</v>
      </c>
      <c r="AE54" s="39" t="s">
        <v>84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1.1333</v>
      </c>
      <c r="AO54" s="25">
        <f>VLOOKUP($R54,武学奇术!$A:$ZZ,27,FALSE)*(1+IF(OR($AM54=$F$4,$AM54=$F$5),$B$22,0))</f>
        <v>502.4</v>
      </c>
      <c r="AP54" s="24">
        <f>VLOOKUP($R54,武学奇术!$A:$ZZ,28,FALSE)</f>
        <v>1.6999</v>
      </c>
      <c r="AQ54" s="25">
        <f>VLOOKUP($R54,武学奇术!$A:$ZZ,29,FALSE)*(1+IF(OR($AM54=$F$4,$AM54=$F$5),$B$22,0))</f>
        <v>273.6</v>
      </c>
      <c r="AR54" s="24" cm="1">
        <f t="array" ref="AR54">$G$3+IFERROR(VLOOKUP($AM54,$F$4:$G$7,2,FALSE),0)+VLOOKUP($R54,武学奇术!$A:$ZZ,2,FALSE)+SUM(_xlfn.XLOOKUP($S54:$AL54,增益!$A:$A,增益!$B:$B,0))</f>
        <v>0.3743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4261.65</v>
      </c>
      <c r="AU54" cm="1">
        <f t="array" ref="AU54">$E$10*(1+$AS54)+VLOOKUP($R54,武学奇术!$A:$ZZ,4,FALSE)+SUM(_xlfn.XLOOKUP($S54:$AL54,增益!$A:$A,增益!$D:$D,0))-$I$2</f>
        <v>4261.65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0.2184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1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1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1" cm="1">
        <f t="array" ref="BJ54">$G$13+VLOOKUP($R54,武学奇术!$A:$ZZ,14,FALSE)+SUM(_xlfn.XLOOKUP($S54:$AL54,增益!$A:$A,增益!$N:$N,0))</f>
        <v>0.02</v>
      </c>
      <c r="BK54">
        <f t="shared" si="7"/>
        <v>649.11</v>
      </c>
      <c r="BL54">
        <f t="shared" si="8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0.89337855</v>
      </c>
      <c r="BU54" s="24">
        <f t="shared" si="10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s="4"/>
      <c r="B55" s="90"/>
      <c r="F55" s="4"/>
      <c r="G55" s="90"/>
      <c r="K55" s="37">
        <f>$L55*VLOOKUP($R55,武学奇术!$A:$ZZ,31,FALSE)</f>
        <v>29227.9153540769</v>
      </c>
      <c r="L55" s="37">
        <f t="shared" si="11"/>
        <v>29227.9153540769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30127.4540130739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22893.2706196321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15139.4241271728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13320.8700175811</v>
      </c>
      <c r="Q55" s="38">
        <v>1</v>
      </c>
      <c r="R55" s="39" t="s">
        <v>127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84</v>
      </c>
      <c r="Z55" s="39" t="s">
        <v>84</v>
      </c>
      <c r="AA55" s="39" t="s">
        <v>84</v>
      </c>
      <c r="AB55" s="39" t="s">
        <v>204</v>
      </c>
      <c r="AC55" s="39" t="s">
        <v>84</v>
      </c>
      <c r="AD55" s="39" t="s">
        <v>84</v>
      </c>
      <c r="AE55" s="39" t="s">
        <v>84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0.7748</v>
      </c>
      <c r="AO55" s="25">
        <f>VLOOKUP($R55,武学奇术!$A:$ZZ,27,FALSE)*(1+IF(OR($AM55=$F$4,$AM55=$F$5),$B$22,0))</f>
        <v>345.6</v>
      </c>
      <c r="AP55" s="24">
        <f>VLOOKUP($R55,武学奇术!$A:$ZZ,28,FALSE)</f>
        <v>1.1622</v>
      </c>
      <c r="AQ55" s="25">
        <f>VLOOKUP($R55,武学奇术!$A:$ZZ,29,FALSE)*(1+IF(OR($AM55=$F$4,$AM55=$F$5),$B$22,0))</f>
        <v>187.2</v>
      </c>
      <c r="AR55" s="24" cm="1">
        <f t="array" ref="AR55">$G$3+IFERROR(VLOOKUP($AM55,$F$4:$G$7,2,FALSE),0)+VLOOKUP($R55,武学奇术!$A:$ZZ,2,FALSE)+SUM(_xlfn.XLOOKUP($S55:$AL55,增益!$A:$A,增益!$B:$B,0))</f>
        <v>0.3743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4261.65</v>
      </c>
      <c r="AU55" cm="1">
        <f t="array" ref="AU55">$E$10*(1+$AS55)+VLOOKUP($R55,武学奇术!$A:$ZZ,4,FALSE)+SUM(_xlfn.XLOOKUP($S55:$AL55,增益!$A:$A,增益!$D:$D,0))-$I$2</f>
        <v>4261.65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0.2184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1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1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1" cm="1">
        <f t="array" ref="BJ55">$G$13+VLOOKUP($R55,武学奇术!$A:$ZZ,14,FALSE)+SUM(_xlfn.XLOOKUP($S55:$AL55,增益!$A:$A,增益!$N:$N,0))</f>
        <v>0.02</v>
      </c>
      <c r="BK55">
        <f t="shared" si="7"/>
        <v>649.11</v>
      </c>
      <c r="BL55">
        <f t="shared" si="8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0.89337855</v>
      </c>
      <c r="BU55" s="24">
        <f t="shared" si="10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K56" s="37">
        <f>$L56*VLOOKUP($R56,武学奇术!$A:$ZZ,31,FALSE)</f>
        <v>58989.221843491</v>
      </c>
      <c r="L56" s="37">
        <f t="shared" si="11"/>
        <v>36868.2636521818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37434.7061715972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33966.1160430756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22150.7137110042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19141.3414641747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84</v>
      </c>
      <c r="Z56" s="39" t="s">
        <v>84</v>
      </c>
      <c r="AA56" s="39" t="s">
        <v>84</v>
      </c>
      <c r="AB56" s="39" t="s">
        <v>204</v>
      </c>
      <c r="AC56" s="39" t="s">
        <v>84</v>
      </c>
      <c r="AD56" s="39" t="s">
        <v>84</v>
      </c>
      <c r="AE56" s="39" t="s">
        <v>84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0.3243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4261.65</v>
      </c>
      <c r="AU56" cm="1">
        <f t="array" ref="AU56">$E$10*(1+$AS56)+VLOOKUP($R56,武学奇术!$A:$ZZ,4,FALSE)+SUM(_xlfn.XLOOKUP($S56:$AL56,增益!$A:$A,增益!$D:$D,0))-$I$2</f>
        <v>4261.65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0.2184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1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1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1" cm="1">
        <f t="array" ref="BJ56">$G$13+VLOOKUP($R56,武学奇术!$A:$ZZ,14,FALSE)+SUM(_xlfn.XLOOKUP($S56:$AL56,增益!$A:$A,增益!$N:$N,0))</f>
        <v>0.02</v>
      </c>
      <c r="BK56">
        <f t="shared" si="7"/>
        <v>649.11</v>
      </c>
      <c r="BL56">
        <f t="shared" si="8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0.89337855</v>
      </c>
      <c r="BU56" s="24">
        <f t="shared" si="10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D57" s="4"/>
      <c r="E57" s="4"/>
      <c r="F57" s="4"/>
      <c r="G57" s="90"/>
      <c r="K57" s="37">
        <f>$L57*VLOOKUP($R57,武学奇术!$A:$ZZ,31,FALSE)</f>
        <v>30692.2507453899</v>
      </c>
      <c r="L57" s="37">
        <f t="shared" si="11"/>
        <v>30692.2507453899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31198.5875917907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27916.1559911004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18460.7027170359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16242.77136659</v>
      </c>
      <c r="Q57" s="38">
        <v>1</v>
      </c>
      <c r="R57" s="39" t="s">
        <v>115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84</v>
      </c>
      <c r="Z57" s="39" t="s">
        <v>84</v>
      </c>
      <c r="AA57" s="39" t="s">
        <v>84</v>
      </c>
      <c r="AB57" s="39" t="s">
        <v>204</v>
      </c>
      <c r="AC57" s="39" t="s">
        <v>84</v>
      </c>
      <c r="AD57" s="39" t="s">
        <v>84</v>
      </c>
      <c r="AE57" s="39" t="s">
        <v>84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双刀</v>
      </c>
      <c r="AN57" s="24">
        <f>VLOOKUP($R57,武学奇术!$A:$ZZ,26,FALSE)</f>
        <v>1.3728</v>
      </c>
      <c r="AO57" s="25">
        <f>VLOOKUP($R57,武学奇术!$A:$ZZ,27,FALSE)*(1+IF(OR($AM57=$F$4,$AM57=$F$5),$B$22,0))</f>
        <v>609.44</v>
      </c>
      <c r="AP57" s="24">
        <f>VLOOKUP($R57,武学奇术!$A:$ZZ,28,FALSE)</f>
        <v>2.05933</v>
      </c>
      <c r="AQ57" s="25">
        <f>VLOOKUP($R57,武学奇术!$A:$ZZ,29,FALSE)*(1+IF(OR($AM57=$F$4,$AM57=$F$5),$B$22,0))</f>
        <v>332.8</v>
      </c>
      <c r="AR57" s="24" cm="1">
        <f t="array" ref="AR57">$G$3+IFERROR(VLOOKUP($AM57,$F$4:$G$7,2,FALSE),0)+VLOOKUP($R57,武学奇术!$A:$ZZ,2,FALSE)+SUM(_xlfn.XLOOKUP($S57:$AL57,增益!$A:$A,增益!$B:$B,0))</f>
        <v>0.3243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4261.65</v>
      </c>
      <c r="AU57" cm="1">
        <f t="array" ref="AU57">$E$10*(1+$AS57)+VLOOKUP($R57,武学奇术!$A:$ZZ,4,FALSE)+SUM(_xlfn.XLOOKUP($S57:$AL57,增益!$A:$A,增益!$D:$D,0))-$I$2</f>
        <v>4261.65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0.2184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1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1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1" cm="1">
        <f t="array" ref="BJ57">$G$13+VLOOKUP($R57,武学奇术!$A:$ZZ,14,FALSE)+SUM(_xlfn.XLOOKUP($S57:$AL57,增益!$A:$A,增益!$N:$N,0))</f>
        <v>0.02</v>
      </c>
      <c r="BK57">
        <f t="shared" si="7"/>
        <v>649.11</v>
      </c>
      <c r="BL57">
        <f t="shared" si="8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1.69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0.89337855</v>
      </c>
      <c r="BU57" s="24">
        <f t="shared" si="10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</v>
      </c>
      <c r="BY57" s="24" cm="1">
        <f t="array" ref="BY57">SUM(_xlfn.XLOOKUP($S57:$AL57,增益!$A:$A,增益!$X:$X,0))</f>
        <v>0</v>
      </c>
    </row>
    <row r="58" spans="1:77">
      <c r="A58" s="4"/>
      <c r="B58" s="90"/>
      <c r="F58" s="4"/>
      <c r="G58" s="4"/>
      <c r="K58" s="37">
        <f>$L58*VLOOKUP($R58,武学奇术!$A:$ZZ,31,FALSE)</f>
        <v>396799.846079906</v>
      </c>
      <c r="L58" s="89">
        <f>SUM(L32:L40,L42:L52,L54:L55)*0.2*(1+BY58)</f>
        <v>793599.692159812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0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0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0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0</v>
      </c>
      <c r="Q58" s="38">
        <v>1</v>
      </c>
      <c r="R58" s="39" t="s">
        <v>180</v>
      </c>
      <c r="S58" s="39" t="s">
        <v>181</v>
      </c>
      <c r="T58" s="39" t="s">
        <v>84</v>
      </c>
      <c r="U58" s="39" t="s">
        <v>84</v>
      </c>
      <c r="V58" s="39" t="s">
        <v>84</v>
      </c>
      <c r="W58" s="39" t="s">
        <v>84</v>
      </c>
      <c r="X58" s="39" t="s">
        <v>84</v>
      </c>
      <c r="Y58" s="39" t="s">
        <v>84</v>
      </c>
      <c r="Z58" s="39" t="s">
        <v>84</v>
      </c>
      <c r="AA58" s="39" t="s">
        <v>84</v>
      </c>
      <c r="AB58" s="39" t="s">
        <v>84</v>
      </c>
      <c r="AC58" s="39" t="s">
        <v>84</v>
      </c>
      <c r="AD58" s="39" t="s">
        <v>84</v>
      </c>
      <c r="AE58" s="39" t="s">
        <v>84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心法</v>
      </c>
      <c r="AN58" s="24">
        <f>VLOOKUP($R58,武学奇术!$A:$ZZ,26,FALSE)</f>
        <v>0</v>
      </c>
      <c r="AO58" s="25">
        <f>VLOOKUP($R58,武学奇术!$A:$ZZ,27,FALSE)*(1+IF(OR($AM58=$F$4,$AM58=$F$5),$B$22,0))</f>
        <v>0</v>
      </c>
      <c r="AP58" s="24">
        <f>VLOOKUP($R58,武学奇术!$A:$ZZ,28,FALSE)</f>
        <v>0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0.1042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4261.65</v>
      </c>
      <c r="AU58" cm="1">
        <f t="array" ref="AU58">$E$10*(1+$AS58)+VLOOKUP($R58,武学奇术!$A:$ZZ,4,FALSE)+SUM(_xlfn.XLOOKUP($S58:$AL58,增益!$A:$A,增益!$D:$D,0))-$I$2</f>
        <v>4261.65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0.1684</v>
      </c>
      <c r="AW58" s="31" cm="1">
        <f t="array" ref="AW58">$G$10+VLOOKUP($R58,武学奇术!$A:$ZZ,7,FALSE)+SUM(_xlfn.XLOOKUP($S58:$AL58,增益!$A:$A,增益!$G:$G,0))</f>
        <v>0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</v>
      </c>
      <c r="BK58">
        <f t="shared" si="7"/>
        <v>649.11</v>
      </c>
      <c r="BL58">
        <f t="shared" si="8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0.15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1.54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0.89337855</v>
      </c>
      <c r="BU58" s="24">
        <f t="shared" si="10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</v>
      </c>
      <c r="BY58" s="24" cm="1">
        <f t="array" ref="BY58">SUM(_xlfn.XLOOKUP($S58:$AL58,增益!$A:$A,增益!$X:$X,0))</f>
        <v>0.2</v>
      </c>
    </row>
    <row r="59" spans="1:77">
      <c r="F59" s="4"/>
      <c r="G59" s="4"/>
      <c r="K59" s="37">
        <f>$L59*VLOOKUP($R59,武学奇术!$A:$ZZ,31,FALSE)</f>
        <v>18150.2381563752</v>
      </c>
      <c r="L59" s="37">
        <f t="shared" ref="L59:L72" si="12">($M59*$BT59+$N59*$BR59+$O59*$BU59+$P59*$BV59)</f>
        <v>18150.2381563752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18498.5382915305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16076.3173903899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10631.3438457072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9354.30443927367</v>
      </c>
      <c r="Q59" s="38">
        <v>1</v>
      </c>
      <c r="R59" s="39" t="s">
        <v>185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84</v>
      </c>
      <c r="Z59" s="39" t="s">
        <v>84</v>
      </c>
      <c r="AA59" s="39" t="s">
        <v>84</v>
      </c>
      <c r="AB59" s="39" t="s">
        <v>204</v>
      </c>
      <c r="AC59" s="39" t="s">
        <v>84</v>
      </c>
      <c r="AD59" s="39" t="s">
        <v>84</v>
      </c>
      <c r="AE59" s="39" t="s">
        <v>84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双刀</v>
      </c>
      <c r="AN59" s="24">
        <f>VLOOKUP($R59,武学奇术!$A:$ZZ,26,FALSE)</f>
        <v>0.79044</v>
      </c>
      <c r="AO59" s="25">
        <f>VLOOKUP($R59,武学奇术!$A:$ZZ,27,FALSE)*(1+IF(OR($AM59=$F$4,$AM59=$F$5),$B$22,0))</f>
        <v>351.36</v>
      </c>
      <c r="AP59" s="24">
        <f>VLOOKUP($R59,武学奇术!$A:$ZZ,28,FALSE)</f>
        <v>1.18572</v>
      </c>
      <c r="AQ59" s="25">
        <f>VLOOKUP($R59,武学奇术!$A:$ZZ,29,FALSE)*(1+IF(OR($AM59=$F$4,$AM59=$F$5),$B$22,0))</f>
        <v>192</v>
      </c>
      <c r="AR59" s="24" cm="1">
        <f t="array" ref="AR59">$G$3+IFERROR(VLOOKUP($AM59,$F$4:$G$7,2,FALSE),0)+VLOOKUP($R59,武学奇术!$A:$ZZ,2,FALSE)+SUM(_xlfn.XLOOKUP($S59:$AL59,增益!$A:$A,增益!$B:$B,0))</f>
        <v>0.3243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4261.65</v>
      </c>
      <c r="AU59" cm="1">
        <f t="array" ref="AU59">$E$10*(1+$AS59)+VLOOKUP($R59,武学奇术!$A:$ZZ,4,FALSE)+SUM(_xlfn.XLOOKUP($S59:$AL59,增益!$A:$A,增益!$D:$D,0))-$I$2</f>
        <v>4261.65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0.2184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1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1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1" cm="1">
        <f t="array" ref="BJ59">$G$13+VLOOKUP($R59,武学奇术!$A:$ZZ,14,FALSE)+SUM(_xlfn.XLOOKUP($S59:$AL59,增益!$A:$A,增益!$N:$N,0))</f>
        <v>0.02</v>
      </c>
      <c r="BK59">
        <f t="shared" si="7"/>
        <v>649.11</v>
      </c>
      <c r="BL59">
        <f t="shared" si="8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0.89337855</v>
      </c>
      <c r="BU59" s="24">
        <f t="shared" si="10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s="4"/>
      <c r="B60" s="90"/>
      <c r="F60" s="4"/>
      <c r="G60" s="4"/>
      <c r="K60" s="37">
        <f>$L60*VLOOKUP($R60,武学奇术!$A:$ZZ,31,FALSE)</f>
        <v>155865.251170784</v>
      </c>
      <c r="L60" s="37">
        <f t="shared" si="12"/>
        <v>155865.251170784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160922.94407758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119293.872847934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78883.7961164605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69401.7604937106</v>
      </c>
      <c r="Q60" s="38">
        <v>1</v>
      </c>
      <c r="R60" s="39" t="s">
        <v>157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84</v>
      </c>
      <c r="Z60" s="39" t="s">
        <v>84</v>
      </c>
      <c r="AA60" s="39" t="s">
        <v>84</v>
      </c>
      <c r="AB60" s="39" t="s">
        <v>204</v>
      </c>
      <c r="AC60" s="39" t="s">
        <v>84</v>
      </c>
      <c r="AD60" s="39" t="s">
        <v>84</v>
      </c>
      <c r="AE60" s="39" t="s">
        <v>84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双刀</v>
      </c>
      <c r="AN60" s="24">
        <f>VLOOKUP($R60,武学奇术!$A:$ZZ,26,FALSE)</f>
        <v>2.85516</v>
      </c>
      <c r="AO60" s="25">
        <f>VLOOKUP($R60,武学奇术!$A:$ZZ,27,FALSE)*(1+IF(OR($AM60=$F$4,$AM60=$F$5),$B$22,0))</f>
        <v>1263.36</v>
      </c>
      <c r="AP60" s="24">
        <f>VLOOKUP($R60,武学奇术!$A:$ZZ,28,FALSE)</f>
        <v>4.28274</v>
      </c>
      <c r="AQ60" s="25">
        <f>VLOOKUP($R60,武学奇术!$A:$ZZ,29,FALSE)*(1+IF(OR($AM60=$F$4,$AM60=$F$5),$B$22,0))</f>
        <v>687.68</v>
      </c>
      <c r="AR60" s="24" cm="1">
        <f t="array" ref="AR60">$G$3+IFERROR(VLOOKUP($AM60,$F$4:$G$7,2,FALSE),0)+VLOOKUP($R60,武学奇术!$A:$ZZ,2,FALSE)+SUM(_xlfn.XLOOKUP($S60:$AL60,增益!$A:$A,增益!$B:$B,0))</f>
        <v>0.3743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4261.65</v>
      </c>
      <c r="AU60" cm="1">
        <f t="array" ref="AU60">$E$10*(1+$AS60)+VLOOKUP($R60,武学奇术!$A:$ZZ,4,FALSE)+SUM(_xlfn.XLOOKUP($S60:$AL60,增益!$A:$A,增益!$D:$D,0))-$I$2</f>
        <v>4261.65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0.2184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1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1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1" cm="1">
        <f t="array" ref="BJ60">$G$13+VLOOKUP($R60,武学奇术!$A:$ZZ,14,FALSE)+SUM(_xlfn.XLOOKUP($S60:$AL60,增益!$A:$A,增益!$N:$N,0))</f>
        <v>0.02</v>
      </c>
      <c r="BK60">
        <f t="shared" si="7"/>
        <v>649.11</v>
      </c>
      <c r="BL60">
        <f t="shared" si="8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0.89337855</v>
      </c>
      <c r="BU60" s="24">
        <f t="shared" si="10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0.5</v>
      </c>
      <c r="BY60" s="24" cm="1">
        <f t="array" ref="BY60">SUM(_xlfn.XLOOKUP($S60:$AL60,增益!$A:$A,增益!$X:$X,0))</f>
        <v>0</v>
      </c>
    </row>
    <row r="61" spans="1:77">
      <c r="A61" s="4"/>
      <c r="B61" s="4"/>
      <c r="F61" s="4"/>
      <c r="G61" s="90"/>
      <c r="K61" s="37">
        <f>$L61*VLOOKUP($R61,武学奇术!$A:$ZZ,31,FALSE)</f>
        <v>207781.585535915</v>
      </c>
      <c r="L61" s="37">
        <f t="shared" si="12"/>
        <v>207781.585535915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214523.775418393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159030.253472778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105158.713440389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92517.2391231635</v>
      </c>
      <c r="Q61" s="38">
        <v>1</v>
      </c>
      <c r="R61" s="39" t="s">
        <v>163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84</v>
      </c>
      <c r="Z61" s="39" t="s">
        <v>84</v>
      </c>
      <c r="AA61" s="39" t="s">
        <v>84</v>
      </c>
      <c r="AB61" s="39" t="s">
        <v>204</v>
      </c>
      <c r="AC61" s="39" t="s">
        <v>84</v>
      </c>
      <c r="AD61" s="39" t="s">
        <v>84</v>
      </c>
      <c r="AE61" s="39" t="s">
        <v>84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双刀</v>
      </c>
      <c r="AN61" s="24">
        <f>VLOOKUP($R61,武学奇术!$A:$ZZ,26,FALSE)</f>
        <v>3.80688</v>
      </c>
      <c r="AO61" s="25">
        <f>VLOOKUP($R61,武学奇术!$A:$ZZ,27,FALSE)*(1+IF(OR($AM61=$F$4,$AM61=$F$5),$B$22,0))</f>
        <v>1684.48</v>
      </c>
      <c r="AP61" s="24">
        <f>VLOOKUP($R61,武学奇术!$A:$ZZ,28,FALSE)</f>
        <v>5.70976</v>
      </c>
      <c r="AQ61" s="25">
        <f>VLOOKUP($R61,武学奇术!$A:$ZZ,29,FALSE)*(1+IF(OR($AM61=$F$4,$AM61=$F$5),$B$22,0))</f>
        <v>913.92</v>
      </c>
      <c r="AR61" s="24" cm="1">
        <f t="array" ref="AR61">$G$3+IFERROR(VLOOKUP($AM61,$F$4:$G$7,2,FALSE),0)+VLOOKUP($R61,武学奇术!$A:$ZZ,2,FALSE)+SUM(_xlfn.XLOOKUP($S61:$AL61,增益!$A:$A,增益!$B:$B,0))</f>
        <v>0.3743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4261.65</v>
      </c>
      <c r="AU61" cm="1">
        <f t="array" ref="AU61">$E$10*(1+$AS61)+VLOOKUP($R61,武学奇术!$A:$ZZ,4,FALSE)+SUM(_xlfn.XLOOKUP($S61:$AL61,增益!$A:$A,增益!$D:$D,0))-$I$2</f>
        <v>4261.65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0.2184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1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1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1" cm="1">
        <f t="array" ref="BJ61">$G$13+VLOOKUP($R61,武学奇术!$A:$ZZ,14,FALSE)+SUM(_xlfn.XLOOKUP($S61:$AL61,增益!$A:$A,增益!$N:$N,0))</f>
        <v>0.02</v>
      </c>
      <c r="BK61">
        <f t="shared" si="7"/>
        <v>649.11</v>
      </c>
      <c r="BL61">
        <f t="shared" si="8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0.89337855</v>
      </c>
      <c r="BU61" s="24">
        <f t="shared" si="10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0.5</v>
      </c>
      <c r="BY61" s="24" cm="1">
        <f t="array" ref="BY61">SUM(_xlfn.XLOOKUP($S61:$AL61,增益!$A:$A,增益!$X:$X,0))</f>
        <v>0</v>
      </c>
    </row>
    <row r="62" spans="1:77">
      <c r="A62" s="4"/>
      <c r="B62" s="4"/>
      <c r="K62" s="37">
        <f>$L62*VLOOKUP($R62,武学奇术!$A:$ZZ,31,FALSE)</f>
        <v>155865.251170784</v>
      </c>
      <c r="L62" s="37">
        <f t="shared" si="12"/>
        <v>155865.251170784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160922.94407758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119293.872847934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78883.7961164605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69401.7604937106</v>
      </c>
      <c r="Q62" s="38">
        <v>1</v>
      </c>
      <c r="R62" s="39" t="s">
        <v>166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84</v>
      </c>
      <c r="Z62" s="39" t="s">
        <v>84</v>
      </c>
      <c r="AA62" s="39" t="s">
        <v>84</v>
      </c>
      <c r="AB62" s="39" t="s">
        <v>204</v>
      </c>
      <c r="AC62" s="39" t="s">
        <v>84</v>
      </c>
      <c r="AD62" s="39" t="s">
        <v>84</v>
      </c>
      <c r="AE62" s="39" t="s">
        <v>84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双刀</v>
      </c>
      <c r="AN62" s="24">
        <f>VLOOKUP($R62,武学奇术!$A:$ZZ,26,FALSE)</f>
        <v>2.85516</v>
      </c>
      <c r="AO62" s="25">
        <f>VLOOKUP($R62,武学奇术!$A:$ZZ,27,FALSE)*(1+IF(OR($AM62=$F$4,$AM62=$F$5),$B$22,0))</f>
        <v>1263.36</v>
      </c>
      <c r="AP62" s="24">
        <f>VLOOKUP($R62,武学奇术!$A:$ZZ,28,FALSE)</f>
        <v>4.28274</v>
      </c>
      <c r="AQ62" s="25">
        <f>VLOOKUP($R62,武学奇术!$A:$ZZ,29,FALSE)*(1+IF(OR($AM62=$F$4,$AM62=$F$5),$B$22,0))</f>
        <v>687.68</v>
      </c>
      <c r="AR62" s="24" cm="1">
        <f t="array" ref="AR62">$G$3+IFERROR(VLOOKUP($AM62,$F$4:$G$7,2,FALSE),0)+VLOOKUP($R62,武学奇术!$A:$ZZ,2,FALSE)+SUM(_xlfn.XLOOKUP($S62:$AL62,增益!$A:$A,增益!$B:$B,0))</f>
        <v>0.3743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4261.65</v>
      </c>
      <c r="AU62" cm="1">
        <f t="array" ref="AU62">$E$10*(1+$AS62)+VLOOKUP($R62,武学奇术!$A:$ZZ,4,FALSE)+SUM(_xlfn.XLOOKUP($S62:$AL62,增益!$A:$A,增益!$D:$D,0))-$I$2</f>
        <v>4261.65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0.2184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1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1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1" cm="1">
        <f t="array" ref="BJ62">$G$13+VLOOKUP($R62,武学奇术!$A:$ZZ,14,FALSE)+SUM(_xlfn.XLOOKUP($S62:$AL62,增益!$A:$A,增益!$N:$N,0))</f>
        <v>0.02</v>
      </c>
      <c r="BK62">
        <f t="shared" si="7"/>
        <v>649.11</v>
      </c>
      <c r="BL62">
        <f t="shared" si="8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0.89337855</v>
      </c>
      <c r="BU62" s="24">
        <f t="shared" si="10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0.5</v>
      </c>
      <c r="BY62" s="24" cm="1">
        <f t="array" ref="BY62">SUM(_xlfn.XLOOKUP($S62:$AL62,增益!$A:$A,增益!$X:$X,0))</f>
        <v>0</v>
      </c>
    </row>
    <row r="63" spans="1:77">
      <c r="A63" s="4"/>
      <c r="B63" s="4"/>
      <c r="K63" s="37">
        <f>$L63*VLOOKUP($R63,武学奇术!$A:$ZZ,31,FALSE)</f>
        <v>283827.434111514</v>
      </c>
      <c r="L63" s="37">
        <f t="shared" si="12"/>
        <v>283827.434111514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293037.955838037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217226.113398261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143646.056783351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126383.881419842</v>
      </c>
      <c r="Q63" s="38">
        <v>1</v>
      </c>
      <c r="R63" s="39" t="s">
        <v>133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84</v>
      </c>
      <c r="Z63" s="39" t="s">
        <v>84</v>
      </c>
      <c r="AA63" s="39" t="s">
        <v>84</v>
      </c>
      <c r="AB63" s="39" t="s">
        <v>204</v>
      </c>
      <c r="AC63" s="39" t="s">
        <v>84</v>
      </c>
      <c r="AD63" s="39" t="s">
        <v>84</v>
      </c>
      <c r="AE63" s="39" t="s">
        <v>84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拳甲</v>
      </c>
      <c r="AN63" s="24">
        <f>VLOOKUP($R63,武学奇术!$A:$ZZ,26,FALSE)</f>
        <v>5.5691</v>
      </c>
      <c r="AO63" s="25">
        <f>VLOOKUP($R63,武学奇术!$A:$ZZ,27,FALSE)*(1+IF(OR($AM63=$F$4,$AM63=$F$5),$B$22,0))</f>
        <v>2470.4</v>
      </c>
      <c r="AP63" s="24">
        <f>VLOOKUP($R63,武学奇术!$A:$ZZ,28,FALSE)</f>
        <v>8.3537</v>
      </c>
      <c r="AQ63" s="25">
        <f>VLOOKUP($R63,武学奇术!$A:$ZZ,29,FALSE)*(1+IF(OR($AM63=$F$4,$AM63=$F$5),$B$22,0))</f>
        <v>1344</v>
      </c>
      <c r="AR63" s="24" cm="1">
        <f t="array" ref="AR63">$G$3+IFERROR(VLOOKUP($AM63,$F$4:$G$7,2,FALSE),0)+VLOOKUP($R63,武学奇术!$A:$ZZ,2,FALSE)+SUM(_xlfn.XLOOKUP($S63:$AL63,增益!$A:$A,增益!$B:$B,0))</f>
        <v>0.3743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4261.65</v>
      </c>
      <c r="AU63" cm="1">
        <f t="array" ref="AU63">$E$10*(1+$AS63)+VLOOKUP($R63,武学奇术!$A:$ZZ,4,FALSE)+SUM(_xlfn.XLOOKUP($S63:$AL63,增益!$A:$A,增益!$D:$D,0))-$I$2</f>
        <v>4261.65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0.2184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1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1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1" cm="1">
        <f t="array" ref="BJ63">$G$13+VLOOKUP($R63,武学奇术!$A:$ZZ,14,FALSE)+SUM(_xlfn.XLOOKUP($S63:$AL63,增益!$A:$A,增益!$N:$N,0))</f>
        <v>0.02</v>
      </c>
      <c r="BK63">
        <f t="shared" si="7"/>
        <v>649.11</v>
      </c>
      <c r="BL63">
        <f t="shared" si="8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0.89337855</v>
      </c>
      <c r="BU63" s="24">
        <f t="shared" si="10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0.4</v>
      </c>
      <c r="BY63" s="24" cm="1">
        <f t="array" ref="BY63">SUM(_xlfn.XLOOKUP($S63:$AL63,增益!$A:$A,增益!$X:$X,0))</f>
        <v>0</v>
      </c>
    </row>
    <row r="64" spans="1:77">
      <c r="A64" s="4"/>
      <c r="B64" s="90"/>
      <c r="F64" s="4"/>
      <c r="G64" s="90"/>
      <c r="K64" s="37">
        <f>$L64*VLOOKUP($R64,武学奇术!$A:$ZZ,31,FALSE)</f>
        <v>283827.434111514</v>
      </c>
      <c r="L64" s="37">
        <f t="shared" si="12"/>
        <v>283827.434111514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293037.955838037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217226.113398261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143646.056783351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126383.881419842</v>
      </c>
      <c r="Q64" s="38">
        <v>1</v>
      </c>
      <c r="R64" s="39" t="s">
        <v>133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84</v>
      </c>
      <c r="Z64" s="39" t="s">
        <v>84</v>
      </c>
      <c r="AA64" s="39" t="s">
        <v>84</v>
      </c>
      <c r="AB64" s="39" t="s">
        <v>204</v>
      </c>
      <c r="AC64" s="39" t="s">
        <v>84</v>
      </c>
      <c r="AD64" s="39" t="s">
        <v>84</v>
      </c>
      <c r="AE64" s="39" t="s">
        <v>84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拳甲</v>
      </c>
      <c r="AN64" s="24">
        <f>VLOOKUP($R64,武学奇术!$A:$ZZ,26,FALSE)</f>
        <v>5.5691</v>
      </c>
      <c r="AO64" s="25">
        <f>VLOOKUP($R64,武学奇术!$A:$ZZ,27,FALSE)*(1+IF(OR($AM64=$F$4,$AM64=$F$5),$B$22,0))</f>
        <v>2470.4</v>
      </c>
      <c r="AP64" s="24">
        <f>VLOOKUP($R64,武学奇术!$A:$ZZ,28,FALSE)</f>
        <v>8.3537</v>
      </c>
      <c r="AQ64" s="25">
        <f>VLOOKUP($R64,武学奇术!$A:$ZZ,29,FALSE)*(1+IF(OR($AM64=$F$4,$AM64=$F$5),$B$22,0))</f>
        <v>1344</v>
      </c>
      <c r="AR64" s="24" cm="1">
        <f t="array" ref="AR64">$G$3+IFERROR(VLOOKUP($AM64,$F$4:$G$7,2,FALSE),0)+VLOOKUP($R64,武学奇术!$A:$ZZ,2,FALSE)+SUM(_xlfn.XLOOKUP($S64:$AL64,增益!$A:$A,增益!$B:$B,0))</f>
        <v>0.3743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4261.65</v>
      </c>
      <c r="AU64" cm="1">
        <f t="array" ref="AU64">$E$10*(1+$AS64)+VLOOKUP($R64,武学奇术!$A:$ZZ,4,FALSE)+SUM(_xlfn.XLOOKUP($S64:$AL64,增益!$A:$A,增益!$D:$D,0))-$I$2</f>
        <v>4261.65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0.2184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1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1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1" cm="1">
        <f t="array" ref="BJ64">$G$13+VLOOKUP($R64,武学奇术!$A:$ZZ,14,FALSE)+SUM(_xlfn.XLOOKUP($S64:$AL64,增益!$A:$A,增益!$N:$N,0))</f>
        <v>0.02</v>
      </c>
      <c r="BK64">
        <f t="shared" si="7"/>
        <v>649.11</v>
      </c>
      <c r="BL64">
        <f t="shared" si="8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0.89337855</v>
      </c>
      <c r="BU64" s="24">
        <f t="shared" si="10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0.4</v>
      </c>
      <c r="BY64" s="24" cm="1">
        <f t="array" ref="BY64">SUM(_xlfn.XLOOKUP($S64:$AL64,增益!$A:$A,增益!$X:$X,0))</f>
        <v>0</v>
      </c>
    </row>
    <row r="65" spans="1:77">
      <c r="K65" s="37">
        <f>$L65*VLOOKUP($R65,武学奇术!$A:$ZZ,31,FALSE)</f>
        <v>283827.434111514</v>
      </c>
      <c r="L65" s="37">
        <f t="shared" si="12"/>
        <v>283827.434111514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293037.955838037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217226.113398261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143646.056783351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126383.881419842</v>
      </c>
      <c r="Q65" s="38">
        <v>1</v>
      </c>
      <c r="R65" s="39" t="s">
        <v>133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84</v>
      </c>
      <c r="Z65" s="39" t="s">
        <v>84</v>
      </c>
      <c r="AA65" s="39" t="s">
        <v>84</v>
      </c>
      <c r="AB65" s="39" t="s">
        <v>204</v>
      </c>
      <c r="AC65" s="39" t="s">
        <v>84</v>
      </c>
      <c r="AD65" s="39" t="s">
        <v>84</v>
      </c>
      <c r="AE65" s="39" t="s">
        <v>84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拳甲</v>
      </c>
      <c r="AN65" s="24">
        <f>VLOOKUP($R65,武学奇术!$A:$ZZ,26,FALSE)</f>
        <v>5.5691</v>
      </c>
      <c r="AO65" s="25">
        <f>VLOOKUP($R65,武学奇术!$A:$ZZ,27,FALSE)*(1+IF(OR($AM65=$F$4,$AM65=$F$5),$B$22,0))</f>
        <v>2470.4</v>
      </c>
      <c r="AP65" s="24">
        <f>VLOOKUP($R65,武学奇术!$A:$ZZ,28,FALSE)</f>
        <v>8.3537</v>
      </c>
      <c r="AQ65" s="25">
        <f>VLOOKUP($R65,武学奇术!$A:$ZZ,29,FALSE)*(1+IF(OR($AM65=$F$4,$AM65=$F$5),$B$22,0))</f>
        <v>1344</v>
      </c>
      <c r="AR65" s="24" cm="1">
        <f t="array" ref="AR65">$G$3+IFERROR(VLOOKUP($AM65,$F$4:$G$7,2,FALSE),0)+VLOOKUP($R65,武学奇术!$A:$ZZ,2,FALSE)+SUM(_xlfn.XLOOKUP($S65:$AL65,增益!$A:$A,增益!$B:$B,0))</f>
        <v>0.3743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4261.65</v>
      </c>
      <c r="AU65" cm="1">
        <f t="array" ref="AU65">$E$10*(1+$AS65)+VLOOKUP($R65,武学奇术!$A:$ZZ,4,FALSE)+SUM(_xlfn.XLOOKUP($S65:$AL65,增益!$A:$A,增益!$D:$D,0))-$I$2</f>
        <v>4261.65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0.2184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0.02</v>
      </c>
      <c r="BK65">
        <f t="shared" si="7"/>
        <v>649.11</v>
      </c>
      <c r="BL65">
        <f t="shared" si="8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0.89337855</v>
      </c>
      <c r="BU65" s="24">
        <f t="shared" si="10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0.4</v>
      </c>
      <c r="BY65" s="24" cm="1">
        <f t="array" ref="BY65">SUM(_xlfn.XLOOKUP($S65:$AL65,增益!$A:$A,增益!$X:$X,0))</f>
        <v>0</v>
      </c>
    </row>
    <row r="66" spans="1:77">
      <c r="F66" s="4"/>
      <c r="G66" s="4"/>
      <c r="K66" s="37">
        <f>$L66*VLOOKUP($R66,武学奇术!$A:$ZZ,31,FALSE)</f>
        <v>25811.5520711975</v>
      </c>
      <c r="L66" s="37">
        <f t="shared" si="12"/>
        <v>25811.5520711975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26162.3824841709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24142.6424096397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15952.6722464456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14021.905670936</v>
      </c>
      <c r="Q66" s="38">
        <v>1</v>
      </c>
      <c r="R66" s="39" t="s">
        <v>169</v>
      </c>
      <c r="S66" s="39" t="s">
        <v>104</v>
      </c>
      <c r="T66" s="39" t="s">
        <v>194</v>
      </c>
      <c r="U66" s="39" t="s">
        <v>81</v>
      </c>
      <c r="V66" s="39" t="s">
        <v>84</v>
      </c>
      <c r="W66" s="39" t="s">
        <v>84</v>
      </c>
      <c r="X66" s="39" t="s">
        <v>84</v>
      </c>
      <c r="Y66" s="39" t="s">
        <v>84</v>
      </c>
      <c r="Z66" s="39" t="s">
        <v>84</v>
      </c>
      <c r="AA66" s="39" t="s">
        <v>84</v>
      </c>
      <c r="AB66" s="39" t="s">
        <v>205</v>
      </c>
      <c r="AC66" s="39" t="s">
        <v>84</v>
      </c>
      <c r="AD66" s="39" t="s">
        <v>84</v>
      </c>
      <c r="AE66" s="39" t="s">
        <v>84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拳甲</v>
      </c>
      <c r="AN66" s="24">
        <f>VLOOKUP($R66,武学奇术!$A:$ZZ,26,FALSE)</f>
        <v>0.9193</v>
      </c>
      <c r="AO66" s="25">
        <f>VLOOKUP($R66,武学奇术!$A:$ZZ,27,FALSE)*(1+IF(OR($AM66=$F$4,$AM66=$F$5),$B$22,0))</f>
        <v>408</v>
      </c>
      <c r="AP66" s="24">
        <f>VLOOKUP($R66,武学奇术!$A:$ZZ,28,FALSE)</f>
        <v>1.379</v>
      </c>
      <c r="AQ66" s="25">
        <f>VLOOKUP($R66,武学奇术!$A:$ZZ,29,FALSE)*(1+IF(OR($AM66=$F$4,$AM66=$F$5),$B$22,0))</f>
        <v>222.4</v>
      </c>
      <c r="AR66" s="24" cm="1">
        <f t="array" ref="AR66">$G$3+IFERROR(VLOOKUP($AM66,$F$4:$G$7,2,FALSE),0)+VLOOKUP($R66,武学奇术!$A:$ZZ,2,FALSE)+SUM(_xlfn.XLOOKUP($S66:$AL66,增益!$A:$A,增益!$B:$B,0))</f>
        <v>0.3243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4261.65</v>
      </c>
      <c r="AU66" cm="1">
        <f t="array" ref="AU66">$E$10*(1+$AS66)+VLOOKUP($R66,武学奇术!$A:$ZZ,4,FALSE)+SUM(_xlfn.XLOOKUP($S66:$AL66,增益!$A:$A,增益!$D:$D,0))-$I$2</f>
        <v>4261.65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0.2184</v>
      </c>
      <c r="AW66" s="31" cm="1">
        <f t="array" ref="AW66">$G$10+VLOOKUP($R66,武学奇术!$A:$ZZ,7,FALSE)+SUM(_xlfn.XLOOKUP($S66:$AL66,增益!$A:$A,增益!$G:$G,0))</f>
        <v>0.02</v>
      </c>
      <c r="AX66" s="24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1" cm="1">
        <f t="array" ref="BB66">$G$11+VLOOKUP($R66,武学奇术!$A:$ZZ,10,FALSE)+SUM(_xlfn.XLOOKUP($S66:$AL66,增益!$A:$A,增益!$J:$J,0))</f>
        <v>0.02</v>
      </c>
      <c r="BC66">
        <f t="shared" ref="BC66:BC129" si="15">$D$12*(1+$AX66)</f>
        <v>0</v>
      </c>
      <c r="BD66">
        <f t="shared" ref="BD66:BD129" si="16">$E$12*(1+$AX66)</f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1" cm="1">
        <f t="array" ref="BF66">$G$12+VLOOKUP($R66,武学奇术!$A:$ZZ,12,FALSE)+SUM(_xlfn.XLOOKUP($S66:$AL66,增益!$A:$A,增益!$L:$L,0))</f>
        <v>0.02</v>
      </c>
      <c r="BG66">
        <f t="shared" ref="BG66:BG129" si="17">$D$13*(1+$AX66)</f>
        <v>0</v>
      </c>
      <c r="BH66">
        <f t="shared" ref="BH66:BH129" si="18">$E$13*(1+$AX66)</f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1" cm="1">
        <f t="array" ref="BJ66">$G$13+VLOOKUP($R66,武学奇术!$A:$ZZ,14,FALSE)+SUM(_xlfn.XLOOKUP($S66:$AL66,增益!$A:$A,增益!$N:$N,0))</f>
        <v>0.02</v>
      </c>
      <c r="BK66">
        <f t="shared" ref="BK66:BK129" si="19">$D$14*(1+$AX66)</f>
        <v>649.11</v>
      </c>
      <c r="BL66">
        <f t="shared" ref="BL66:BL129" si="20">$E$14*(1+$AX66)</f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1" cm="1">
        <f t="array" ref="BN66">$G$14+VLOOKUP($R66,武学奇术!$A:$ZZ,16,FALSE)+SUM(_xlfn.XLOOKUP($S66:$AL66,增益!$A:$A,增益!$P:$P,0))</f>
        <v>0.17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1.64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1">MIN((1-BR66)*BO66,BO66*BP66)</f>
        <v>0.89337855</v>
      </c>
      <c r="BU66" s="24">
        <f t="shared" ref="BU66:BU129" si="22">1-BR66-BT66-BV66</f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0.4</v>
      </c>
      <c r="BY66" s="24" cm="1">
        <f t="array" ref="BY66">SUM(_xlfn.XLOOKUP($S66:$AL66,增益!$A:$A,增益!$X:$X,0))</f>
        <v>0</v>
      </c>
    </row>
    <row r="67" spans="1:77">
      <c r="A67" s="4"/>
      <c r="B67" s="90"/>
      <c r="K67" s="37">
        <f>$L67*VLOOKUP($R67,武学奇术!$A:$ZZ,31,FALSE)</f>
        <v>34599.0983650147</v>
      </c>
      <c r="L67" s="37">
        <f t="shared" si="12"/>
        <v>34599.0983650147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35069.3826865948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32361.8668298043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21383.7699308505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18795.7866544385</v>
      </c>
      <c r="Q67" s="38">
        <v>1</v>
      </c>
      <c r="R67" s="39" t="s">
        <v>173</v>
      </c>
      <c r="S67" s="39" t="s">
        <v>104</v>
      </c>
      <c r="T67" s="39" t="s">
        <v>194</v>
      </c>
      <c r="U67" s="39" t="s">
        <v>81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205</v>
      </c>
      <c r="AC67" s="39" t="s">
        <v>84</v>
      </c>
      <c r="AD67" s="39" t="s">
        <v>84</v>
      </c>
      <c r="AE67" s="39" t="s">
        <v>84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拳甲</v>
      </c>
      <c r="AN67" s="24">
        <f>VLOOKUP($R67,武学奇术!$A:$ZZ,26,FALSE)</f>
        <v>1.2324</v>
      </c>
      <c r="AO67" s="25">
        <f>VLOOKUP($R67,武学奇术!$A:$ZZ,27,FALSE)*(1+IF(OR($AM67=$F$4,$AM67=$F$5),$B$22,0))</f>
        <v>547.2</v>
      </c>
      <c r="AP67" s="24">
        <f>VLOOKUP($R67,武学奇术!$A:$ZZ,28,FALSE)</f>
        <v>1.8484</v>
      </c>
      <c r="AQ67" s="25">
        <f>VLOOKUP($R67,武学奇术!$A:$ZZ,29,FALSE)*(1+IF(OR($AM67=$F$4,$AM67=$F$5),$B$22,0))</f>
        <v>297.6</v>
      </c>
      <c r="AR67" s="24" cm="1">
        <f t="array" ref="AR67">$G$3+IFERROR(VLOOKUP($AM67,$F$4:$G$7,2,FALSE),0)+VLOOKUP($R67,武学奇术!$A:$ZZ,2,FALSE)+SUM(_xlfn.XLOOKUP($S67:$AL67,增益!$A:$A,增益!$B:$B,0))</f>
        <v>0.3243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4261.65</v>
      </c>
      <c r="AU67" cm="1">
        <f t="array" ref="AU67">$E$10*(1+$AS67)+VLOOKUP($R67,武学奇术!$A:$ZZ,4,FALSE)+SUM(_xlfn.XLOOKUP($S67:$AL67,增益!$A:$A,增益!$D:$D,0))-$I$2</f>
        <v>4261.65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0.2184</v>
      </c>
      <c r="AW67" s="31" cm="1">
        <f t="array" ref="AW67">$G$10+VLOOKUP($R67,武学奇术!$A:$ZZ,7,FALSE)+SUM(_xlfn.XLOOKUP($S67:$AL67,增益!$A:$A,增益!$G:$G,0))</f>
        <v>0.02</v>
      </c>
      <c r="AX67" s="24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0.02</v>
      </c>
      <c r="BC67">
        <f t="shared" si="15"/>
        <v>0</v>
      </c>
      <c r="BD67">
        <f t="shared" si="16"/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0.02</v>
      </c>
      <c r="BG67">
        <f t="shared" si="17"/>
        <v>0</v>
      </c>
      <c r="BH67">
        <f t="shared" si="18"/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0.02</v>
      </c>
      <c r="BK67">
        <f t="shared" si="19"/>
        <v>649.11</v>
      </c>
      <c r="BL67">
        <f t="shared" si="20"/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0.17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1"/>
        <v>0.89337855</v>
      </c>
      <c r="BU67" s="24">
        <f t="shared" si="22"/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0.4</v>
      </c>
      <c r="BY67" s="24" cm="1">
        <f t="array" ref="BY67">SUM(_xlfn.XLOOKUP($S67:$AL67,增益!$A:$A,增益!$X:$X,0))</f>
        <v>0</v>
      </c>
    </row>
    <row r="68" spans="1:77">
      <c r="K68" s="37">
        <f>$L68*VLOOKUP($R68,武学奇术!$A:$ZZ,31,FALSE)</f>
        <v>58989.221843491</v>
      </c>
      <c r="L68" s="37">
        <f t="shared" si="12"/>
        <v>36868.2636521818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37434.7061715972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33966.1160430756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22150.7137110042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19141.3414641747</v>
      </c>
      <c r="Q68" s="38">
        <v>1</v>
      </c>
      <c r="R68" s="39" t="s">
        <v>122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204</v>
      </c>
      <c r="AC68" s="39" t="s">
        <v>84</v>
      </c>
      <c r="AD68" s="39" t="s">
        <v>84</v>
      </c>
      <c r="AE68" s="39" t="s">
        <v>84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拳甲</v>
      </c>
      <c r="AN68" s="24">
        <f>VLOOKUP($R68,武学奇术!$A:$ZZ,26,FALSE)</f>
        <v>1.862784</v>
      </c>
      <c r="AO68" s="25">
        <f>VLOOKUP($R68,武学奇术!$A:$ZZ,27,FALSE)*(1+IF(OR($AM68=$F$4,$AM68=$F$5),$B$22,0))</f>
        <v>0</v>
      </c>
      <c r="AP68" s="24">
        <f>VLOOKUP($R68,武学奇术!$A:$ZZ,28,FALSE)</f>
        <v>2.794176</v>
      </c>
      <c r="AQ68" s="25">
        <f>VLOOKUP($R68,武学奇术!$A:$ZZ,29,FALSE)*(1+IF(OR($AM68=$F$4,$AM68=$F$5),$B$22,0))</f>
        <v>0</v>
      </c>
      <c r="AR68" s="24" cm="1">
        <f t="array" ref="AR68">$G$3+IFERROR(VLOOKUP($AM68,$F$4:$G$7,2,FALSE),0)+VLOOKUP($R68,武学奇术!$A:$ZZ,2,FALSE)+SUM(_xlfn.XLOOKUP($S68:$AL68,增益!$A:$A,增益!$B:$B,0))</f>
        <v>0.3243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4261.65</v>
      </c>
      <c r="AU68" cm="1">
        <f t="array" ref="AU68">$E$10*(1+$AS68)+VLOOKUP($R68,武学奇术!$A:$ZZ,4,FALSE)+SUM(_xlfn.XLOOKUP($S68:$AL68,增益!$A:$A,增益!$D:$D,0))-$I$2</f>
        <v>4261.65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0.2184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15"/>
        <v>0</v>
      </c>
      <c r="BD68">
        <f t="shared" si="16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17"/>
        <v>0</v>
      </c>
      <c r="BH68">
        <f t="shared" si="18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19"/>
        <v>649.11</v>
      </c>
      <c r="BL68">
        <f t="shared" si="20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1"/>
        <v>0.89337855</v>
      </c>
      <c r="BU68" s="24">
        <f t="shared" si="22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s="4"/>
      <c r="B69" s="4"/>
      <c r="F69" s="4"/>
      <c r="G69" s="4"/>
      <c r="K69" s="37">
        <f>$L69*VLOOKUP($R69,武学奇术!$A:$ZZ,31,FALSE)</f>
        <v>42732.4550744591</v>
      </c>
      <c r="L69" s="37">
        <f t="shared" si="12"/>
        <v>42732.4550744591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44047.4818252339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33472.3508053893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22134.4129775045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19474.492025091</v>
      </c>
      <c r="Q69" s="38">
        <v>1</v>
      </c>
      <c r="R69" s="39" t="s">
        <v>124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84</v>
      </c>
      <c r="AD69" s="39" t="s">
        <v>84</v>
      </c>
      <c r="AE69" s="39" t="s">
        <v>84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1.1333</v>
      </c>
      <c r="AO69" s="25">
        <f>VLOOKUP($R69,武学奇术!$A:$ZZ,27,FALSE)*(1+IF(OR($AM69=$F$4,$AM69=$F$5),$B$22,0))</f>
        <v>502.4</v>
      </c>
      <c r="AP69" s="24">
        <f>VLOOKUP($R69,武学奇术!$A:$ZZ,28,FALSE)</f>
        <v>1.6999</v>
      </c>
      <c r="AQ69" s="25">
        <f>VLOOKUP($R69,武学奇术!$A:$ZZ,29,FALSE)*(1+IF(OR($AM69=$F$4,$AM69=$F$5),$B$22,0))</f>
        <v>273.6</v>
      </c>
      <c r="AR69" s="24" cm="1">
        <f t="array" ref="AR69">$G$3+IFERROR(VLOOKUP($AM69,$F$4:$G$7,2,FALSE),0)+VLOOKUP($R69,武学奇术!$A:$ZZ,2,FALSE)+SUM(_xlfn.XLOOKUP($S69:$AL69,增益!$A:$A,增益!$B:$B,0))</f>
        <v>0.3743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4261.65</v>
      </c>
      <c r="AU69" cm="1">
        <f t="array" ref="AU69">$E$10*(1+$AS69)+VLOOKUP($R69,武学奇术!$A:$ZZ,4,FALSE)+SUM(_xlfn.XLOOKUP($S69:$AL69,增益!$A:$A,增益!$D:$D,0))-$I$2</f>
        <v>4261.65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0.2184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15"/>
        <v>0</v>
      </c>
      <c r="BD69">
        <f t="shared" si="16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17"/>
        <v>0</v>
      </c>
      <c r="BH69">
        <f t="shared" si="18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19"/>
        <v>649.11</v>
      </c>
      <c r="BL69">
        <f t="shared" si="20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1"/>
        <v>0.89337855</v>
      </c>
      <c r="BU69" s="24">
        <f t="shared" si="22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F70" s="4"/>
      <c r="G70" s="90"/>
      <c r="K70" s="37">
        <f>$L70*VLOOKUP($R70,武学奇术!$A:$ZZ,31,FALSE)</f>
        <v>29227.9153540769</v>
      </c>
      <c r="L70" s="37">
        <f t="shared" si="12"/>
        <v>29227.9153540769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30127.4540130739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22893.2706196321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15139.4241271728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13320.8700175811</v>
      </c>
      <c r="Q70" s="38">
        <v>1</v>
      </c>
      <c r="R70" s="39" t="s">
        <v>127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84</v>
      </c>
      <c r="Z70" s="39" t="s">
        <v>84</v>
      </c>
      <c r="AA70" s="39" t="s">
        <v>84</v>
      </c>
      <c r="AB70" s="39" t="s">
        <v>204</v>
      </c>
      <c r="AC70" s="39" t="s">
        <v>84</v>
      </c>
      <c r="AD70" s="39" t="s">
        <v>84</v>
      </c>
      <c r="AE70" s="39" t="s">
        <v>84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0.7748</v>
      </c>
      <c r="AO70" s="25">
        <f>VLOOKUP($R70,武学奇术!$A:$ZZ,27,FALSE)*(1+IF(OR($AM70=$F$4,$AM70=$F$5),$B$22,0))</f>
        <v>345.6</v>
      </c>
      <c r="AP70" s="24">
        <f>VLOOKUP($R70,武学奇术!$A:$ZZ,28,FALSE)</f>
        <v>1.1622</v>
      </c>
      <c r="AQ70" s="25">
        <f>VLOOKUP($R70,武学奇术!$A:$ZZ,29,FALSE)*(1+IF(OR($AM70=$F$4,$AM70=$F$5),$B$22,0))</f>
        <v>187.2</v>
      </c>
      <c r="AR70" s="24" cm="1">
        <f t="array" ref="AR70">$G$3+IFERROR(VLOOKUP($AM70,$F$4:$G$7,2,FALSE),0)+VLOOKUP($R70,武学奇术!$A:$ZZ,2,FALSE)+SUM(_xlfn.XLOOKUP($S70:$AL70,增益!$A:$A,增益!$B:$B,0))</f>
        <v>0.3743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4261.65</v>
      </c>
      <c r="AU70" cm="1">
        <f t="array" ref="AU70">$E$10*(1+$AS70)+VLOOKUP($R70,武学奇术!$A:$ZZ,4,FALSE)+SUM(_xlfn.XLOOKUP($S70:$AL70,增益!$A:$A,增益!$D:$D,0))-$I$2</f>
        <v>4261.65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0.2184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15"/>
        <v>0</v>
      </c>
      <c r="BD70">
        <f t="shared" si="16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17"/>
        <v>0</v>
      </c>
      <c r="BH70">
        <f t="shared" si="18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19"/>
        <v>649.11</v>
      </c>
      <c r="BL70">
        <f t="shared" si="20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1"/>
        <v>0.89337855</v>
      </c>
      <c r="BU70" s="24">
        <f t="shared" si="22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K71" s="37">
        <f>$L71*VLOOKUP($R71,武学奇术!$A:$ZZ,31,FALSE)</f>
        <v>79881.1006771829</v>
      </c>
      <c r="L71" s="37">
        <f t="shared" si="12"/>
        <v>49925.6879232393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51336.659378478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40246.7825685806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26462.1955559165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23111.959579551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84</v>
      </c>
      <c r="Z71" s="39" t="s">
        <v>84</v>
      </c>
      <c r="AA71" s="39" t="s">
        <v>84</v>
      </c>
      <c r="AB71" s="39" t="s">
        <v>204</v>
      </c>
      <c r="AC71" s="39" t="s">
        <v>84</v>
      </c>
      <c r="AD71" s="39" t="s">
        <v>93</v>
      </c>
      <c r="AE71" s="39" t="s">
        <v>84</v>
      </c>
      <c r="AF71" s="39" t="s">
        <v>88</v>
      </c>
      <c r="AG71" s="39" t="s">
        <v>94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0.4743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4261.65</v>
      </c>
      <c r="AU71" cm="1">
        <f t="array" ref="AU71">$E$10*(1+$AS71)+VLOOKUP($R71,武学奇术!$A:$ZZ,4,FALSE)+SUM(_xlfn.XLOOKUP($S71:$AL71,增益!$A:$A,增益!$D:$D,0))-$I$2</f>
        <v>4261.65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0.3434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1" cm="1">
        <f t="array" ref="BB71">$G$11+VLOOKUP($R71,武学奇术!$A:$ZZ,10,FALSE)+SUM(_xlfn.XLOOKUP($S71:$AL71,增益!$A:$A,增益!$J:$J,0))</f>
        <v>0.02</v>
      </c>
      <c r="BC71">
        <f t="shared" si="15"/>
        <v>0</v>
      </c>
      <c r="BD71">
        <f t="shared" si="16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1" cm="1">
        <f t="array" ref="BF71">$G$12+VLOOKUP($R71,武学奇术!$A:$ZZ,12,FALSE)+SUM(_xlfn.XLOOKUP($S71:$AL71,增益!$A:$A,增益!$L:$L,0))</f>
        <v>0.02</v>
      </c>
      <c r="BG71">
        <f t="shared" si="17"/>
        <v>0</v>
      </c>
      <c r="BH71">
        <f t="shared" si="18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1" cm="1">
        <f t="array" ref="BJ71">$G$13+VLOOKUP($R71,武学奇术!$A:$ZZ,14,FALSE)+SUM(_xlfn.XLOOKUP($S71:$AL71,增益!$A:$A,增益!$N:$N,0))</f>
        <v>0.02</v>
      </c>
      <c r="BK71">
        <f t="shared" si="19"/>
        <v>649.11</v>
      </c>
      <c r="BL71">
        <f t="shared" si="20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1.94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1"/>
        <v>0.89337855</v>
      </c>
      <c r="BU71" s="24">
        <f t="shared" si="22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s="4"/>
      <c r="B72" s="4"/>
      <c r="F72" s="4"/>
      <c r="G72" s="90"/>
      <c r="K72" s="37">
        <f>$L72*VLOOKUP($R72,武学奇术!$A:$ZZ,31,FALSE)</f>
        <v>41504.1990699711</v>
      </c>
      <c r="L72" s="37">
        <f t="shared" si="12"/>
        <v>41504.1990699711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42715.8357525647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33058.2906118562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22018.4720374045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19549.32139936</v>
      </c>
      <c r="Q72" s="38">
        <v>1</v>
      </c>
      <c r="R72" s="39" t="s">
        <v>115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84</v>
      </c>
      <c r="Z72" s="39" t="s">
        <v>84</v>
      </c>
      <c r="AA72" s="39" t="s">
        <v>84</v>
      </c>
      <c r="AB72" s="39" t="s">
        <v>204</v>
      </c>
      <c r="AC72" s="39" t="s">
        <v>84</v>
      </c>
      <c r="AD72" s="39" t="s">
        <v>93</v>
      </c>
      <c r="AE72" s="39" t="s">
        <v>84</v>
      </c>
      <c r="AF72" s="39" t="s">
        <v>88</v>
      </c>
      <c r="AG72" s="39" t="s">
        <v>94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双刀</v>
      </c>
      <c r="AN72" s="24">
        <f>VLOOKUP($R72,武学奇术!$A:$ZZ,26,FALSE)</f>
        <v>1.3728</v>
      </c>
      <c r="AO72" s="25">
        <f>VLOOKUP($R72,武学奇术!$A:$ZZ,27,FALSE)*(1+IF(OR($AM72=$F$4,$AM72=$F$5),$B$22,0))</f>
        <v>609.44</v>
      </c>
      <c r="AP72" s="24">
        <f>VLOOKUP($R72,武学奇术!$A:$ZZ,28,FALSE)</f>
        <v>2.05933</v>
      </c>
      <c r="AQ72" s="25">
        <f>VLOOKUP($R72,武学奇术!$A:$ZZ,29,FALSE)*(1+IF(OR($AM72=$F$4,$AM72=$F$5),$B$22,0))</f>
        <v>332.8</v>
      </c>
      <c r="AR72" s="24" cm="1">
        <f t="array" ref="AR72">$G$3+IFERROR(VLOOKUP($AM72,$F$4:$G$7,2,FALSE),0)+VLOOKUP($R72,武学奇术!$A:$ZZ,2,FALSE)+SUM(_xlfn.XLOOKUP($S72:$AL72,增益!$A:$A,增益!$B:$B,0))</f>
        <v>0.4743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4261.65</v>
      </c>
      <c r="AU72" cm="1">
        <f t="array" ref="AU72">$E$10*(1+$AS72)+VLOOKUP($R72,武学奇术!$A:$ZZ,4,FALSE)+SUM(_xlfn.XLOOKUP($S72:$AL72,增益!$A:$A,增益!$D:$D,0))-$I$2</f>
        <v>4261.65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0.3434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1" cm="1">
        <f t="array" ref="BB72">$G$11+VLOOKUP($R72,武学奇术!$A:$ZZ,10,FALSE)+SUM(_xlfn.XLOOKUP($S72:$AL72,增益!$A:$A,增益!$J:$J,0))</f>
        <v>0.02</v>
      </c>
      <c r="BC72">
        <f t="shared" si="15"/>
        <v>0</v>
      </c>
      <c r="BD72">
        <f t="shared" si="16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1" cm="1">
        <f t="array" ref="BF72">$G$12+VLOOKUP($R72,武学奇术!$A:$ZZ,12,FALSE)+SUM(_xlfn.XLOOKUP($S72:$AL72,增益!$A:$A,增益!$L:$L,0))</f>
        <v>0.02</v>
      </c>
      <c r="BG72">
        <f t="shared" si="17"/>
        <v>0</v>
      </c>
      <c r="BH72">
        <f t="shared" si="18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1" cm="1">
        <f t="array" ref="BJ72">$G$13+VLOOKUP($R72,武学奇术!$A:$ZZ,14,FALSE)+SUM(_xlfn.XLOOKUP($S72:$AL72,增益!$A:$A,增益!$N:$N,0))</f>
        <v>0.02</v>
      </c>
      <c r="BK72">
        <f t="shared" si="19"/>
        <v>649.11</v>
      </c>
      <c r="BL72">
        <f t="shared" si="20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1"/>
        <v>0.89337855</v>
      </c>
      <c r="BU72" s="24">
        <f t="shared" si="22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</v>
      </c>
      <c r="BY72" s="24" cm="1">
        <f t="array" ref="BY72">SUM(_xlfn.XLOOKUP($S72:$AL72,增益!$A:$A,增益!$X:$X,0))</f>
        <v>0</v>
      </c>
    </row>
    <row r="73" spans="1:77">
      <c r="A73" s="4"/>
      <c r="B73" s="90"/>
      <c r="K73" s="37">
        <f>$L73*VLOOKUP($R73,武学奇术!$A:$ZZ,31,FALSE)</f>
        <v>173154.571276867</v>
      </c>
      <c r="L73" s="89">
        <f>SUM(L60:L65,L69:L70)*0.2*(1+BY73)</f>
        <v>346309.142553734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0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0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0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0</v>
      </c>
      <c r="Q73" s="38">
        <v>1</v>
      </c>
      <c r="R73" s="39" t="s">
        <v>180</v>
      </c>
      <c r="S73" s="39" t="s">
        <v>181</v>
      </c>
      <c r="T73" s="39" t="s">
        <v>84</v>
      </c>
      <c r="U73" s="39" t="s">
        <v>84</v>
      </c>
      <c r="V73" s="39" t="s">
        <v>84</v>
      </c>
      <c r="W73" s="39" t="s">
        <v>84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84</v>
      </c>
      <c r="AC73" s="39" t="s">
        <v>84</v>
      </c>
      <c r="AD73" s="39" t="s">
        <v>84</v>
      </c>
      <c r="AE73" s="39" t="s">
        <v>84</v>
      </c>
      <c r="AF73" s="39" t="s">
        <v>88</v>
      </c>
      <c r="AG73" s="39" t="s">
        <v>94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心法</v>
      </c>
      <c r="AN73" s="24">
        <f>VLOOKUP($R73,武学奇术!$A:$ZZ,26,FALSE)</f>
        <v>0</v>
      </c>
      <c r="AO73" s="25">
        <f>VLOOKUP($R73,武学奇术!$A:$ZZ,27,FALSE)*(1+IF(OR($AM73=$F$4,$AM73=$F$5),$B$22,0))</f>
        <v>0</v>
      </c>
      <c r="AP73" s="24">
        <f>VLOOKUP($R73,武学奇术!$A:$ZZ,28,FALSE)</f>
        <v>0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0.2542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4261.65</v>
      </c>
      <c r="AU73" cm="1">
        <f t="array" ref="AU73">$E$10*(1+$AS73)+VLOOKUP($R73,武学奇术!$A:$ZZ,4,FALSE)+SUM(_xlfn.XLOOKUP($S73:$AL73,增益!$A:$A,增益!$D:$D,0))-$I$2</f>
        <v>4261.65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0.1684</v>
      </c>
      <c r="AW73" s="31" cm="1">
        <f t="array" ref="AW73">$G$10+VLOOKUP($R73,武学奇术!$A:$ZZ,7,FALSE)+SUM(_xlfn.XLOOKUP($S73:$AL73,增益!$A:$A,增益!$G:$G,0))</f>
        <v>0</v>
      </c>
      <c r="AX73" s="24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</v>
      </c>
      <c r="BC73">
        <f t="shared" si="15"/>
        <v>0</v>
      </c>
      <c r="BD73">
        <f t="shared" si="16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</v>
      </c>
      <c r="BG73">
        <f t="shared" si="17"/>
        <v>0</v>
      </c>
      <c r="BH73">
        <f t="shared" si="18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</v>
      </c>
      <c r="BK73">
        <f t="shared" si="19"/>
        <v>649.11</v>
      </c>
      <c r="BL73">
        <f t="shared" si="20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0.15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1.54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1"/>
        <v>0.89337855</v>
      </c>
      <c r="BU73" s="24">
        <f t="shared" si="22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</v>
      </c>
      <c r="BY73" s="24" cm="1">
        <f t="array" ref="BY73">SUM(_xlfn.XLOOKUP($S73:$AL73,增益!$A:$A,增益!$X:$X,0))</f>
        <v>0.2</v>
      </c>
    </row>
    <row r="74" spans="1:77">
      <c r="F74" s="4"/>
      <c r="G74" s="90"/>
      <c r="K74" s="37">
        <f>$L74*VLOOKUP($R74,武学奇术!$A:$ZZ,31,FALSE)</f>
        <v>24468.1601265343</v>
      </c>
      <c r="L74" s="37">
        <f t="shared" ref="L74:L92" si="23">($M74*$BT74+$N74*$BR74+$O74*$BU74+$P74*$BV74)</f>
        <v>24468.1601265343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25233.5581639616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19037.5195109454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12680.1799818903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11258.4936593766</v>
      </c>
      <c r="Q74" s="38">
        <v>1</v>
      </c>
      <c r="R74" s="39" t="s">
        <v>185</v>
      </c>
      <c r="S74" s="39" t="s">
        <v>104</v>
      </c>
      <c r="T74" s="39" t="s">
        <v>194</v>
      </c>
      <c r="U74" s="39" t="s">
        <v>81</v>
      </c>
      <c r="V74" s="39" t="s">
        <v>130</v>
      </c>
      <c r="W74" s="39" t="s">
        <v>83</v>
      </c>
      <c r="X74" s="39" t="s">
        <v>84</v>
      </c>
      <c r="Y74" s="39" t="s">
        <v>84</v>
      </c>
      <c r="Z74" s="39" t="s">
        <v>84</v>
      </c>
      <c r="AA74" s="39" t="s">
        <v>84</v>
      </c>
      <c r="AB74" s="39" t="s">
        <v>204</v>
      </c>
      <c r="AC74" s="39" t="s">
        <v>84</v>
      </c>
      <c r="AD74" s="39" t="s">
        <v>93</v>
      </c>
      <c r="AE74" s="39" t="s">
        <v>84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双刀</v>
      </c>
      <c r="AN74" s="24">
        <f>VLOOKUP($R74,武学奇术!$A:$ZZ,26,FALSE)</f>
        <v>0.79044</v>
      </c>
      <c r="AO74" s="25">
        <f>VLOOKUP($R74,武学奇术!$A:$ZZ,27,FALSE)*(1+IF(OR($AM74=$F$4,$AM74=$F$5),$B$22,0))</f>
        <v>351.36</v>
      </c>
      <c r="AP74" s="24">
        <f>VLOOKUP($R74,武学奇术!$A:$ZZ,28,FALSE)</f>
        <v>1.18572</v>
      </c>
      <c r="AQ74" s="25">
        <f>VLOOKUP($R74,武学奇术!$A:$ZZ,29,FALSE)*(1+IF(OR($AM74=$F$4,$AM74=$F$5),$B$22,0))</f>
        <v>192</v>
      </c>
      <c r="AR74" s="24" cm="1">
        <f t="array" ref="AR74">$G$3+IFERROR(VLOOKUP($AM74,$F$4:$G$7,2,FALSE),0)+VLOOKUP($R74,武学奇术!$A:$ZZ,2,FALSE)+SUM(_xlfn.XLOOKUP($S74:$AL74,增益!$A:$A,增益!$B:$B,0))</f>
        <v>0.4743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4261.65</v>
      </c>
      <c r="AU74" cm="1">
        <f t="array" ref="AU74">$E$10*(1+$AS74)+VLOOKUP($R74,武学奇术!$A:$ZZ,4,FALSE)+SUM(_xlfn.XLOOKUP($S74:$AL74,增益!$A:$A,增益!$D:$D,0))-$I$2</f>
        <v>4261.65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0.3434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1" cm="1">
        <f t="array" ref="BB74">$G$11+VLOOKUP($R74,武学奇术!$A:$ZZ,10,FALSE)+SUM(_xlfn.XLOOKUP($S74:$AL74,增益!$A:$A,增益!$J:$J,0))</f>
        <v>0.02</v>
      </c>
      <c r="BC74">
        <f t="shared" si="15"/>
        <v>0</v>
      </c>
      <c r="BD74">
        <f t="shared" si="16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1" cm="1">
        <f t="array" ref="BF74">$G$12+VLOOKUP($R74,武学奇术!$A:$ZZ,12,FALSE)+SUM(_xlfn.XLOOKUP($S74:$AL74,增益!$A:$A,增益!$L:$L,0))</f>
        <v>0.02</v>
      </c>
      <c r="BG74">
        <f t="shared" si="17"/>
        <v>0</v>
      </c>
      <c r="BH74">
        <f t="shared" si="18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1" cm="1">
        <f t="array" ref="BJ74">$G$13+VLOOKUP($R74,武学奇术!$A:$ZZ,14,FALSE)+SUM(_xlfn.XLOOKUP($S74:$AL74,增益!$A:$A,增益!$N:$N,0))</f>
        <v>0.02</v>
      </c>
      <c r="BK74">
        <f t="shared" si="19"/>
        <v>649.11</v>
      </c>
      <c r="BL74">
        <f t="shared" si="20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1.99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1"/>
        <v>0.89337855</v>
      </c>
      <c r="BU74" s="24">
        <f t="shared" si="22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s="4"/>
      <c r="B75" s="90"/>
      <c r="F75" s="4"/>
      <c r="G75" s="4"/>
      <c r="K75" s="37">
        <f>$L75*VLOOKUP($R75,武学奇术!$A:$ZZ,31,FALSE)</f>
        <v>59670.3677784295</v>
      </c>
      <c r="L75" s="37">
        <f t="shared" si="23"/>
        <v>59670.3677784295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61498.2692751359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46826.2423494444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30903.6529020783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27121.2003601237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84</v>
      </c>
      <c r="Z75" s="39" t="s">
        <v>84</v>
      </c>
      <c r="AA75" s="39" t="s">
        <v>84</v>
      </c>
      <c r="AB75" s="39" t="s">
        <v>204</v>
      </c>
      <c r="AC75" s="39" t="s">
        <v>84</v>
      </c>
      <c r="AD75" s="39" t="s">
        <v>93</v>
      </c>
      <c r="AE75" s="39" t="s">
        <v>84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0.3042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4261.65</v>
      </c>
      <c r="AU75" cm="1">
        <f t="array" ref="AU75">$E$10*(1+$AS75)+VLOOKUP($R75,武学奇术!$A:$ZZ,4,FALSE)+SUM(_xlfn.XLOOKUP($S75:$AL75,增益!$A:$A,增益!$D:$D,0))-$I$2</f>
        <v>4261.65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0.3434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1" cm="1">
        <f t="array" ref="BB75">$G$11+VLOOKUP($R75,武学奇术!$A:$ZZ,10,FALSE)+SUM(_xlfn.XLOOKUP($S75:$AL75,增益!$A:$A,增益!$J:$J,0))</f>
        <v>0.02</v>
      </c>
      <c r="BC75">
        <f t="shared" si="15"/>
        <v>0</v>
      </c>
      <c r="BD75">
        <f t="shared" si="16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1" cm="1">
        <f t="array" ref="BF75">$G$12+VLOOKUP($R75,武学奇术!$A:$ZZ,12,FALSE)+SUM(_xlfn.XLOOKUP($S75:$AL75,增益!$A:$A,增益!$L:$L,0))</f>
        <v>0.02</v>
      </c>
      <c r="BG75">
        <f t="shared" si="17"/>
        <v>0</v>
      </c>
      <c r="BH75">
        <f t="shared" si="18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1" cm="1">
        <f t="array" ref="BJ75">$G$13+VLOOKUP($R75,武学奇术!$A:$ZZ,14,FALSE)+SUM(_xlfn.XLOOKUP($S75:$AL75,增益!$A:$A,增益!$N:$N,0))</f>
        <v>0.02</v>
      </c>
      <c r="BK75">
        <f t="shared" si="19"/>
        <v>649.11</v>
      </c>
      <c r="BL75">
        <f t="shared" si="20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1"/>
        <v>0.89337855</v>
      </c>
      <c r="BU75" s="24">
        <f t="shared" si="22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F76" s="4"/>
      <c r="G76" s="4"/>
      <c r="K76" s="37">
        <f>$L76*VLOOKUP($R76,武学奇术!$A:$ZZ,31,FALSE)</f>
        <v>59670.3677784295</v>
      </c>
      <c r="L76" s="37">
        <f t="shared" si="23"/>
        <v>59670.3677784295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61498.2692751359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46826.2423494444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30903.6529020783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27121.2003601237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84</v>
      </c>
      <c r="Z76" s="39" t="s">
        <v>84</v>
      </c>
      <c r="AA76" s="39" t="s">
        <v>84</v>
      </c>
      <c r="AB76" s="39" t="s">
        <v>204</v>
      </c>
      <c r="AC76" s="39" t="s">
        <v>84</v>
      </c>
      <c r="AD76" s="39" t="s">
        <v>93</v>
      </c>
      <c r="AE76" s="39" t="s">
        <v>84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0.3042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4261.65</v>
      </c>
      <c r="AU76" cm="1">
        <f t="array" ref="AU76">$E$10*(1+$AS76)+VLOOKUP($R76,武学奇术!$A:$ZZ,4,FALSE)+SUM(_xlfn.XLOOKUP($S76:$AL76,增益!$A:$A,增益!$D:$D,0))-$I$2</f>
        <v>4261.65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0.3434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1" cm="1">
        <f t="array" ref="BB76">$G$11+VLOOKUP($R76,武学奇术!$A:$ZZ,10,FALSE)+SUM(_xlfn.XLOOKUP($S76:$AL76,增益!$A:$A,增益!$J:$J,0))</f>
        <v>0.02</v>
      </c>
      <c r="BC76">
        <f t="shared" si="15"/>
        <v>0</v>
      </c>
      <c r="BD76">
        <f t="shared" si="16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1" cm="1">
        <f t="array" ref="BF76">$G$12+VLOOKUP($R76,武学奇术!$A:$ZZ,12,FALSE)+SUM(_xlfn.XLOOKUP($S76:$AL76,增益!$A:$A,增益!$L:$L,0))</f>
        <v>0.02</v>
      </c>
      <c r="BG76">
        <f t="shared" si="17"/>
        <v>0</v>
      </c>
      <c r="BH76">
        <f t="shared" si="18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1" cm="1">
        <f t="array" ref="BJ76">$G$13+VLOOKUP($R76,武学奇术!$A:$ZZ,14,FALSE)+SUM(_xlfn.XLOOKUP($S76:$AL76,增益!$A:$A,增益!$N:$N,0))</f>
        <v>0.02</v>
      </c>
      <c r="BK76">
        <f t="shared" si="19"/>
        <v>649.11</v>
      </c>
      <c r="BL76">
        <f t="shared" si="20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1"/>
        <v>0.89337855</v>
      </c>
      <c r="BU76" s="24">
        <f t="shared" si="22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0.11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s="4"/>
      <c r="B77" s="90"/>
      <c r="K77" s="37">
        <f>$L77*VLOOKUP($R77,武学奇术!$A:$ZZ,31,FALSE)</f>
        <v>65046.076587297</v>
      </c>
      <c r="L77" s="37">
        <f t="shared" si="23"/>
        <v>65046.076587297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67038.6538945175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51044.8227412863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33687.7657761394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29564.5517439187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84</v>
      </c>
      <c r="Z77" s="39" t="s">
        <v>195</v>
      </c>
      <c r="AA77" s="39" t="s">
        <v>84</v>
      </c>
      <c r="AB77" s="39" t="s">
        <v>204</v>
      </c>
      <c r="AC77" s="39" t="s">
        <v>84</v>
      </c>
      <c r="AD77" s="39" t="s">
        <v>93</v>
      </c>
      <c r="AE77" s="39" t="s">
        <v>84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0.3042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4261.65</v>
      </c>
      <c r="AU77" cm="1">
        <f t="array" ref="AU77">$E$10*(1+$AS77)+VLOOKUP($R77,武学奇术!$A:$ZZ,4,FALSE)+SUM(_xlfn.XLOOKUP($S77:$AL77,增益!$A:$A,增益!$D:$D,0))-$I$2</f>
        <v>4261.65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0.3434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1" cm="1">
        <f t="array" ref="BB77">$G$11+VLOOKUP($R77,武学奇术!$A:$ZZ,10,FALSE)+SUM(_xlfn.XLOOKUP($S77:$AL77,增益!$A:$A,增益!$J:$J,0))</f>
        <v>0.02</v>
      </c>
      <c r="BC77">
        <f t="shared" si="15"/>
        <v>0</v>
      </c>
      <c r="BD77">
        <f t="shared" si="16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1" cm="1">
        <f t="array" ref="BF77">$G$12+VLOOKUP($R77,武学奇术!$A:$ZZ,12,FALSE)+SUM(_xlfn.XLOOKUP($S77:$AL77,增益!$A:$A,增益!$L:$L,0))</f>
        <v>0.02</v>
      </c>
      <c r="BG77">
        <f t="shared" si="17"/>
        <v>0</v>
      </c>
      <c r="BH77">
        <f t="shared" si="18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1" cm="1">
        <f t="array" ref="BJ77">$G$13+VLOOKUP($R77,武学奇术!$A:$ZZ,14,FALSE)+SUM(_xlfn.XLOOKUP($S77:$AL77,增益!$A:$A,增益!$N:$N,0))</f>
        <v>0.02</v>
      </c>
      <c r="BK77">
        <f t="shared" si="19"/>
        <v>649.11</v>
      </c>
      <c r="BL77">
        <f t="shared" si="20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1"/>
        <v>0.89337855</v>
      </c>
      <c r="BU77" s="24">
        <f t="shared" si="22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0.21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s="4"/>
      <c r="B78" s="4"/>
      <c r="K78" s="37">
        <f>$L78*VLOOKUP($R78,武学奇术!$A:$ZZ,31,FALSE)</f>
        <v>65046.076587297</v>
      </c>
      <c r="L78" s="37">
        <f t="shared" si="23"/>
        <v>65046.076587297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67038.6538945175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51044.8227412863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33687.7657761394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29564.5517439187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84</v>
      </c>
      <c r="Z78" s="39" t="s">
        <v>195</v>
      </c>
      <c r="AA78" s="39" t="s">
        <v>84</v>
      </c>
      <c r="AB78" s="39" t="s">
        <v>204</v>
      </c>
      <c r="AC78" s="39" t="s">
        <v>84</v>
      </c>
      <c r="AD78" s="39" t="s">
        <v>93</v>
      </c>
      <c r="AE78" s="39" t="s">
        <v>84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0.3042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4261.65</v>
      </c>
      <c r="AU78" cm="1">
        <f t="array" ref="AU78">$E$10*(1+$AS78)+VLOOKUP($R78,武学奇术!$A:$ZZ,4,FALSE)+SUM(_xlfn.XLOOKUP($S78:$AL78,增益!$A:$A,增益!$D:$D,0))-$I$2</f>
        <v>4261.65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0.3434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0.02</v>
      </c>
      <c r="BC78">
        <f t="shared" si="15"/>
        <v>0</v>
      </c>
      <c r="BD78">
        <f t="shared" si="16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0.02</v>
      </c>
      <c r="BG78">
        <f t="shared" si="17"/>
        <v>0</v>
      </c>
      <c r="BH78">
        <f t="shared" si="18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0.02</v>
      </c>
      <c r="BK78">
        <f t="shared" si="19"/>
        <v>649.11</v>
      </c>
      <c r="BL78">
        <f t="shared" si="20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1"/>
        <v>0.89337855</v>
      </c>
      <c r="BU78" s="24">
        <f t="shared" si="22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0.21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s="4"/>
      <c r="B79" s="4"/>
      <c r="K79" s="37">
        <f>$L79*VLOOKUP($R79,武学奇术!$A:$ZZ,31,FALSE)</f>
        <v>65046.076587297</v>
      </c>
      <c r="L79" s="37">
        <f t="shared" si="23"/>
        <v>65046.076587297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67038.6538945175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51044.8227412863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33687.7657761394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29564.5517439187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84</v>
      </c>
      <c r="Z79" s="39" t="s">
        <v>195</v>
      </c>
      <c r="AA79" s="39" t="s">
        <v>84</v>
      </c>
      <c r="AB79" s="39" t="s">
        <v>204</v>
      </c>
      <c r="AC79" s="39" t="s">
        <v>84</v>
      </c>
      <c r="AD79" s="39" t="s">
        <v>93</v>
      </c>
      <c r="AE79" s="39" t="s">
        <v>84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0.3042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4261.65</v>
      </c>
      <c r="AU79" cm="1">
        <f t="array" ref="AU79">$E$10*(1+$AS79)+VLOOKUP($R79,武学奇术!$A:$ZZ,4,FALSE)+SUM(_xlfn.XLOOKUP($S79:$AL79,增益!$A:$A,增益!$D:$D,0))-$I$2</f>
        <v>4261.65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0.3434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1" cm="1">
        <f t="array" ref="BB79">$G$11+VLOOKUP($R79,武学奇术!$A:$ZZ,10,FALSE)+SUM(_xlfn.XLOOKUP($S79:$AL79,增益!$A:$A,增益!$J:$J,0))</f>
        <v>0.02</v>
      </c>
      <c r="BC79">
        <f t="shared" si="15"/>
        <v>0</v>
      </c>
      <c r="BD79">
        <f t="shared" si="16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1" cm="1">
        <f t="array" ref="BF79">$G$12+VLOOKUP($R79,武学奇术!$A:$ZZ,12,FALSE)+SUM(_xlfn.XLOOKUP($S79:$AL79,增益!$A:$A,增益!$L:$L,0))</f>
        <v>0.02</v>
      </c>
      <c r="BG79">
        <f t="shared" si="17"/>
        <v>0</v>
      </c>
      <c r="BH79">
        <f t="shared" si="18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1" cm="1">
        <f t="array" ref="BJ79">$G$13+VLOOKUP($R79,武学奇术!$A:$ZZ,14,FALSE)+SUM(_xlfn.XLOOKUP($S79:$AL79,增益!$A:$A,增益!$N:$N,0))</f>
        <v>0.02</v>
      </c>
      <c r="BK79">
        <f t="shared" si="19"/>
        <v>649.11</v>
      </c>
      <c r="BL79">
        <f t="shared" si="20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1"/>
        <v>0.89337855</v>
      </c>
      <c r="BU79" s="24">
        <f t="shared" si="22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0.21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s="4"/>
      <c r="B80" s="90"/>
      <c r="K80" s="37">
        <f>$L80*VLOOKUP($R80,武学奇术!$A:$ZZ,31,FALSE)</f>
        <v>206062.391810852</v>
      </c>
      <c r="L80" s="37">
        <f t="shared" si="23"/>
        <v>206062.391810852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214663.779794205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140746.421089224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93739.6418315304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83222.6754488209</v>
      </c>
      <c r="Q80" s="38">
        <v>1</v>
      </c>
      <c r="R80" s="39" t="s">
        <v>157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84</v>
      </c>
      <c r="Z80" s="39" t="s">
        <v>84</v>
      </c>
      <c r="AA80" s="39" t="s">
        <v>84</v>
      </c>
      <c r="AB80" s="39" t="s">
        <v>204</v>
      </c>
      <c r="AC80" s="39" t="s">
        <v>84</v>
      </c>
      <c r="AD80" s="39" t="s">
        <v>93</v>
      </c>
      <c r="AE80" s="39" t="s">
        <v>84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双刀</v>
      </c>
      <c r="AN80" s="24">
        <f>VLOOKUP($R80,武学奇术!$A:$ZZ,26,FALSE)</f>
        <v>2.85516</v>
      </c>
      <c r="AO80" s="25">
        <f>VLOOKUP($R80,武学奇术!$A:$ZZ,27,FALSE)*(1+IF(OR($AM80=$F$4,$AM80=$F$5),$B$22,0))</f>
        <v>1263.36</v>
      </c>
      <c r="AP80" s="24">
        <f>VLOOKUP($R80,武学奇术!$A:$ZZ,28,FALSE)</f>
        <v>4.28274</v>
      </c>
      <c r="AQ80" s="25">
        <f>VLOOKUP($R80,武学奇术!$A:$ZZ,29,FALSE)*(1+IF(OR($AM80=$F$4,$AM80=$F$5),$B$22,0))</f>
        <v>687.68</v>
      </c>
      <c r="AR80" s="24" cm="1">
        <f t="array" ref="AR80">$G$3+IFERROR(VLOOKUP($AM80,$F$4:$G$7,2,FALSE),0)+VLOOKUP($R80,武学奇术!$A:$ZZ,2,FALSE)+SUM(_xlfn.XLOOKUP($S80:$AL80,增益!$A:$A,增益!$B:$B,0))</f>
        <v>0.5243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4261.65</v>
      </c>
      <c r="AU80" cm="1">
        <f t="array" ref="AU80">$E$10*(1+$AS80)+VLOOKUP($R80,武学奇术!$A:$ZZ,4,FALSE)+SUM(_xlfn.XLOOKUP($S80:$AL80,增益!$A:$A,增益!$D:$D,0))-$I$2</f>
        <v>4261.65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0.3434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1" cm="1">
        <f t="array" ref="BB80">$G$11+VLOOKUP($R80,武学奇术!$A:$ZZ,10,FALSE)+SUM(_xlfn.XLOOKUP($S80:$AL80,增益!$A:$A,增益!$J:$J,0))</f>
        <v>0.02</v>
      </c>
      <c r="BC80">
        <f t="shared" si="15"/>
        <v>0</v>
      </c>
      <c r="BD80">
        <f t="shared" si="16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1" cm="1">
        <f t="array" ref="BF80">$G$12+VLOOKUP($R80,武学奇术!$A:$ZZ,12,FALSE)+SUM(_xlfn.XLOOKUP($S80:$AL80,增益!$A:$A,增益!$L:$L,0))</f>
        <v>0.02</v>
      </c>
      <c r="BG80">
        <f t="shared" si="17"/>
        <v>0</v>
      </c>
      <c r="BH80">
        <f t="shared" si="18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1" cm="1">
        <f t="array" ref="BJ80">$G$13+VLOOKUP($R80,武学奇术!$A:$ZZ,14,FALSE)+SUM(_xlfn.XLOOKUP($S80:$AL80,增益!$A:$A,增益!$N:$N,0))</f>
        <v>0.02</v>
      </c>
      <c r="BK80">
        <f t="shared" si="19"/>
        <v>649.11</v>
      </c>
      <c r="BL80">
        <f t="shared" si="20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1"/>
        <v>0.89337855</v>
      </c>
      <c r="BU80" s="24">
        <f t="shared" si="22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>
        <f>VLOOKUP($R80,武学奇术!$A:$ZZ,32,FALSE)</f>
        <v>0.5</v>
      </c>
      <c r="BY80" s="24" cm="1">
        <f t="array" ref="BY80">SUM(_xlfn.XLOOKUP($S80:$AL80,增益!$A:$A,增益!$X:$X,0))</f>
        <v>0</v>
      </c>
    </row>
    <row r="81" spans="1:77">
      <c r="K81" s="37">
        <f>$L81*VLOOKUP($R81,武学奇术!$A:$ZZ,31,FALSE)</f>
        <v>274702.001523896</v>
      </c>
      <c r="L81" s="37">
        <f t="shared" si="23"/>
        <v>274702.001523896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286168.383423857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187630.568432154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124964.359573737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110943.112901434</v>
      </c>
      <c r="Q81" s="38">
        <v>1</v>
      </c>
      <c r="R81" s="39" t="s">
        <v>163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84</v>
      </c>
      <c r="Z81" s="39" t="s">
        <v>84</v>
      </c>
      <c r="AA81" s="39" t="s">
        <v>84</v>
      </c>
      <c r="AB81" s="39" t="s">
        <v>204</v>
      </c>
      <c r="AC81" s="39" t="s">
        <v>84</v>
      </c>
      <c r="AD81" s="39" t="s">
        <v>93</v>
      </c>
      <c r="AE81" s="39" t="s">
        <v>84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双刀</v>
      </c>
      <c r="AN81" s="24">
        <f>VLOOKUP($R81,武学奇术!$A:$ZZ,26,FALSE)</f>
        <v>3.80688</v>
      </c>
      <c r="AO81" s="25">
        <f>VLOOKUP($R81,武学奇术!$A:$ZZ,27,FALSE)*(1+IF(OR($AM81=$F$4,$AM81=$F$5),$B$22,0))</f>
        <v>1684.48</v>
      </c>
      <c r="AP81" s="24">
        <f>VLOOKUP($R81,武学奇术!$A:$ZZ,28,FALSE)</f>
        <v>5.70976</v>
      </c>
      <c r="AQ81" s="25">
        <f>VLOOKUP($R81,武学奇术!$A:$ZZ,29,FALSE)*(1+IF(OR($AM81=$F$4,$AM81=$F$5),$B$22,0))</f>
        <v>913.92</v>
      </c>
      <c r="AR81" s="24" cm="1">
        <f t="array" ref="AR81">$G$3+IFERROR(VLOOKUP($AM81,$F$4:$G$7,2,FALSE),0)+VLOOKUP($R81,武学奇术!$A:$ZZ,2,FALSE)+SUM(_xlfn.XLOOKUP($S81:$AL81,增益!$A:$A,增益!$B:$B,0))</f>
        <v>0.5243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4261.65</v>
      </c>
      <c r="AU81" cm="1">
        <f t="array" ref="AU81">$E$10*(1+$AS81)+VLOOKUP($R81,武学奇术!$A:$ZZ,4,FALSE)+SUM(_xlfn.XLOOKUP($S81:$AL81,增益!$A:$A,增益!$D:$D,0))-$I$2</f>
        <v>4261.65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0.3434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1" cm="1">
        <f t="array" ref="BB81">$G$11+VLOOKUP($R81,武学奇术!$A:$ZZ,10,FALSE)+SUM(_xlfn.XLOOKUP($S81:$AL81,增益!$A:$A,增益!$J:$J,0))</f>
        <v>0.02</v>
      </c>
      <c r="BC81">
        <f t="shared" si="15"/>
        <v>0</v>
      </c>
      <c r="BD81">
        <f t="shared" si="16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1" cm="1">
        <f t="array" ref="BF81">$G$12+VLOOKUP($R81,武学奇术!$A:$ZZ,12,FALSE)+SUM(_xlfn.XLOOKUP($S81:$AL81,增益!$A:$A,增益!$L:$L,0))</f>
        <v>0.02</v>
      </c>
      <c r="BG81">
        <f t="shared" si="17"/>
        <v>0</v>
      </c>
      <c r="BH81">
        <f t="shared" si="18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1" cm="1">
        <f t="array" ref="BJ81">$G$13+VLOOKUP($R81,武学奇术!$A:$ZZ,14,FALSE)+SUM(_xlfn.XLOOKUP($S81:$AL81,增益!$A:$A,增益!$N:$N,0))</f>
        <v>0.02</v>
      </c>
      <c r="BK81">
        <f t="shared" si="19"/>
        <v>649.11</v>
      </c>
      <c r="BL81">
        <f t="shared" si="20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1"/>
        <v>0.89337855</v>
      </c>
      <c r="BU81" s="24">
        <f t="shared" si="22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>
        <f>VLOOKUP($R81,武学奇术!$A:$ZZ,32,FALSE)</f>
        <v>0.5</v>
      </c>
      <c r="BY81" s="24" cm="1">
        <f t="array" ref="BY81">SUM(_xlfn.XLOOKUP($S81:$AL81,增益!$A:$A,增益!$X:$X,0))</f>
        <v>0</v>
      </c>
    </row>
    <row r="82" spans="1:77">
      <c r="A82" s="4"/>
      <c r="B82" s="4"/>
      <c r="K82" s="37">
        <f>$L82*VLOOKUP($R82,武学奇术!$A:$ZZ,31,FALSE)</f>
        <v>224626.571253271</v>
      </c>
      <c r="L82" s="37">
        <f t="shared" si="23"/>
        <v>224626.571253271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234002.859054944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153426.27884501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102184.654609146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90720.2137775435</v>
      </c>
      <c r="Q82" s="38">
        <v>1</v>
      </c>
      <c r="R82" s="39" t="s">
        <v>166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84</v>
      </c>
      <c r="Z82" s="39" t="s">
        <v>195</v>
      </c>
      <c r="AA82" s="39" t="s">
        <v>84</v>
      </c>
      <c r="AB82" s="39" t="s">
        <v>204</v>
      </c>
      <c r="AC82" s="39" t="s">
        <v>84</v>
      </c>
      <c r="AD82" s="39" t="s">
        <v>93</v>
      </c>
      <c r="AE82" s="39" t="s">
        <v>84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双刀</v>
      </c>
      <c r="AN82" s="24">
        <f>VLOOKUP($R82,武学奇术!$A:$ZZ,26,FALSE)</f>
        <v>2.85516</v>
      </c>
      <c r="AO82" s="25">
        <f>VLOOKUP($R82,武学奇术!$A:$ZZ,27,FALSE)*(1+IF(OR($AM82=$F$4,$AM82=$F$5),$B$22,0))</f>
        <v>1263.36</v>
      </c>
      <c r="AP82" s="24">
        <f>VLOOKUP($R82,武学奇术!$A:$ZZ,28,FALSE)</f>
        <v>4.28274</v>
      </c>
      <c r="AQ82" s="25">
        <f>VLOOKUP($R82,武学奇术!$A:$ZZ,29,FALSE)*(1+IF(OR($AM82=$F$4,$AM82=$F$5),$B$22,0))</f>
        <v>687.68</v>
      </c>
      <c r="AR82" s="24" cm="1">
        <f t="array" ref="AR82">$G$3+IFERROR(VLOOKUP($AM82,$F$4:$G$7,2,FALSE),0)+VLOOKUP($R82,武学奇术!$A:$ZZ,2,FALSE)+SUM(_xlfn.XLOOKUP($S82:$AL82,增益!$A:$A,增益!$B:$B,0))</f>
        <v>0.5243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4261.65</v>
      </c>
      <c r="AU82" cm="1">
        <f t="array" ref="AU82">$E$10*(1+$AS82)+VLOOKUP($R82,武学奇术!$A:$ZZ,4,FALSE)+SUM(_xlfn.XLOOKUP($S82:$AL82,增益!$A:$A,增益!$D:$D,0))-$I$2</f>
        <v>4261.65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0.3434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1" cm="1">
        <f t="array" ref="BB82">$G$11+VLOOKUP($R82,武学奇术!$A:$ZZ,10,FALSE)+SUM(_xlfn.XLOOKUP($S82:$AL82,增益!$A:$A,增益!$J:$J,0))</f>
        <v>0.02</v>
      </c>
      <c r="BC82">
        <f t="shared" si="15"/>
        <v>0</v>
      </c>
      <c r="BD82">
        <f t="shared" si="16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1" cm="1">
        <f t="array" ref="BF82">$G$12+VLOOKUP($R82,武学奇术!$A:$ZZ,12,FALSE)+SUM(_xlfn.XLOOKUP($S82:$AL82,增益!$A:$A,增益!$L:$L,0))</f>
        <v>0.02</v>
      </c>
      <c r="BG82">
        <f t="shared" si="17"/>
        <v>0</v>
      </c>
      <c r="BH82">
        <f t="shared" si="18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1" cm="1">
        <f t="array" ref="BJ82">$G$13+VLOOKUP($R82,武学奇术!$A:$ZZ,14,FALSE)+SUM(_xlfn.XLOOKUP($S82:$AL82,增益!$A:$A,增益!$N:$N,0))</f>
        <v>0.02</v>
      </c>
      <c r="BK82">
        <f t="shared" si="19"/>
        <v>649.11</v>
      </c>
      <c r="BL82">
        <f t="shared" si="20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1"/>
        <v>0.89337855</v>
      </c>
      <c r="BU82" s="24">
        <f t="shared" si="22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0.21</v>
      </c>
      <c r="BX82" s="24">
        <f>VLOOKUP($R82,武学奇术!$A:$ZZ,32,FALSE)</f>
        <v>0.5</v>
      </c>
      <c r="BY82" s="24" cm="1">
        <f t="array" ref="BY82">SUM(_xlfn.XLOOKUP($S82:$AL82,增益!$A:$A,增益!$X:$X,0))</f>
        <v>0</v>
      </c>
    </row>
    <row r="83" spans="1:77">
      <c r="A83" s="4"/>
      <c r="B83" s="90"/>
      <c r="K83" s="37">
        <f>$L83*VLOOKUP($R83,武学奇术!$A:$ZZ,31,FALSE)</f>
        <v>70751.0393190378</v>
      </c>
      <c r="L83" s="37">
        <f t="shared" si="23"/>
        <v>70751.0393190378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73704.3688157898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48324.3318748178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32185.313893358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28574.8263979621</v>
      </c>
      <c r="Q83" s="38">
        <v>1</v>
      </c>
      <c r="R83" s="39" t="s">
        <v>136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84</v>
      </c>
      <c r="Z83" s="39" t="s">
        <v>195</v>
      </c>
      <c r="AA83" s="39" t="s">
        <v>84</v>
      </c>
      <c r="AB83" s="39" t="s">
        <v>204</v>
      </c>
      <c r="AC83" s="39" t="s">
        <v>84</v>
      </c>
      <c r="AD83" s="39" t="s">
        <v>93</v>
      </c>
      <c r="AE83" s="39" t="s">
        <v>84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0.9634</v>
      </c>
      <c r="AO83" s="25">
        <f>VLOOKUP($R83,武学奇术!$A:$ZZ,27,FALSE)*(1+IF(OR($AM83=$F$4,$AM83=$F$5),$B$22,0))</f>
        <v>427.2</v>
      </c>
      <c r="AP83" s="24">
        <f>VLOOKUP($R83,武学奇术!$A:$ZZ,28,FALSE)</f>
        <v>1.4451</v>
      </c>
      <c r="AQ83" s="25">
        <f>VLOOKUP($R83,武学奇术!$A:$ZZ,29,FALSE)*(1+IF(OR($AM83=$F$4,$AM83=$F$5),$B$22,0))</f>
        <v>232</v>
      </c>
      <c r="AR83" s="24" cm="1">
        <f t="array" ref="AR83">$G$3+IFERROR(VLOOKUP($AM83,$F$4:$G$7,2,FALSE),0)+VLOOKUP($R83,武学奇术!$A:$ZZ,2,FALSE)+SUM(_xlfn.XLOOKUP($S83:$AL83,增益!$A:$A,增益!$B:$B,0))</f>
        <v>0.5243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4261.65</v>
      </c>
      <c r="AU83" cm="1">
        <f t="array" ref="AU83">$E$10*(1+$AS83)+VLOOKUP($R83,武学奇术!$A:$ZZ,4,FALSE)+SUM(_xlfn.XLOOKUP($S83:$AL83,增益!$A:$A,增益!$D:$D,0))-$I$2</f>
        <v>4261.65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0.3434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1" cm="1">
        <f t="array" ref="BB83">$G$11+VLOOKUP($R83,武学奇术!$A:$ZZ,10,FALSE)+SUM(_xlfn.XLOOKUP($S83:$AL83,增益!$A:$A,增益!$J:$J,0))</f>
        <v>0.02</v>
      </c>
      <c r="BC83">
        <f t="shared" si="15"/>
        <v>0</v>
      </c>
      <c r="BD83">
        <f t="shared" si="16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1" cm="1">
        <f t="array" ref="BF83">$G$12+VLOOKUP($R83,武学奇术!$A:$ZZ,12,FALSE)+SUM(_xlfn.XLOOKUP($S83:$AL83,增益!$A:$A,增益!$L:$L,0))</f>
        <v>0.02</v>
      </c>
      <c r="BG83">
        <f t="shared" si="17"/>
        <v>0</v>
      </c>
      <c r="BH83">
        <f t="shared" si="18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1" cm="1">
        <f t="array" ref="BJ83">$G$13+VLOOKUP($R83,武学奇术!$A:$ZZ,14,FALSE)+SUM(_xlfn.XLOOKUP($S83:$AL83,增益!$A:$A,增益!$N:$N,0))</f>
        <v>0.02</v>
      </c>
      <c r="BK83">
        <f t="shared" si="19"/>
        <v>649.11</v>
      </c>
      <c r="BL83">
        <f t="shared" si="20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1"/>
        <v>0.89337855</v>
      </c>
      <c r="BU83" s="24">
        <f t="shared" si="22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0.21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K84" s="37">
        <f>$L84*VLOOKUP($R84,武学奇术!$A:$ZZ,31,FALSE)</f>
        <v>68025.0830349941</v>
      </c>
      <c r="L84" s="37">
        <f t="shared" si="23"/>
        <v>68025.0830349941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70864.7603583483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46461.107962643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30945.3102001521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27474.9848724205</v>
      </c>
      <c r="Q84" s="38">
        <v>1</v>
      </c>
      <c r="R84" s="39" t="s">
        <v>142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84</v>
      </c>
      <c r="Z84" s="39" t="s">
        <v>195</v>
      </c>
      <c r="AA84" s="39" t="s">
        <v>84</v>
      </c>
      <c r="AB84" s="39" t="s">
        <v>204</v>
      </c>
      <c r="AC84" s="39" t="s">
        <v>84</v>
      </c>
      <c r="AD84" s="39" t="s">
        <v>93</v>
      </c>
      <c r="AE84" s="39" t="s">
        <v>84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0.926</v>
      </c>
      <c r="AO84" s="25">
        <f>VLOOKUP($R84,武学奇术!$A:$ZZ,27,FALSE)*(1+IF(OR($AM84=$F$4,$AM84=$F$5),$B$22,0))</f>
        <v>411.2</v>
      </c>
      <c r="AP84" s="24">
        <f>VLOOKUP($R84,武学奇术!$A:$ZZ,28,FALSE)</f>
        <v>1.389</v>
      </c>
      <c r="AQ84" s="25">
        <f>VLOOKUP($R84,武学奇术!$A:$ZZ,29,FALSE)*(1+IF(OR($AM84=$F$4,$AM84=$F$5),$B$22,0))</f>
        <v>224</v>
      </c>
      <c r="AR84" s="24" cm="1">
        <f t="array" ref="AR84">$G$3+IFERROR(VLOOKUP($AM84,$F$4:$G$7,2,FALSE),0)+VLOOKUP($R84,武学奇术!$A:$ZZ,2,FALSE)+SUM(_xlfn.XLOOKUP($S84:$AL84,增益!$A:$A,增益!$B:$B,0))</f>
        <v>0.5243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4261.65</v>
      </c>
      <c r="AU84" cm="1">
        <f t="array" ref="AU84">$E$10*(1+$AS84)+VLOOKUP($R84,武学奇术!$A:$ZZ,4,FALSE)+SUM(_xlfn.XLOOKUP($S84:$AL84,增益!$A:$A,增益!$D:$D,0))-$I$2</f>
        <v>4261.65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0.3434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1" cm="1">
        <f t="array" ref="BB84">$G$11+VLOOKUP($R84,武学奇术!$A:$ZZ,10,FALSE)+SUM(_xlfn.XLOOKUP($S84:$AL84,增益!$A:$A,增益!$J:$J,0))</f>
        <v>0.02</v>
      </c>
      <c r="BC84">
        <f t="shared" si="15"/>
        <v>0</v>
      </c>
      <c r="BD84">
        <f t="shared" si="16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1" cm="1">
        <f t="array" ref="BF84">$G$12+VLOOKUP($R84,武学奇术!$A:$ZZ,12,FALSE)+SUM(_xlfn.XLOOKUP($S84:$AL84,增益!$A:$A,增益!$L:$L,0))</f>
        <v>0.02</v>
      </c>
      <c r="BG84">
        <f t="shared" si="17"/>
        <v>0</v>
      </c>
      <c r="BH84">
        <f t="shared" si="18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1" cm="1">
        <f t="array" ref="BJ84">$G$13+VLOOKUP($R84,武学奇术!$A:$ZZ,14,FALSE)+SUM(_xlfn.XLOOKUP($S84:$AL84,增益!$A:$A,增益!$N:$N,0))</f>
        <v>0.02</v>
      </c>
      <c r="BK84">
        <f t="shared" si="19"/>
        <v>649.11</v>
      </c>
      <c r="BL84">
        <f t="shared" si="20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1"/>
        <v>0.89337855</v>
      </c>
      <c r="BU84" s="24">
        <f t="shared" si="22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0.21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s="4"/>
      <c r="B85" s="4"/>
      <c r="K85" s="37">
        <f>$L85*VLOOKUP($R85,武学奇术!$A:$ZZ,31,FALSE)</f>
        <v>82968.193948818</v>
      </c>
      <c r="L85" s="37">
        <f t="shared" si="23"/>
        <v>82968.193948818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86431.4784530167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56669.0855443599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37743.0036912737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33508.9069793178</v>
      </c>
      <c r="Q85" s="38">
        <v>1</v>
      </c>
      <c r="R85" s="39" t="s">
        <v>146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84</v>
      </c>
      <c r="Z85" s="39" t="s">
        <v>195</v>
      </c>
      <c r="AA85" s="39" t="s">
        <v>84</v>
      </c>
      <c r="AB85" s="39" t="s">
        <v>204</v>
      </c>
      <c r="AC85" s="39" t="s">
        <v>84</v>
      </c>
      <c r="AD85" s="39" t="s">
        <v>93</v>
      </c>
      <c r="AE85" s="39" t="s">
        <v>84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1.1298</v>
      </c>
      <c r="AO85" s="25">
        <f>VLOOKUP($R85,武学奇术!$A:$ZZ,27,FALSE)*(1+IF(OR($AM85=$F$4,$AM85=$F$5),$B$22,0))</f>
        <v>500.8</v>
      </c>
      <c r="AP85" s="24">
        <f>VLOOKUP($R85,武学奇术!$A:$ZZ,28,FALSE)</f>
        <v>1.6947</v>
      </c>
      <c r="AQ85" s="25">
        <f>VLOOKUP($R85,武学奇术!$A:$ZZ,29,FALSE)*(1+IF(OR($AM85=$F$4,$AM85=$F$5),$B$22,0))</f>
        <v>272</v>
      </c>
      <c r="AR85" s="24" cm="1">
        <f t="array" ref="AR85">$G$3+IFERROR(VLOOKUP($AM85,$F$4:$G$7,2,FALSE),0)+VLOOKUP($R85,武学奇术!$A:$ZZ,2,FALSE)+SUM(_xlfn.XLOOKUP($S85:$AL85,增益!$A:$A,增益!$B:$B,0))</f>
        <v>0.5243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4261.65</v>
      </c>
      <c r="AU85" cm="1">
        <f t="array" ref="AU85">$E$10*(1+$AS85)+VLOOKUP($R85,武学奇术!$A:$ZZ,4,FALSE)+SUM(_xlfn.XLOOKUP($S85:$AL85,增益!$A:$A,增益!$D:$D,0))-$I$2</f>
        <v>4261.65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0.3434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1" cm="1">
        <f t="array" ref="BB85">$G$11+VLOOKUP($R85,武学奇术!$A:$ZZ,10,FALSE)+SUM(_xlfn.XLOOKUP($S85:$AL85,增益!$A:$A,增益!$J:$J,0))</f>
        <v>0.02</v>
      </c>
      <c r="BC85">
        <f t="shared" si="15"/>
        <v>0</v>
      </c>
      <c r="BD85">
        <f t="shared" si="16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1" cm="1">
        <f t="array" ref="BF85">$G$12+VLOOKUP($R85,武学奇术!$A:$ZZ,12,FALSE)+SUM(_xlfn.XLOOKUP($S85:$AL85,增益!$A:$A,增益!$L:$L,0))</f>
        <v>0.02</v>
      </c>
      <c r="BG85">
        <f t="shared" si="17"/>
        <v>0</v>
      </c>
      <c r="BH85">
        <f t="shared" si="18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1" cm="1">
        <f t="array" ref="BJ85">$G$13+VLOOKUP($R85,武学奇术!$A:$ZZ,14,FALSE)+SUM(_xlfn.XLOOKUP($S85:$AL85,增益!$A:$A,增益!$N:$N,0))</f>
        <v>0.02</v>
      </c>
      <c r="BK85">
        <f t="shared" si="19"/>
        <v>649.11</v>
      </c>
      <c r="BL85">
        <f t="shared" si="20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1"/>
        <v>0.89337855</v>
      </c>
      <c r="BU85" s="24">
        <f t="shared" si="22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0.21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K86" s="37">
        <f>$L86*VLOOKUP($R86,武学奇术!$A:$ZZ,31,FALSE)</f>
        <v>187295.433228035</v>
      </c>
      <c r="L86" s="37">
        <f t="shared" si="23"/>
        <v>187295.433228035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195113.82930869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127924.389636122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85202.5455496463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75646.2839614242</v>
      </c>
      <c r="Q86" s="38">
        <v>1</v>
      </c>
      <c r="R86" s="39" t="s">
        <v>151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84</v>
      </c>
      <c r="Z86" s="39" t="s">
        <v>195</v>
      </c>
      <c r="AA86" s="39" t="s">
        <v>84</v>
      </c>
      <c r="AB86" s="39" t="s">
        <v>204</v>
      </c>
      <c r="AC86" s="39" t="s">
        <v>84</v>
      </c>
      <c r="AD86" s="39" t="s">
        <v>93</v>
      </c>
      <c r="AE86" s="39" t="s">
        <v>84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拳甲</v>
      </c>
      <c r="AN86" s="24">
        <f>VLOOKUP($R86,武学奇术!$A:$ZZ,26,FALSE)</f>
        <v>2.5499</v>
      </c>
      <c r="AO86" s="25">
        <f>VLOOKUP($R86,武学奇术!$A:$ZZ,27,FALSE)*(1+IF(OR($AM86=$F$4,$AM86=$F$5),$B$22,0))</f>
        <v>1131.2</v>
      </c>
      <c r="AP86" s="24">
        <f>VLOOKUP($R86,武学奇术!$A:$ZZ,28,FALSE)</f>
        <v>3.8249</v>
      </c>
      <c r="AQ86" s="25">
        <f>VLOOKUP($R86,武学奇术!$A:$ZZ,29,FALSE)*(1+IF(OR($AM86=$F$4,$AM86=$F$5),$B$22,0))</f>
        <v>616</v>
      </c>
      <c r="AR86" s="24" cm="1">
        <f t="array" ref="AR86">$G$3+IFERROR(VLOOKUP($AM86,$F$4:$G$7,2,FALSE),0)+VLOOKUP($R86,武学奇术!$A:$ZZ,2,FALSE)+SUM(_xlfn.XLOOKUP($S86:$AL86,增益!$A:$A,增益!$B:$B,0))</f>
        <v>0.5243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4261.65</v>
      </c>
      <c r="AU86" cm="1">
        <f t="array" ref="AU86">$E$10*(1+$AS86)+VLOOKUP($R86,武学奇术!$A:$ZZ,4,FALSE)+SUM(_xlfn.XLOOKUP($S86:$AL86,增益!$A:$A,增益!$D:$D,0))-$I$2</f>
        <v>4261.65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0.3434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1" cm="1">
        <f t="array" ref="BB86">$G$11+VLOOKUP($R86,武学奇术!$A:$ZZ,10,FALSE)+SUM(_xlfn.XLOOKUP($S86:$AL86,增益!$A:$A,增益!$J:$J,0))</f>
        <v>0.02</v>
      </c>
      <c r="BC86">
        <f t="shared" si="15"/>
        <v>0</v>
      </c>
      <c r="BD86">
        <f t="shared" si="16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1" cm="1">
        <f t="array" ref="BF86">$G$12+VLOOKUP($R86,武学奇术!$A:$ZZ,12,FALSE)+SUM(_xlfn.XLOOKUP($S86:$AL86,增益!$A:$A,增益!$L:$L,0))</f>
        <v>0.02</v>
      </c>
      <c r="BG86">
        <f t="shared" si="17"/>
        <v>0</v>
      </c>
      <c r="BH86">
        <f t="shared" si="18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1" cm="1">
        <f t="array" ref="BJ86">$G$13+VLOOKUP($R86,武学奇术!$A:$ZZ,14,FALSE)+SUM(_xlfn.XLOOKUP($S86:$AL86,增益!$A:$A,增益!$N:$N,0))</f>
        <v>0.02</v>
      </c>
      <c r="BK86">
        <f t="shared" si="19"/>
        <v>649.11</v>
      </c>
      <c r="BL86">
        <f t="shared" si="20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1"/>
        <v>0.89337855</v>
      </c>
      <c r="BU86" s="24">
        <f t="shared" si="22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0.21</v>
      </c>
      <c r="BX86" s="24">
        <f>VLOOKUP($R86,武学奇术!$A:$ZZ,32,FALSE)</f>
        <v>0.4</v>
      </c>
      <c r="BY86" s="24" cm="1">
        <f t="array" ref="BY86">SUM(_xlfn.XLOOKUP($S86:$AL86,增益!$A:$A,增益!$X:$X,0))</f>
        <v>0</v>
      </c>
    </row>
    <row r="87" spans="1:77">
      <c r="K87" s="37">
        <f>$L87*VLOOKUP($R87,武学奇术!$A:$ZZ,31,FALSE)</f>
        <v>368787.855264905</v>
      </c>
      <c r="L87" s="37">
        <f t="shared" si="23"/>
        <v>368787.855264905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384182.293958494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251886.40222342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167765.193868338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148947.867571179</v>
      </c>
      <c r="Q87" s="38">
        <v>1</v>
      </c>
      <c r="R87" s="39" t="s">
        <v>133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84</v>
      </c>
      <c r="Z87" s="39" t="s">
        <v>195</v>
      </c>
      <c r="AA87" s="39" t="s">
        <v>84</v>
      </c>
      <c r="AB87" s="39" t="s">
        <v>204</v>
      </c>
      <c r="AC87" s="39" t="s">
        <v>84</v>
      </c>
      <c r="AD87" s="39" t="s">
        <v>93</v>
      </c>
      <c r="AE87" s="39" t="s">
        <v>84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拳甲</v>
      </c>
      <c r="AN87" s="24">
        <f>VLOOKUP($R87,武学奇术!$A:$ZZ,26,FALSE)</f>
        <v>5.5691</v>
      </c>
      <c r="AO87" s="25">
        <f>VLOOKUP($R87,武学奇术!$A:$ZZ,27,FALSE)*(1+IF(OR($AM87=$F$4,$AM87=$F$5),$B$22,0))</f>
        <v>2470.4</v>
      </c>
      <c r="AP87" s="24">
        <f>VLOOKUP($R87,武学奇术!$A:$ZZ,28,FALSE)</f>
        <v>8.3537</v>
      </c>
      <c r="AQ87" s="25">
        <f>VLOOKUP($R87,武学奇术!$A:$ZZ,29,FALSE)*(1+IF(OR($AM87=$F$4,$AM87=$F$5),$B$22,0))</f>
        <v>1344</v>
      </c>
      <c r="AR87" s="24" cm="1">
        <f t="array" ref="AR87">$G$3+IFERROR(VLOOKUP($AM87,$F$4:$G$7,2,FALSE),0)+VLOOKUP($R87,武学奇术!$A:$ZZ,2,FALSE)+SUM(_xlfn.XLOOKUP($S87:$AL87,增益!$A:$A,增益!$B:$B,0))</f>
        <v>0.3743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4261.65</v>
      </c>
      <c r="AU87" cm="1">
        <f t="array" ref="AU87">$E$10*(1+$AS87)+VLOOKUP($R87,武学奇术!$A:$ZZ,4,FALSE)+SUM(_xlfn.XLOOKUP($S87:$AL87,增益!$A:$A,增益!$D:$D,0))-$I$2</f>
        <v>4261.65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0.3434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1" cm="1">
        <f t="array" ref="BB87">$G$11+VLOOKUP($R87,武学奇术!$A:$ZZ,10,FALSE)+SUM(_xlfn.XLOOKUP($S87:$AL87,增益!$A:$A,增益!$J:$J,0))</f>
        <v>0.02</v>
      </c>
      <c r="BC87">
        <f t="shared" si="15"/>
        <v>0</v>
      </c>
      <c r="BD87">
        <f t="shared" si="16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1" cm="1">
        <f t="array" ref="BF87">$G$12+VLOOKUP($R87,武学奇术!$A:$ZZ,12,FALSE)+SUM(_xlfn.XLOOKUP($S87:$AL87,增益!$A:$A,增益!$L:$L,0))</f>
        <v>0.02</v>
      </c>
      <c r="BG87">
        <f t="shared" si="17"/>
        <v>0</v>
      </c>
      <c r="BH87">
        <f t="shared" si="18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1" cm="1">
        <f t="array" ref="BJ87">$G$13+VLOOKUP($R87,武学奇术!$A:$ZZ,14,FALSE)+SUM(_xlfn.XLOOKUP($S87:$AL87,增益!$A:$A,增益!$N:$N,0))</f>
        <v>0.02</v>
      </c>
      <c r="BK87">
        <f t="shared" si="19"/>
        <v>649.11</v>
      </c>
      <c r="BL87">
        <f t="shared" si="20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1"/>
        <v>0.89337855</v>
      </c>
      <c r="BU87" s="24">
        <f t="shared" si="22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0.21</v>
      </c>
      <c r="BX87" s="24">
        <f>VLOOKUP($R87,武学奇术!$A:$ZZ,32,FALSE)</f>
        <v>0.4</v>
      </c>
      <c r="BY87" s="24" cm="1">
        <f t="array" ref="BY87">SUM(_xlfn.XLOOKUP($S87:$AL87,增益!$A:$A,增益!$X:$X,0))</f>
        <v>0</v>
      </c>
    </row>
    <row r="88" spans="1:77">
      <c r="A88" s="4"/>
      <c r="B88" s="90"/>
      <c r="K88" s="37">
        <f>$L88*VLOOKUP($R88,武学奇术!$A:$ZZ,31,FALSE)</f>
        <v>368787.855264905</v>
      </c>
      <c r="L88" s="37">
        <f t="shared" si="23"/>
        <v>368787.855264905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384182.293958494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251886.40222342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167765.193868338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148947.867571179</v>
      </c>
      <c r="Q88" s="38">
        <v>1</v>
      </c>
      <c r="R88" s="39" t="s">
        <v>133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84</v>
      </c>
      <c r="Z88" s="39" t="s">
        <v>195</v>
      </c>
      <c r="AA88" s="39" t="s">
        <v>84</v>
      </c>
      <c r="AB88" s="39" t="s">
        <v>204</v>
      </c>
      <c r="AC88" s="39" t="s">
        <v>84</v>
      </c>
      <c r="AD88" s="39" t="s">
        <v>93</v>
      </c>
      <c r="AE88" s="39" t="s">
        <v>84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拳甲</v>
      </c>
      <c r="AN88" s="24">
        <f>VLOOKUP($R88,武学奇术!$A:$ZZ,26,FALSE)</f>
        <v>5.5691</v>
      </c>
      <c r="AO88" s="25">
        <f>VLOOKUP($R88,武学奇术!$A:$ZZ,27,FALSE)*(1+IF(OR($AM88=$F$4,$AM88=$F$5),$B$22,0))</f>
        <v>2470.4</v>
      </c>
      <c r="AP88" s="24">
        <f>VLOOKUP($R88,武学奇术!$A:$ZZ,28,FALSE)</f>
        <v>8.3537</v>
      </c>
      <c r="AQ88" s="25">
        <f>VLOOKUP($R88,武学奇术!$A:$ZZ,29,FALSE)*(1+IF(OR($AM88=$F$4,$AM88=$F$5),$B$22,0))</f>
        <v>1344</v>
      </c>
      <c r="AR88" s="24" cm="1">
        <f t="array" ref="AR88">$G$3+IFERROR(VLOOKUP($AM88,$F$4:$G$7,2,FALSE),0)+VLOOKUP($R88,武学奇术!$A:$ZZ,2,FALSE)+SUM(_xlfn.XLOOKUP($S88:$AL88,增益!$A:$A,增益!$B:$B,0))</f>
        <v>0.3743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4261.65</v>
      </c>
      <c r="AU88" cm="1">
        <f t="array" ref="AU88">$E$10*(1+$AS88)+VLOOKUP($R88,武学奇术!$A:$ZZ,4,FALSE)+SUM(_xlfn.XLOOKUP($S88:$AL88,增益!$A:$A,增益!$D:$D,0))-$I$2</f>
        <v>4261.65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0.3434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1" cm="1">
        <f t="array" ref="BB88">$G$11+VLOOKUP($R88,武学奇术!$A:$ZZ,10,FALSE)+SUM(_xlfn.XLOOKUP($S88:$AL88,增益!$A:$A,增益!$J:$J,0))</f>
        <v>0.02</v>
      </c>
      <c r="BC88">
        <f t="shared" si="15"/>
        <v>0</v>
      </c>
      <c r="BD88">
        <f t="shared" si="16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1" cm="1">
        <f t="array" ref="BF88">$G$12+VLOOKUP($R88,武学奇术!$A:$ZZ,12,FALSE)+SUM(_xlfn.XLOOKUP($S88:$AL88,增益!$A:$A,增益!$L:$L,0))</f>
        <v>0.02</v>
      </c>
      <c r="BG88">
        <f t="shared" si="17"/>
        <v>0</v>
      </c>
      <c r="BH88">
        <f t="shared" si="18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1" cm="1">
        <f t="array" ref="BJ88">$G$13+VLOOKUP($R88,武学奇术!$A:$ZZ,14,FALSE)+SUM(_xlfn.XLOOKUP($S88:$AL88,增益!$A:$A,增益!$N:$N,0))</f>
        <v>0.02</v>
      </c>
      <c r="BK88">
        <f t="shared" si="19"/>
        <v>649.11</v>
      </c>
      <c r="BL88">
        <f t="shared" si="20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1"/>
        <v>0.89337855</v>
      </c>
      <c r="BU88" s="24">
        <f t="shared" si="22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0.21</v>
      </c>
      <c r="BX88" s="24">
        <f>VLOOKUP($R88,武学奇术!$A:$ZZ,32,FALSE)</f>
        <v>0.4</v>
      </c>
      <c r="BY88" s="24" cm="1">
        <f t="array" ref="BY88">SUM(_xlfn.XLOOKUP($S88:$AL88,增益!$A:$A,增益!$X:$X,0))</f>
        <v>0</v>
      </c>
    </row>
    <row r="89" spans="1:77">
      <c r="A89" s="4"/>
      <c r="B89" s="4"/>
      <c r="K89" s="37">
        <f>$L89*VLOOKUP($R89,武学奇术!$A:$ZZ,31,FALSE)</f>
        <v>34281.4437536805</v>
      </c>
      <c r="L89" s="37">
        <f t="shared" si="23"/>
        <v>34281.4437536805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35205.285640032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27987.9904388473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18627.1352592762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16522.4257490359</v>
      </c>
      <c r="Q89" s="38">
        <v>1</v>
      </c>
      <c r="R89" s="39" t="s">
        <v>169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84</v>
      </c>
      <c r="Z89" s="39" t="s">
        <v>195</v>
      </c>
      <c r="AA89" s="39" t="s">
        <v>84</v>
      </c>
      <c r="AB89" s="39" t="s">
        <v>205</v>
      </c>
      <c r="AC89" s="39" t="s">
        <v>84</v>
      </c>
      <c r="AD89" s="39" t="s">
        <v>93</v>
      </c>
      <c r="AE89" s="39" t="s">
        <v>84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拳甲</v>
      </c>
      <c r="AN89" s="24">
        <f>VLOOKUP($R89,武学奇术!$A:$ZZ,26,FALSE)</f>
        <v>0.9193</v>
      </c>
      <c r="AO89" s="25">
        <f>VLOOKUP($R89,武学奇术!$A:$ZZ,27,FALSE)*(1+IF(OR($AM89=$F$4,$AM89=$F$5),$B$22,0))</f>
        <v>408</v>
      </c>
      <c r="AP89" s="24">
        <f>VLOOKUP($R89,武学奇术!$A:$ZZ,28,FALSE)</f>
        <v>1.379</v>
      </c>
      <c r="AQ89" s="25">
        <f>VLOOKUP($R89,武学奇术!$A:$ZZ,29,FALSE)*(1+IF(OR($AM89=$F$4,$AM89=$F$5),$B$22,0))</f>
        <v>222.4</v>
      </c>
      <c r="AR89" s="24" cm="1">
        <f t="array" ref="AR89">$G$3+IFERROR(VLOOKUP($AM89,$F$4:$G$7,2,FALSE),0)+VLOOKUP($R89,武学奇术!$A:$ZZ,2,FALSE)+SUM(_xlfn.XLOOKUP($S89:$AL89,增益!$A:$A,增益!$B:$B,0))</f>
        <v>0.3243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4261.65</v>
      </c>
      <c r="AU89" cm="1">
        <f t="array" ref="AU89">$E$10*(1+$AS89)+VLOOKUP($R89,武学奇术!$A:$ZZ,4,FALSE)+SUM(_xlfn.XLOOKUP($S89:$AL89,增益!$A:$A,增益!$D:$D,0))-$I$2</f>
        <v>4261.65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0.3434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1" cm="1">
        <f t="array" ref="BB89">$G$11+VLOOKUP($R89,武学奇术!$A:$ZZ,10,FALSE)+SUM(_xlfn.XLOOKUP($S89:$AL89,增益!$A:$A,增益!$J:$J,0))</f>
        <v>0.02</v>
      </c>
      <c r="BC89">
        <f t="shared" si="15"/>
        <v>0</v>
      </c>
      <c r="BD89">
        <f t="shared" si="16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1" cm="1">
        <f t="array" ref="BF89">$G$12+VLOOKUP($R89,武学奇术!$A:$ZZ,12,FALSE)+SUM(_xlfn.XLOOKUP($S89:$AL89,增益!$A:$A,增益!$L:$L,0))</f>
        <v>0.02</v>
      </c>
      <c r="BG89">
        <f t="shared" si="17"/>
        <v>0</v>
      </c>
      <c r="BH89">
        <f t="shared" si="18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1" cm="1">
        <f t="array" ref="BJ89">$G$13+VLOOKUP($R89,武学奇术!$A:$ZZ,14,FALSE)+SUM(_xlfn.XLOOKUP($S89:$AL89,增益!$A:$A,增益!$N:$N,0))</f>
        <v>0.02</v>
      </c>
      <c r="BK89">
        <f t="shared" si="19"/>
        <v>649.11</v>
      </c>
      <c r="BL89">
        <f t="shared" si="20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1"/>
        <v>0.89337855</v>
      </c>
      <c r="BU89" s="24">
        <f t="shared" si="22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0.21</v>
      </c>
      <c r="BX89" s="24">
        <f>VLOOKUP($R89,武学奇术!$A:$ZZ,32,FALSE)</f>
        <v>0.4</v>
      </c>
      <c r="BY89" s="24" cm="1">
        <f t="array" ref="BY89">SUM(_xlfn.XLOOKUP($S89:$AL89,增益!$A:$A,增益!$X:$X,0))</f>
        <v>0</v>
      </c>
    </row>
    <row r="90" spans="1:77">
      <c r="A90" s="4"/>
      <c r="B90" s="4"/>
      <c r="K90" s="37">
        <f>$L90*VLOOKUP($R90,武学奇术!$A:$ZZ,31,FALSE)</f>
        <v>45952.9992719624</v>
      </c>
      <c r="L90" s="37">
        <f t="shared" si="23"/>
        <v>45952.9992719624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47191.3932326019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37516.6701692501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24968.9911283608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22147.8562054252</v>
      </c>
      <c r="Q90" s="38">
        <v>1</v>
      </c>
      <c r="R90" s="39" t="s">
        <v>173</v>
      </c>
      <c r="S90" s="39" t="s">
        <v>104</v>
      </c>
      <c r="T90" s="39" t="s">
        <v>194</v>
      </c>
      <c r="U90" s="39" t="s">
        <v>81</v>
      </c>
      <c r="V90" s="39" t="s">
        <v>84</v>
      </c>
      <c r="W90" s="39" t="s">
        <v>84</v>
      </c>
      <c r="X90" s="39" t="s">
        <v>84</v>
      </c>
      <c r="Y90" s="39" t="s">
        <v>84</v>
      </c>
      <c r="Z90" s="39" t="s">
        <v>195</v>
      </c>
      <c r="AA90" s="39" t="s">
        <v>84</v>
      </c>
      <c r="AB90" s="39" t="s">
        <v>205</v>
      </c>
      <c r="AC90" s="39" t="s">
        <v>84</v>
      </c>
      <c r="AD90" s="39" t="s">
        <v>93</v>
      </c>
      <c r="AE90" s="39" t="s">
        <v>84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拳甲</v>
      </c>
      <c r="AN90" s="24">
        <f>VLOOKUP($R90,武学奇术!$A:$ZZ,26,FALSE)</f>
        <v>1.2324</v>
      </c>
      <c r="AO90" s="25">
        <f>VLOOKUP($R90,武学奇术!$A:$ZZ,27,FALSE)*(1+IF(OR($AM90=$F$4,$AM90=$F$5),$B$22,0))</f>
        <v>547.2</v>
      </c>
      <c r="AP90" s="24">
        <f>VLOOKUP($R90,武学奇术!$A:$ZZ,28,FALSE)</f>
        <v>1.8484</v>
      </c>
      <c r="AQ90" s="25">
        <f>VLOOKUP($R90,武学奇术!$A:$ZZ,29,FALSE)*(1+IF(OR($AM90=$F$4,$AM90=$F$5),$B$22,0))</f>
        <v>297.6</v>
      </c>
      <c r="AR90" s="24" cm="1">
        <f t="array" ref="AR90">$G$3+IFERROR(VLOOKUP($AM90,$F$4:$G$7,2,FALSE),0)+VLOOKUP($R90,武学奇术!$A:$ZZ,2,FALSE)+SUM(_xlfn.XLOOKUP($S90:$AL90,增益!$A:$A,增益!$B:$B,0))</f>
        <v>0.3243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4261.65</v>
      </c>
      <c r="AU90" cm="1">
        <f t="array" ref="AU90">$E$10*(1+$AS90)+VLOOKUP($R90,武学奇术!$A:$ZZ,4,FALSE)+SUM(_xlfn.XLOOKUP($S90:$AL90,增益!$A:$A,增益!$D:$D,0))-$I$2</f>
        <v>4261.65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0.3434</v>
      </c>
      <c r="AW90" s="31" cm="1">
        <f t="array" ref="AW90">$G$10+VLOOKUP($R90,武学奇术!$A:$ZZ,7,FALSE)+SUM(_xlfn.XLOOKUP($S90:$AL90,增益!$A:$A,增益!$G:$G,0))</f>
        <v>0.02</v>
      </c>
      <c r="AX90" s="24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0.02</v>
      </c>
      <c r="BC90">
        <f t="shared" si="15"/>
        <v>0</v>
      </c>
      <c r="BD90">
        <f t="shared" si="16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0.02</v>
      </c>
      <c r="BG90">
        <f t="shared" si="17"/>
        <v>0</v>
      </c>
      <c r="BH90">
        <f t="shared" si="18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0.02</v>
      </c>
      <c r="BK90">
        <f t="shared" si="19"/>
        <v>649.11</v>
      </c>
      <c r="BL90">
        <f t="shared" si="20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0.17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1"/>
        <v>0.89337855</v>
      </c>
      <c r="BU90" s="24">
        <f t="shared" si="22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0.21</v>
      </c>
      <c r="BX90" s="24">
        <f>VLOOKUP($R90,武学奇术!$A:$ZZ,32,FALSE)</f>
        <v>0.4</v>
      </c>
      <c r="BY90" s="24" cm="1">
        <f t="array" ref="BY90">SUM(_xlfn.XLOOKUP($S90:$AL90,增益!$A:$A,增益!$X:$X,0))</f>
        <v>0</v>
      </c>
    </row>
    <row r="91" spans="1:77">
      <c r="K91" s="37">
        <f>$L91*VLOOKUP($R91,武学奇术!$A:$ZZ,31,FALSE)</f>
        <v>78218.0429303875</v>
      </c>
      <c r="L91" s="37">
        <f t="shared" si="23"/>
        <v>48886.2768314922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50267.8730404053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39408.8781961214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25911.2747630955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22630.7878994345</v>
      </c>
      <c r="Q91" s="38">
        <v>1</v>
      </c>
      <c r="R91" s="39" t="s">
        <v>122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84</v>
      </c>
      <c r="Z91" s="39" t="s">
        <v>195</v>
      </c>
      <c r="AA91" s="39" t="s">
        <v>84</v>
      </c>
      <c r="AB91" s="39" t="s">
        <v>204</v>
      </c>
      <c r="AC91" s="39" t="s">
        <v>84</v>
      </c>
      <c r="AD91" s="39" t="s">
        <v>93</v>
      </c>
      <c r="AE91" s="39" t="s">
        <v>84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拳甲</v>
      </c>
      <c r="AN91" s="24">
        <f>VLOOKUP($R91,武学奇术!$A:$ZZ,26,FALSE)</f>
        <v>1.862784</v>
      </c>
      <c r="AO91" s="25">
        <f>VLOOKUP($R91,武学奇术!$A:$ZZ,27,FALSE)*(1+IF(OR($AM91=$F$4,$AM91=$F$5),$B$22,0))</f>
        <v>0</v>
      </c>
      <c r="AP91" s="24">
        <f>VLOOKUP($R91,武学奇术!$A:$ZZ,28,FALSE)</f>
        <v>2.794176</v>
      </c>
      <c r="AQ91" s="25">
        <f>VLOOKUP($R91,武学奇术!$A:$ZZ,29,FALSE)*(1+IF(OR($AM91=$F$4,$AM91=$F$5),$B$22,0))</f>
        <v>0</v>
      </c>
      <c r="AR91" s="24" cm="1">
        <f t="array" ref="AR91">$G$3+IFERROR(VLOOKUP($AM91,$F$4:$G$7,2,FALSE),0)+VLOOKUP($R91,武学奇术!$A:$ZZ,2,FALSE)+SUM(_xlfn.XLOOKUP($S91:$AL91,增益!$A:$A,增益!$B:$B,0))</f>
        <v>0.3243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4261.65</v>
      </c>
      <c r="AU91" cm="1">
        <f t="array" ref="AU91">$E$10*(1+$AS91)+VLOOKUP($R91,武学奇术!$A:$ZZ,4,FALSE)+SUM(_xlfn.XLOOKUP($S91:$AL91,增益!$A:$A,增益!$D:$D,0))-$I$2</f>
        <v>4261.65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0.3434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0.02</v>
      </c>
      <c r="BC91">
        <f t="shared" si="15"/>
        <v>0</v>
      </c>
      <c r="BD91">
        <f t="shared" si="16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17"/>
        <v>0</v>
      </c>
      <c r="BH91">
        <f t="shared" si="18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19"/>
        <v>649.11</v>
      </c>
      <c r="BL91">
        <f t="shared" si="20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1"/>
        <v>0.89337855</v>
      </c>
      <c r="BU91" s="24">
        <f t="shared" si="22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0.21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K92" s="37">
        <f>$L92*VLOOKUP($R92,武学奇术!$A:$ZZ,31,FALSE)</f>
        <v>37281.4290363988</v>
      </c>
      <c r="L92" s="37">
        <f t="shared" si="23"/>
        <v>37281.4290363988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38369.7899254707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29694.8343330944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19778.2422296241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17560.3108791782</v>
      </c>
      <c r="Q92" s="38">
        <v>1</v>
      </c>
      <c r="R92" s="39" t="s">
        <v>115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84</v>
      </c>
      <c r="Z92" s="39" t="s">
        <v>84</v>
      </c>
      <c r="AA92" s="39" t="s">
        <v>84</v>
      </c>
      <c r="AB92" s="39" t="s">
        <v>204</v>
      </c>
      <c r="AC92" s="39" t="s">
        <v>84</v>
      </c>
      <c r="AD92" s="39" t="s">
        <v>93</v>
      </c>
      <c r="AE92" s="39" t="s">
        <v>84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双刀</v>
      </c>
      <c r="AN92" s="24">
        <f>VLOOKUP($R92,武学奇术!$A:$ZZ,26,FALSE)</f>
        <v>1.3728</v>
      </c>
      <c r="AO92" s="25">
        <f>VLOOKUP($R92,武学奇术!$A:$ZZ,27,FALSE)*(1+IF(OR($AM92=$F$4,$AM92=$F$5),$B$22,0))</f>
        <v>609.44</v>
      </c>
      <c r="AP92" s="24">
        <f>VLOOKUP($R92,武学奇术!$A:$ZZ,28,FALSE)</f>
        <v>2.05933</v>
      </c>
      <c r="AQ92" s="25">
        <f>VLOOKUP($R92,武学奇术!$A:$ZZ,29,FALSE)*(1+IF(OR($AM92=$F$4,$AM92=$F$5),$B$22,0))</f>
        <v>332.8</v>
      </c>
      <c r="AR92" s="24" cm="1">
        <f t="array" ref="AR92">$G$3+IFERROR(VLOOKUP($AM92,$F$4:$G$7,2,FALSE),0)+VLOOKUP($R92,武学奇术!$A:$ZZ,2,FALSE)+SUM(_xlfn.XLOOKUP($S92:$AL92,增益!$A:$A,增益!$B:$B,0))</f>
        <v>0.3243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4261.65</v>
      </c>
      <c r="AU92" cm="1">
        <f t="array" ref="AU92">$E$10*(1+$AS92)+VLOOKUP($R92,武学奇术!$A:$ZZ,4,FALSE)+SUM(_xlfn.XLOOKUP($S92:$AL92,增益!$A:$A,增益!$D:$D,0))-$I$2</f>
        <v>4261.65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0.3434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0.02</v>
      </c>
      <c r="BC92">
        <f t="shared" si="15"/>
        <v>0</v>
      </c>
      <c r="BD92">
        <f t="shared" si="16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17"/>
        <v>0</v>
      </c>
      <c r="BH92">
        <f t="shared" si="18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19"/>
        <v>649.11</v>
      </c>
      <c r="BL92">
        <f t="shared" si="20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1"/>
        <v>0.89337855</v>
      </c>
      <c r="BU92" s="24">
        <f t="shared" si="22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0.11</v>
      </c>
      <c r="BX92" s="24">
        <f>VLOOKUP($R92,武学奇术!$A:$ZZ,32,FALSE)</f>
        <v>0</v>
      </c>
      <c r="BY92" s="24" cm="1">
        <f t="array" ref="BY92">SUM(_xlfn.XLOOKUP($S92:$AL92,增益!$A:$A,增益!$X:$X,0))</f>
        <v>0</v>
      </c>
    </row>
    <row r="93" spans="1:77">
      <c r="A93" s="4"/>
      <c r="B93" s="90"/>
      <c r="K93" s="37">
        <f>$L93*VLOOKUP($R93,武学奇术!$A:$ZZ,31,FALSE)</f>
        <v>222240.770957846</v>
      </c>
      <c r="L93" s="89">
        <f>SUM(L80:L88)*0.2*(1+BY93)</f>
        <v>444481.541915691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0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0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0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0</v>
      </c>
      <c r="Q93" s="38">
        <v>1</v>
      </c>
      <c r="R93" s="39" t="s">
        <v>180</v>
      </c>
      <c r="S93" s="39" t="s">
        <v>181</v>
      </c>
      <c r="T93" s="39" t="s">
        <v>84</v>
      </c>
      <c r="U93" s="39" t="s">
        <v>84</v>
      </c>
      <c r="V93" s="39" t="s">
        <v>84</v>
      </c>
      <c r="W93" s="39" t="s">
        <v>84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84</v>
      </c>
      <c r="AC93" s="39" t="s">
        <v>84</v>
      </c>
      <c r="AD93" s="39" t="s">
        <v>84</v>
      </c>
      <c r="AE93" s="39" t="s">
        <v>84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心法</v>
      </c>
      <c r="AN93" s="24">
        <f>VLOOKUP($R93,武学奇术!$A:$ZZ,26,FALSE)</f>
        <v>0</v>
      </c>
      <c r="AO93" s="25">
        <f>VLOOKUP($R93,武学奇术!$A:$ZZ,27,FALSE)*(1+IF(OR($AM93=$F$4,$AM93=$F$5),$B$22,0))</f>
        <v>0</v>
      </c>
      <c r="AP93" s="24">
        <f>VLOOKUP($R93,武学奇术!$A:$ZZ,28,FALSE)</f>
        <v>0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0.1042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4261.65</v>
      </c>
      <c r="AU93" cm="1">
        <f t="array" ref="AU93">$E$10*(1+$AS93)+VLOOKUP($R93,武学奇术!$A:$ZZ,4,FALSE)+SUM(_xlfn.XLOOKUP($S93:$AL93,增益!$A:$A,增益!$D:$D,0))-$I$2</f>
        <v>4261.65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0.1684</v>
      </c>
      <c r="AW93" s="31" cm="1">
        <f t="array" ref="AW93">$G$10+VLOOKUP($R93,武学奇术!$A:$ZZ,7,FALSE)+SUM(_xlfn.XLOOKUP($S93:$AL93,增益!$A:$A,增益!$G:$G,0))</f>
        <v>0</v>
      </c>
      <c r="AX93" s="24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</v>
      </c>
      <c r="BC93">
        <f t="shared" si="15"/>
        <v>0</v>
      </c>
      <c r="BD93">
        <f t="shared" si="16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</v>
      </c>
      <c r="BG93">
        <f t="shared" si="17"/>
        <v>0</v>
      </c>
      <c r="BH93">
        <f t="shared" si="18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</v>
      </c>
      <c r="BK93">
        <f t="shared" si="19"/>
        <v>649.11</v>
      </c>
      <c r="BL93">
        <f t="shared" si="20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0.15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1.54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1"/>
        <v>0.89337855</v>
      </c>
      <c r="BU93" s="24">
        <f t="shared" si="22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</v>
      </c>
      <c r="BY93" s="24" cm="1">
        <f t="array" ref="BY93">SUM(_xlfn.XLOOKUP($S93:$AL93,增益!$A:$A,增益!$X:$X,0))</f>
        <v>0.2</v>
      </c>
    </row>
    <row r="94" spans="1:77">
      <c r="A94" s="4"/>
      <c r="B94" s="90"/>
      <c r="K94" s="37">
        <f>$L94*VLOOKUP($R94,武学奇术!$A:$ZZ,31,FALSE)</f>
        <v>51056.9239491701</v>
      </c>
      <c r="L94" s="37">
        <f t="shared" ref="L94:L106" si="24">($M94*$BT94+$N94*$BR94+$O94*$BU94+$P94*$BV94)</f>
        <v>51056.9239491701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53120.3586391753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35605.3951441897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23714.4458210604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21054.5248686469</v>
      </c>
      <c r="Q94" s="38">
        <v>1</v>
      </c>
      <c r="R94" s="39" t="s">
        <v>124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84</v>
      </c>
      <c r="AD94" s="39" t="s">
        <v>93</v>
      </c>
      <c r="AE94" s="39" t="s">
        <v>84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1.1333</v>
      </c>
      <c r="AO94" s="25">
        <f>VLOOKUP($R94,武学奇术!$A:$ZZ,27,FALSE)*(1+IF(OR($AM94=$F$4,$AM94=$F$5),$B$22,0))</f>
        <v>502.4</v>
      </c>
      <c r="AP94" s="24">
        <f>VLOOKUP($R94,武学奇术!$A:$ZZ,28,FALSE)</f>
        <v>1.6999</v>
      </c>
      <c r="AQ94" s="25">
        <f>VLOOKUP($R94,武学奇术!$A:$ZZ,29,FALSE)*(1+IF(OR($AM94=$F$4,$AM94=$F$5),$B$22,0))</f>
        <v>273.6</v>
      </c>
      <c r="AR94" s="24" cm="1">
        <f t="array" ref="AR94">$G$3+IFERROR(VLOOKUP($AM94,$F$4:$G$7,2,FALSE),0)+VLOOKUP($R94,武学奇术!$A:$ZZ,2,FALSE)+SUM(_xlfn.XLOOKUP($S94:$AL94,增益!$A:$A,增益!$B:$B,0))</f>
        <v>0.3743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4261.65</v>
      </c>
      <c r="AU94" cm="1">
        <f t="array" ref="AU94">$E$10*(1+$AS94)+VLOOKUP($R94,武学奇术!$A:$ZZ,4,FALSE)+SUM(_xlfn.XLOOKUP($S94:$AL94,增益!$A:$A,增益!$D:$D,0))-$I$2</f>
        <v>4261.65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0.3434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15"/>
        <v>0</v>
      </c>
      <c r="BD94">
        <f t="shared" si="16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17"/>
        <v>0</v>
      </c>
      <c r="BH94">
        <f t="shared" si="18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19"/>
        <v>649.11</v>
      </c>
      <c r="BL94">
        <f t="shared" si="20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2.24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1"/>
        <v>0.89337855</v>
      </c>
      <c r="BU94" s="24">
        <f t="shared" si="22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0.4</v>
      </c>
      <c r="BY94" s="24" cm="1">
        <f t="array" ref="BY94">SUM(_xlfn.XLOOKUP($S94:$AL94,增益!$A:$A,增益!$X:$X,0))</f>
        <v>0</v>
      </c>
    </row>
    <row r="95" spans="1:77">
      <c r="A95" s="4"/>
      <c r="B95" s="4"/>
      <c r="K95" s="37">
        <f>$L95*VLOOKUP($R95,武学奇术!$A:$ZZ,31,FALSE)</f>
        <v>34921.9596809191</v>
      </c>
      <c r="L95" s="37">
        <f t="shared" si="24"/>
        <v>34921.9596809191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36333.4060849017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24352.4133223315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16220.2705736168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14401.7164640251</v>
      </c>
      <c r="Q95" s="38">
        <v>1</v>
      </c>
      <c r="R95" s="39" t="s">
        <v>127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84</v>
      </c>
      <c r="AD95" s="39" t="s">
        <v>93</v>
      </c>
      <c r="AE95" s="39" t="s">
        <v>84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0.7748</v>
      </c>
      <c r="AO95" s="25">
        <f>VLOOKUP($R95,武学奇术!$A:$ZZ,27,FALSE)*(1+IF(OR($AM95=$F$4,$AM95=$F$5),$B$22,0))</f>
        <v>345.6</v>
      </c>
      <c r="AP95" s="24">
        <f>VLOOKUP($R95,武学奇术!$A:$ZZ,28,FALSE)</f>
        <v>1.1622</v>
      </c>
      <c r="AQ95" s="25">
        <f>VLOOKUP($R95,武学奇术!$A:$ZZ,29,FALSE)*(1+IF(OR($AM95=$F$4,$AM95=$F$5),$B$22,0))</f>
        <v>187.2</v>
      </c>
      <c r="AR95" s="24" cm="1">
        <f t="array" ref="AR95">$G$3+IFERROR(VLOOKUP($AM95,$F$4:$G$7,2,FALSE),0)+VLOOKUP($R95,武学奇术!$A:$ZZ,2,FALSE)+SUM(_xlfn.XLOOKUP($S95:$AL95,增益!$A:$A,增益!$B:$B,0))</f>
        <v>0.3743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4261.65</v>
      </c>
      <c r="AU95" cm="1">
        <f t="array" ref="AU95">$E$10*(1+$AS95)+VLOOKUP($R95,武学奇术!$A:$ZZ,4,FALSE)+SUM(_xlfn.XLOOKUP($S95:$AL95,增益!$A:$A,增益!$D:$D,0))-$I$2</f>
        <v>4261.65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0.3434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15"/>
        <v>0</v>
      </c>
      <c r="BD95">
        <f t="shared" si="16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17"/>
        <v>0</v>
      </c>
      <c r="BH95">
        <f t="shared" si="18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19"/>
        <v>649.11</v>
      </c>
      <c r="BL95">
        <f t="shared" si="20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1"/>
        <v>0.89337855</v>
      </c>
      <c r="BU95" s="24">
        <f t="shared" si="22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s="4"/>
      <c r="B96" s="4"/>
      <c r="K96" s="37">
        <f>$L96*VLOOKUP($R96,武学奇术!$A:$ZZ,31,FALSE)</f>
        <v>73452.5795843999</v>
      </c>
      <c r="L96" s="37">
        <f t="shared" si="24"/>
        <v>45907.8622402499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47301.9957224808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36151.9461137973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23769.847096724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20760.4748498945</v>
      </c>
      <c r="Q96" s="38">
        <v>1</v>
      </c>
      <c r="R96" s="39" t="s">
        <v>122</v>
      </c>
      <c r="S96" s="39" t="s">
        <v>104</v>
      </c>
      <c r="T96" s="39" t="s">
        <v>194</v>
      </c>
      <c r="U96" s="39" t="s">
        <v>81</v>
      </c>
      <c r="V96" s="39" t="s">
        <v>130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84</v>
      </c>
      <c r="AD96" s="39" t="s">
        <v>93</v>
      </c>
      <c r="AE96" s="39" t="s">
        <v>84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1.862784</v>
      </c>
      <c r="AO96" s="25">
        <f>VLOOKUP($R96,武学奇术!$A:$ZZ,27,FALSE)*(1+IF(OR($AM96=$F$4,$AM96=$F$5),$B$22,0))</f>
        <v>0</v>
      </c>
      <c r="AP96" s="24">
        <f>VLOOKUP($R96,武学奇术!$A:$ZZ,28,FALSE)</f>
        <v>2.794176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0.3243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4261.65</v>
      </c>
      <c r="AU96" cm="1">
        <f t="array" ref="AU96">$E$10*(1+$AS96)+VLOOKUP($R96,武学奇术!$A:$ZZ,4,FALSE)+SUM(_xlfn.XLOOKUP($S96:$AL96,增益!$A:$A,增益!$D:$D,0))-$I$2</f>
        <v>4261.65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0.3434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15"/>
        <v>0</v>
      </c>
      <c r="BD96">
        <f t="shared" si="16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17"/>
        <v>0</v>
      </c>
      <c r="BH96">
        <f t="shared" si="18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19"/>
        <v>649.11</v>
      </c>
      <c r="BL96">
        <f t="shared" si="20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1.99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1"/>
        <v>0.89337855</v>
      </c>
      <c r="BU96" s="24">
        <f t="shared" si="22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</v>
      </c>
      <c r="BY96" s="24" cm="1">
        <f t="array" ref="BY96">SUM(_xlfn.XLOOKUP($S96:$AL96,增益!$A:$A,增益!$X:$X,0))</f>
        <v>0</v>
      </c>
    </row>
    <row r="97" spans="11:77">
      <c r="K97" s="37">
        <f>$L97*VLOOKUP($R97,武学奇术!$A:$ZZ,31,FALSE)</f>
        <v>58516.9294363166</v>
      </c>
      <c r="L97" s="37">
        <f t="shared" si="24"/>
        <v>58516.9294363166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60959.5758684677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39968.1975783351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26619.9021259684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23633.7319716886</v>
      </c>
      <c r="Q97" s="38">
        <v>1</v>
      </c>
      <c r="R97" s="39" t="s">
        <v>136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84</v>
      </c>
      <c r="Z97" s="39" t="s">
        <v>84</v>
      </c>
      <c r="AA97" s="39" t="s">
        <v>84</v>
      </c>
      <c r="AB97" s="39" t="s">
        <v>204</v>
      </c>
      <c r="AC97" s="39" t="s">
        <v>84</v>
      </c>
      <c r="AD97" s="39" t="s">
        <v>93</v>
      </c>
      <c r="AE97" s="39" t="s">
        <v>84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0.9634</v>
      </c>
      <c r="AO97" s="25">
        <f>VLOOKUP($R97,武学奇术!$A:$ZZ,27,FALSE)*(1+IF(OR($AM97=$F$4,$AM97=$F$5),$B$22,0))</f>
        <v>427.2</v>
      </c>
      <c r="AP97" s="24">
        <f>VLOOKUP($R97,武学奇术!$A:$ZZ,28,FALSE)</f>
        <v>1.4451</v>
      </c>
      <c r="AQ97" s="25">
        <f>VLOOKUP($R97,武学奇术!$A:$ZZ,29,FALSE)*(1+IF(OR($AM97=$F$4,$AM97=$F$5),$B$22,0))</f>
        <v>232</v>
      </c>
      <c r="AR97" s="24" cm="1">
        <f t="array" ref="AR97">$G$3+IFERROR(VLOOKUP($AM97,$F$4:$G$7,2,FALSE),0)+VLOOKUP($R97,武学奇术!$A:$ZZ,2,FALSE)+SUM(_xlfn.XLOOKUP($S97:$AL97,增益!$A:$A,增益!$B:$B,0))</f>
        <v>0.3743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4261.65</v>
      </c>
      <c r="AU97" cm="1">
        <f t="array" ref="AU97">$E$10*(1+$AS97)+VLOOKUP($R97,武学奇术!$A:$ZZ,4,FALSE)+SUM(_xlfn.XLOOKUP($S97:$AL97,增益!$A:$A,增益!$D:$D,0))-$I$2</f>
        <v>4261.65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0.3434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15"/>
        <v>0</v>
      </c>
      <c r="BD97">
        <f t="shared" si="16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17"/>
        <v>0</v>
      </c>
      <c r="BH97">
        <f t="shared" si="18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19"/>
        <v>649.11</v>
      </c>
      <c r="BL97">
        <f t="shared" si="20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2.29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1"/>
        <v>0.89337855</v>
      </c>
      <c r="BU97" s="24">
        <f t="shared" si="22"/>
        <v>0.0153214500000001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>
        <f>VLOOKUP($R97,武学奇术!$A:$ZZ,32,FALSE)</f>
        <v>0.4</v>
      </c>
      <c r="BY97" s="24" cm="1">
        <f t="array" ref="BY97">SUM(_xlfn.XLOOKUP($S97:$AL97,增益!$A:$A,增益!$X:$X,0))</f>
        <v>0</v>
      </c>
    </row>
    <row r="98" spans="11:77">
      <c r="K98" s="37">
        <f>$L98*VLOOKUP($R98,武学奇术!$A:$ZZ,31,FALSE)</f>
        <v>56262.3393545996</v>
      </c>
      <c r="L98" s="37">
        <f t="shared" si="24"/>
        <v>56262.3393545996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58610.9860904209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38427.1581357745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25594.3170700528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22724.0725580505</v>
      </c>
      <c r="Q98" s="38">
        <v>1</v>
      </c>
      <c r="R98" s="39" t="s">
        <v>142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84</v>
      </c>
      <c r="Z98" s="39" t="s">
        <v>84</v>
      </c>
      <c r="AA98" s="39" t="s">
        <v>84</v>
      </c>
      <c r="AB98" s="39" t="s">
        <v>204</v>
      </c>
      <c r="AC98" s="39" t="s">
        <v>84</v>
      </c>
      <c r="AD98" s="39" t="s">
        <v>93</v>
      </c>
      <c r="AE98" s="39" t="s">
        <v>84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0.926</v>
      </c>
      <c r="AO98" s="25">
        <f>VLOOKUP($R98,武学奇术!$A:$ZZ,27,FALSE)*(1+IF(OR($AM98=$F$4,$AM98=$F$5),$B$22,0))</f>
        <v>411.2</v>
      </c>
      <c r="AP98" s="24">
        <f>VLOOKUP($R98,武学奇术!$A:$ZZ,28,FALSE)</f>
        <v>1.389</v>
      </c>
      <c r="AQ98" s="25">
        <f>VLOOKUP($R98,武学奇术!$A:$ZZ,29,FALSE)*(1+IF(OR($AM98=$F$4,$AM98=$F$5),$B$22,0))</f>
        <v>224</v>
      </c>
      <c r="AR98" s="24" cm="1">
        <f t="array" ref="AR98">$G$3+IFERROR(VLOOKUP($AM98,$F$4:$G$7,2,FALSE),0)+VLOOKUP($R98,武学奇术!$A:$ZZ,2,FALSE)+SUM(_xlfn.XLOOKUP($S98:$AL98,增益!$A:$A,增益!$B:$B,0))</f>
        <v>0.3743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4261.65</v>
      </c>
      <c r="AU98" cm="1">
        <f t="array" ref="AU98">$E$10*(1+$AS98)+VLOOKUP($R98,武学奇术!$A:$ZZ,4,FALSE)+SUM(_xlfn.XLOOKUP($S98:$AL98,增益!$A:$A,增益!$D:$D,0))-$I$2</f>
        <v>4261.65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0.3434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15"/>
        <v>0</v>
      </c>
      <c r="BD98">
        <f t="shared" si="16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17"/>
        <v>0</v>
      </c>
      <c r="BH98">
        <f t="shared" si="18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19"/>
        <v>649.11</v>
      </c>
      <c r="BL98">
        <f t="shared" si="20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1"/>
        <v>0.89337855</v>
      </c>
      <c r="BU98" s="24">
        <f t="shared" si="22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1:77">
      <c r="K99" s="37">
        <f>$L99*VLOOKUP($R99,武学奇术!$A:$ZZ,31,FALSE)</f>
        <v>68621.5212877475</v>
      </c>
      <c r="L99" s="37">
        <f t="shared" si="24"/>
        <v>68621.5212877475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71485.942459516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46869.995295286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31216.568759614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27714.6224856828</v>
      </c>
      <c r="Q99" s="38">
        <v>1</v>
      </c>
      <c r="R99" s="39" t="s">
        <v>146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84</v>
      </c>
      <c r="Z99" s="39" t="s">
        <v>84</v>
      </c>
      <c r="AA99" s="39" t="s">
        <v>84</v>
      </c>
      <c r="AB99" s="39" t="s">
        <v>204</v>
      </c>
      <c r="AC99" s="39" t="s">
        <v>84</v>
      </c>
      <c r="AD99" s="39" t="s">
        <v>93</v>
      </c>
      <c r="AE99" s="39" t="s">
        <v>84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1.1298</v>
      </c>
      <c r="AO99" s="25">
        <f>VLOOKUP($R99,武学奇术!$A:$ZZ,27,FALSE)*(1+IF(OR($AM99=$F$4,$AM99=$F$5),$B$22,0))</f>
        <v>500.8</v>
      </c>
      <c r="AP99" s="24">
        <f>VLOOKUP($R99,武学奇术!$A:$ZZ,28,FALSE)</f>
        <v>1.6947</v>
      </c>
      <c r="AQ99" s="25">
        <f>VLOOKUP($R99,武学奇术!$A:$ZZ,29,FALSE)*(1+IF(OR($AM99=$F$4,$AM99=$F$5),$B$22,0))</f>
        <v>272</v>
      </c>
      <c r="AR99" s="24" cm="1">
        <f t="array" ref="AR99">$G$3+IFERROR(VLOOKUP($AM99,$F$4:$G$7,2,FALSE),0)+VLOOKUP($R99,武学奇术!$A:$ZZ,2,FALSE)+SUM(_xlfn.XLOOKUP($S99:$AL99,增益!$A:$A,增益!$B:$B,0))</f>
        <v>0.3743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4261.65</v>
      </c>
      <c r="AU99" cm="1">
        <f t="array" ref="AU99">$E$10*(1+$AS99)+VLOOKUP($R99,武学奇术!$A:$ZZ,4,FALSE)+SUM(_xlfn.XLOOKUP($S99:$AL99,增益!$A:$A,增益!$D:$D,0))-$I$2</f>
        <v>4261.65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0.3434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si="15"/>
        <v>0</v>
      </c>
      <c r="BD99">
        <f t="shared" si="16"/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si="17"/>
        <v>0</v>
      </c>
      <c r="BH99">
        <f t="shared" si="18"/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si="19"/>
        <v>649.11</v>
      </c>
      <c r="BL99">
        <f t="shared" si="20"/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2.29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1"/>
        <v>0.89337855</v>
      </c>
      <c r="BU99" s="24">
        <f t="shared" si="22"/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1:77">
      <c r="K100" s="37">
        <f>$L100*VLOOKUP($R100,武学奇术!$A:$ZZ,31,FALSE)</f>
        <v>129962.324559507</v>
      </c>
      <c r="L100" s="37">
        <f t="shared" si="24"/>
        <v>129962.324559507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134179.800277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99465.6055371113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65774.4119004904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57870.5974771946</v>
      </c>
      <c r="Q100" s="38">
        <v>1</v>
      </c>
      <c r="R100" s="39" t="s">
        <v>151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84</v>
      </c>
      <c r="Z100" s="39" t="s">
        <v>84</v>
      </c>
      <c r="AA100" s="39" t="s">
        <v>84</v>
      </c>
      <c r="AB100" s="39" t="s">
        <v>204</v>
      </c>
      <c r="AC100" s="39" t="s">
        <v>84</v>
      </c>
      <c r="AD100" s="39" t="s">
        <v>84</v>
      </c>
      <c r="AE100" s="39" t="s">
        <v>84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2.5499</v>
      </c>
      <c r="AO100" s="25">
        <f>VLOOKUP($R100,武学奇术!$A:$ZZ,27,FALSE)*(1+IF(OR($AM100=$F$4,$AM100=$F$5),$B$22,0))</f>
        <v>1131.2</v>
      </c>
      <c r="AP100" s="24">
        <f>VLOOKUP($R100,武学奇术!$A:$ZZ,28,FALSE)</f>
        <v>3.8249</v>
      </c>
      <c r="AQ100" s="25">
        <f>VLOOKUP($R100,武学奇术!$A:$ZZ,29,FALSE)*(1+IF(OR($AM100=$F$4,$AM100=$F$5),$B$22,0))</f>
        <v>616</v>
      </c>
      <c r="AR100" s="24" cm="1">
        <f t="array" ref="AR100">$G$3+IFERROR(VLOOKUP($AM100,$F$4:$G$7,2,FALSE),0)+VLOOKUP($R100,武学奇术!$A:$ZZ,2,FALSE)+SUM(_xlfn.XLOOKUP($S100:$AL100,增益!$A:$A,增益!$B:$B,0))</f>
        <v>0.3743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4261.65</v>
      </c>
      <c r="AU100" cm="1">
        <f t="array" ref="AU100">$E$10*(1+$AS100)+VLOOKUP($R100,武学奇术!$A:$ZZ,4,FALSE)+SUM(_xlfn.XLOOKUP($S100:$AL100,增益!$A:$A,增益!$D:$D,0))-$I$2</f>
        <v>4261.65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0.2184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15"/>
        <v>0</v>
      </c>
      <c r="BD100">
        <f t="shared" si="16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17"/>
        <v>0</v>
      </c>
      <c r="BH100">
        <f t="shared" si="18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19"/>
        <v>649.11</v>
      </c>
      <c r="BL100">
        <f t="shared" si="20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1"/>
        <v>0.89337855</v>
      </c>
      <c r="BU100" s="24">
        <f t="shared" si="22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1:77">
      <c r="K101" s="37">
        <f>$L101*VLOOKUP($R101,武学奇术!$A:$ZZ,31,FALSE)</f>
        <v>283827.434111514</v>
      </c>
      <c r="L101" s="37">
        <f t="shared" si="24"/>
        <v>283827.434111514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293037.955838037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217226.113398261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143646.056783351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126383.881419842</v>
      </c>
      <c r="Q101" s="38">
        <v>1</v>
      </c>
      <c r="R101" s="39" t="s">
        <v>133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84</v>
      </c>
      <c r="Z101" s="39" t="s">
        <v>84</v>
      </c>
      <c r="AA101" s="39" t="s">
        <v>84</v>
      </c>
      <c r="AB101" s="39" t="s">
        <v>204</v>
      </c>
      <c r="AC101" s="39" t="s">
        <v>84</v>
      </c>
      <c r="AD101" s="39" t="s">
        <v>84</v>
      </c>
      <c r="AE101" s="39" t="s">
        <v>84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5.5691</v>
      </c>
      <c r="AO101" s="25">
        <f>VLOOKUP($R101,武学奇术!$A:$ZZ,27,FALSE)*(1+IF(OR($AM101=$F$4,$AM101=$F$5),$B$22,0))</f>
        <v>2470.4</v>
      </c>
      <c r="AP101" s="24">
        <f>VLOOKUP($R101,武学奇术!$A:$ZZ,28,FALSE)</f>
        <v>8.3537</v>
      </c>
      <c r="AQ101" s="25">
        <f>VLOOKUP($R101,武学奇术!$A:$ZZ,29,FALSE)*(1+IF(OR($AM101=$F$4,$AM101=$F$5),$B$22,0))</f>
        <v>1344</v>
      </c>
      <c r="AR101" s="24" cm="1">
        <f t="array" ref="AR101">$G$3+IFERROR(VLOOKUP($AM101,$F$4:$G$7,2,FALSE),0)+VLOOKUP($R101,武学奇术!$A:$ZZ,2,FALSE)+SUM(_xlfn.XLOOKUP($S101:$AL101,增益!$A:$A,增益!$B:$B,0))</f>
        <v>0.3743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4261.65</v>
      </c>
      <c r="AU101" cm="1">
        <f t="array" ref="AU101">$E$10*(1+$AS101)+VLOOKUP($R101,武学奇术!$A:$ZZ,4,FALSE)+SUM(_xlfn.XLOOKUP($S101:$AL101,增益!$A:$A,增益!$D:$D,0))-$I$2</f>
        <v>4261.65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0.2184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0.02</v>
      </c>
      <c r="BC101">
        <f t="shared" si="15"/>
        <v>0</v>
      </c>
      <c r="BD101">
        <f t="shared" si="16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0.02</v>
      </c>
      <c r="BG101">
        <f t="shared" si="17"/>
        <v>0</v>
      </c>
      <c r="BH101">
        <f t="shared" si="18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0.02</v>
      </c>
      <c r="BK101">
        <f t="shared" si="19"/>
        <v>649.11</v>
      </c>
      <c r="BL101">
        <f t="shared" si="20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1"/>
        <v>0.89337855</v>
      </c>
      <c r="BU101" s="24">
        <f t="shared" si="22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1:77">
      <c r="K102" s="37">
        <f>$L102*VLOOKUP($R102,武学奇术!$A:$ZZ,31,FALSE)</f>
        <v>283827.434111514</v>
      </c>
      <c r="L102" s="37">
        <f t="shared" si="24"/>
        <v>283827.434111514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293037.955838037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217226.113398261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143646.056783351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126383.881419842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84</v>
      </c>
      <c r="Z102" s="39" t="s">
        <v>84</v>
      </c>
      <c r="AA102" s="39" t="s">
        <v>84</v>
      </c>
      <c r="AB102" s="39" t="s">
        <v>204</v>
      </c>
      <c r="AC102" s="39" t="s">
        <v>84</v>
      </c>
      <c r="AD102" s="39" t="s">
        <v>84</v>
      </c>
      <c r="AE102" s="39" t="s">
        <v>84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0.3743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4261.65</v>
      </c>
      <c r="AU102" cm="1">
        <f t="array" ref="AU102">$E$10*(1+$AS102)+VLOOKUP($R102,武学奇术!$A:$ZZ,4,FALSE)+SUM(_xlfn.XLOOKUP($S102:$AL102,增益!$A:$A,增益!$D:$D,0))-$I$2</f>
        <v>4261.65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0.2184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0.02</v>
      </c>
      <c r="BC102">
        <f t="shared" si="15"/>
        <v>0</v>
      </c>
      <c r="BD102">
        <f t="shared" si="16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0.02</v>
      </c>
      <c r="BG102">
        <f t="shared" si="17"/>
        <v>0</v>
      </c>
      <c r="BH102">
        <f t="shared" si="18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0.02</v>
      </c>
      <c r="BK102">
        <f t="shared" si="19"/>
        <v>649.11</v>
      </c>
      <c r="BL102">
        <f t="shared" si="20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1"/>
        <v>0.89337855</v>
      </c>
      <c r="BU102" s="24">
        <f t="shared" si="22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1:77">
      <c r="K103" s="37">
        <f>$L103*VLOOKUP($R103,武学奇术!$A:$ZZ,31,FALSE)</f>
        <v>155865.251170784</v>
      </c>
      <c r="L103" s="37">
        <f t="shared" si="24"/>
        <v>155865.251170784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160922.94407758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119293.872847934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78883.7961164605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69401.7604937106</v>
      </c>
      <c r="Q103" s="38">
        <v>1</v>
      </c>
      <c r="R103" s="39" t="s">
        <v>157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84</v>
      </c>
      <c r="Z103" s="39" t="s">
        <v>84</v>
      </c>
      <c r="AA103" s="39" t="s">
        <v>84</v>
      </c>
      <c r="AB103" s="39" t="s">
        <v>204</v>
      </c>
      <c r="AC103" s="39" t="s">
        <v>84</v>
      </c>
      <c r="AD103" s="39" t="s">
        <v>84</v>
      </c>
      <c r="AE103" s="39" t="s">
        <v>84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双刀</v>
      </c>
      <c r="AN103" s="24">
        <f>VLOOKUP($R103,武学奇术!$A:$ZZ,26,FALSE)</f>
        <v>2.85516</v>
      </c>
      <c r="AO103" s="25">
        <f>VLOOKUP($R103,武学奇术!$A:$ZZ,27,FALSE)*(1+IF(OR($AM103=$F$4,$AM103=$F$5),$B$22,0))</f>
        <v>1263.36</v>
      </c>
      <c r="AP103" s="24">
        <f>VLOOKUP($R103,武学奇术!$A:$ZZ,28,FALSE)</f>
        <v>4.28274</v>
      </c>
      <c r="AQ103" s="25">
        <f>VLOOKUP($R103,武学奇术!$A:$ZZ,29,FALSE)*(1+IF(OR($AM103=$F$4,$AM103=$F$5),$B$22,0))</f>
        <v>687.68</v>
      </c>
      <c r="AR103" s="24" cm="1">
        <f t="array" ref="AR103">$G$3+IFERROR(VLOOKUP($AM103,$F$4:$G$7,2,FALSE),0)+VLOOKUP($R103,武学奇术!$A:$ZZ,2,FALSE)+SUM(_xlfn.XLOOKUP($S103:$AL103,增益!$A:$A,增益!$B:$B,0))</f>
        <v>0.3743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4261.65</v>
      </c>
      <c r="AU103" cm="1">
        <f t="array" ref="AU103">$E$10*(1+$AS103)+VLOOKUP($R103,武学奇术!$A:$ZZ,4,FALSE)+SUM(_xlfn.XLOOKUP($S103:$AL103,增益!$A:$A,增益!$D:$D,0))-$I$2</f>
        <v>4261.65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0.2184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0.02</v>
      </c>
      <c r="BC103">
        <f t="shared" si="15"/>
        <v>0</v>
      </c>
      <c r="BD103">
        <f t="shared" si="16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0.02</v>
      </c>
      <c r="BG103">
        <f t="shared" si="17"/>
        <v>0</v>
      </c>
      <c r="BH103">
        <f t="shared" si="18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0.02</v>
      </c>
      <c r="BK103">
        <f t="shared" si="19"/>
        <v>649.11</v>
      </c>
      <c r="BL103">
        <f t="shared" si="20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1"/>
        <v>0.89337855</v>
      </c>
      <c r="BU103" s="24">
        <f t="shared" si="22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0.5</v>
      </c>
      <c r="BY103" s="24" cm="1">
        <f t="array" ref="BY103">SUM(_xlfn.XLOOKUP($S103:$AL103,增益!$A:$A,增益!$X:$X,0))</f>
        <v>0</v>
      </c>
    </row>
    <row r="104" spans="11:77">
      <c r="K104" s="37">
        <f>$L104*VLOOKUP($R104,武学奇术!$A:$ZZ,31,FALSE)</f>
        <v>207781.585535915</v>
      </c>
      <c r="L104" s="37">
        <f t="shared" si="24"/>
        <v>207781.585535915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214523.775418393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159030.253472778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105158.713440389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92517.2391231635</v>
      </c>
      <c r="Q104" s="38">
        <v>1</v>
      </c>
      <c r="R104" s="39" t="s">
        <v>163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84</v>
      </c>
      <c r="Z104" s="39" t="s">
        <v>84</v>
      </c>
      <c r="AA104" s="39" t="s">
        <v>84</v>
      </c>
      <c r="AB104" s="39" t="s">
        <v>204</v>
      </c>
      <c r="AC104" s="39" t="s">
        <v>84</v>
      </c>
      <c r="AD104" s="39" t="s">
        <v>84</v>
      </c>
      <c r="AE104" s="39" t="s">
        <v>84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3.80688</v>
      </c>
      <c r="AO104" s="25">
        <f>VLOOKUP($R104,武学奇术!$A:$ZZ,27,FALSE)*(1+IF(OR($AM104=$F$4,$AM104=$F$5),$B$22,0))</f>
        <v>1684.48</v>
      </c>
      <c r="AP104" s="24">
        <f>VLOOKUP($R104,武学奇术!$A:$ZZ,28,FALSE)</f>
        <v>5.70976</v>
      </c>
      <c r="AQ104" s="25">
        <f>VLOOKUP($R104,武学奇术!$A:$ZZ,29,FALSE)*(1+IF(OR($AM104=$F$4,$AM104=$F$5),$B$22,0))</f>
        <v>913.92</v>
      </c>
      <c r="AR104" s="24" cm="1">
        <f t="array" ref="AR104">$G$3+IFERROR(VLOOKUP($AM104,$F$4:$G$7,2,FALSE),0)+VLOOKUP($R104,武学奇术!$A:$ZZ,2,FALSE)+SUM(_xlfn.XLOOKUP($S104:$AL104,增益!$A:$A,增益!$B:$B,0))</f>
        <v>0.3743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4261.65</v>
      </c>
      <c r="AU104" cm="1">
        <f t="array" ref="AU104">$E$10*(1+$AS104)+VLOOKUP($R104,武学奇术!$A:$ZZ,4,FALSE)+SUM(_xlfn.XLOOKUP($S104:$AL104,增益!$A:$A,增益!$D:$D,0))-$I$2</f>
        <v>4261.65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0.2184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0.02</v>
      </c>
      <c r="BC104">
        <f t="shared" si="15"/>
        <v>0</v>
      </c>
      <c r="BD104">
        <f t="shared" si="16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0.02</v>
      </c>
      <c r="BG104">
        <f t="shared" si="17"/>
        <v>0</v>
      </c>
      <c r="BH104">
        <f t="shared" si="18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0.02</v>
      </c>
      <c r="BK104">
        <f t="shared" si="19"/>
        <v>649.11</v>
      </c>
      <c r="BL104">
        <f t="shared" si="20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1"/>
        <v>0.89337855</v>
      </c>
      <c r="BU104" s="24">
        <f t="shared" si="22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1:77">
      <c r="K105" s="37">
        <f>$L105*VLOOKUP($R105,武学奇术!$A:$ZZ,31,FALSE)</f>
        <v>155865.251170784</v>
      </c>
      <c r="L105" s="37">
        <f t="shared" si="24"/>
        <v>155865.251170784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160922.94407758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119293.872847934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78883.7961164605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69401.7604937106</v>
      </c>
      <c r="Q105" s="38">
        <v>1</v>
      </c>
      <c r="R105" s="39" t="s">
        <v>166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84</v>
      </c>
      <c r="Z105" s="39" t="s">
        <v>84</v>
      </c>
      <c r="AA105" s="39" t="s">
        <v>84</v>
      </c>
      <c r="AB105" s="39" t="s">
        <v>204</v>
      </c>
      <c r="AC105" s="39" t="s">
        <v>84</v>
      </c>
      <c r="AD105" s="39" t="s">
        <v>84</v>
      </c>
      <c r="AE105" s="39" t="s">
        <v>84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2.85516</v>
      </c>
      <c r="AO105" s="25">
        <f>VLOOKUP($R105,武学奇术!$A:$ZZ,27,FALSE)*(1+IF(OR($AM105=$F$4,$AM105=$F$5),$B$22,0))</f>
        <v>1263.36</v>
      </c>
      <c r="AP105" s="24">
        <f>VLOOKUP($R105,武学奇术!$A:$ZZ,28,FALSE)</f>
        <v>4.28274</v>
      </c>
      <c r="AQ105" s="25">
        <f>VLOOKUP($R105,武学奇术!$A:$ZZ,29,FALSE)*(1+IF(OR($AM105=$F$4,$AM105=$F$5),$B$22,0))</f>
        <v>687.68</v>
      </c>
      <c r="AR105" s="24" cm="1">
        <f t="array" ref="AR105">$G$3+IFERROR(VLOOKUP($AM105,$F$4:$G$7,2,FALSE),0)+VLOOKUP($R105,武学奇术!$A:$ZZ,2,FALSE)+SUM(_xlfn.XLOOKUP($S105:$AL105,增益!$A:$A,增益!$B:$B,0))</f>
        <v>0.3743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4261.65</v>
      </c>
      <c r="AU105" cm="1">
        <f t="array" ref="AU105">$E$10*(1+$AS105)+VLOOKUP($R105,武学奇术!$A:$ZZ,4,FALSE)+SUM(_xlfn.XLOOKUP($S105:$AL105,增益!$A:$A,增益!$D:$D,0))-$I$2</f>
        <v>4261.65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0.2184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0.02</v>
      </c>
      <c r="BC105">
        <f t="shared" si="15"/>
        <v>0</v>
      </c>
      <c r="BD105">
        <f t="shared" si="16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0.02</v>
      </c>
      <c r="BG105">
        <f t="shared" si="17"/>
        <v>0</v>
      </c>
      <c r="BH105">
        <f t="shared" si="18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0.02</v>
      </c>
      <c r="BK105">
        <f t="shared" si="19"/>
        <v>649.11</v>
      </c>
      <c r="BL105">
        <f t="shared" si="20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1"/>
        <v>0.89337855</v>
      </c>
      <c r="BU105" s="24">
        <f t="shared" si="22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1:77">
      <c r="K106" s="37">
        <f>$L106*VLOOKUP($R106,武学奇术!$A:$ZZ,31,FALSE)</f>
        <v>13214.4779932031</v>
      </c>
      <c r="L106" s="37">
        <f t="shared" si="24"/>
        <v>13214.4779932031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13394.1240529756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12359.7009914872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8167.14881278998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7178.96355781168</v>
      </c>
      <c r="Q106" s="38">
        <v>1</v>
      </c>
      <c r="R106" s="39" t="s">
        <v>110</v>
      </c>
      <c r="S106" s="39" t="s">
        <v>104</v>
      </c>
      <c r="T106" s="39" t="s">
        <v>194</v>
      </c>
      <c r="U106" s="39" t="s">
        <v>81</v>
      </c>
      <c r="V106" s="39" t="s">
        <v>84</v>
      </c>
      <c r="W106" s="39" t="s">
        <v>84</v>
      </c>
      <c r="X106" s="39" t="s">
        <v>84</v>
      </c>
      <c r="Y106" s="39" t="s">
        <v>84</v>
      </c>
      <c r="Z106" s="39" t="s">
        <v>84</v>
      </c>
      <c r="AA106" s="39" t="s">
        <v>84</v>
      </c>
      <c r="AB106" s="39" t="s">
        <v>205</v>
      </c>
      <c r="AC106" s="39" t="s">
        <v>84</v>
      </c>
      <c r="AD106" s="39" t="s">
        <v>84</v>
      </c>
      <c r="AE106" s="39" t="s">
        <v>84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0.6587</v>
      </c>
      <c r="AO106" s="25">
        <f>VLOOKUP($R106,武学奇术!$A:$ZZ,27,FALSE)*(1+IF(OR($AM106=$F$4,$AM106=$F$5),$B$22,0))</f>
        <v>292.8</v>
      </c>
      <c r="AP106" s="24">
        <f>VLOOKUP($R106,武学奇术!$A:$ZZ,28,FALSE)</f>
        <v>0.9881</v>
      </c>
      <c r="AQ106" s="25">
        <f>VLOOKUP($R106,武学奇术!$A:$ZZ,29,FALSE)*(1+IF(OR($AM106=$F$4,$AM106=$F$5),$B$22,0))</f>
        <v>160</v>
      </c>
      <c r="AR106" s="24" cm="1">
        <f t="array" ref="AR106">$G$3+IFERROR(VLOOKUP($AM106,$F$4:$G$7,2,FALSE),0)+VLOOKUP($R106,武学奇术!$A:$ZZ,2,FALSE)+SUM(_xlfn.XLOOKUP($S106:$AL106,增益!$A:$A,增益!$B:$B,0))</f>
        <v>0.3243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4261.65</v>
      </c>
      <c r="AU106" cm="1">
        <f t="array" ref="AU106">$E$10*(1+$AS106)+VLOOKUP($R106,武学奇术!$A:$ZZ,4,FALSE)+SUM(_xlfn.XLOOKUP($S106:$AL106,增益!$A:$A,增益!$D:$D,0))-$I$2</f>
        <v>4261.65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0.2184</v>
      </c>
      <c r="AW106" s="31" cm="1">
        <f t="array" ref="AW106">$G$10+VLOOKUP($R106,武学奇术!$A:$ZZ,7,FALSE)+SUM(_xlfn.XLOOKUP($S106:$AL106,增益!$A:$A,增益!$G:$G,0))</f>
        <v>0.02</v>
      </c>
      <c r="AX106" s="24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0.02</v>
      </c>
      <c r="BC106">
        <f t="shared" si="15"/>
        <v>0</v>
      </c>
      <c r="BD106">
        <f t="shared" si="16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0.02</v>
      </c>
      <c r="BG106">
        <f t="shared" si="17"/>
        <v>0</v>
      </c>
      <c r="BH106">
        <f t="shared" si="18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0.02</v>
      </c>
      <c r="BK106">
        <f t="shared" si="19"/>
        <v>649.11</v>
      </c>
      <c r="BL106">
        <f t="shared" si="20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0.17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1.64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1"/>
        <v>0.89337855</v>
      </c>
      <c r="BU106" s="24">
        <f t="shared" si="22"/>
        <v>0.01014186</v>
      </c>
      <c r="BV106" s="24">
        <f>IF(VLOOKUP($R106,武学奇术!$A:$ZZ,22,FALSE)=1,0,(1-$BO106))*(1-$BR106)</f>
        <v>0.00517959000000003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</v>
      </c>
      <c r="BY106" s="24" cm="1">
        <f t="array" ref="BY106">SUM(_xlfn.XLOOKUP($S106:$AL106,增益!$A:$A,增益!$X:$X,0))</f>
        <v>0</v>
      </c>
    </row>
    <row r="107" spans="11:77">
      <c r="K107" s="37">
        <f>$L107*VLOOKUP($R107,武学奇术!$A:$ZZ,31,FALSE)</f>
        <v>178381.074524252</v>
      </c>
      <c r="L107" s="89">
        <f>SUM(L94:L95,L97:L105)*0.2*(1+BY107)</f>
        <v>356762.149048505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0</v>
      </c>
      <c r="Q107" s="38">
        <v>1</v>
      </c>
      <c r="R107" s="39" t="s">
        <v>180</v>
      </c>
      <c r="S107" s="39" t="s">
        <v>181</v>
      </c>
      <c r="T107" s="39" t="s">
        <v>84</v>
      </c>
      <c r="U107" s="39" t="s">
        <v>84</v>
      </c>
      <c r="V107" s="39" t="s">
        <v>84</v>
      </c>
      <c r="W107" s="39" t="s">
        <v>84</v>
      </c>
      <c r="X107" s="39" t="s">
        <v>84</v>
      </c>
      <c r="Y107" s="39" t="s">
        <v>84</v>
      </c>
      <c r="Z107" s="39" t="s">
        <v>84</v>
      </c>
      <c r="AA107" s="39" t="s">
        <v>84</v>
      </c>
      <c r="AB107" s="39" t="s">
        <v>84</v>
      </c>
      <c r="AC107" s="39" t="s">
        <v>84</v>
      </c>
      <c r="AD107" s="39" t="s">
        <v>84</v>
      </c>
      <c r="AE107" s="39" t="s">
        <v>84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0.1042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4261.65</v>
      </c>
      <c r="AU107" cm="1">
        <f t="array" ref="AU107">$E$10*(1+$AS107)+VLOOKUP($R107,武学奇术!$A:$ZZ,4,FALSE)+SUM(_xlfn.XLOOKUP($S107:$AL107,增益!$A:$A,增益!$D:$D,0))-$I$2</f>
        <v>4261.65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0.1684</v>
      </c>
      <c r="AW107" s="31" cm="1">
        <f t="array" ref="AW107">$G$10+VLOOKUP($R107,武学奇术!$A:$ZZ,7,FALSE)+SUM(_xlfn.XLOOKUP($S107:$AL107,增益!$A:$A,增益!$G:$G,0))</f>
        <v>0</v>
      </c>
      <c r="AX107" s="24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15"/>
        <v>0</v>
      </c>
      <c r="BD107">
        <f t="shared" si="16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17"/>
        <v>0</v>
      </c>
      <c r="BH107">
        <f t="shared" si="18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19"/>
        <v>649.11</v>
      </c>
      <c r="BL107">
        <f t="shared" si="20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1"/>
        <v>0.89337855</v>
      </c>
      <c r="BU107" s="24">
        <f t="shared" si="22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0.2</v>
      </c>
    </row>
    <row r="108" spans="11:77">
      <c r="K108" s="37">
        <f>$L108*VLOOKUP($R108,武学奇术!$A:$ZZ,31,FALSE)</f>
        <v>0</v>
      </c>
      <c r="L108" s="37">
        <f t="shared" ref="L108:L136" si="25">($M108*$BT108+$N108*$BR108+$O108*$BU108+$P108*$BV108)</f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84</v>
      </c>
      <c r="S108" s="39" t="s">
        <v>84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84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4261.65</v>
      </c>
      <c r="AU108" cm="1">
        <f t="array" ref="AU108">$E$10*(1+$AS108)+VLOOKUP($R108,武学奇术!$A:$ZZ,4,FALSE)+SUM(_xlfn.XLOOKUP($S108:$AL108,增益!$A:$A,增益!$D:$D,0))-$I$2</f>
        <v>4261.65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0.1684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19"/>
        <v>649.11</v>
      </c>
      <c r="BL108">
        <f t="shared" si="20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1"/>
        <v>0.89337855</v>
      </c>
      <c r="BU108" s="24">
        <f t="shared" si="22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</v>
      </c>
    </row>
    <row r="109" spans="11:77">
      <c r="K109" s="37">
        <f>$L109*VLOOKUP($R109,武学奇术!$A:$ZZ,31,FALSE)</f>
        <v>0</v>
      </c>
      <c r="L109" s="37">
        <f t="shared" si="25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84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4261.65</v>
      </c>
      <c r="AU109" cm="1">
        <f t="array" ref="AU109">$E$10*(1+$AS109)+VLOOKUP($R109,武学奇术!$A:$ZZ,4,FALSE)+SUM(_xlfn.XLOOKUP($S109:$AL109,增益!$A:$A,增益!$D:$D,0))-$I$2</f>
        <v>4261.65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0.1684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19"/>
        <v>649.11</v>
      </c>
      <c r="BL109">
        <f t="shared" si="20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1"/>
        <v>0.89337855</v>
      </c>
      <c r="BU109" s="24">
        <f t="shared" si="22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1:77">
      <c r="K110" s="37">
        <f>$L110*VLOOKUP($R110,武学奇术!$A:$ZZ,31,FALSE)</f>
        <v>0</v>
      </c>
      <c r="L110" s="37">
        <f t="shared" si="25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84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4261.65</v>
      </c>
      <c r="AU110" cm="1">
        <f t="array" ref="AU110">$E$10*(1+$AS110)+VLOOKUP($R110,武学奇术!$A:$ZZ,4,FALSE)+SUM(_xlfn.XLOOKUP($S110:$AL110,增益!$A:$A,增益!$D:$D,0))-$I$2</f>
        <v>4261.65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0.1684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19"/>
        <v>649.11</v>
      </c>
      <c r="BL110">
        <f t="shared" si="20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1"/>
        <v>0.89337855</v>
      </c>
      <c r="BU110" s="24">
        <f t="shared" si="22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1:77">
      <c r="K111" s="37">
        <f>$L111*VLOOKUP($R111,武学奇术!$A:$ZZ,31,FALSE)</f>
        <v>0</v>
      </c>
      <c r="L111" s="37">
        <f t="shared" si="25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84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4261.65</v>
      </c>
      <c r="AU111" cm="1">
        <f t="array" ref="AU111">$E$10*(1+$AS111)+VLOOKUP($R111,武学奇术!$A:$ZZ,4,FALSE)+SUM(_xlfn.XLOOKUP($S111:$AL111,增益!$A:$A,增益!$D:$D,0))-$I$2</f>
        <v>4261.65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0.1684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19"/>
        <v>649.11</v>
      </c>
      <c r="BL111">
        <f t="shared" si="20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1"/>
        <v>0.89337855</v>
      </c>
      <c r="BU111" s="24">
        <f t="shared" si="22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1:77">
      <c r="K112" s="37">
        <f>$L112*VLOOKUP($R112,武学奇术!$A:$ZZ,31,FALSE)</f>
        <v>0</v>
      </c>
      <c r="L112" s="37">
        <f t="shared" si="25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84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4261.65</v>
      </c>
      <c r="AU112" cm="1">
        <f t="array" ref="AU112">$E$10*(1+$AS112)+VLOOKUP($R112,武学奇术!$A:$ZZ,4,FALSE)+SUM(_xlfn.XLOOKUP($S112:$AL112,增益!$A:$A,增益!$D:$D,0))-$I$2</f>
        <v>4261.65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0.1684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19"/>
        <v>649.11</v>
      </c>
      <c r="BL112">
        <f t="shared" si="20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1"/>
        <v>0.89337855</v>
      </c>
      <c r="BU112" s="24">
        <f t="shared" si="22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11:77">
      <c r="K113" s="37">
        <f>$L113*VLOOKUP($R113,武学奇术!$A:$ZZ,31,FALSE)</f>
        <v>0</v>
      </c>
      <c r="L113" s="37">
        <f t="shared" si="25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84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4261.65</v>
      </c>
      <c r="AU113" cm="1">
        <f t="array" ref="AU113">$E$10*(1+$AS113)+VLOOKUP($R113,武学奇术!$A:$ZZ,4,FALSE)+SUM(_xlfn.XLOOKUP($S113:$AL113,增益!$A:$A,增益!$D:$D,0))-$I$2</f>
        <v>4261.65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0.1684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19"/>
        <v>649.11</v>
      </c>
      <c r="BL113">
        <f t="shared" si="20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1"/>
        <v>0.89337855</v>
      </c>
      <c r="BU113" s="24">
        <f t="shared" si="22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11:77">
      <c r="K114" s="37">
        <f>$L114*VLOOKUP($R114,武学奇术!$A:$ZZ,31,FALSE)</f>
        <v>0</v>
      </c>
      <c r="L114" s="37">
        <f t="shared" si="25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84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4261.65</v>
      </c>
      <c r="AU114" cm="1">
        <f t="array" ref="AU114">$E$10*(1+$AS114)+VLOOKUP($R114,武学奇术!$A:$ZZ,4,FALSE)+SUM(_xlfn.XLOOKUP($S114:$AL114,增益!$A:$A,增益!$D:$D,0))-$I$2</f>
        <v>4261.65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0.1684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19"/>
        <v>649.11</v>
      </c>
      <c r="BL114">
        <f t="shared" si="20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1"/>
        <v>0.89337855</v>
      </c>
      <c r="BU114" s="24">
        <f t="shared" si="22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11:77">
      <c r="K115" s="37">
        <f>$L115*VLOOKUP($R115,武学奇术!$A:$ZZ,31,FALSE)</f>
        <v>0</v>
      </c>
      <c r="L115" s="37">
        <f t="shared" si="25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84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4261.65</v>
      </c>
      <c r="AU115" cm="1">
        <f t="array" ref="AU115">$E$10*(1+$AS115)+VLOOKUP($R115,武学奇术!$A:$ZZ,4,FALSE)+SUM(_xlfn.XLOOKUP($S115:$AL115,增益!$A:$A,增益!$D:$D,0))-$I$2</f>
        <v>4261.65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0.1684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19"/>
        <v>649.11</v>
      </c>
      <c r="BL115">
        <f t="shared" si="20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1"/>
        <v>0.89337855</v>
      </c>
      <c r="BU115" s="24">
        <f t="shared" si="22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11:77">
      <c r="K116" s="37">
        <f>$L116*VLOOKUP($R116,武学奇术!$A:$ZZ,31,FALSE)</f>
        <v>0</v>
      </c>
      <c r="L116" s="37">
        <f t="shared" si="25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84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4261.65</v>
      </c>
      <c r="AU116" cm="1">
        <f t="array" ref="AU116">$E$10*(1+$AS116)+VLOOKUP($R116,武学奇术!$A:$ZZ,4,FALSE)+SUM(_xlfn.XLOOKUP($S116:$AL116,增益!$A:$A,增益!$D:$D,0))-$I$2</f>
        <v>4261.65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0.1684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19"/>
        <v>649.11</v>
      </c>
      <c r="BL116">
        <f t="shared" si="20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1"/>
        <v>0.89337855</v>
      </c>
      <c r="BU116" s="24">
        <f t="shared" si="22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11:77">
      <c r="K117" s="37">
        <f>$L117*VLOOKUP($R117,武学奇术!$A:$ZZ,31,FALSE)</f>
        <v>0</v>
      </c>
      <c r="L117" s="37">
        <f t="shared" si="25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84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4261.65</v>
      </c>
      <c r="AU117" cm="1">
        <f t="array" ref="AU117">$E$10*(1+$AS117)+VLOOKUP($R117,武学奇术!$A:$ZZ,4,FALSE)+SUM(_xlfn.XLOOKUP($S117:$AL117,增益!$A:$A,增益!$D:$D,0))-$I$2</f>
        <v>4261.65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0.1684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19"/>
        <v>649.11</v>
      </c>
      <c r="BL117">
        <f t="shared" si="20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1"/>
        <v>0.89337855</v>
      </c>
      <c r="BU117" s="24">
        <f t="shared" si="22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11:77">
      <c r="K118" s="37">
        <f>$L118*VLOOKUP($R118,武学奇术!$A:$ZZ,31,FALSE)</f>
        <v>0</v>
      </c>
      <c r="L118" s="37">
        <f t="shared" si="25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84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4261.65</v>
      </c>
      <c r="AU118" cm="1">
        <f t="array" ref="AU118">$E$10*(1+$AS118)+VLOOKUP($R118,武学奇术!$A:$ZZ,4,FALSE)+SUM(_xlfn.XLOOKUP($S118:$AL118,增益!$A:$A,增益!$D:$D,0))-$I$2</f>
        <v>4261.65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0.1684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19"/>
        <v>649.11</v>
      </c>
      <c r="BL118">
        <f t="shared" si="20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1"/>
        <v>0.89337855</v>
      </c>
      <c r="BU118" s="24">
        <f t="shared" si="22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11:77">
      <c r="K119" s="37">
        <f>$L119*VLOOKUP($R119,武学奇术!$A:$ZZ,31,FALSE)</f>
        <v>0</v>
      </c>
      <c r="L119" s="37">
        <f t="shared" si="25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84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4261.65</v>
      </c>
      <c r="AU119" cm="1">
        <f t="array" ref="AU119">$E$10*(1+$AS119)+VLOOKUP($R119,武学奇术!$A:$ZZ,4,FALSE)+SUM(_xlfn.XLOOKUP($S119:$AL119,增益!$A:$A,增益!$D:$D,0))-$I$2</f>
        <v>4261.65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0.1684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19"/>
        <v>649.11</v>
      </c>
      <c r="BL119">
        <f t="shared" si="20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1"/>
        <v>0.89337855</v>
      </c>
      <c r="BU119" s="24">
        <f t="shared" si="22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11:77">
      <c r="K120" s="37">
        <f>$L120*VLOOKUP($R120,武学奇术!$A:$ZZ,31,FALSE)</f>
        <v>0</v>
      </c>
      <c r="L120" s="37">
        <f t="shared" si="25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84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4261.65</v>
      </c>
      <c r="AU120" cm="1">
        <f t="array" ref="AU120">$E$10*(1+$AS120)+VLOOKUP($R120,武学奇术!$A:$ZZ,4,FALSE)+SUM(_xlfn.XLOOKUP($S120:$AL120,增益!$A:$A,增益!$D:$D,0))-$I$2</f>
        <v>4261.65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0.1684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19"/>
        <v>649.11</v>
      </c>
      <c r="BL120">
        <f t="shared" si="20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1"/>
        <v>0.89337855</v>
      </c>
      <c r="BU120" s="24">
        <f t="shared" si="22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11:77">
      <c r="K121" s="37">
        <f>$L121*VLOOKUP($R121,武学奇术!$A:$ZZ,31,FALSE)</f>
        <v>0</v>
      </c>
      <c r="L121" s="37">
        <f t="shared" si="25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84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4261.65</v>
      </c>
      <c r="AU121" cm="1">
        <f t="array" ref="AU121">$E$10*(1+$AS121)+VLOOKUP($R121,武学奇术!$A:$ZZ,4,FALSE)+SUM(_xlfn.XLOOKUP($S121:$AL121,增益!$A:$A,增益!$D:$D,0))-$I$2</f>
        <v>4261.65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0.1684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19"/>
        <v>649.11</v>
      </c>
      <c r="BL121">
        <f t="shared" si="20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1"/>
        <v>0.89337855</v>
      </c>
      <c r="BU121" s="24">
        <f t="shared" si="22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11:77">
      <c r="K122" s="37">
        <f>$L122*VLOOKUP($R122,武学奇术!$A:$ZZ,31,FALSE)</f>
        <v>0</v>
      </c>
      <c r="L122" s="37">
        <f t="shared" si="25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84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4261.65</v>
      </c>
      <c r="AU122" cm="1">
        <f t="array" ref="AU122">$E$10*(1+$AS122)+VLOOKUP($R122,武学奇术!$A:$ZZ,4,FALSE)+SUM(_xlfn.XLOOKUP($S122:$AL122,增益!$A:$A,增益!$D:$D,0))-$I$2</f>
        <v>4261.65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0.1684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19"/>
        <v>649.11</v>
      </c>
      <c r="BL122">
        <f t="shared" si="20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1"/>
        <v>0.89337855</v>
      </c>
      <c r="BU122" s="24">
        <f t="shared" si="22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11:77">
      <c r="K123" s="37">
        <f>$L123*VLOOKUP($R123,武学奇术!$A:$ZZ,31,FALSE)</f>
        <v>0</v>
      </c>
      <c r="L123" s="37">
        <f t="shared" si="25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84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4261.65</v>
      </c>
      <c r="AU123" cm="1">
        <f t="array" ref="AU123">$E$10*(1+$AS123)+VLOOKUP($R123,武学奇术!$A:$ZZ,4,FALSE)+SUM(_xlfn.XLOOKUP($S123:$AL123,增益!$A:$A,增益!$D:$D,0))-$I$2</f>
        <v>4261.65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0.1684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19"/>
        <v>649.11</v>
      </c>
      <c r="BL123">
        <f t="shared" si="20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1"/>
        <v>0.89337855</v>
      </c>
      <c r="BU123" s="24">
        <f t="shared" si="22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11:77">
      <c r="K124" s="37">
        <f>$L124*VLOOKUP($R124,武学奇术!$A:$ZZ,31,FALSE)</f>
        <v>0</v>
      </c>
      <c r="L124" s="37">
        <f t="shared" si="25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84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4261.65</v>
      </c>
      <c r="AU124" cm="1">
        <f t="array" ref="AU124">$E$10*(1+$AS124)+VLOOKUP($R124,武学奇术!$A:$ZZ,4,FALSE)+SUM(_xlfn.XLOOKUP($S124:$AL124,增益!$A:$A,增益!$D:$D,0))-$I$2</f>
        <v>4261.65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0.1684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19"/>
        <v>649.11</v>
      </c>
      <c r="BL124">
        <f t="shared" si="20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1"/>
        <v>0.89337855</v>
      </c>
      <c r="BU124" s="24">
        <f t="shared" si="22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11:77">
      <c r="K125" s="37">
        <f>$L125*VLOOKUP($R125,武学奇术!$A:$ZZ,31,FALSE)</f>
        <v>0</v>
      </c>
      <c r="L125" s="37">
        <f t="shared" si="25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84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4261.65</v>
      </c>
      <c r="AU125" cm="1">
        <f t="array" ref="AU125">$E$10*(1+$AS125)+VLOOKUP($R125,武学奇术!$A:$ZZ,4,FALSE)+SUM(_xlfn.XLOOKUP($S125:$AL125,增益!$A:$A,增益!$D:$D,0))-$I$2</f>
        <v>4261.65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0.1684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19"/>
        <v>649.11</v>
      </c>
      <c r="BL125">
        <f t="shared" si="20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1"/>
        <v>0.89337855</v>
      </c>
      <c r="BU125" s="24">
        <f t="shared" si="22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11:77">
      <c r="K126" s="37">
        <f>$L126*VLOOKUP($R126,武学奇术!$A:$ZZ,31,FALSE)</f>
        <v>0</v>
      </c>
      <c r="L126" s="37">
        <f t="shared" si="25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84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4261.65</v>
      </c>
      <c r="AU126" cm="1">
        <f t="array" ref="AU126">$E$10*(1+$AS126)+VLOOKUP($R126,武学奇术!$A:$ZZ,4,FALSE)+SUM(_xlfn.XLOOKUP($S126:$AL126,增益!$A:$A,增益!$D:$D,0))-$I$2</f>
        <v>4261.65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0.1684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19"/>
        <v>649.11</v>
      </c>
      <c r="BL126">
        <f t="shared" si="20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1"/>
        <v>0.89337855</v>
      </c>
      <c r="BU126" s="24">
        <f t="shared" si="22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11:77">
      <c r="K127" s="37">
        <f>$L127*VLOOKUP($R127,武学奇术!$A:$ZZ,31,FALSE)</f>
        <v>15389.7149604587</v>
      </c>
      <c r="L127" s="37">
        <f t="shared" si="25"/>
        <v>15389.7149604587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15648.8428600452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13917.4780904895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9370.56458685341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8431.88614371462</v>
      </c>
      <c r="Q127" s="38">
        <f t="shared" ref="Q127:Q136" si="26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84</v>
      </c>
      <c r="Z127" s="39" t="s">
        <v>84</v>
      </c>
      <c r="AA127" s="39" t="s">
        <v>84</v>
      </c>
      <c r="AB127" s="39" t="s">
        <v>86</v>
      </c>
      <c r="AC127" s="39" t="s">
        <v>84</v>
      </c>
      <c r="AD127" s="39" t="s">
        <v>84</v>
      </c>
      <c r="AE127" s="39" t="s">
        <v>84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0.1542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4261.65</v>
      </c>
      <c r="AU127" cm="1">
        <f t="array" ref="AU127">$E$10*(1+$AS127)+VLOOKUP($R127,武学奇术!$A:$ZZ,4,FALSE)+SUM(_xlfn.XLOOKUP($S127:$AL127,增益!$A:$A,增益!$D:$D,0))-$I$2</f>
        <v>4261.65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0.2184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1" cm="1">
        <f t="array" ref="BB127">$G$11+VLOOKUP($R127,武学奇术!$A:$ZZ,10,FALSE)+SUM(_xlfn.XLOOKUP($S127:$AL127,增益!$A:$A,增益!$J:$J,0))</f>
        <v>0.02</v>
      </c>
      <c r="BC127">
        <f t="shared" si="15"/>
        <v>0</v>
      </c>
      <c r="BD127">
        <f t="shared" si="16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1" cm="1">
        <f t="array" ref="BF127">$G$12+VLOOKUP($R127,武学奇术!$A:$ZZ,12,FALSE)+SUM(_xlfn.XLOOKUP($S127:$AL127,增益!$A:$A,增益!$L:$L,0))</f>
        <v>0.02</v>
      </c>
      <c r="BG127">
        <f t="shared" si="17"/>
        <v>0</v>
      </c>
      <c r="BH127">
        <f t="shared" si="18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1" cm="1">
        <f t="array" ref="BJ127">$G$13+VLOOKUP($R127,武学奇术!$A:$ZZ,14,FALSE)+SUM(_xlfn.XLOOKUP($S127:$AL127,增益!$A:$A,增益!$N:$N,0))</f>
        <v>0.02</v>
      </c>
      <c r="BK127">
        <f t="shared" si="19"/>
        <v>649.11</v>
      </c>
      <c r="BL127">
        <f t="shared" si="20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1"/>
        <v>0.89337855</v>
      </c>
      <c r="BU127" s="24">
        <f t="shared" si="22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11:77">
      <c r="K128" s="37">
        <f>$L128*VLOOKUP($R128,武学奇术!$A:$ZZ,31,FALSE)</f>
        <v>13711.6455229736</v>
      </c>
      <c r="L128" s="37">
        <f t="shared" si="25"/>
        <v>13711.6455229736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13894.2419109283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12827.1517687069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8629.96391983125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7758.33393691665</v>
      </c>
      <c r="Q128" s="38">
        <f t="shared" si="26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84</v>
      </c>
      <c r="AD128" s="39" t="s">
        <v>84</v>
      </c>
      <c r="AE128" s="39" t="s">
        <v>84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4261.65</v>
      </c>
      <c r="AU128" cm="1">
        <f t="array" ref="AU128">$E$10*(1+$AS128)+VLOOKUP($R128,武学奇术!$A:$ZZ,4,FALSE)+SUM(_xlfn.XLOOKUP($S128:$AL128,增益!$A:$A,增益!$D:$D,0))-$I$2</f>
        <v>4261.65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0.2184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15"/>
        <v>0</v>
      </c>
      <c r="BD128">
        <f t="shared" si="16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17"/>
        <v>0</v>
      </c>
      <c r="BH128">
        <f t="shared" si="18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19"/>
        <v>649.11</v>
      </c>
      <c r="BL128">
        <f t="shared" si="20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1"/>
        <v>0.89337855</v>
      </c>
      <c r="BU128" s="24">
        <f t="shared" si="22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11:77">
      <c r="K129" s="37">
        <f>$L129*VLOOKUP($R129,武学奇术!$A:$ZZ,31,FALSE)</f>
        <v>15975.7172586886</v>
      </c>
      <c r="L129" s="37">
        <f t="shared" si="25"/>
        <v>15975.7172586886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16304.7823811249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13917.4780904895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9370.56458685341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8431.88614371462</v>
      </c>
      <c r="Q129" s="38">
        <f t="shared" si="26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84</v>
      </c>
      <c r="Z129" s="39" t="s">
        <v>84</v>
      </c>
      <c r="AA129" s="39" t="s">
        <v>84</v>
      </c>
      <c r="AB129" s="39" t="s">
        <v>187</v>
      </c>
      <c r="AC129" s="39" t="s">
        <v>84</v>
      </c>
      <c r="AD129" s="39" t="s">
        <v>84</v>
      </c>
      <c r="AE129" s="39" t="s">
        <v>84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4261.65</v>
      </c>
      <c r="AU129" cm="1">
        <f t="array" ref="AU129">$E$10*(1+$AS129)+VLOOKUP($R129,武学奇术!$A:$ZZ,4,FALSE)+SUM(_xlfn.XLOOKUP($S129:$AL129,增益!$A:$A,增益!$D:$D,0))-$I$2</f>
        <v>4261.65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0.2184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1" cm="1">
        <f t="array" ref="BB129">$G$11+VLOOKUP($R129,武学奇术!$A:$ZZ,10,FALSE)+SUM(_xlfn.XLOOKUP($S129:$AL129,增益!$A:$A,增益!$J:$J,0))</f>
        <v>0.02</v>
      </c>
      <c r="BC129">
        <f t="shared" si="15"/>
        <v>0</v>
      </c>
      <c r="BD129">
        <f t="shared" si="16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1" cm="1">
        <f t="array" ref="BF129">$G$12+VLOOKUP($R129,武学奇术!$A:$ZZ,12,FALSE)+SUM(_xlfn.XLOOKUP($S129:$AL129,增益!$A:$A,增益!$L:$L,0))</f>
        <v>0.02</v>
      </c>
      <c r="BG129">
        <f t="shared" si="17"/>
        <v>0</v>
      </c>
      <c r="BH129">
        <f t="shared" si="18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1" cm="1">
        <f t="array" ref="BJ129">$G$13+VLOOKUP($R129,武学奇术!$A:$ZZ,14,FALSE)+SUM(_xlfn.XLOOKUP($S129:$AL129,增益!$A:$A,增益!$N:$N,0))</f>
        <v>0.02</v>
      </c>
      <c r="BK129">
        <f t="shared" si="19"/>
        <v>649.11</v>
      </c>
      <c r="BL129">
        <f t="shared" si="20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1"/>
        <v>0.89337855</v>
      </c>
      <c r="BU129" s="24">
        <f t="shared" si="22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11:77">
      <c r="K130" s="37">
        <f>$L130*VLOOKUP($R130,武学奇术!$A:$ZZ,31,FALSE)</f>
        <v>21278.9542705873</v>
      </c>
      <c r="L130" s="37">
        <f t="shared" si="25"/>
        <v>21278.9542705873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21970.7224203361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16286.1409336047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11040.5640303197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10017.3199616729</v>
      </c>
      <c r="Q130" s="38">
        <f t="shared" si="26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84</v>
      </c>
      <c r="AB130" s="39" t="s">
        <v>197</v>
      </c>
      <c r="AC130" s="39" t="s">
        <v>84</v>
      </c>
      <c r="AD130" s="39" t="s">
        <v>93</v>
      </c>
      <c r="AE130" s="39" t="s">
        <v>84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4261.65</v>
      </c>
      <c r="AU130" cm="1">
        <f t="array" ref="AU130">$E$10*(1+$AS130)+VLOOKUP($R130,武学奇术!$A:$ZZ,4,FALSE)+SUM(_xlfn.XLOOKUP($S130:$AL130,增益!$A:$A,增益!$D:$D,0))-$I$2</f>
        <v>4261.65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0.3434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7">$D$11*(1+$AX130)</f>
        <v>0</v>
      </c>
      <c r="AZ130">
        <f t="shared" ref="AZ130:AZ136" si="28">$E$11*(1+$AX130)</f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0.02</v>
      </c>
      <c r="BC130">
        <f t="shared" ref="BC130:BC136" si="29">$D$12*(1+$AX130)</f>
        <v>0</v>
      </c>
      <c r="BD130">
        <f t="shared" ref="BD130:BD136" si="30">$E$12*(1+$AX130)</f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ref="BG130:BG136" si="31">$D$13*(1+$AX130)</f>
        <v>0</v>
      </c>
      <c r="BH130">
        <f t="shared" ref="BH130:BH136" si="32">$E$13*(1+$AX130)</f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ref="BK130:BK136" si="33">$D$14*(1+$AX130)</f>
        <v>649.11</v>
      </c>
      <c r="BL130">
        <f t="shared" ref="BL130:BL136" si="34">$E$14*(1+$AX130)</f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5">MIN((1-BR130)*BO130,BO130*BP130)</f>
        <v>0.89337855</v>
      </c>
      <c r="BU130" s="24">
        <f t="shared" ref="BU130:BU136" si="36">1-BR130-BT130-BV130</f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0.21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11:77">
      <c r="K131" s="37">
        <f>$L131*VLOOKUP($R131,武学奇术!$A:$ZZ,31,FALSE)</f>
        <v>15557.1441885244</v>
      </c>
      <c r="L131" s="37">
        <f t="shared" si="25"/>
        <v>15557.1441885244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15836.2541517823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13917.4780904895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9370.56458685341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8431.88614371462</v>
      </c>
      <c r="Q131" s="38">
        <f t="shared" si="26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84</v>
      </c>
      <c r="Z131" s="39" t="s">
        <v>84</v>
      </c>
      <c r="AA131" s="39" t="s">
        <v>84</v>
      </c>
      <c r="AB131" s="39" t="s">
        <v>204</v>
      </c>
      <c r="AC131" s="39" t="s">
        <v>84</v>
      </c>
      <c r="AD131" s="39" t="s">
        <v>84</v>
      </c>
      <c r="AE131" s="39" t="s">
        <v>84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4261.65</v>
      </c>
      <c r="AU131" cm="1">
        <f t="array" ref="AU131">$E$10*(1+$AS131)+VLOOKUP($R131,武学奇术!$A:$ZZ,4,FALSE)+SUM(_xlfn.XLOOKUP($S131:$AL131,增益!$A:$A,增益!$D:$D,0))-$I$2</f>
        <v>4261.65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0.2184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27"/>
        <v>0</v>
      </c>
      <c r="AZ131">
        <f t="shared" si="28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1" cm="1">
        <f t="array" ref="BB131">$G$11+VLOOKUP($R131,武学奇术!$A:$ZZ,10,FALSE)+SUM(_xlfn.XLOOKUP($S131:$AL131,增益!$A:$A,增益!$J:$J,0))</f>
        <v>0.02</v>
      </c>
      <c r="BC131">
        <f t="shared" si="29"/>
        <v>0</v>
      </c>
      <c r="BD131">
        <f t="shared" si="30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1" cm="1">
        <f t="array" ref="BF131">$G$12+VLOOKUP($R131,武学奇术!$A:$ZZ,12,FALSE)+SUM(_xlfn.XLOOKUP($S131:$AL131,增益!$A:$A,增益!$L:$L,0))</f>
        <v>0.02</v>
      </c>
      <c r="BG131">
        <f t="shared" si="31"/>
        <v>0</v>
      </c>
      <c r="BH131">
        <f t="shared" si="32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1" cm="1">
        <f t="array" ref="BJ131">$G$13+VLOOKUP($R131,武学奇术!$A:$ZZ,14,FALSE)+SUM(_xlfn.XLOOKUP($S131:$AL131,增益!$A:$A,增益!$N:$N,0))</f>
        <v>0.02</v>
      </c>
      <c r="BK131">
        <f t="shared" si="33"/>
        <v>649.11</v>
      </c>
      <c r="BL131">
        <f t="shared" si="34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5"/>
        <v>0.89337855</v>
      </c>
      <c r="BU131" s="24">
        <f t="shared" si="36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11:77">
      <c r="K132" s="37">
        <f>$L132*VLOOKUP($R132,武学奇术!$A:$ZZ,31,FALSE)</f>
        <v>15975.7172586886</v>
      </c>
      <c r="L132" s="37">
        <f t="shared" si="25"/>
        <v>15975.7172586886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16304.7823811249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13917.4780904895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9370.56458685341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8431.88614371462</v>
      </c>
      <c r="Q132" s="38">
        <f t="shared" si="26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84</v>
      </c>
      <c r="AD132" s="39" t="s">
        <v>84</v>
      </c>
      <c r="AE132" s="39" t="s">
        <v>84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4261.65</v>
      </c>
      <c r="AU132" cm="1">
        <f t="array" ref="AU132">$E$10*(1+$AS132)+VLOOKUP($R132,武学奇术!$A:$ZZ,4,FALSE)+SUM(_xlfn.XLOOKUP($S132:$AL132,增益!$A:$A,增益!$D:$D,0))-$I$2</f>
        <v>4261.65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0.2184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27"/>
        <v>0</v>
      </c>
      <c r="AZ132">
        <f t="shared" si="28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29"/>
        <v>0</v>
      </c>
      <c r="BD132">
        <f t="shared" si="30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1"/>
        <v>0</v>
      </c>
      <c r="BH132">
        <f t="shared" si="32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33"/>
        <v>649.11</v>
      </c>
      <c r="BL132">
        <f t="shared" si="34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5"/>
        <v>0.89337855</v>
      </c>
      <c r="BU132" s="24">
        <f t="shared" si="36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11:77">
      <c r="K133" s="37">
        <f>$L133*VLOOKUP($R133,武学奇术!$A:$ZZ,31,FALSE)</f>
        <v>15975.7172586886</v>
      </c>
      <c r="L133" s="37">
        <f t="shared" si="25"/>
        <v>15975.7172586886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16304.7823811249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13917.4780904895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9370.56458685341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8431.88614371462</v>
      </c>
      <c r="Q133" s="38">
        <f t="shared" si="26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84</v>
      </c>
      <c r="Z133" s="39" t="s">
        <v>84</v>
      </c>
      <c r="AA133" s="39" t="s">
        <v>84</v>
      </c>
      <c r="AB133" s="39" t="s">
        <v>204</v>
      </c>
      <c r="AC133" s="39" t="s">
        <v>84</v>
      </c>
      <c r="AD133" s="39" t="s">
        <v>84</v>
      </c>
      <c r="AE133" s="39" t="s">
        <v>84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4261.65</v>
      </c>
      <c r="AU133" cm="1">
        <f t="array" ref="AU133">$E$10*(1+$AS133)+VLOOKUP($R133,武学奇术!$A:$ZZ,4,FALSE)+SUM(_xlfn.XLOOKUP($S133:$AL133,增益!$A:$A,增益!$D:$D,0))-$I$2</f>
        <v>4261.65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0.2184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27"/>
        <v>0</v>
      </c>
      <c r="AZ133">
        <f t="shared" si="28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1" cm="1">
        <f t="array" ref="BB133">$G$11+VLOOKUP($R133,武学奇术!$A:$ZZ,10,FALSE)+SUM(_xlfn.XLOOKUP($S133:$AL133,增益!$A:$A,增益!$J:$J,0))</f>
        <v>0.02</v>
      </c>
      <c r="BC133">
        <f t="shared" si="29"/>
        <v>0</v>
      </c>
      <c r="BD133">
        <f t="shared" si="30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1" cm="1">
        <f t="array" ref="BF133">$G$12+VLOOKUP($R133,武学奇术!$A:$ZZ,12,FALSE)+SUM(_xlfn.XLOOKUP($S133:$AL133,增益!$A:$A,增益!$L:$L,0))</f>
        <v>0.02</v>
      </c>
      <c r="BG133">
        <f t="shared" si="31"/>
        <v>0</v>
      </c>
      <c r="BH133">
        <f t="shared" si="32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1" cm="1">
        <f t="array" ref="BJ133">$G$13+VLOOKUP($R133,武学奇术!$A:$ZZ,14,FALSE)+SUM(_xlfn.XLOOKUP($S133:$AL133,增益!$A:$A,增益!$N:$N,0))</f>
        <v>0.02</v>
      </c>
      <c r="BK133">
        <f t="shared" si="33"/>
        <v>649.11</v>
      </c>
      <c r="BL133">
        <f t="shared" si="34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5"/>
        <v>0.89337855</v>
      </c>
      <c r="BU133" s="24">
        <f t="shared" si="36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11:77">
      <c r="K134" s="37">
        <f>$L134*VLOOKUP($R134,武学奇术!$A:$ZZ,31,FALSE)</f>
        <v>23487.1076456021</v>
      </c>
      <c r="L134" s="37">
        <f t="shared" si="25"/>
        <v>23487.1076456021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24202.2708371038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18402.6901798712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12475.3973387133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11319.1723219665</v>
      </c>
      <c r="Q134" s="38">
        <f t="shared" si="26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84</v>
      </c>
      <c r="AB134" s="39" t="s">
        <v>204</v>
      </c>
      <c r="AC134" s="39" t="s">
        <v>84</v>
      </c>
      <c r="AD134" s="39" t="s">
        <v>93</v>
      </c>
      <c r="AE134" s="39" t="s">
        <v>84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0.3042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4261.65</v>
      </c>
      <c r="AU134" cm="1">
        <f t="array" ref="AU134">$E$10*(1+$AS134)+VLOOKUP($R134,武学奇术!$A:$ZZ,4,FALSE)+SUM(_xlfn.XLOOKUP($S134:$AL134,增益!$A:$A,增益!$D:$D,0))-$I$2</f>
        <v>4261.65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0.3434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27"/>
        <v>0</v>
      </c>
      <c r="AZ134">
        <f t="shared" si="28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0.02</v>
      </c>
      <c r="BC134">
        <f t="shared" si="29"/>
        <v>0</v>
      </c>
      <c r="BD134">
        <f t="shared" si="30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1"/>
        <v>0</v>
      </c>
      <c r="BH134">
        <f t="shared" si="32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33"/>
        <v>649.11</v>
      </c>
      <c r="BL134">
        <f t="shared" si="34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5"/>
        <v>0.89337855</v>
      </c>
      <c r="BU134" s="24">
        <f t="shared" si="36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0.21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11:77">
      <c r="K135" s="37">
        <f>$L135*VLOOKUP($R135,武学奇术!$A:$ZZ,31,FALSE)</f>
        <v>15975.7172586886</v>
      </c>
      <c r="L135" s="37">
        <f t="shared" si="25"/>
        <v>15975.7172586886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16304.7823811249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13917.4780904895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9370.56458685341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8431.88614371462</v>
      </c>
      <c r="Q135" s="38">
        <f t="shared" si="26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84</v>
      </c>
      <c r="Z135" s="39" t="s">
        <v>84</v>
      </c>
      <c r="AA135" s="39" t="s">
        <v>84</v>
      </c>
      <c r="AB135" s="39" t="s">
        <v>204</v>
      </c>
      <c r="AC135" s="39" t="s">
        <v>84</v>
      </c>
      <c r="AD135" s="39" t="s">
        <v>84</v>
      </c>
      <c r="AE135" s="39" t="s">
        <v>84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4261.65</v>
      </c>
      <c r="AU135" cm="1">
        <f t="array" ref="AU135">$E$10*(1+$AS135)+VLOOKUP($R135,武学奇术!$A:$ZZ,4,FALSE)+SUM(_xlfn.XLOOKUP($S135:$AL135,增益!$A:$A,增益!$D:$D,0))-$I$2</f>
        <v>4261.65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0.2184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27"/>
        <v>0</v>
      </c>
      <c r="AZ135">
        <f t="shared" si="28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1" cm="1">
        <f t="array" ref="BB135">$G$11+VLOOKUP($R135,武学奇术!$A:$ZZ,10,FALSE)+SUM(_xlfn.XLOOKUP($S135:$AL135,增益!$A:$A,增益!$J:$J,0))</f>
        <v>0.02</v>
      </c>
      <c r="BC135">
        <f t="shared" si="29"/>
        <v>0</v>
      </c>
      <c r="BD135">
        <f t="shared" si="30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1" cm="1">
        <f t="array" ref="BF135">$G$12+VLOOKUP($R135,武学奇术!$A:$ZZ,12,FALSE)+SUM(_xlfn.XLOOKUP($S135:$AL135,增益!$A:$A,增益!$L:$L,0))</f>
        <v>0.02</v>
      </c>
      <c r="BG135">
        <f t="shared" si="31"/>
        <v>0</v>
      </c>
      <c r="BH135">
        <f t="shared" si="32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1" cm="1">
        <f t="array" ref="BJ135">$G$13+VLOOKUP($R135,武学奇术!$A:$ZZ,14,FALSE)+SUM(_xlfn.XLOOKUP($S135:$AL135,增益!$A:$A,增益!$N:$N,0))</f>
        <v>0.02</v>
      </c>
      <c r="BK135">
        <f t="shared" si="33"/>
        <v>649.11</v>
      </c>
      <c r="BL135">
        <f t="shared" si="34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5"/>
        <v>0.89337855</v>
      </c>
      <c r="BU135" s="24">
        <f t="shared" si="36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11:77">
      <c r="K136" s="37">
        <f>$L136*VLOOKUP($R136,武学奇术!$A:$ZZ,31,FALSE)</f>
        <v>0</v>
      </c>
      <c r="L136" s="37">
        <f t="shared" si="25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26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84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4261.65</v>
      </c>
      <c r="AU136" cm="1">
        <f t="array" ref="AU136">$E$10*(1+$AS136)+VLOOKUP($R136,武学奇术!$A:$ZZ,4,FALSE)+SUM(_xlfn.XLOOKUP($S136:$AL136,增益!$A:$A,增益!$D:$D,0))-$I$2</f>
        <v>4261.65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0.1684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27"/>
        <v>0</v>
      </c>
      <c r="AZ136">
        <f t="shared" si="28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29"/>
        <v>0</v>
      </c>
      <c r="BD136">
        <f t="shared" si="30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1"/>
        <v>0</v>
      </c>
      <c r="BH136">
        <f t="shared" si="32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33"/>
        <v>649.11</v>
      </c>
      <c r="BL136">
        <f t="shared" si="34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5"/>
        <v>0.89337855</v>
      </c>
      <c r="BU136" s="24">
        <f t="shared" si="36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S53:AC53 AD53 AE53:AL53 S2:AL52 S54:AL136">
      <formula1>增益!$A:$A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workbookViewId="0">
      <selection activeCell="T37" sqref="T3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223</v>
      </c>
      <c r="AF1" t="s">
        <v>72</v>
      </c>
    </row>
    <row r="2" spans="1:32">
      <c r="A2" t="s">
        <v>122</v>
      </c>
      <c r="B2" s="27"/>
      <c r="R2" s="27"/>
      <c r="Y2" s="28" t="s">
        <v>96</v>
      </c>
      <c r="Z2" s="28">
        <f>132%*1.12*1.2*(1+5%)</f>
        <v>1.862784</v>
      </c>
      <c r="AA2" s="4"/>
      <c r="AB2" s="28">
        <f>Z2*1.5</f>
        <v>2.794176</v>
      </c>
      <c r="AE2">
        <v>1.6</v>
      </c>
    </row>
    <row r="3" customFormat="1" spans="1:32">
      <c r="A3" t="s">
        <v>129</v>
      </c>
      <c r="B3" s="27"/>
      <c r="R3" s="27"/>
      <c r="Y3" s="28" t="s">
        <v>96</v>
      </c>
      <c r="Z3" s="28">
        <f>132%*1.12*1.4*(1+5%)</f>
        <v>2.173248</v>
      </c>
      <c r="AA3" s="4"/>
      <c r="AB3" s="28">
        <f>Z3*1.5</f>
        <v>3.259872</v>
      </c>
      <c r="AC3" s="25"/>
      <c r="AE3">
        <v>1.6</v>
      </c>
    </row>
    <row r="4" spans="1:32">
      <c r="A4" t="s">
        <v>124</v>
      </c>
      <c r="B4" s="27">
        <v>0.05</v>
      </c>
      <c r="R4" s="27">
        <v>0.3</v>
      </c>
      <c r="Y4" s="28" t="s">
        <v>96</v>
      </c>
      <c r="Z4" s="24">
        <f>113.33%</f>
        <v>1.1333</v>
      </c>
      <c r="AA4" s="25">
        <f>314</f>
        <v>314</v>
      </c>
      <c r="AB4" s="24">
        <f>169.99%</f>
        <v>1.6999</v>
      </c>
      <c r="AC4" s="25">
        <f>171</f>
        <v>171</v>
      </c>
      <c r="AE4">
        <v>1</v>
      </c>
      <c r="AF4" s="27">
        <v>0.4</v>
      </c>
    </row>
    <row r="5" spans="1:32">
      <c r="A5" t="s">
        <v>127</v>
      </c>
      <c r="B5" s="27">
        <v>0.05</v>
      </c>
      <c r="R5" s="27">
        <v>0.3</v>
      </c>
      <c r="Y5" s="28" t="s">
        <v>96</v>
      </c>
      <c r="Z5" s="24">
        <f>77.48%</f>
        <v>0.7748</v>
      </c>
      <c r="AA5" s="25">
        <f>216</f>
        <v>216</v>
      </c>
      <c r="AB5" s="24">
        <f>116.22%</f>
        <v>1.1622</v>
      </c>
      <c r="AC5" s="25">
        <f>117</f>
        <v>117</v>
      </c>
      <c r="AE5">
        <v>1</v>
      </c>
      <c r="AF5" s="27">
        <v>0.4</v>
      </c>
    </row>
    <row r="6" spans="1:32">
      <c r="A6" t="s">
        <v>224</v>
      </c>
      <c r="B6" s="27">
        <v>0.05</v>
      </c>
      <c r="R6" s="27">
        <v>0.3</v>
      </c>
      <c r="Y6" s="28" t="s">
        <v>96</v>
      </c>
      <c r="Z6" s="24">
        <f>189.08%</f>
        <v>1.8908</v>
      </c>
      <c r="AA6" s="25">
        <f>524</f>
        <v>524</v>
      </c>
      <c r="AB6" s="24">
        <f>283.62%</f>
        <v>2.8362</v>
      </c>
      <c r="AC6" s="25">
        <v>285</v>
      </c>
      <c r="AE6">
        <v>1</v>
      </c>
      <c r="AF6" s="27">
        <v>0.4</v>
      </c>
    </row>
    <row r="7" spans="1:32">
      <c r="A7" t="s">
        <v>119</v>
      </c>
      <c r="B7" s="27">
        <v>0.05</v>
      </c>
      <c r="R7" s="27">
        <v>0.3</v>
      </c>
      <c r="Y7" s="28" t="s">
        <v>96</v>
      </c>
      <c r="Z7" s="24">
        <f>76.24%*4</f>
        <v>3.0496</v>
      </c>
      <c r="AA7" s="25">
        <f>211*4</f>
        <v>844</v>
      </c>
      <c r="AB7" s="24">
        <f>114.36%*4</f>
        <v>4.5744</v>
      </c>
      <c r="AC7" s="25">
        <f>114*4</f>
        <v>456</v>
      </c>
      <c r="AE7">
        <v>1</v>
      </c>
      <c r="AF7" s="27">
        <v>0.4</v>
      </c>
    </row>
    <row r="8" spans="1:32">
      <c r="A8" t="s">
        <v>169</v>
      </c>
      <c r="B8" s="27"/>
      <c r="R8" s="27"/>
      <c r="Y8" s="28" t="s">
        <v>96</v>
      </c>
      <c r="Z8" s="24">
        <v>0.9193</v>
      </c>
      <c r="AA8" s="25">
        <v>255</v>
      </c>
      <c r="AB8" s="24">
        <v>1.379</v>
      </c>
      <c r="AC8" s="25">
        <v>139</v>
      </c>
      <c r="AE8">
        <v>1</v>
      </c>
      <c r="AF8" s="27">
        <v>0.4</v>
      </c>
    </row>
    <row r="9" spans="1:32">
      <c r="A9" t="s">
        <v>173</v>
      </c>
      <c r="B9" s="27"/>
      <c r="R9" s="27"/>
      <c r="Y9" s="28" t="s">
        <v>96</v>
      </c>
      <c r="Z9" s="24">
        <f>61.62%*2</f>
        <v>1.2324</v>
      </c>
      <c r="AA9" s="25">
        <f>171*2</f>
        <v>342</v>
      </c>
      <c r="AB9" s="24">
        <f>92.42%*2</f>
        <v>1.8484</v>
      </c>
      <c r="AC9" s="25">
        <f>93*2</f>
        <v>186</v>
      </c>
      <c r="AE9">
        <v>1</v>
      </c>
      <c r="AF9" s="27">
        <v>0.4</v>
      </c>
    </row>
    <row r="10" spans="1:32">
      <c r="A10" t="s">
        <v>133</v>
      </c>
      <c r="B10" s="27">
        <v>0.05</v>
      </c>
      <c r="R10" s="27">
        <v>0.3</v>
      </c>
      <c r="V10">
        <v>1</v>
      </c>
      <c r="Y10" s="28" t="s">
        <v>96</v>
      </c>
      <c r="Z10" s="24">
        <f>(96.34%+92.6%+112.98%+254.99%)</f>
        <v>5.5691</v>
      </c>
      <c r="AA10" s="25">
        <f>(267+257+313+707)</f>
        <v>1544</v>
      </c>
      <c r="AB10" s="24">
        <f>(144.51%+138.9%+169.47%+382.49%)</f>
        <v>8.3537</v>
      </c>
      <c r="AC10" s="25">
        <f>(145+140+170+385)</f>
        <v>840</v>
      </c>
      <c r="AD10" t="s">
        <v>225</v>
      </c>
      <c r="AE10">
        <v>1</v>
      </c>
      <c r="AF10" s="27">
        <v>0.4</v>
      </c>
    </row>
    <row r="11" customFormat="1" spans="1:32">
      <c r="A11" t="s">
        <v>136</v>
      </c>
      <c r="B11" s="27">
        <v>0.05</v>
      </c>
      <c r="R11" s="27">
        <v>0.3</v>
      </c>
      <c r="V11">
        <v>1</v>
      </c>
      <c r="Y11" s="28" t="s">
        <v>96</v>
      </c>
      <c r="Z11" s="24">
        <f>96.34%</f>
        <v>0.9634</v>
      </c>
      <c r="AA11" s="25">
        <f>267</f>
        <v>267</v>
      </c>
      <c r="AB11" s="24">
        <f>144.51%</f>
        <v>1.4451</v>
      </c>
      <c r="AC11" s="25">
        <f>145</f>
        <v>145</v>
      </c>
      <c r="AD11" t="s">
        <v>225</v>
      </c>
      <c r="AE11">
        <v>1</v>
      </c>
      <c r="AF11" s="27">
        <v>0.4</v>
      </c>
    </row>
    <row r="12" customFormat="1" spans="1:32">
      <c r="A12" t="s">
        <v>142</v>
      </c>
      <c r="B12" s="27">
        <v>0.05</v>
      </c>
      <c r="R12" s="27">
        <v>0.3</v>
      </c>
      <c r="V12">
        <v>1</v>
      </c>
      <c r="Y12" s="28" t="s">
        <v>96</v>
      </c>
      <c r="Z12" s="24">
        <f>92.6%</f>
        <v>0.926</v>
      </c>
      <c r="AA12" s="25">
        <f>257</f>
        <v>257</v>
      </c>
      <c r="AB12" s="24">
        <f>138.9%</f>
        <v>1.389</v>
      </c>
      <c r="AC12" s="25">
        <f>140</f>
        <v>140</v>
      </c>
      <c r="AD12" t="s">
        <v>225</v>
      </c>
      <c r="AE12">
        <v>1</v>
      </c>
      <c r="AF12" s="27">
        <v>0.4</v>
      </c>
    </row>
    <row r="13" customFormat="1" spans="1:32">
      <c r="A13" t="s">
        <v>146</v>
      </c>
      <c r="B13" s="27">
        <v>0.05</v>
      </c>
      <c r="R13" s="27">
        <v>0.3</v>
      </c>
      <c r="V13">
        <v>1</v>
      </c>
      <c r="Y13" s="28" t="s">
        <v>96</v>
      </c>
      <c r="Z13" s="24">
        <f>112.98%</f>
        <v>1.1298</v>
      </c>
      <c r="AA13" s="25">
        <f>313</f>
        <v>313</v>
      </c>
      <c r="AB13" s="24">
        <f>169.47%</f>
        <v>1.6947</v>
      </c>
      <c r="AC13" s="25">
        <f>170</f>
        <v>170</v>
      </c>
      <c r="AD13" t="s">
        <v>225</v>
      </c>
      <c r="AE13">
        <v>1</v>
      </c>
      <c r="AF13" s="27">
        <v>0.4</v>
      </c>
    </row>
    <row r="14" customFormat="1" spans="1:32">
      <c r="A14" t="s">
        <v>151</v>
      </c>
      <c r="B14" s="27">
        <v>0.05</v>
      </c>
      <c r="R14" s="27">
        <v>0.3</v>
      </c>
      <c r="V14">
        <v>1</v>
      </c>
      <c r="Y14" s="28" t="s">
        <v>96</v>
      </c>
      <c r="Z14" s="24">
        <f>254.99%</f>
        <v>2.5499</v>
      </c>
      <c r="AA14" s="25">
        <f>707</f>
        <v>707</v>
      </c>
      <c r="AB14" s="24">
        <f>382.49%</f>
        <v>3.8249</v>
      </c>
      <c r="AC14" s="25">
        <f>385</f>
        <v>385</v>
      </c>
      <c r="AD14" t="s">
        <v>225</v>
      </c>
      <c r="AE14">
        <v>1</v>
      </c>
      <c r="AF14" s="27">
        <v>0.4</v>
      </c>
    </row>
    <row r="15" customFormat="1" spans="1:32">
      <c r="A15" t="s">
        <v>110</v>
      </c>
      <c r="B15" s="27"/>
      <c r="R15" s="27"/>
      <c r="Y15" s="28" t="s">
        <v>102</v>
      </c>
      <c r="Z15" s="24">
        <v>0.6587</v>
      </c>
      <c r="AA15" s="25">
        <v>183</v>
      </c>
      <c r="AB15" s="24">
        <v>0.9881</v>
      </c>
      <c r="AC15" s="25">
        <v>100</v>
      </c>
      <c r="AD15"/>
      <c r="AE15">
        <v>1</v>
      </c>
    </row>
    <row r="16" customFormat="1" spans="1:32">
      <c r="A16" t="s">
        <v>185</v>
      </c>
      <c r="B16" s="27"/>
      <c r="R16" s="27"/>
      <c r="Y16" s="28" t="s">
        <v>102</v>
      </c>
      <c r="Z16" s="24">
        <f>65.87%*1.2</f>
        <v>0.79044</v>
      </c>
      <c r="AA16" s="25">
        <f>183*1.2</f>
        <v>219.6</v>
      </c>
      <c r="AB16" s="24">
        <f>98.81%*1.2</f>
        <v>1.18572</v>
      </c>
      <c r="AC16" s="25">
        <f>100*1.2</f>
        <v>120</v>
      </c>
      <c r="AE16">
        <v>1</v>
      </c>
    </row>
    <row r="17" customFormat="1" spans="1:32">
      <c r="A17" t="s">
        <v>157</v>
      </c>
      <c r="B17" s="27">
        <v>0.05</v>
      </c>
      <c r="R17" s="27">
        <v>0.3</v>
      </c>
      <c r="V17">
        <v>1</v>
      </c>
      <c r="Y17" s="28" t="s">
        <v>102</v>
      </c>
      <c r="Z17" s="24">
        <f>(203.94%)*1.4</f>
        <v>2.85516</v>
      </c>
      <c r="AA17" s="25">
        <f>(564)*1.4</f>
        <v>789.6</v>
      </c>
      <c r="AB17" s="24">
        <f>(305.91%)*1.4</f>
        <v>4.28274</v>
      </c>
      <c r="AC17" s="25">
        <f>(307)*1.4</f>
        <v>429.8</v>
      </c>
      <c r="AD17" t="s">
        <v>225</v>
      </c>
      <c r="AE17">
        <v>1</v>
      </c>
      <c r="AF17" s="27">
        <v>0.5</v>
      </c>
    </row>
    <row r="18" customFormat="1" spans="1:32">
      <c r="A18" t="s">
        <v>163</v>
      </c>
      <c r="B18" s="27">
        <v>0.05</v>
      </c>
      <c r="R18" s="27">
        <v>0.3</v>
      </c>
      <c r="V18">
        <v>1</v>
      </c>
      <c r="Y18" s="28" t="s">
        <v>102</v>
      </c>
      <c r="Z18" s="24">
        <f>33.99%*8*1.4</f>
        <v>3.80688</v>
      </c>
      <c r="AA18" s="25">
        <f>94*8*1.4</f>
        <v>1052.8</v>
      </c>
      <c r="AB18" s="24">
        <f>50.98%*8*1.4</f>
        <v>5.70976</v>
      </c>
      <c r="AC18" s="25">
        <f>51*8*1.4</f>
        <v>571.2</v>
      </c>
      <c r="AD18" t="s">
        <v>225</v>
      </c>
      <c r="AE18">
        <v>1</v>
      </c>
      <c r="AF18" s="27">
        <v>0.5</v>
      </c>
    </row>
    <row r="19" customFormat="1" spans="1:32">
      <c r="A19" t="s">
        <v>166</v>
      </c>
      <c r="B19" s="27">
        <v>0.05</v>
      </c>
      <c r="R19" s="27">
        <v>0.3</v>
      </c>
      <c r="V19">
        <v>1</v>
      </c>
      <c r="Y19" s="28" t="s">
        <v>102</v>
      </c>
      <c r="Z19" s="24">
        <f>(203.94%)*1.4</f>
        <v>2.85516</v>
      </c>
      <c r="AA19" s="25">
        <f>(564)*1.4</f>
        <v>789.6</v>
      </c>
      <c r="AB19" s="24">
        <f>(305.91%)*1.4</f>
        <v>4.28274</v>
      </c>
      <c r="AC19" s="25">
        <f>(307)*1.4</f>
        <v>429.8</v>
      </c>
      <c r="AD19" t="s">
        <v>225</v>
      </c>
      <c r="AE19">
        <v>1</v>
      </c>
      <c r="AF19" s="27">
        <v>0.5</v>
      </c>
    </row>
    <row r="20" customFormat="1" spans="1:32">
      <c r="A20" t="s">
        <v>226</v>
      </c>
      <c r="B20" s="27">
        <v>0.05</v>
      </c>
      <c r="R20" s="27">
        <v>0.3</v>
      </c>
      <c r="V20">
        <v>1</v>
      </c>
      <c r="Y20" s="28" t="s">
        <v>102</v>
      </c>
      <c r="Z20" s="24">
        <f>(203.94%*2+33.99%*8)*1.4</f>
        <v>9.5172</v>
      </c>
      <c r="AA20" s="25">
        <f>(564*2+94*8)*1.4</f>
        <v>2632</v>
      </c>
      <c r="AB20" s="24">
        <f>(305.91%*2+50.98%*8)*1.4</f>
        <v>14.27524</v>
      </c>
      <c r="AC20" s="25">
        <f>(307*2+51*8)*1.4</f>
        <v>1430.8</v>
      </c>
      <c r="AD20" t="s">
        <v>225</v>
      </c>
      <c r="AE20">
        <v>1</v>
      </c>
      <c r="AF20" s="27">
        <v>0.5</v>
      </c>
    </row>
    <row r="21" spans="1:32">
      <c r="A21" t="s">
        <v>227</v>
      </c>
      <c r="R21" s="27"/>
      <c r="Y21" s="28" t="s">
        <v>102</v>
      </c>
      <c r="Z21" s="28">
        <f>105.6%</f>
        <v>1.056</v>
      </c>
      <c r="AA21" s="29">
        <f>293</f>
        <v>293</v>
      </c>
      <c r="AB21" s="28">
        <f>158.41%</f>
        <v>1.5841</v>
      </c>
      <c r="AC21" s="25">
        <f>160</f>
        <v>160</v>
      </c>
      <c r="AE21">
        <v>1</v>
      </c>
    </row>
    <row r="22" customFormat="1" spans="1:32">
      <c r="A22" t="s">
        <v>115</v>
      </c>
      <c r="R22" s="27"/>
      <c r="Y22" s="28" t="s">
        <v>102</v>
      </c>
      <c r="Z22" s="28">
        <f>105.6%*1.3</f>
        <v>1.3728</v>
      </c>
      <c r="AA22" s="29">
        <f>293*1.3</f>
        <v>380.9</v>
      </c>
      <c r="AB22" s="28">
        <f>158.41%*1.3</f>
        <v>2.05933</v>
      </c>
      <c r="AC22" s="25">
        <f>160*1.3</f>
        <v>208</v>
      </c>
      <c r="AE22">
        <v>1</v>
      </c>
    </row>
    <row r="23" customFormat="1" spans="1:32">
      <c r="A23" t="s">
        <v>180</v>
      </c>
      <c r="Q23" s="24"/>
      <c r="R23" s="27"/>
      <c r="Y23" t="s">
        <v>228</v>
      </c>
      <c r="Z23" s="24">
        <v>0</v>
      </c>
      <c r="AA23" s="25">
        <v>0</v>
      </c>
      <c r="AB23" s="24">
        <v>0</v>
      </c>
      <c r="AC23" s="25">
        <v>0</v>
      </c>
      <c r="AE23">
        <v>0.5</v>
      </c>
    </row>
    <row r="24" customFormat="1" spans="1:32">
      <c r="A24" t="s">
        <v>229</v>
      </c>
      <c r="Q24" s="24"/>
      <c r="R24" s="27"/>
      <c r="Y24" t="s">
        <v>109</v>
      </c>
      <c r="Z24" s="24">
        <f>198.74%*2</f>
        <v>3.9748</v>
      </c>
      <c r="AA24" s="25">
        <f>516*2</f>
        <v>1032</v>
      </c>
      <c r="AB24" s="24">
        <f>Z24*1.5</f>
        <v>5.9622</v>
      </c>
      <c r="AC24" s="25"/>
      <c r="AE24">
        <v>1</v>
      </c>
    </row>
    <row r="25" customFormat="1" spans="1:32">
      <c r="A25" t="s">
        <v>230</v>
      </c>
      <c r="Q25" s="24"/>
      <c r="R25" s="27"/>
      <c r="Y25" t="s">
        <v>109</v>
      </c>
      <c r="Z25" s="24">
        <f>74.53%*2</f>
        <v>1.4906</v>
      </c>
      <c r="AA25" s="25">
        <f>193*2</f>
        <v>386</v>
      </c>
      <c r="AB25" s="24">
        <f>Z25*1.5</f>
        <v>2.2359</v>
      </c>
      <c r="AC25" s="25"/>
      <c r="AE25">
        <v>1</v>
      </c>
    </row>
    <row r="26" customFormat="1" spans="1:32">
      <c r="A26" t="s">
        <v>231</v>
      </c>
      <c r="B26" s="27"/>
      <c r="E26" s="27"/>
      <c r="G26" s="27"/>
      <c r="N26" s="27"/>
      <c r="R26" s="27"/>
      <c r="Y26" t="s">
        <v>109</v>
      </c>
      <c r="Z26" s="24">
        <f>254.72%*2.7*1.5</f>
        <v>10.31616</v>
      </c>
      <c r="AA26" s="25">
        <f>511*2.7*1.5</f>
        <v>2069.55</v>
      </c>
      <c r="AB26" s="24">
        <f t="shared" ref="AB26:AB42" si="0">Z26*1.5</f>
        <v>15.47424</v>
      </c>
      <c r="AC26" s="25"/>
      <c r="AE26">
        <v>1</v>
      </c>
    </row>
    <row r="27" customFormat="1" spans="1:32">
      <c r="A27" t="s">
        <v>232</v>
      </c>
      <c r="B27" s="27"/>
      <c r="Q27" s="24"/>
      <c r="R27" s="27"/>
      <c r="Y27" t="s">
        <v>105</v>
      </c>
      <c r="Z27" s="24">
        <f>319.92%+391.02%</f>
        <v>7.1094</v>
      </c>
      <c r="AA27" s="25">
        <f>639+781</f>
        <v>1420</v>
      </c>
      <c r="AB27" s="24">
        <f t="shared" si="0"/>
        <v>10.6641</v>
      </c>
      <c r="AC27" s="25"/>
      <c r="AE27">
        <v>1</v>
      </c>
    </row>
    <row r="28" customFormat="1" spans="1:32">
      <c r="A28" t="s">
        <v>233</v>
      </c>
      <c r="B28" s="27">
        <v>0.47</v>
      </c>
      <c r="Q28" s="24"/>
      <c r="R28" s="27"/>
      <c r="V28">
        <v>1</v>
      </c>
      <c r="Y28" t="s">
        <v>105</v>
      </c>
      <c r="Z28" s="24">
        <f>1636.57%*2.2*0.7</f>
        <v>25.203178</v>
      </c>
      <c r="AA28" s="25">
        <f>3275*2.2*0.7</f>
        <v>5043.5</v>
      </c>
      <c r="AB28" s="24">
        <f t="shared" si="0"/>
        <v>37.804767</v>
      </c>
      <c r="AC28" s="25"/>
      <c r="AE28">
        <v>1</v>
      </c>
    </row>
    <row r="29" customFormat="1" spans="1:32">
      <c r="A29" t="s">
        <v>234</v>
      </c>
      <c r="Q29" s="24"/>
      <c r="R29" s="27"/>
      <c r="Y29" t="s">
        <v>109</v>
      </c>
      <c r="Z29" s="24">
        <f>(416.02%+772.61%)*2</f>
        <v>23.7726</v>
      </c>
      <c r="AA29" s="25">
        <f>(803+1493)*2</f>
        <v>4592</v>
      </c>
      <c r="AB29" s="24">
        <f t="shared" si="0"/>
        <v>35.6589</v>
      </c>
      <c r="AC29" s="25"/>
      <c r="AE29">
        <v>1</v>
      </c>
    </row>
    <row r="30" customFormat="1" spans="1:32">
      <c r="A30" t="s">
        <v>235</v>
      </c>
      <c r="B30" s="27"/>
      <c r="Q30" s="24"/>
      <c r="R30" s="27"/>
      <c r="Y30" t="s">
        <v>105</v>
      </c>
      <c r="Z30" s="24">
        <f>257.06%/2</f>
        <v>1.2853</v>
      </c>
      <c r="AA30" s="25">
        <f>520/2</f>
        <v>260</v>
      </c>
      <c r="AB30" s="24">
        <f t="shared" si="0"/>
        <v>1.92795</v>
      </c>
      <c r="AC30" s="25"/>
      <c r="AE30">
        <v>1</v>
      </c>
    </row>
    <row r="31" customFormat="1" spans="1:32">
      <c r="A31" t="s">
        <v>236</v>
      </c>
      <c r="Q31" s="24"/>
      <c r="R31" s="27"/>
      <c r="Y31" t="s">
        <v>105</v>
      </c>
      <c r="Z31" s="24">
        <f>257.06%+141.64%</f>
        <v>3.987</v>
      </c>
      <c r="AA31" s="25">
        <f>520+287</f>
        <v>807</v>
      </c>
      <c r="AB31" s="24">
        <f t="shared" si="0"/>
        <v>5.9805</v>
      </c>
      <c r="AC31" s="25"/>
      <c r="AE31">
        <v>1</v>
      </c>
    </row>
    <row r="32" customFormat="1" spans="1:32">
      <c r="A32" t="s">
        <v>237</v>
      </c>
      <c r="B32" s="27"/>
      <c r="Q32" s="24"/>
      <c r="R32" s="27"/>
      <c r="T32" s="27"/>
      <c r="Y32" t="s">
        <v>105</v>
      </c>
      <c r="Z32" s="24">
        <v>0.2361</v>
      </c>
      <c r="AA32" s="25">
        <v>47</v>
      </c>
      <c r="AB32" s="24">
        <f t="shared" si="0"/>
        <v>0.35415</v>
      </c>
      <c r="AC32" s="25"/>
      <c r="AE32">
        <v>0.6</v>
      </c>
    </row>
    <row r="33" customFormat="1" spans="1:31">
      <c r="A33" t="s">
        <v>238</v>
      </c>
      <c r="B33" s="27"/>
      <c r="Q33" s="24"/>
      <c r="R33" s="27"/>
      <c r="Y33" t="s">
        <v>105</v>
      </c>
      <c r="Z33" s="24">
        <f>272.47%/2</f>
        <v>1.36235</v>
      </c>
      <c r="AA33" s="25">
        <f>548/2</f>
        <v>274</v>
      </c>
      <c r="AB33" s="24">
        <f t="shared" si="0"/>
        <v>2.043525</v>
      </c>
      <c r="AC33" s="25"/>
      <c r="AE33">
        <v>1</v>
      </c>
    </row>
    <row r="34" customFormat="1" spans="1:31">
      <c r="A34" t="s">
        <v>239</v>
      </c>
      <c r="Q34" s="24"/>
      <c r="R34" s="27"/>
      <c r="Y34" t="s">
        <v>105</v>
      </c>
      <c r="Z34" s="24">
        <f>272.47%+150.14%</f>
        <v>4.2261</v>
      </c>
      <c r="AA34" s="25">
        <f>548+302</f>
        <v>850</v>
      </c>
      <c r="AB34" s="24">
        <f t="shared" si="0"/>
        <v>6.33915</v>
      </c>
      <c r="AC34" s="25"/>
      <c r="AE34">
        <v>1</v>
      </c>
    </row>
    <row r="35" customFormat="1" spans="1:31">
      <c r="A35" t="s">
        <v>240</v>
      </c>
      <c r="B35" s="27"/>
      <c r="Q35" s="24"/>
      <c r="R35" s="27"/>
      <c r="T35" s="27"/>
      <c r="Y35" t="s">
        <v>105</v>
      </c>
      <c r="Z35" s="24">
        <v>0.2958</v>
      </c>
      <c r="AA35" s="25">
        <v>59</v>
      </c>
      <c r="AB35" s="24">
        <f t="shared" si="0"/>
        <v>0.4437</v>
      </c>
      <c r="AC35" s="25"/>
      <c r="AE35">
        <v>0.6</v>
      </c>
    </row>
    <row r="36" customFormat="1" spans="1:31">
      <c r="A36" t="s">
        <v>241</v>
      </c>
      <c r="Q36" s="24"/>
      <c r="R36" s="27"/>
      <c r="Y36" t="s">
        <v>105</v>
      </c>
      <c r="Z36" s="24">
        <v>1.024</v>
      </c>
      <c r="AA36" s="25">
        <v>203</v>
      </c>
      <c r="AB36" s="24">
        <f t="shared" si="0"/>
        <v>1.536</v>
      </c>
      <c r="AC36" s="25"/>
      <c r="AE36">
        <v>1</v>
      </c>
    </row>
    <row r="37" customFormat="1" spans="1:31">
      <c r="A37" t="s">
        <v>242</v>
      </c>
      <c r="B37" s="27">
        <v>0.8</v>
      </c>
      <c r="Q37" s="24"/>
      <c r="R37" s="27"/>
      <c r="Y37" t="s">
        <v>105</v>
      </c>
      <c r="Z37" s="24">
        <v>1.7066</v>
      </c>
      <c r="AA37" s="25">
        <v>339</v>
      </c>
      <c r="AB37" s="24">
        <f t="shared" si="0"/>
        <v>2.5599</v>
      </c>
      <c r="AC37" s="25"/>
      <c r="AE37">
        <v>1</v>
      </c>
    </row>
    <row r="38" customFormat="1" spans="1:31">
      <c r="A38" t="s">
        <v>243</v>
      </c>
      <c r="Q38" s="24"/>
      <c r="R38" s="27"/>
      <c r="Y38" t="s">
        <v>105</v>
      </c>
      <c r="Z38" s="24">
        <v>0.7022</v>
      </c>
      <c r="AA38" s="25">
        <v>139</v>
      </c>
      <c r="AB38" s="24">
        <f t="shared" si="0"/>
        <v>1.0533</v>
      </c>
      <c r="AC38" s="25"/>
      <c r="AE38">
        <v>1</v>
      </c>
    </row>
    <row r="39" customFormat="1" spans="1:31">
      <c r="A39" t="s">
        <v>244</v>
      </c>
      <c r="Q39" s="24"/>
      <c r="R39" s="27"/>
      <c r="Y39" t="s">
        <v>105</v>
      </c>
      <c r="Z39" s="24">
        <v>1.6091</v>
      </c>
      <c r="AA39" s="25">
        <v>319</v>
      </c>
      <c r="AB39" s="24">
        <f t="shared" si="0"/>
        <v>2.41365</v>
      </c>
      <c r="AC39" s="25"/>
      <c r="AE39">
        <v>1</v>
      </c>
    </row>
    <row r="40" customFormat="1" spans="1:31">
      <c r="A40" t="s">
        <v>209</v>
      </c>
      <c r="Q40" s="24"/>
      <c r="R40" s="27"/>
      <c r="Y40" t="s">
        <v>228</v>
      </c>
      <c r="Z40" s="24">
        <v>1</v>
      </c>
      <c r="AA40" s="25"/>
      <c r="AB40" s="24">
        <v>1</v>
      </c>
      <c r="AC40" s="25"/>
      <c r="AE40">
        <v>1</v>
      </c>
    </row>
    <row r="41" customFormat="1" spans="1:31">
      <c r="A41" t="s">
        <v>245</v>
      </c>
      <c r="B41" s="27"/>
      <c r="E41" s="27"/>
      <c r="G41" s="27"/>
      <c r="N41" s="27"/>
      <c r="R41" s="27"/>
      <c r="Y41" t="s">
        <v>109</v>
      </c>
      <c r="Z41" s="24">
        <f>254.72%*2.7</f>
        <v>6.87744</v>
      </c>
      <c r="AA41" s="25">
        <f>511*2.7</f>
        <v>1379.7</v>
      </c>
      <c r="AB41" s="24">
        <f t="shared" si="0"/>
        <v>10.31616</v>
      </c>
      <c r="AC41" s="25"/>
      <c r="AE41">
        <v>1</v>
      </c>
    </row>
    <row r="42" customFormat="1" spans="1:31">
      <c r="A42" t="s">
        <v>78</v>
      </c>
      <c r="Q42" s="24"/>
      <c r="Y42" t="s">
        <v>109</v>
      </c>
      <c r="Z42" s="24">
        <f>118.87%*2</f>
        <v>2.3774</v>
      </c>
      <c r="AA42" s="25">
        <f>238*2</f>
        <v>476</v>
      </c>
      <c r="AB42" s="24">
        <f t="shared" si="0"/>
        <v>3.5661</v>
      </c>
      <c r="AC42" s="25"/>
      <c r="AE42">
        <v>1</v>
      </c>
    </row>
    <row r="43" customFormat="1" spans="1:31">
      <c r="A43" t="s">
        <v>84</v>
      </c>
      <c r="Q43" s="24"/>
      <c r="Y43" t="s">
        <v>228</v>
      </c>
      <c r="Z43" s="24">
        <v>0</v>
      </c>
      <c r="AA43" s="25"/>
      <c r="AB43" s="24">
        <v>0</v>
      </c>
      <c r="AC43" s="25"/>
      <c r="AE43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topLeftCell="A19" workbookViewId="0">
      <selection activeCell="I51" sqref="I5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246</v>
      </c>
      <c r="V1" t="s">
        <v>247</v>
      </c>
      <c r="W1" s="24" t="s">
        <v>71</v>
      </c>
      <c r="X1" s="26" t="s">
        <v>73</v>
      </c>
    </row>
    <row r="2" spans="1:27">
      <c r="A2" t="s">
        <v>85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7">
      <c r="A3" t="s">
        <v>248</v>
      </c>
      <c r="B3" s="27">
        <f>IF(期望!$D$20="√",25%,0)</f>
        <v>0.25</v>
      </c>
      <c r="W3" s="28"/>
      <c r="X3" s="28"/>
      <c r="Y3" s="29"/>
      <c r="Z3" s="28"/>
    </row>
    <row r="4" spans="1:27">
      <c r="A4" t="s">
        <v>100</v>
      </c>
      <c r="B4" s="27"/>
      <c r="E4" s="27">
        <f>IF(期望!$D$21="√",12%,0)</f>
        <v>0</v>
      </c>
      <c r="H4" s="27">
        <f>IF(期望!$D$21="√",12%,0)</f>
        <v>0</v>
      </c>
      <c r="I4" s="27"/>
      <c r="W4" s="28"/>
      <c r="X4" s="28"/>
      <c r="Y4" s="29"/>
      <c r="Z4" s="28"/>
    </row>
    <row r="5" spans="1:27">
      <c r="A5" t="s">
        <v>92</v>
      </c>
      <c r="B5" s="27"/>
      <c r="H5" s="27">
        <f>IF(期望!$D$21="√",6%,0)</f>
        <v>0</v>
      </c>
      <c r="W5" s="28"/>
      <c r="X5" s="28"/>
      <c r="Y5" s="29"/>
      <c r="Z5" s="28"/>
    </row>
    <row r="6" spans="1:27">
      <c r="A6" t="s">
        <v>87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8"/>
      <c r="X6" s="28"/>
      <c r="Y6" s="29"/>
      <c r="Z6" s="28"/>
    </row>
    <row r="7" spans="1:27">
      <c r="A7" t="s">
        <v>81</v>
      </c>
      <c r="B7" s="27"/>
      <c r="G7" s="27">
        <v>0.02</v>
      </c>
      <c r="J7" s="27">
        <v>0.02</v>
      </c>
      <c r="L7" s="27">
        <v>0.02</v>
      </c>
      <c r="N7" s="27">
        <v>0.02</v>
      </c>
      <c r="P7" s="27">
        <v>0.02</v>
      </c>
      <c r="W7" s="28"/>
      <c r="X7" s="28"/>
      <c r="Y7" s="29"/>
      <c r="Z7" s="28"/>
    </row>
    <row r="8" spans="1:27">
      <c r="A8" t="s">
        <v>181</v>
      </c>
      <c r="B8" s="27"/>
      <c r="W8" s="28"/>
      <c r="X8" s="28">
        <v>0.2</v>
      </c>
      <c r="Y8" s="29"/>
      <c r="Z8" s="28"/>
    </row>
    <row r="9" spans="1:27">
      <c r="A9" t="s">
        <v>88</v>
      </c>
      <c r="B9" s="27"/>
      <c r="W9" s="28">
        <v>0.05</v>
      </c>
      <c r="X9" s="28"/>
      <c r="Y9" s="29"/>
      <c r="Z9" s="28"/>
    </row>
    <row r="10" customFormat="1" spans="1:27">
      <c r="A10" t="s">
        <v>111</v>
      </c>
      <c r="B10" s="27"/>
      <c r="F10">
        <f>IF(期望!$E$22="燕别云岫",6,0)</f>
        <v>0</v>
      </c>
      <c r="I10">
        <f>IF(期望!$E$22="燕别云岫",6,0)</f>
        <v>0</v>
      </c>
      <c r="K10">
        <f>IF(期望!$E$22="燕别云岫",6,0)</f>
        <v>0</v>
      </c>
      <c r="M10">
        <f>IF(期望!$E$22="燕别云岫",6,0)</f>
        <v>0</v>
      </c>
      <c r="O10">
        <f>IF(期望!$E$22="燕别云岫",6,0)</f>
        <v>0</v>
      </c>
      <c r="W10" s="28"/>
      <c r="X10" s="28"/>
      <c r="Y10" s="29"/>
      <c r="Z10" s="28"/>
      <c r="AA10" s="25"/>
    </row>
    <row r="11" customFormat="1" spans="1:27">
      <c r="A11" t="s">
        <v>171</v>
      </c>
      <c r="B11" s="27"/>
      <c r="F11">
        <f>IF(期望!$E$22="燕别云岫",7,0)</f>
        <v>0</v>
      </c>
      <c r="I11">
        <f>IF(期望!$E$22="燕别云岫",7,0)</f>
        <v>0</v>
      </c>
      <c r="K11">
        <f>IF(期望!$E$22="燕别云岫",7,0)</f>
        <v>0</v>
      </c>
      <c r="M11">
        <f>IF(期望!$E$22="燕别云岫",7,0)</f>
        <v>0</v>
      </c>
      <c r="O11">
        <f>IF(期望!$E$22="燕别云岫",7,0)</f>
        <v>0</v>
      </c>
      <c r="W11" s="28"/>
      <c r="X11" s="28"/>
      <c r="Y11" s="29"/>
      <c r="Z11" s="28"/>
      <c r="AA11" s="25"/>
    </row>
    <row r="12" customFormat="1" spans="1:27">
      <c r="A12" t="s">
        <v>249</v>
      </c>
      <c r="B12" s="27"/>
      <c r="F12">
        <f>IF(期望!$E$22="燕别云岫",8,0)</f>
        <v>0</v>
      </c>
      <c r="I12">
        <f>IF(期望!$E$22="燕别云岫",8,0)</f>
        <v>0</v>
      </c>
      <c r="K12">
        <f>IF(期望!$E$22="燕别云岫",8,0)</f>
        <v>0</v>
      </c>
      <c r="M12">
        <f>IF(期望!$E$22="燕别云岫",8,0)</f>
        <v>0</v>
      </c>
      <c r="O12">
        <f>IF(期望!$E$22="燕别云岫",8,0)</f>
        <v>0</v>
      </c>
      <c r="W12" s="28"/>
      <c r="X12" s="28"/>
      <c r="Y12" s="29"/>
      <c r="Z12" s="28"/>
      <c r="AA12" s="25"/>
    </row>
    <row r="13" customFormat="1" spans="1:27">
      <c r="A13" t="s">
        <v>250</v>
      </c>
      <c r="B13" s="27"/>
      <c r="F13">
        <f>IF(期望!$E$22="燕别云岫",9,0)</f>
        <v>0</v>
      </c>
      <c r="I13">
        <f>IF(期望!$E$22="燕别云岫",9,0)</f>
        <v>0</v>
      </c>
      <c r="K13">
        <f>IF(期望!$E$22="燕别云岫",9,0)</f>
        <v>0</v>
      </c>
      <c r="M13">
        <f>IF(期望!$E$22="燕别云岫",9,0)</f>
        <v>0</v>
      </c>
      <c r="O13">
        <f>IF(期望!$E$22="燕别云岫",9,0)</f>
        <v>0</v>
      </c>
      <c r="W13" s="28"/>
      <c r="X13" s="28"/>
      <c r="Y13" s="29"/>
      <c r="Z13" s="28"/>
      <c r="AA13" s="25"/>
    </row>
    <row r="14" customFormat="1" spans="1:27">
      <c r="A14" t="s">
        <v>205</v>
      </c>
      <c r="B14" s="27"/>
      <c r="F14">
        <f>IF(期望!$E$22="燕别云岫",10,0)</f>
        <v>0</v>
      </c>
      <c r="I14">
        <f>IF(期望!$E$22="燕别云岫",10,0)</f>
        <v>0</v>
      </c>
      <c r="K14">
        <f>IF(期望!$E$22="燕别云岫",10,0)</f>
        <v>0</v>
      </c>
      <c r="M14">
        <f>IF(期望!$E$22="燕别云岫",10,0)</f>
        <v>0</v>
      </c>
      <c r="O14">
        <f>IF(期望!$E$22="燕别云岫",10,0)</f>
        <v>0</v>
      </c>
      <c r="W14" s="28"/>
      <c r="X14" s="28"/>
      <c r="Y14" s="29"/>
      <c r="Z14" s="28"/>
      <c r="AA14" s="25"/>
    </row>
    <row r="15" spans="1:27">
      <c r="A15" t="s">
        <v>86</v>
      </c>
      <c r="B15" s="27"/>
      <c r="F15">
        <f>IF(期望!$E$22="燕别云岫",12,0)</f>
        <v>0</v>
      </c>
      <c r="I15">
        <f>IF(期望!$E$22="燕别云岫",12,0)</f>
        <v>0</v>
      </c>
      <c r="K15">
        <f>IF(期望!$E$22="燕别云岫",12,0)</f>
        <v>0</v>
      </c>
      <c r="M15">
        <f>IF(期望!$E$22="燕别云岫",12,0)</f>
        <v>0</v>
      </c>
      <c r="O15">
        <f>IF(期望!$E$22="燕别云岫",12,0)</f>
        <v>0</v>
      </c>
      <c r="W15" s="28"/>
      <c r="X15" s="28"/>
      <c r="Y15" s="29"/>
      <c r="Z15" s="28"/>
    </row>
    <row r="16" customFormat="1" spans="1:27">
      <c r="A16" t="s">
        <v>107</v>
      </c>
      <c r="B16" s="27"/>
      <c r="F16">
        <f>IF(期望!$E$22="燕别云岫",14,0)</f>
        <v>0</v>
      </c>
      <c r="I16">
        <f>IF(期望!$E$22="燕别云岫",14,0)</f>
        <v>0</v>
      </c>
      <c r="K16">
        <f>IF(期望!$E$22="燕别云岫",14,0)</f>
        <v>0</v>
      </c>
      <c r="M16">
        <f>IF(期望!$E$22="燕别云岫",14,0)</f>
        <v>0</v>
      </c>
      <c r="O16">
        <f>IF(期望!$E$22="燕别云岫",14,0)</f>
        <v>0</v>
      </c>
      <c r="W16" s="28"/>
      <c r="X16" s="28"/>
      <c r="Y16" s="29"/>
      <c r="Z16" s="28"/>
      <c r="AA16" s="25"/>
    </row>
    <row r="17" customFormat="1" spans="1:27">
      <c r="A17" t="s">
        <v>187</v>
      </c>
      <c r="B17" s="27"/>
      <c r="F17">
        <f>IF(期望!$E$22="燕别云岫",16,0)</f>
        <v>0</v>
      </c>
      <c r="I17">
        <f>IF(期望!$E$22="燕别云岫",16,0)</f>
        <v>0</v>
      </c>
      <c r="K17">
        <f>IF(期望!$E$22="燕别云岫",16,0)</f>
        <v>0</v>
      </c>
      <c r="M17">
        <f>IF(期望!$E$22="燕别云岫",16,0)</f>
        <v>0</v>
      </c>
      <c r="O17">
        <f>IF(期望!$E$22="燕别云岫",16,0)</f>
        <v>0</v>
      </c>
      <c r="W17" s="28"/>
      <c r="X17" s="28"/>
      <c r="Y17" s="29"/>
      <c r="Z17" s="28"/>
      <c r="AA17" s="25"/>
    </row>
    <row r="18" customFormat="1" spans="1:27">
      <c r="A18" t="s">
        <v>197</v>
      </c>
      <c r="B18" s="27"/>
      <c r="F18">
        <f>IF(期望!$E$22="燕别云岫",18,0)</f>
        <v>0</v>
      </c>
      <c r="I18">
        <f>IF(期望!$E$22="燕别云岫",18,0)</f>
        <v>0</v>
      </c>
      <c r="K18">
        <f>IF(期望!$E$22="燕别云岫",18,0)</f>
        <v>0</v>
      </c>
      <c r="M18">
        <f>IF(期望!$E$22="燕别云岫",18,0)</f>
        <v>0</v>
      </c>
      <c r="O18">
        <f>IF(期望!$E$22="燕别云岫",18,0)</f>
        <v>0</v>
      </c>
      <c r="W18" s="28"/>
      <c r="X18" s="28"/>
      <c r="Y18" s="29"/>
      <c r="Z18" s="28"/>
      <c r="AA18" s="25"/>
    </row>
    <row r="19" customFormat="1" spans="1:27">
      <c r="A19" t="s">
        <v>204</v>
      </c>
      <c r="B19" s="27"/>
      <c r="F19">
        <f>IF(期望!$E$22="燕别云岫",20,0)</f>
        <v>0</v>
      </c>
      <c r="I19">
        <f>IF(期望!$E$22="燕别云岫",20,0)</f>
        <v>0</v>
      </c>
      <c r="K19">
        <f>IF(期望!$E$22="燕别云岫",20,0)</f>
        <v>0</v>
      </c>
      <c r="M19">
        <f>IF(期望!$E$22="燕别云岫",20,0)</f>
        <v>0</v>
      </c>
      <c r="O19">
        <f>IF(期望!$E$22="燕别云岫",20,0)</f>
        <v>0</v>
      </c>
      <c r="W19" s="28"/>
      <c r="X19" s="28"/>
      <c r="Y19" s="29"/>
      <c r="Z19" s="28"/>
      <c r="AA19" s="25"/>
    </row>
    <row r="20" spans="1:27">
      <c r="A20" t="s">
        <v>195</v>
      </c>
      <c r="B20" s="27"/>
      <c r="W20" s="28">
        <v>0.1</v>
      </c>
    </row>
    <row r="21" spans="1:27">
      <c r="A21" t="s">
        <v>251</v>
      </c>
      <c r="B21" s="27">
        <v>0.02</v>
      </c>
      <c r="W21" s="28"/>
    </row>
    <row r="22" spans="1:27">
      <c r="A22" t="s">
        <v>94</v>
      </c>
      <c r="B22" s="27">
        <v>0.15</v>
      </c>
      <c r="W22" s="28"/>
    </row>
    <row r="23" spans="1:27">
      <c r="A23" t="s">
        <v>252</v>
      </c>
      <c r="B23" s="27"/>
      <c r="F23">
        <f>IF(期望!$E$22="断石之构",12,0)</f>
        <v>12</v>
      </c>
      <c r="J23" s="27"/>
      <c r="R23" s="27">
        <f>IF(期望!$E$22="断石之构",12%,0)</f>
        <v>0.12</v>
      </c>
      <c r="X23" s="28"/>
      <c r="Y23" s="29"/>
      <c r="Z23" s="28"/>
    </row>
    <row r="24" customFormat="1" spans="1:27">
      <c r="A24" t="s">
        <v>198</v>
      </c>
      <c r="B24" s="27"/>
      <c r="F24">
        <f>IF(期望!$E$22="断石之构",5,0)</f>
        <v>5</v>
      </c>
      <c r="J24" s="27"/>
      <c r="R24" s="27">
        <f>IF(期望!$E$22="断石之构",5%,0)</f>
        <v>0.05</v>
      </c>
      <c r="W24" s="24"/>
      <c r="X24" s="28"/>
      <c r="Y24" s="29"/>
      <c r="Z24" s="28"/>
      <c r="AA24" s="25"/>
    </row>
    <row r="25" customFormat="1" spans="1:27">
      <c r="A25" t="s">
        <v>199</v>
      </c>
      <c r="B25" s="27"/>
      <c r="F25">
        <f>IF(期望!$E$22="断石之构",10,0)</f>
        <v>10</v>
      </c>
      <c r="J25" s="27"/>
      <c r="R25" s="27">
        <f>IF(期望!$E$22="断石之构",10%,0)</f>
        <v>0.1</v>
      </c>
      <c r="W25" s="24"/>
      <c r="X25" s="28"/>
      <c r="Y25" s="29"/>
      <c r="Z25" s="28"/>
      <c r="AA25" s="25"/>
    </row>
    <row r="26" customFormat="1" spans="1:27">
      <c r="A26" t="s">
        <v>253</v>
      </c>
      <c r="B26" s="27"/>
      <c r="F26">
        <f>IF(期望!$E$22="断石之构",15,0)</f>
        <v>15</v>
      </c>
      <c r="J26" s="27"/>
      <c r="R26" s="27">
        <f>IF(期望!$E$22="断石之构",15%,0)</f>
        <v>0.15</v>
      </c>
      <c r="W26" s="24"/>
      <c r="X26" s="28"/>
      <c r="Y26" s="29"/>
      <c r="Z26" s="28"/>
      <c r="AA26" s="25"/>
    </row>
    <row r="27" customFormat="1" spans="1:27">
      <c r="A27" t="s">
        <v>201</v>
      </c>
      <c r="B27" s="27"/>
      <c r="F27">
        <f>IF(期望!$E$22="断石之构",20,0)</f>
        <v>20</v>
      </c>
      <c r="J27" s="27"/>
      <c r="R27" s="27">
        <f>IF(期望!$E$22="断石之构",20%,0)</f>
        <v>0.2</v>
      </c>
      <c r="W27" s="24"/>
      <c r="X27" s="28"/>
      <c r="Y27" s="29"/>
      <c r="Z27" s="28"/>
      <c r="AA27" s="25"/>
    </row>
    <row r="28" spans="1:27">
      <c r="A28" t="s">
        <v>93</v>
      </c>
      <c r="B28" s="27"/>
      <c r="F28">
        <f>IF(期望!$E$22="断石之构",25,0)</f>
        <v>25</v>
      </c>
      <c r="J28" s="27"/>
      <c r="R28" s="27">
        <f>IF(期望!$E$22="断石之构",25%,0)</f>
        <v>0.25</v>
      </c>
      <c r="X28" s="28"/>
      <c r="Y28" s="29"/>
      <c r="Z28" s="28"/>
    </row>
    <row r="29" spans="1:27">
      <c r="A29" t="s">
        <v>196</v>
      </c>
      <c r="B29" s="27"/>
      <c r="J29" s="27">
        <f>IF(期望!$D$18="√",10%,0)</f>
        <v>0.1</v>
      </c>
      <c r="W29" s="24">
        <f>IF(期望!$D$18="√",10%,0)</f>
        <v>0.1</v>
      </c>
      <c r="X29" s="28"/>
      <c r="Y29" s="29"/>
      <c r="Z29" s="28"/>
    </row>
    <row r="30" spans="1:27">
      <c r="A30" t="s">
        <v>83</v>
      </c>
      <c r="B30" s="27"/>
      <c r="G30" s="27">
        <v>0.09</v>
      </c>
      <c r="P30" s="27">
        <v>0.09</v>
      </c>
      <c r="X30" s="28"/>
      <c r="Y30" s="29"/>
      <c r="Z30" s="28"/>
    </row>
    <row r="31" spans="1:27">
      <c r="A31" t="s">
        <v>82</v>
      </c>
      <c r="R31" s="27">
        <v>0.05</v>
      </c>
      <c r="X31" s="28"/>
      <c r="Y31" s="29"/>
      <c r="Z31" s="28"/>
    </row>
    <row r="32" spans="1:27">
      <c r="A32" t="s">
        <v>130</v>
      </c>
      <c r="R32" s="27">
        <v>0.1</v>
      </c>
      <c r="X32" s="28"/>
      <c r="Y32" s="29"/>
      <c r="Z32" s="28"/>
    </row>
    <row r="33" spans="1:26">
      <c r="A33" t="s">
        <v>117</v>
      </c>
      <c r="R33" s="27">
        <f>IF(期望!$F$16="√",1%,0)</f>
        <v>0.01</v>
      </c>
      <c r="X33" s="28"/>
      <c r="Y33" s="29"/>
      <c r="Z33" s="28"/>
    </row>
    <row r="34" spans="1:26">
      <c r="A34" t="s">
        <v>80</v>
      </c>
      <c r="R34" s="27">
        <f>IF(期望!$F$16="√",2%,0)</f>
        <v>0.02</v>
      </c>
      <c r="X34" s="28"/>
      <c r="Y34" s="29"/>
      <c r="Z34" s="28"/>
    </row>
    <row r="35" spans="1:26">
      <c r="A35" t="s">
        <v>99</v>
      </c>
      <c r="R35" s="27">
        <f>IF(期望!$F$16="√",3%,0)</f>
        <v>0.03</v>
      </c>
      <c r="X35" s="28"/>
      <c r="Y35" s="29"/>
      <c r="Z35" s="28"/>
    </row>
    <row r="36" spans="1:26">
      <c r="A36" t="s">
        <v>106</v>
      </c>
      <c r="R36" s="27">
        <f>IF(期望!$F$16="√",4%,0)</f>
        <v>0.04</v>
      </c>
      <c r="X36" s="28"/>
      <c r="Y36" s="29"/>
      <c r="Z36" s="28"/>
    </row>
    <row r="37" spans="1:26">
      <c r="A37" t="s">
        <v>158</v>
      </c>
      <c r="R37" s="27">
        <f>IF(期望!$F$16="√",5%,0)</f>
        <v>0.05</v>
      </c>
      <c r="X37" s="28"/>
      <c r="Y37" s="29"/>
      <c r="Z37" s="28"/>
    </row>
    <row r="38" spans="1:26">
      <c r="A38" t="s">
        <v>170</v>
      </c>
      <c r="R38" s="27">
        <f>IF(期望!$F$16="√",6%,0)</f>
        <v>0.06</v>
      </c>
      <c r="X38" s="28"/>
      <c r="Y38" s="29"/>
      <c r="Z38" s="28"/>
    </row>
    <row r="39" spans="1:26">
      <c r="A39" t="s">
        <v>175</v>
      </c>
      <c r="R39" s="27">
        <f>IF(期望!$F$16="√",7%,0)</f>
        <v>0.07</v>
      </c>
      <c r="X39" s="28"/>
      <c r="Y39" s="29"/>
      <c r="Z39" s="28"/>
    </row>
    <row r="40" spans="1:26">
      <c r="A40" t="s">
        <v>186</v>
      </c>
      <c r="R40" s="27">
        <f>IF(期望!$F$16="√",8%,0)</f>
        <v>0.08</v>
      </c>
      <c r="X40" s="28"/>
      <c r="Y40" s="29"/>
      <c r="Z40" s="28"/>
    </row>
    <row r="41" spans="1:26">
      <c r="A41" t="s">
        <v>192</v>
      </c>
      <c r="R41" s="27">
        <f>IF(期望!$F$16="√",9%,0)</f>
        <v>0.09</v>
      </c>
      <c r="X41" s="28"/>
      <c r="Y41" s="29"/>
      <c r="Z41" s="28"/>
    </row>
    <row r="42" spans="1:26">
      <c r="A42" t="s">
        <v>194</v>
      </c>
      <c r="R42" s="27">
        <f>IF(期望!$F$16="√",10%,0)</f>
        <v>0.1</v>
      </c>
      <c r="X42" s="28"/>
      <c r="Y42" s="29"/>
      <c r="Z42" s="28"/>
    </row>
    <row r="43" spans="1:26">
      <c r="A43" t="s">
        <v>254</v>
      </c>
      <c r="R43" s="27">
        <f>IF(期望!$F$16="√",10%,0)</f>
        <v>0.1</v>
      </c>
      <c r="X43" s="28"/>
      <c r="Y43" s="29"/>
      <c r="Z43" s="28"/>
    </row>
    <row r="44" spans="1:26">
      <c r="A44" t="s">
        <v>116</v>
      </c>
      <c r="B44" s="27">
        <f>1%*IF(期望!$E$24="易水歌",1,0)</f>
        <v>0.01</v>
      </c>
      <c r="F44">
        <f>2*IF(期望!$E$24="易水歌",1,0)</f>
        <v>2</v>
      </c>
      <c r="X44" s="28"/>
      <c r="Y44" s="29"/>
      <c r="Z44" s="28"/>
    </row>
    <row r="45" spans="1:26">
      <c r="A45" t="s">
        <v>79</v>
      </c>
      <c r="B45" s="27">
        <f>2%*IF(期望!$E$24="易水歌",1,0)</f>
        <v>0.02</v>
      </c>
      <c r="F45">
        <f>4*IF(期望!$E$24="易水歌",1,0)</f>
        <v>4</v>
      </c>
      <c r="X45" s="28"/>
      <c r="Y45" s="29"/>
      <c r="Z45" s="28"/>
    </row>
    <row r="46" spans="1:26">
      <c r="A46" t="s">
        <v>91</v>
      </c>
      <c r="B46" s="27">
        <f>3%*IF(期望!$E$24="易水歌",1,0)</f>
        <v>0.03</v>
      </c>
      <c r="F46">
        <f>6*IF(期望!$E$24="易水歌",1,0)</f>
        <v>6</v>
      </c>
      <c r="X46" s="28"/>
      <c r="Y46" s="29"/>
      <c r="Z46" s="28"/>
    </row>
    <row r="47" spans="1:26">
      <c r="A47" t="s">
        <v>98</v>
      </c>
      <c r="B47" s="27">
        <f>4%*IF(期望!$E$24="易水歌",1,0)</f>
        <v>0.04</v>
      </c>
      <c r="F47">
        <f>8*IF(期望!$E$24="易水歌",1,0)</f>
        <v>8</v>
      </c>
      <c r="X47" s="28"/>
      <c r="Y47" s="29"/>
      <c r="Z47" s="28"/>
    </row>
    <row r="48" spans="1:26">
      <c r="A48" t="s">
        <v>104</v>
      </c>
      <c r="B48" s="27">
        <f>5%*IF(期望!$E$24="易水歌",1,0)</f>
        <v>0.05</v>
      </c>
      <c r="F48">
        <f>10*IF(期望!$E$24="易水歌",1,0)</f>
        <v>10</v>
      </c>
      <c r="X48" s="28"/>
      <c r="Y48" s="29"/>
      <c r="Z48" s="28"/>
    </row>
    <row r="49" spans="1:26">
      <c r="A49" t="s">
        <v>84</v>
      </c>
      <c r="X49" s="28"/>
      <c r="Y49" s="29"/>
      <c r="Z49" s="28"/>
    </row>
    <row r="50" spans="1:26">
      <c r="X50" s="28"/>
      <c r="Y50" s="29"/>
      <c r="Z5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H34" sqref="H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255</v>
      </c>
      <c r="B1" s="3" t="s">
        <v>256</v>
      </c>
      <c r="C1" s="4" t="s">
        <v>257</v>
      </c>
      <c r="D1" s="5" t="s">
        <v>258</v>
      </c>
    </row>
    <row r="2" ht="14.25" spans="1:4">
      <c r="A2" s="6">
        <v>0.1</v>
      </c>
      <c r="B2" s="7">
        <v>1</v>
      </c>
      <c r="C2" s="8" t="s">
        <v>259</v>
      </c>
      <c r="D2" s="4" t="s">
        <v>260</v>
      </c>
    </row>
    <row r="3" spans="1:4">
      <c r="A3" s="9">
        <v>0.2</v>
      </c>
      <c r="B3" s="10">
        <v>1</v>
      </c>
      <c r="C3" s="11" t="s">
        <v>261</v>
      </c>
    </row>
    <row r="4" ht="14.25" spans="1:4">
      <c r="A4" s="12"/>
      <c r="B4" s="13">
        <v>2</v>
      </c>
      <c r="C4" s="14" t="s">
        <v>262</v>
      </c>
    </row>
    <row r="5" spans="1:4">
      <c r="A5" s="9">
        <v>0.3</v>
      </c>
      <c r="B5" s="15">
        <v>1</v>
      </c>
      <c r="C5" s="11" t="s">
        <v>263</v>
      </c>
    </row>
    <row r="6" ht="14.25" spans="1:4">
      <c r="A6" s="12"/>
      <c r="B6" s="13">
        <v>2</v>
      </c>
      <c r="C6" s="14" t="s">
        <v>264</v>
      </c>
    </row>
    <row r="7" ht="14.25" spans="1:4">
      <c r="A7" s="16">
        <v>0.4</v>
      </c>
      <c r="B7" s="17">
        <v>1</v>
      </c>
      <c r="C7" s="8" t="s">
        <v>265</v>
      </c>
    </row>
    <row r="8" ht="14.25" spans="1:4">
      <c r="A8" s="16">
        <v>0.5</v>
      </c>
      <c r="B8" s="17">
        <v>1</v>
      </c>
      <c r="C8" s="8" t="s">
        <v>266</v>
      </c>
    </row>
    <row r="9" spans="1:4">
      <c r="A9" s="18">
        <v>1</v>
      </c>
      <c r="B9" s="15">
        <v>1</v>
      </c>
      <c r="C9" s="11" t="s">
        <v>267</v>
      </c>
    </row>
    <row r="10" ht="14.25" spans="1:4">
      <c r="A10" s="19"/>
      <c r="B10" s="20">
        <v>2</v>
      </c>
      <c r="C10" s="21" t="s">
        <v>268</v>
      </c>
    </row>
    <row r="11" spans="1:4">
      <c r="A11" s="18">
        <v>2</v>
      </c>
      <c r="B11" s="15">
        <v>1</v>
      </c>
      <c r="C11" s="11" t="s">
        <v>269</v>
      </c>
    </row>
    <row r="12" ht="14.25" spans="1:4">
      <c r="A12" s="22"/>
      <c r="B12" s="13">
        <v>2</v>
      </c>
      <c r="C12" s="14" t="s">
        <v>270</v>
      </c>
    </row>
    <row r="13" ht="14.25" spans="1:4">
      <c r="A13" s="9">
        <v>2.1</v>
      </c>
      <c r="B13" s="15">
        <v>1</v>
      </c>
      <c r="C13" s="11" t="s">
        <v>271</v>
      </c>
    </row>
    <row r="14" spans="1:4">
      <c r="A14" s="18">
        <v>3</v>
      </c>
      <c r="B14" s="15">
        <v>1</v>
      </c>
      <c r="C14" s="11" t="s">
        <v>272</v>
      </c>
    </row>
    <row r="15" ht="14.25" spans="1:4">
      <c r="A15" s="22"/>
      <c r="B15" s="13">
        <v>2</v>
      </c>
      <c r="C15" s="14" t="s">
        <v>273</v>
      </c>
    </row>
    <row r="16" ht="14.25" spans="1:4">
      <c r="A16" s="16">
        <v>3.1</v>
      </c>
      <c r="B16" s="17">
        <v>1</v>
      </c>
      <c r="C16" s="8" t="s">
        <v>274</v>
      </c>
    </row>
    <row r="17" ht="14.25" spans="1:3">
      <c r="A17" s="16">
        <v>3.2</v>
      </c>
      <c r="B17" s="17">
        <v>1</v>
      </c>
      <c r="C17" s="8" t="s">
        <v>275</v>
      </c>
    </row>
    <row r="18" spans="1:3">
      <c r="A18" s="18">
        <v>3.3</v>
      </c>
      <c r="B18" s="15">
        <v>1</v>
      </c>
      <c r="C18" s="11" t="s">
        <v>276</v>
      </c>
    </row>
    <row r="19" ht="14.25" spans="1:3">
      <c r="A19" s="22"/>
      <c r="B19" s="13">
        <v>2</v>
      </c>
      <c r="C19" s="14" t="s">
        <v>277</v>
      </c>
    </row>
    <row r="20" ht="14.25" spans="1:3">
      <c r="A20" s="16">
        <v>3.4</v>
      </c>
      <c r="B20" s="17">
        <v>1</v>
      </c>
      <c r="C20" s="8" t="s">
        <v>278</v>
      </c>
    </row>
    <row r="21" ht="14.25" spans="1:3">
      <c r="A21" s="16">
        <v>3.5</v>
      </c>
      <c r="B21" s="17">
        <v>1</v>
      </c>
      <c r="C21" s="8" t="s">
        <v>279</v>
      </c>
    </row>
    <row r="22" ht="14.25" spans="1:3">
      <c r="A22" s="16">
        <v>3.6</v>
      </c>
      <c r="B22" s="17">
        <v>1</v>
      </c>
      <c r="C22" s="8" t="s">
        <v>280</v>
      </c>
    </row>
    <row r="23" spans="1:3">
      <c r="A23" s="18">
        <v>3.7</v>
      </c>
      <c r="B23" s="15">
        <v>1</v>
      </c>
      <c r="C23" s="11" t="s">
        <v>281</v>
      </c>
    </row>
    <row r="24" ht="14.25" spans="1:3">
      <c r="A24" s="22"/>
      <c r="B24" s="13">
        <v>2</v>
      </c>
      <c r="C24" s="14" t="s">
        <v>282</v>
      </c>
    </row>
    <row r="25" spans="1:3">
      <c r="A25" s="23"/>
      <c r="B25" s="20"/>
      <c r="C25" s="20"/>
    </row>
    <row r="26" spans="1:3">
      <c r="A26" s="23"/>
      <c r="B26" s="20"/>
      <c r="C26" s="20"/>
    </row>
    <row r="27" spans="1:3">
      <c r="A27" s="23"/>
      <c r="B27" s="20"/>
      <c r="C27" s="20"/>
    </row>
    <row r="28" spans="1:3">
      <c r="A28" s="23"/>
      <c r="B28" s="20"/>
      <c r="C28" s="20"/>
    </row>
    <row r="29" spans="1:3">
      <c r="A29" s="23"/>
      <c r="B29" s="20"/>
      <c r="C29" s="20"/>
    </row>
    <row r="30" spans="1:3">
      <c r="A30" s="23"/>
      <c r="B30" s="20"/>
      <c r="C30" s="20"/>
    </row>
    <row r="31" spans="1:3">
      <c r="A31" s="23"/>
      <c r="B31" s="20"/>
      <c r="C31" s="20"/>
    </row>
    <row r="32" spans="1:3">
      <c r="A32" s="23"/>
      <c r="B32" s="20"/>
      <c r="C32" s="20"/>
    </row>
    <row r="33" spans="1:3">
      <c r="A33" s="23"/>
      <c r="B33" s="20"/>
      <c r="C33" s="20"/>
    </row>
    <row r="34" spans="1:3">
      <c r="A34" s="23"/>
      <c r="B34" s="20"/>
      <c r="C34" s="20"/>
    </row>
    <row r="35" spans="1:3">
      <c r="A35" s="23"/>
      <c r="B35" s="20"/>
      <c r="C35" s="20"/>
    </row>
    <row r="36" spans="1:3">
      <c r="A36" s="23"/>
      <c r="B36" s="20"/>
      <c r="C36" s="20"/>
    </row>
    <row r="37" spans="1:3">
      <c r="A37" s="23"/>
      <c r="B37" s="20"/>
      <c r="C37" s="20"/>
    </row>
    <row r="38" spans="1:3">
      <c r="A38" s="23"/>
      <c r="B38" s="20"/>
      <c r="C38" s="20"/>
    </row>
    <row r="39" spans="1:3">
      <c r="A39" s="23"/>
      <c r="B39" s="20"/>
      <c r="C39" s="20"/>
    </row>
    <row r="40" spans="1:3">
      <c r="A40" s="23"/>
      <c r="B40" s="20"/>
      <c r="C40" s="20"/>
    </row>
    <row r="41" spans="1:3">
      <c r="A41" s="23"/>
      <c r="B41" s="20"/>
      <c r="C41" s="20"/>
    </row>
    <row r="42" spans="1:3">
      <c r="A42" s="23"/>
      <c r="B42" s="20"/>
      <c r="C42" s="20"/>
    </row>
    <row r="43" spans="1:3">
      <c r="A43" s="23"/>
      <c r="B43" s="20"/>
      <c r="C43" s="20"/>
    </row>
    <row r="44" spans="1:3">
      <c r="A44" s="23"/>
      <c r="B44" s="20"/>
      <c r="C44" s="20"/>
    </row>
    <row r="45" spans="1:3">
      <c r="A45" s="23"/>
      <c r="B45" s="20"/>
      <c r="C45" s="20"/>
    </row>
  </sheetData>
  <mergeCells count="7">
    <mergeCell ref="A3:A4"/>
    <mergeCell ref="A5:A6"/>
    <mergeCell ref="A9:A10"/>
    <mergeCell ref="A11:A12"/>
    <mergeCell ref="A14:A15"/>
    <mergeCell ref="A18:A19"/>
    <mergeCell ref="A23:A2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2026-10-10T00:48:39Z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