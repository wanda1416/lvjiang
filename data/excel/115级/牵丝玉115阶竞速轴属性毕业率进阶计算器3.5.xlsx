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<sst xmlns="http://schemas.openxmlformats.org/spreadsheetml/2006/main" count="6376" uniqueCount="298">
  <si>
    <t>最小攻击</t>
  </si>
  <si>
    <t>最大攻击</t>
  </si>
  <si>
    <t>穿透</t>
  </si>
  <si>
    <t>伤害加成</t>
  </si>
  <si>
    <t>武学属性</t>
  </si>
  <si>
    <t>牵丝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</si>
  <si>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</si>
  <si>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</si>
  <si>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</si>
  <si>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</si>
  <si>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</si>
  <si>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</si>
  <si>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</si>
  <si>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</si>
  <si>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</si>
  <si>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</si>
  <si>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</si>
  <si>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</si>
  <si>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</si>
  <si>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</si>
  <si>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</si>
  <si>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</si>
  <si>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</si>
  <si>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</si>
  <si>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</si>
  <si>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</si>
  <si>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</si>
  <si>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</si>
  <si>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</si>
  <si>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</si>
  <si>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</si>
  <si>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</si>
  <si>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</si>
  <si>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</si>
  <si>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</si>
  <si>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</si>
  <si>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</si>
  <si>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</si>
  <si>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</si>
  <si>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</si>
  <si>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</si>
  <si>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</si>
  <si>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</si>
  <si>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</si>
  <si>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</si>
  <si>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</si>
  <si>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</si>
  <si>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</si>
  <si>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</si>
  <si>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</si>
  <si>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</si>
  <si>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</si>
  <si>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</si>
  <si>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</si>
  <si>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</si>
  <si>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</si>
  <si>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</si>
  <si>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</si>
  <si>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</si>
  <si>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</si>
  <si>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</si>
  <si>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</si>
  <si>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</si>
  <si>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</si>
  <si>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</si>
  <si>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</si>
  <si>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</si>
  <si>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</si>
  <si>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</si>
  <si>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</si>
  <si>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</si>
  <si>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</si>
  <si>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</si>
  <si>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</si>
  <si>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</si>
  <si>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烟柳</t>
  </si>
  <si>
    <t>防御</t>
  </si>
  <si>
    <t>千灯一月单次</t>
  </si>
  <si>
    <t>易水歌2层</t>
  </si>
  <si>
    <t>沧海帖2层</t>
  </si>
  <si>
    <t>N/a</t>
  </si>
  <si>
    <t>小纵地</t>
  </si>
  <si>
    <t>惧刃(拐)</t>
  </si>
  <si>
    <t>离猎(拐)</t>
  </si>
  <si>
    <t>鸣金</t>
  </si>
  <si>
    <t>外抗</t>
  </si>
  <si>
    <t>易水歌3层</t>
  </si>
  <si>
    <t>沧海帖3层</t>
  </si>
  <si>
    <t>裂石</t>
  </si>
  <si>
    <t>伞</t>
  </si>
  <si>
    <t>属抗</t>
  </si>
  <si>
    <t>易水歌5层</t>
  </si>
  <si>
    <t>扇</t>
  </si>
  <si>
    <t>副本天赋</t>
  </si>
  <si>
    <t>沧海帖4层</t>
  </si>
  <si>
    <t>破竹</t>
  </si>
  <si>
    <t>单体奇术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</si>
  <si>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</si>
  <si>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</si>
  <si>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</si>
  <si>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</si>
  <si>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</si>
  <si>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</si>
  <si>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</si>
  <si>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易水歌1层</t>
  </si>
  <si>
    <t>沧海帖1层</t>
  </si>
  <si>
    <t>连中</t>
  </si>
  <si>
    <t>会心率</t>
  </si>
  <si>
    <t>伞重击派生</t>
  </si>
  <si>
    <t>断石5</t>
  </si>
  <si>
    <t>阴阳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</si>
  <si>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</si>
  <si>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</si>
  <si>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</si>
  <si>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</si>
  <si>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</si>
  <si>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</si>
  <si>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</si>
  <si>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</si>
  <si>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会意伤害加成</t>
  </si>
  <si>
    <t>RDPS</t>
  </si>
  <si>
    <t>易水歌4层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</si>
  <si>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</si>
  <si>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</si>
  <si>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</si>
  <si>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</si>
  <si>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</si>
  <si>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</si>
  <si>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</si>
  <si>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</si>
  <si>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</si>
  <si>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所恨年年</t>
  </si>
  <si>
    <t>扇增</t>
  </si>
  <si>
    <t>虹</t>
  </si>
  <si>
    <t>扇～</t>
  </si>
  <si>
    <t>奇术增</t>
  </si>
  <si>
    <t>钧</t>
  </si>
  <si>
    <t>断石</t>
  </si>
  <si>
    <t>扇左蓄</t>
  </si>
  <si>
    <t>弹道定音</t>
  </si>
  <si>
    <t>影</t>
  </si>
  <si>
    <t>扇强化重击派生</t>
  </si>
  <si>
    <t>风墙(追击)</t>
  </si>
  <si>
    <t>固伤加成</t>
  </si>
  <si>
    <t>翊</t>
  </si>
  <si>
    <t>×</t>
  </si>
  <si>
    <t>第四心法</t>
  </si>
  <si>
    <t>食物加成</t>
  </si>
  <si>
    <t>樽</t>
  </si>
  <si>
    <t>春雷篇</t>
  </si>
  <si>
    <t>霖</t>
  </si>
  <si>
    <t>填充技</t>
  </si>
  <si>
    <t>沧海帖5层</t>
  </si>
  <si>
    <t>奇术</t>
  </si>
  <si>
    <t>沧海帖6层</t>
  </si>
  <si>
    <t>扇Q</t>
  </si>
  <si>
    <t>灯</t>
  </si>
  <si>
    <t>5惊春</t>
  </si>
  <si>
    <t>风墙切武</t>
  </si>
  <si>
    <t>抬手</t>
  </si>
  <si>
    <t>沧海帖7层</t>
  </si>
  <si>
    <t>沧海帖8层</t>
  </si>
  <si>
    <t>伞派生</t>
  </si>
  <si>
    <t>蹭普攻</t>
  </si>
  <si>
    <t>断</t>
  </si>
  <si>
    <t>惧</t>
  </si>
  <si>
    <t>大纵地</t>
  </si>
  <si>
    <t>切武器</t>
  </si>
  <si>
    <t>沧海帖9层</t>
  </si>
  <si>
    <t>龙卷风+后摇打断</t>
  </si>
  <si>
    <t>强化派生</t>
  </si>
  <si>
    <t>低真气追击</t>
  </si>
  <si>
    <t>沧海帖10层</t>
  </si>
  <si>
    <t>蹭灯</t>
  </si>
  <si>
    <t>连中(气竭)</t>
  </si>
  <si>
    <t>气竭</t>
  </si>
  <si>
    <t>真气失衡</t>
  </si>
  <si>
    <t>风墙</t>
  </si>
  <si>
    <t>衍九矢9hit</t>
  </si>
  <si>
    <t>清风霁月</t>
  </si>
  <si>
    <t>拉矢</t>
  </si>
  <si>
    <t>扇～+后摇打断</t>
  </si>
  <si>
    <t>解控</t>
  </si>
  <si>
    <t>可能近战笛</t>
  </si>
  <si>
    <t>可能笛</t>
  </si>
  <si>
    <t>机制</t>
  </si>
  <si>
    <t>等待</t>
  </si>
  <si>
    <t>神龙吐火暗灼2hit</t>
  </si>
  <si>
    <t>神龙吐火暗灼dot</t>
  </si>
  <si>
    <t>太白醉月1-4</t>
  </si>
  <si>
    <t>太白醉月暗灼</t>
  </si>
  <si>
    <t>萧呤千浪流星</t>
  </si>
  <si>
    <t>易水歌6重</t>
  </si>
  <si>
    <t>特殊技定音</t>
  </si>
  <si>
    <t>笛</t>
  </si>
  <si>
    <t>闪避</t>
  </si>
  <si>
    <t>移动闪避</t>
  </si>
  <si>
    <t>骑龙</t>
  </si>
  <si>
    <t>酒</t>
  </si>
  <si>
    <t>喷火</t>
  </si>
  <si>
    <t>拳5</t>
  </si>
  <si>
    <t>移动</t>
  </si>
  <si>
    <t>空中左蓄</t>
  </si>
  <si>
    <t>龙卷风</t>
  </si>
  <si>
    <t>拳4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</si>
  <si>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</si>
  <si>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</si>
  <si>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</si>
  <si>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</si>
  <si>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</si>
  <si>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</si>
  <si>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</si>
  <si>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</si>
  <si>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</si>
  <si>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</si>
  <si>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</si>
  <si>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</si>
  <si>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</si>
  <si>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</si>
  <si>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真气加成</t>
  </si>
  <si>
    <t>伞左蓄每秒</t>
  </si>
  <si>
    <t>弹道</t>
  </si>
  <si>
    <t>扇普通重击派生</t>
  </si>
  <si>
    <t>萧呤千浪AOE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</si>
  <si>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</si>
  <si>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</si>
  <si>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</si>
  <si>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</si>
  <si>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</si>
  <si>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</si>
  <si>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</si>
  <si>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太白醉月5</t>
  </si>
  <si>
    <t>太白醉月爆燃</t>
  </si>
  <si>
    <t>心法</t>
  </si>
  <si>
    <t>衍九矢9hit一段</t>
  </si>
  <si>
    <t>惊神(拐)</t>
  </si>
  <si>
    <t>烁鼓(拐)</t>
  </si>
  <si>
    <t>扶风(拐)</t>
  </si>
  <si>
    <t>裁云(拐)</t>
  </si>
  <si>
    <t>伞增(拐)</t>
  </si>
  <si>
    <t>伞增气竭额外(拐)</t>
  </si>
  <si>
    <t>近战笛</t>
  </si>
  <si>
    <t>远程笛</t>
  </si>
  <si>
    <t>无惧</t>
  </si>
  <si>
    <t>气竭强化</t>
  </si>
  <si>
    <t>断石1</t>
  </si>
  <si>
    <t>断石2</t>
  </si>
  <si>
    <t>断石3</t>
  </si>
  <si>
    <t>断石4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</si>
  <si>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</si>
  <si>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</si>
  <si>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</si>
  <si>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</si>
  <si>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</si>
  <si>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</si>
  <si>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</si>
  <si>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</si>
  <si>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</si>
  <si>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</si>
  <si>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</si>
  <si>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</si>
  <si>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</si>
  <si>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</si>
  <si>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</si>
  <si>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</si>
  <si>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</si>
  <si>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</si>
  <si>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</si>
  <si>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</si>
  <si>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</si>
  <si>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</si>
  <si>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</si>
  <si>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</si>
  <si>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</si>
  <si>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</si>
  <si>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</si>
  <si>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</si>
  <si>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</si>
  <si>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</si>
  <si>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</si>
  <si>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</si>
  <si>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</si>
  <si>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</si>
  <si>
    <t>更新杭州西版本蹊跷</t>
  </si>
  <si>
    <t>更新9月10日先琢版本,+2.2%</t>
  </si>
  <si>
    <t>修正尘rd</t>
  </si>
  <si>
    <t>更新南吕相和赛季,轴变更为茧中老人锁气木桩轴,心法花纵春断</t>
  </si>
  <si>
    <t>因为精元获取少,完全放弃了奇术输出,变更为阴阳蹭灯</t>
  </si>
  <si>
    <t>修改了diy去掉了奇术增添加了扇增,小外流满值约领先0.35%</t>
  </si>
  <si>
    <t>放弃奇术后春雷(满覆盖)约领先易水1.2%,烟柳和撼天的差距也缩小了。</t>
  </si>
  <si>
    <t>实战伤害会降低一些,因为经常蹭不到.</t>
  </si>
  <si>
    <t>修正套装错误</t>
  </si>
  <si>
    <t>修复了遗漏的buff</t>
  </si>
  <si>
    <t>修复了连中气竭额外增益未计算的问题</t>
  </si>
  <si>
    <t>增加了一个用奇术替换龙卷的按钮以匹配二期词条,+1.3%</t>
  </si>
  <si>
    <t>修改了diy属性以匹配轴,+0.5%</t>
  </si>
  <si>
    <t>此时春雷约领先易水0.33%</t>
  </si>
  <si>
    <t>修正定音小数点数值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</si>
</sst>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9" borderId="17">
      <alignment vertical="center"/>
    </xf>
    <xf numFmtId="0" fontId="10" fillId="10" borderId="18">
      <alignment vertical="center"/>
    </xf>
    <xf numFmtId="0" fontId="11" fillId="10" borderId="17">
      <alignment vertical="center"/>
    </xf>
    <xf numFmtId="0" fontId="12" fillId="11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10" fontId="0" fillId="2" borderId="5" xfId="0" applyNumberForma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4" max="4" width="9.375"/>
    <col min="11" max="11" width="12.625" style="39" customWidth="1"/>
    <col min="12" max="16" width="12.625" style="25" customWidth="1"/>
    <col min="18" max="18" width="24.625" style="32" customWidth="1"/>
    <col min="19" max="38" width="9" style="32"/>
    <col min="40" max="40" width="9" style="24"/>
    <col min="41" max="41" width="9" style="25"/>
    <col min="42" max="42" width="9" style="24"/>
    <col min="43" max="43" width="9" style="25"/>
    <col min="44" max="45" width="9" style="24"/>
    <col min="46" max="47" width="10.375"/>
    <col min="48" max="50" width="9" style="33"/>
    <col min="53" max="54" width="9" style="33"/>
    <col min="60" max="60" width="9.375"/>
    <col min="67" max="71" width="9" style="24"/>
    <col min="72" max="73" width="9.00833333333333" style="24" customWidth="1"/>
    <col min="74" max="76" width="9" style="24"/>
  </cols>
  <sheetData>
    <row r="1" spans="1:76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39" t="s">
        <v>12</v>
      </c>
      <c r="Q1" s="2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3" t="s">
        <v>44</v>
      </c>
      <c r="AW1" s="33" t="s">
        <v>45</v>
      </c>
      <c r="AX1" s="33" t="s">
        <v>46</v>
      </c>
      <c r="AY1" t="s">
        <v>47</v>
      </c>
      <c r="AZ1" t="s">
        <v>48</v>
      </c>
      <c r="BA1" s="33" t="s">
        <v>49</v>
      </c>
      <c r="BB1" s="33" t="s">
        <v>50</v>
      </c>
      <c r="BC1" t="s">
        <v>51</v>
      </c>
      <c r="BD1" t="s">
        <v>52</v>
      </c>
      <c r="BE1" s="33" t="s">
        <v>53</v>
      </c>
      <c r="BF1" s="33" t="s">
        <v>54</v>
      </c>
      <c r="BG1" t="s">
        <v>55</v>
      </c>
      <c r="BH1" t="s">
        <v>56</v>
      </c>
      <c r="BI1" s="33" t="s">
        <v>57</v>
      </c>
      <c r="BJ1" s="33" t="s">
        <v>58</v>
      </c>
      <c r="BK1" t="s">
        <v>59</v>
      </c>
      <c r="BL1" t="s">
        <v>60</v>
      </c>
      <c r="BM1" s="33" t="s">
        <v>61</v>
      </c>
      <c r="BN1" s="33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41" t="s">
        <v>72</v>
      </c>
    </row>
    <row r="2" spans="1:76">
      <c r="A2" s="42" t="s">
        <v>73</v>
      </c>
      <c r="B2" s="32">
        <v>4237.5</v>
      </c>
      <c r="C2" s="32">
        <v>3408.8</v>
      </c>
      <c r="D2" s="32">
        <v>63.78</v>
      </c>
      <c r="E2" s="43">
        <f>IF($E$22="春雷篇",2.5%,0)</f>
        <v>0.025</v>
      </c>
      <c r="F2" s="44" t="s">
        <v>74</v>
      </c>
      <c r="G2" s="45" t="s">
        <v>75</v>
      </c>
      <c r="H2" s="46" t="s">
        <v>76</v>
      </c>
      <c r="I2" s="11">
        <f>687*(1-IF(F17="√",0.06,0)-IF(D20="√",0.04,0))</f>
        <v>618.3</v>
      </c>
      <c r="K2" s="39">
        <f>$L2*VLOOKUP($R2,武学奇术!$A:$ZY,31,FALSE)</f>
        <v>45996.6314380389</v>
      </c>
      <c r="L2" s="39">
        <f>($M2*$BT2+$N2*$BR2+$O2*$BU2+$P2*$BV2)</f>
        <v>43806.3156552751</v>
      </c>
      <c r="M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44187.4389473253</v>
      </c>
      <c r="N2" s="39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43688.7388211622</v>
      </c>
      <c r="O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29070.6835179772</v>
      </c>
      <c r="P2" s="39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25779.3382795379</v>
      </c>
      <c r="Q2" s="29">
        <v>1</v>
      </c>
      <c r="R2" s="40" t="s">
        <v>77</v>
      </c>
      <c r="S2" s="40" t="s">
        <v>78</v>
      </c>
      <c r="T2" s="40" t="s">
        <v>79</v>
      </c>
      <c r="U2" s="40" t="s">
        <v>80</v>
      </c>
      <c r="V2" s="40" t="s">
        <v>81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82</v>
      </c>
      <c r="AD2" s="40" t="s">
        <v>80</v>
      </c>
      <c r="AE2" s="40" t="s">
        <v>80</v>
      </c>
      <c r="AF2" s="40" t="s">
        <v>80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83</v>
      </c>
      <c r="AL2" s="40" t="s">
        <v>80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VLOOKUP($R2,武学奇术!$A:$ZZ,27,FALSE)*(1+IF(OR($AM2=$F$4,$AM2=$F$5),$B$21,0))</f>
        <v>476</v>
      </c>
      <c r="AP2" s="24">
        <f>VLOOKUP($R2,武学奇术!$A:$ZZ,28,FALSE)</f>
        <v>3.5661</v>
      </c>
      <c r="AQ2" s="25">
        <f>VLOOKUP($R2,武学奇术!$A:$ZZ,29,FALSE)*(1+IF(OR($AM2=$F$4,$AM2=$F$5),$B$21,0))</f>
        <v>0</v>
      </c>
      <c r="AR2" s="24" cm="1">
        <f t="array" ref="AR2">$G$3+IFERROR(VLOOKUP($AM2,$F$4:$G$7,2,FALSE),0)+VLOOKUP($R2,武学奇术!$A:$ZZ,2,FALSE)+SUM(_xlfn.XLOOKUP($S2:$AL2,增益!$A:$A,增益!$B:$B,0))</f>
        <v>0.4519</v>
      </c>
      <c r="AS2" s="24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4195.0125</v>
      </c>
      <c r="AU2" cm="1">
        <f t="array" ref="AU2">$E$10*(1+$AS2)+VLOOKUP($R2,武学奇术!$A:$ZZ,4,FALSE)+SUM(_xlfn.XLOOKUP($S2:$AL2,增益!$A:$A,增益!$D:$D,0))-$I$2</f>
        <v>4195.0125</v>
      </c>
      <c r="AV2" s="33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0.2789</v>
      </c>
      <c r="AW2" s="33" cm="1">
        <f t="array" ref="AW2">$G$10+VLOOKUP($R2,武学奇术!$A:$ZZ,7,FALSE)+SUM(_xlfn.XLOOKUP($S2:$AL2,增益!$A:$A,增益!$G:$G,0))</f>
        <v>0.045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3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3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3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3" cm="1">
        <f t="array" ref="BF2">$G$12+VLOOKUP($R2,武学奇术!$A:$ZZ,12,FALSE)+SUM(_xlfn.XLOOKUP($S2:$AL2,增益!$A:$A,增益!$L:$L,0))</f>
        <v>0.02</v>
      </c>
      <c r="BG2">
        <f>$D$13*(1+$AX2)</f>
        <v>618.2</v>
      </c>
      <c r="BH2">
        <f>$E$13*(1+$AX2)</f>
        <v>1567.4</v>
      </c>
      <c r="BI2" s="33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0.08</v>
      </c>
      <c r="BJ2" s="33" cm="1">
        <f t="array" ref="BJ2">$G$13+VLOOKUP($R2,武学奇术!$A:$ZZ,14,FALSE)+SUM(_xlfn.XLOOKUP($S2:$AL2,增益!$A:$A,增益!$N:$N,0))</f>
        <v>0.17</v>
      </c>
      <c r="BK2">
        <f>$D$14*(1+$AX2)</f>
        <v>0</v>
      </c>
      <c r="BL2">
        <f>$E$14*(1+$AX2)</f>
        <v>0</v>
      </c>
      <c r="BM2" s="33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-0.14</v>
      </c>
      <c r="BN2" s="33" cm="1">
        <f t="array" ref="BN2">$G$14+VLOOKUP($R2,武学奇术!$A:$ZZ,16,FALSE)+SUM(_xlfn.XLOOKUP($S2:$AL2,增益!$A:$A,增益!$P:$P,0))</f>
        <v>0.02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4" cm="1">
        <f t="array" ref="BQ2">1+$B$13+VLOOKUP($R2,武学奇术!$A:$ZZ,18,FALSE)+SUM(_xlfn.XLOOKUP($S2:$AL2,增益!$A:$A,增益!$R:$R,0))</f>
        <v>1.52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0.8865</v>
      </c>
      <c r="BU2" s="24">
        <f>1-BR2-BT2-BV2</f>
        <v>0.0222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0.06</v>
      </c>
      <c r="BX2" s="24" cm="1">
        <f t="array" ref="BX2">VLOOKUP($R2,武学奇术!$A:$ZZ,32,FALSE)+SUM(_xlfn.XLOOKUP($S2:$AL2,增益!$A:$A,增益!$X:$X,0))</f>
        <v>0</v>
      </c>
    </row>
    <row r="3" spans="1:76">
      <c r="A3" s="47" t="s">
        <v>84</v>
      </c>
      <c r="B3" s="48"/>
      <c r="C3" s="48"/>
      <c r="D3" s="48"/>
      <c r="E3" s="49"/>
      <c r="F3" s="46" t="s">
        <v>40</v>
      </c>
      <c r="G3" s="50">
        <f>B16+1.5%+IF($D$16="√",8%,0)+IF($E$22="征人归",8%,0)</f>
        <v>0.1842</v>
      </c>
      <c r="H3" s="46" t="s">
        <v>85</v>
      </c>
      <c r="I3" s="11">
        <f>25-IF(D17="√",7,0)-IF(F17="√",10,0)</f>
        <v>8</v>
      </c>
      <c r="K3" s="39">
        <f>$L3*VLOOKUP($R3,武学奇术!$A:$ZY,31,FALSE)</f>
        <v>46267.2286278951</v>
      </c>
      <c r="L3" s="39">
        <f t="shared" ref="L3:L34" si="0">($M3*$BT3+$N3*$BR3+$O3*$BU3+$P3*$BV3)</f>
        <v>44064.027264662</v>
      </c>
      <c r="M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44478.1457825051</v>
      </c>
      <c r="N3" s="39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43688.7388211622</v>
      </c>
      <c r="O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29070.6835179772</v>
      </c>
      <c r="P3" s="39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25779.3382795379</v>
      </c>
      <c r="Q3" s="29">
        <v>1</v>
      </c>
      <c r="R3" s="40" t="s">
        <v>77</v>
      </c>
      <c r="S3" s="40" t="s">
        <v>86</v>
      </c>
      <c r="T3" s="40" t="s">
        <v>87</v>
      </c>
      <c r="U3" s="40" t="s">
        <v>80</v>
      </c>
      <c r="V3" s="40" t="s">
        <v>81</v>
      </c>
      <c r="W3" s="40" t="s">
        <v>80</v>
      </c>
      <c r="X3" s="40" t="s">
        <v>80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82</v>
      </c>
      <c r="AD3" s="40" t="s">
        <v>80</v>
      </c>
      <c r="AE3" s="40" t="s">
        <v>80</v>
      </c>
      <c r="AF3" s="40" t="s">
        <v>80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83</v>
      </c>
      <c r="AL3" s="40" t="s">
        <v>80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VLOOKUP($R3,武学奇术!$A:$ZZ,27,FALSE)*(1+IF(OR($AM3=$F$4,$AM3=$F$5),$B$21,0))</f>
        <v>476</v>
      </c>
      <c r="AP3" s="24">
        <f>VLOOKUP($R3,武学奇术!$A:$ZZ,28,FALSE)</f>
        <v>3.5661</v>
      </c>
      <c r="AQ3" s="25">
        <f>VLOOKUP($R3,武学奇术!$A:$ZZ,29,FALSE)*(1+IF(OR($AM3=$F$4,$AM3=$F$5),$B$21,0))</f>
        <v>0</v>
      </c>
      <c r="AR3" s="24" cm="1">
        <f t="array" ref="AR3">$G$3+IFERROR(VLOOKUP($AM3,$F$4:$G$7,2,FALSE),0)+VLOOKUP($R3,武学奇术!$A:$ZZ,2,FALSE)+SUM(_xlfn.XLOOKUP($S3:$AL3,增益!$A:$A,增益!$B:$B,0))</f>
        <v>0.4519</v>
      </c>
      <c r="AS3" s="24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4195.0125</v>
      </c>
      <c r="AU3" cm="1">
        <f t="array" ref="AU3">$E$10*(1+$AS3)+VLOOKUP($R3,武学奇术!$A:$ZZ,4,FALSE)+SUM(_xlfn.XLOOKUP($S3:$AL3,增益!$A:$A,增益!$D:$D,0))-$I$2</f>
        <v>4195.0125</v>
      </c>
      <c r="AV3" s="33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0.2789</v>
      </c>
      <c r="AW3" s="33" cm="1">
        <f t="array" ref="AW3">$G$10+VLOOKUP($R3,武学奇术!$A:$ZZ,7,FALSE)+SUM(_xlfn.XLOOKUP($S3:$AL3,增益!$A:$A,增益!$G:$G,0))</f>
        <v>0.045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3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3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3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3" cm="1">
        <f t="array" ref="BF3">$G$12+VLOOKUP($R3,武学奇术!$A:$ZZ,12,FALSE)+SUM(_xlfn.XLOOKUP($S3:$AL3,增益!$A:$A,增益!$L:$L,0))</f>
        <v>0.02</v>
      </c>
      <c r="BG3">
        <f t="shared" ref="BG3:BG34" si="5">$D$13*(1+$AX3)</f>
        <v>618.2</v>
      </c>
      <c r="BH3">
        <f t="shared" ref="BH3:BH34" si="6">$E$13*(1+$AX3)</f>
        <v>1567.4</v>
      </c>
      <c r="BI3" s="33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0.08</v>
      </c>
      <c r="BJ3" s="33" cm="1">
        <f t="array" ref="BJ3">$G$13+VLOOKUP($R3,武学奇术!$A:$ZZ,14,FALSE)+SUM(_xlfn.XLOOKUP($S3:$AL3,增益!$A:$A,增益!$N:$N,0))</f>
        <v>0.17</v>
      </c>
      <c r="BK3">
        <f t="shared" ref="BK3:BK34" si="7">$D$14*(1+$AX3)</f>
        <v>0</v>
      </c>
      <c r="BL3">
        <f t="shared" ref="BL3:BL34" si="8">$E$14*(1+$AX3)</f>
        <v>0</v>
      </c>
      <c r="BM3" s="33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3" cm="1">
        <f t="array" ref="BN3">$G$14+VLOOKUP($R3,武学奇术!$A:$ZZ,16,FALSE)+SUM(_xlfn.XLOOKUP($S3:$AL3,增益!$A:$A,增益!$P:$P,0))</f>
        <v>0.02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4" cm="1">
        <f t="array" ref="BQ3">1+$B$13+VLOOKUP($R3,武学奇术!$A:$ZZ,18,FALSE)+SUM(_xlfn.XLOOKUP($S3:$AL3,增益!$A:$A,增益!$R:$R,0))</f>
        <v>1.53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0.8865</v>
      </c>
      <c r="BU3" s="24">
        <f t="shared" ref="BU3:BU34" si="10">1-BR3-BT3-BV3</f>
        <v>0.0222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0.06</v>
      </c>
      <c r="BX3" s="24" cm="1">
        <f t="array" ref="BX3">VLOOKUP($R3,武学奇术!$A:$ZZ,32,FALSE)+SUM(_xlfn.XLOOKUP($S3:$AL3,增益!$A:$A,增益!$X:$X,0))</f>
        <v>0</v>
      </c>
    </row>
    <row r="4" ht="14.25" spans="1:76">
      <c r="A4" s="51" t="s">
        <v>88</v>
      </c>
      <c r="B4" s="52"/>
      <c r="C4" s="52"/>
      <c r="D4" s="52"/>
      <c r="E4" s="53"/>
      <c r="F4" s="46" t="s">
        <v>89</v>
      </c>
      <c r="G4" s="50">
        <f>B15+B17</f>
        <v>0.1701</v>
      </c>
      <c r="H4" s="54" t="s">
        <v>90</v>
      </c>
      <c r="I4" s="15">
        <f>30</f>
        <v>30</v>
      </c>
      <c r="K4" s="39">
        <f>$L4*VLOOKUP($R4,武学奇术!$A:$ZY,31,FALSE)</f>
        <v>46267.2286278951</v>
      </c>
      <c r="L4" s="39">
        <f t="shared" si="0"/>
        <v>44064.027264662</v>
      </c>
      <c r="M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44478.1457825051</v>
      </c>
      <c r="N4" s="39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43688.7388211622</v>
      </c>
      <c r="O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29070.6835179772</v>
      </c>
      <c r="P4" s="39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25779.3382795379</v>
      </c>
      <c r="Q4" s="29">
        <v>1</v>
      </c>
      <c r="R4" s="40" t="s">
        <v>77</v>
      </c>
      <c r="S4" s="40" t="s">
        <v>91</v>
      </c>
      <c r="T4" s="40" t="s">
        <v>87</v>
      </c>
      <c r="U4" s="40" t="s">
        <v>80</v>
      </c>
      <c r="V4" s="40" t="s">
        <v>81</v>
      </c>
      <c r="W4" s="40" t="s">
        <v>80</v>
      </c>
      <c r="X4" s="40" t="s">
        <v>80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82</v>
      </c>
      <c r="AD4" s="40" t="s">
        <v>80</v>
      </c>
      <c r="AE4" s="40" t="s">
        <v>80</v>
      </c>
      <c r="AF4" s="40" t="s">
        <v>80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83</v>
      </c>
      <c r="AL4" s="40" t="s">
        <v>80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VLOOKUP($R4,武学奇术!$A:$ZZ,27,FALSE)*(1+IF(OR($AM4=$F$4,$AM4=$F$5),$B$21,0))</f>
        <v>476</v>
      </c>
      <c r="AP4" s="24">
        <f>VLOOKUP($R4,武学奇术!$A:$ZZ,28,FALSE)</f>
        <v>3.5661</v>
      </c>
      <c r="AQ4" s="25">
        <f>VLOOKUP($R4,武学奇术!$A:$ZZ,29,FALSE)*(1+IF(OR($AM4=$F$4,$AM4=$F$5),$B$21,0))</f>
        <v>0</v>
      </c>
      <c r="AR4" s="24" cm="1">
        <f t="array" ref="AR4">$G$3+IFERROR(VLOOKUP($AM4,$F$4:$G$7,2,FALSE),0)+VLOOKUP($R4,武学奇术!$A:$ZZ,2,FALSE)+SUM(_xlfn.XLOOKUP($S4:$AL4,增益!$A:$A,增益!$B:$B,0))</f>
        <v>0.4519</v>
      </c>
      <c r="AS4" s="24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4195.0125</v>
      </c>
      <c r="AU4" cm="1">
        <f t="array" ref="AU4">$E$10*(1+$AS4)+VLOOKUP($R4,武学奇术!$A:$ZZ,4,FALSE)+SUM(_xlfn.XLOOKUP($S4:$AL4,增益!$A:$A,增益!$D:$D,0))-$I$2</f>
        <v>4195.0125</v>
      </c>
      <c r="AV4" s="33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0.2789</v>
      </c>
      <c r="AW4" s="33" cm="1">
        <f t="array" ref="AW4">$G$10+VLOOKUP($R4,武学奇术!$A:$ZZ,7,FALSE)+SUM(_xlfn.XLOOKUP($S4:$AL4,增益!$A:$A,增益!$G:$G,0))</f>
        <v>0.045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3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3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3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3" cm="1">
        <f t="array" ref="BF4">$G$12+VLOOKUP($R4,武学奇术!$A:$ZZ,12,FALSE)+SUM(_xlfn.XLOOKUP($S4:$AL4,增益!$A:$A,增益!$L:$L,0))</f>
        <v>0.02</v>
      </c>
      <c r="BG4">
        <f t="shared" si="5"/>
        <v>618.2</v>
      </c>
      <c r="BH4">
        <f t="shared" si="6"/>
        <v>1567.4</v>
      </c>
      <c r="BI4" s="33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0.08</v>
      </c>
      <c r="BJ4" s="33" cm="1">
        <f t="array" ref="BJ4">$G$13+VLOOKUP($R4,武学奇术!$A:$ZZ,14,FALSE)+SUM(_xlfn.XLOOKUP($S4:$AL4,增益!$A:$A,增益!$N:$N,0))</f>
        <v>0.17</v>
      </c>
      <c r="BK4">
        <f t="shared" si="7"/>
        <v>0</v>
      </c>
      <c r="BL4">
        <f t="shared" si="8"/>
        <v>0</v>
      </c>
      <c r="BM4" s="33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3" cm="1">
        <f t="array" ref="BN4">$G$14+VLOOKUP($R4,武学奇术!$A:$ZZ,16,FALSE)+SUM(_xlfn.XLOOKUP($S4:$AL4,增益!$A:$A,增益!$P:$P,0))</f>
        <v>0.02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4" cm="1">
        <f t="array" ref="BQ4">1+$B$13+VLOOKUP($R4,武学奇术!$A:$ZZ,18,FALSE)+SUM(_xlfn.XLOOKUP($S4:$AL4,增益!$A:$A,增益!$R:$R,0))</f>
        <v>1.53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0.8865</v>
      </c>
      <c r="BU4" s="24">
        <f t="shared" si="10"/>
        <v>0.0222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0.06</v>
      </c>
      <c r="BX4" s="24" cm="1">
        <f t="array" ref="BX4">VLOOKUP($R4,武学奇术!$A:$ZZ,32,FALSE)+SUM(_xlfn.XLOOKUP($S4:$AL4,增益!$A:$A,增益!$X:$X,0))</f>
        <v>0</v>
      </c>
    </row>
    <row r="5" spans="1:76">
      <c r="A5" s="55" t="s">
        <v>5</v>
      </c>
      <c r="B5" s="56">
        <v>539</v>
      </c>
      <c r="C5" s="56">
        <v>1316.6</v>
      </c>
      <c r="D5" s="56">
        <v>30</v>
      </c>
      <c r="E5" s="57">
        <v>0.15</v>
      </c>
      <c r="F5" s="46" t="s">
        <v>92</v>
      </c>
      <c r="G5" s="50">
        <f>B15+B18</f>
        <v>0.1701</v>
      </c>
      <c r="H5" t="s">
        <v>93</v>
      </c>
      <c r="I5" s="27">
        <v>0.06</v>
      </c>
      <c r="K5" s="39">
        <f>$L5*VLOOKUP($R5,武学奇术!$A:$ZY,31,FALSE)</f>
        <v>46537.8258177513</v>
      </c>
      <c r="L5" s="39">
        <f t="shared" si="0"/>
        <v>44321.7388740488</v>
      </c>
      <c r="M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44768.8526176849</v>
      </c>
      <c r="N5" s="39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43688.7388211622</v>
      </c>
      <c r="O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29070.6835179772</v>
      </c>
      <c r="P5" s="39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25779.3382795379</v>
      </c>
      <c r="Q5" s="29">
        <v>1</v>
      </c>
      <c r="R5" s="40" t="s">
        <v>77</v>
      </c>
      <c r="S5" s="40" t="s">
        <v>91</v>
      </c>
      <c r="T5" s="40" t="s">
        <v>94</v>
      </c>
      <c r="U5" s="40" t="s">
        <v>80</v>
      </c>
      <c r="V5" s="40" t="s">
        <v>81</v>
      </c>
      <c r="W5" s="40" t="s">
        <v>80</v>
      </c>
      <c r="X5" s="40" t="s">
        <v>80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82</v>
      </c>
      <c r="AD5" s="40" t="s">
        <v>80</v>
      </c>
      <c r="AE5" s="40" t="s">
        <v>80</v>
      </c>
      <c r="AF5" s="40" t="s">
        <v>80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83</v>
      </c>
      <c r="AL5" s="40" t="s">
        <v>80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VLOOKUP($R5,武学奇术!$A:$ZZ,27,FALSE)*(1+IF(OR($AM5=$F$4,$AM5=$F$5),$B$21,0))</f>
        <v>476</v>
      </c>
      <c r="AP5" s="24">
        <f>VLOOKUP($R5,武学奇术!$A:$ZZ,28,FALSE)</f>
        <v>3.5661</v>
      </c>
      <c r="AQ5" s="25">
        <f>VLOOKUP($R5,武学奇术!$A:$ZZ,29,FALSE)*(1+IF(OR($AM5=$F$4,$AM5=$F$5),$B$21,0))</f>
        <v>0</v>
      </c>
      <c r="AR5" s="24" cm="1">
        <f t="array" ref="AR5">$G$3+IFERROR(VLOOKUP($AM5,$F$4:$G$7,2,FALSE),0)+VLOOKUP($R5,武学奇术!$A:$ZZ,2,FALSE)+SUM(_xlfn.XLOOKUP($S5:$AL5,增益!$A:$A,增益!$B:$B,0))</f>
        <v>0.4519</v>
      </c>
      <c r="AS5" s="24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4195.0125</v>
      </c>
      <c r="AU5" cm="1">
        <f t="array" ref="AU5">$E$10*(1+$AS5)+VLOOKUP($R5,武学奇术!$A:$ZZ,4,FALSE)+SUM(_xlfn.XLOOKUP($S5:$AL5,增益!$A:$A,增益!$D:$D,0))-$I$2</f>
        <v>4195.0125</v>
      </c>
      <c r="AV5" s="33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0.2789</v>
      </c>
      <c r="AW5" s="33" cm="1">
        <f t="array" ref="AW5">$G$10+VLOOKUP($R5,武学奇术!$A:$ZZ,7,FALSE)+SUM(_xlfn.XLOOKUP($S5:$AL5,增益!$A:$A,增益!$G:$G,0))</f>
        <v>0.045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3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3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3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3" cm="1">
        <f t="array" ref="BF5">$G$12+VLOOKUP($R5,武学奇术!$A:$ZZ,12,FALSE)+SUM(_xlfn.XLOOKUP($S5:$AL5,增益!$A:$A,增益!$L:$L,0))</f>
        <v>0.02</v>
      </c>
      <c r="BG5">
        <f t="shared" si="5"/>
        <v>618.2</v>
      </c>
      <c r="BH5">
        <f t="shared" si="6"/>
        <v>1567.4</v>
      </c>
      <c r="BI5" s="33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0.08</v>
      </c>
      <c r="BJ5" s="33" cm="1">
        <f t="array" ref="BJ5">$G$13+VLOOKUP($R5,武学奇术!$A:$ZZ,14,FALSE)+SUM(_xlfn.XLOOKUP($S5:$AL5,增益!$A:$A,增益!$N:$N,0))</f>
        <v>0.17</v>
      </c>
      <c r="BK5">
        <f t="shared" si="7"/>
        <v>0</v>
      </c>
      <c r="BL5">
        <f t="shared" si="8"/>
        <v>0</v>
      </c>
      <c r="BM5" s="33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3" cm="1">
        <f t="array" ref="BN5">$G$14+VLOOKUP($R5,武学奇术!$A:$ZZ,16,FALSE)+SUM(_xlfn.XLOOKUP($S5:$AL5,增益!$A:$A,增益!$P:$P,0))</f>
        <v>0.02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4" cm="1">
        <f t="array" ref="BQ5">1+$B$13+VLOOKUP($R5,武学奇术!$A:$ZZ,18,FALSE)+SUM(_xlfn.XLOOKUP($S5:$AL5,增益!$A:$A,增益!$R:$R,0))</f>
        <v>1.54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0.8865</v>
      </c>
      <c r="BU5" s="24">
        <f t="shared" si="10"/>
        <v>0.0222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0.06</v>
      </c>
      <c r="BX5" s="24" cm="1">
        <f t="array" ref="BX5">VLOOKUP($R5,武学奇术!$A:$ZZ,32,FALSE)+SUM(_xlfn.XLOOKUP($S5:$AL5,增益!$A:$A,增益!$X:$X,0))</f>
        <v>0</v>
      </c>
    </row>
    <row r="6" spans="1:76">
      <c r="A6" s="58" t="s">
        <v>95</v>
      </c>
      <c r="B6" s="59"/>
      <c r="C6" s="59"/>
      <c r="D6" s="59"/>
      <c r="E6" s="60"/>
      <c r="F6" s="46" t="s">
        <v>96</v>
      </c>
      <c r="G6" s="50">
        <f>B19</f>
        <v>0.2677</v>
      </c>
      <c r="K6" s="39">
        <f>$L6*VLOOKUP($R6,武学奇术!$A:$ZY,31,FALSE)</f>
        <v>46537.8258177513</v>
      </c>
      <c r="L6" s="39">
        <f t="shared" si="0"/>
        <v>44321.7388740488</v>
      </c>
      <c r="M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44768.8526176849</v>
      </c>
      <c r="N6" s="39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43688.7388211622</v>
      </c>
      <c r="O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29070.6835179772</v>
      </c>
      <c r="P6" s="39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25779.3382795379</v>
      </c>
      <c r="Q6" s="29">
        <v>1</v>
      </c>
      <c r="R6" s="40" t="s">
        <v>77</v>
      </c>
      <c r="S6" s="40" t="s">
        <v>91</v>
      </c>
      <c r="T6" s="40" t="s">
        <v>94</v>
      </c>
      <c r="U6" s="40" t="s">
        <v>80</v>
      </c>
      <c r="V6" s="40" t="s">
        <v>81</v>
      </c>
      <c r="W6" s="40" t="s">
        <v>80</v>
      </c>
      <c r="X6" s="40" t="s">
        <v>80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82</v>
      </c>
      <c r="AD6" s="40" t="s">
        <v>80</v>
      </c>
      <c r="AE6" s="40" t="s">
        <v>80</v>
      </c>
      <c r="AF6" s="40" t="s">
        <v>80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83</v>
      </c>
      <c r="AL6" s="40" t="s">
        <v>80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VLOOKUP($R6,武学奇术!$A:$ZZ,27,FALSE)*(1+IF(OR($AM6=$F$4,$AM6=$F$5),$B$21,0))</f>
        <v>476</v>
      </c>
      <c r="AP6" s="24">
        <f>VLOOKUP($R6,武学奇术!$A:$ZZ,28,FALSE)</f>
        <v>3.5661</v>
      </c>
      <c r="AQ6" s="25">
        <f>VLOOKUP($R6,武学奇术!$A:$ZZ,29,FALSE)*(1+IF(OR($AM6=$F$4,$AM6=$F$5),$B$21,0))</f>
        <v>0</v>
      </c>
      <c r="AR6" s="24" cm="1">
        <f t="array" ref="AR6">$G$3+IFERROR(VLOOKUP($AM6,$F$4:$G$7,2,FALSE),0)+VLOOKUP($R6,武学奇术!$A:$ZZ,2,FALSE)+SUM(_xlfn.XLOOKUP($S6:$AL6,增益!$A:$A,增益!$B:$B,0))</f>
        <v>0.4519</v>
      </c>
      <c r="AS6" s="24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4195.0125</v>
      </c>
      <c r="AU6" cm="1">
        <f t="array" ref="AU6">$E$10*(1+$AS6)+VLOOKUP($R6,武学奇术!$A:$ZZ,4,FALSE)+SUM(_xlfn.XLOOKUP($S6:$AL6,增益!$A:$A,增益!$D:$D,0))-$I$2</f>
        <v>4195.0125</v>
      </c>
      <c r="AV6" s="33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0.2789</v>
      </c>
      <c r="AW6" s="33" cm="1">
        <f t="array" ref="AW6">$G$10+VLOOKUP($R6,武学奇术!$A:$ZZ,7,FALSE)+SUM(_xlfn.XLOOKUP($S6:$AL6,增益!$A:$A,增益!$G:$G,0))</f>
        <v>0.045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3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3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3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3" cm="1">
        <f t="array" ref="BF6">$G$12+VLOOKUP($R6,武学奇术!$A:$ZZ,12,FALSE)+SUM(_xlfn.XLOOKUP($S6:$AL6,增益!$A:$A,增益!$L:$L,0))</f>
        <v>0.02</v>
      </c>
      <c r="BG6">
        <f t="shared" si="5"/>
        <v>618.2</v>
      </c>
      <c r="BH6">
        <f t="shared" si="6"/>
        <v>1567.4</v>
      </c>
      <c r="BI6" s="33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0.08</v>
      </c>
      <c r="BJ6" s="33" cm="1">
        <f t="array" ref="BJ6">$G$13+VLOOKUP($R6,武学奇术!$A:$ZZ,14,FALSE)+SUM(_xlfn.XLOOKUP($S6:$AL6,增益!$A:$A,增益!$N:$N,0))</f>
        <v>0.17</v>
      </c>
      <c r="BK6">
        <f t="shared" si="7"/>
        <v>0</v>
      </c>
      <c r="BL6">
        <f t="shared" si="8"/>
        <v>0</v>
      </c>
      <c r="BM6" s="33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3" cm="1">
        <f t="array" ref="BN6">$G$14+VLOOKUP($R6,武学奇术!$A:$ZZ,16,FALSE)+SUM(_xlfn.XLOOKUP($S6:$AL6,增益!$A:$A,增益!$P:$P,0))</f>
        <v>0.02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4" cm="1">
        <f t="array" ref="BQ6">1+$B$13+VLOOKUP($R6,武学奇术!$A:$ZZ,18,FALSE)+SUM(_xlfn.XLOOKUP($S6:$AL6,增益!$A:$A,增益!$R:$R,0))</f>
        <v>1.54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0.8865</v>
      </c>
      <c r="BU6" s="24">
        <f t="shared" si="10"/>
        <v>0.0222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0.06</v>
      </c>
      <c r="BX6" s="24" cm="1">
        <f t="array" ref="BX6">VLOOKUP($R6,武学奇术!$A:$ZZ,32,FALSE)+SUM(_xlfn.XLOOKUP($S6:$AL6,增益!$A:$A,增益!$X:$X,0))</f>
        <v>0</v>
      </c>
    </row>
    <row r="7" ht="14.25" spans="1:76">
      <c r="A7" s="87" t="s">
        <v>97</v>
      </c>
      <c r="B7" s="62">
        <v>79.2</v>
      </c>
      <c r="C7" s="62">
        <f>92.4+79.2*2</f>
        <v>250.8</v>
      </c>
      <c r="D7" s="63"/>
      <c r="E7" s="64"/>
      <c r="F7" s="54" t="s">
        <v>98</v>
      </c>
      <c r="G7" s="65">
        <f>B19</f>
        <v>0.2677</v>
      </c>
      <c r="K7" s="39">
        <f>$L7*VLOOKUP($R7,武学奇术!$A:$ZY,31,FALSE)</f>
        <v>83158.1358413237</v>
      </c>
      <c r="L7" s="39">
        <f t="shared" si="0"/>
        <v>79198.2246107845</v>
      </c>
      <c r="M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81522.6363499082</v>
      </c>
      <c r="N7" s="39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65228.8650089571</v>
      </c>
      <c r="O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43829.3743816711</v>
      </c>
      <c r="P7" s="39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39341.0709789295</v>
      </c>
      <c r="Q7" s="29">
        <v>1</v>
      </c>
      <c r="R7" s="40" t="s">
        <v>99</v>
      </c>
      <c r="S7" s="40" t="s">
        <v>80</v>
      </c>
      <c r="T7" s="40" t="s">
        <v>80</v>
      </c>
      <c r="U7" s="40" t="s">
        <v>80</v>
      </c>
      <c r="V7" s="40" t="s">
        <v>80</v>
      </c>
      <c r="W7" s="40" t="s">
        <v>100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80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83</v>
      </c>
      <c r="AL7" s="40" t="s">
        <v>80</v>
      </c>
      <c r="AM7" t="str">
        <f>VLOOKUP($R7,武学奇术!$A:$ZZ,25,FALSE)</f>
        <v>伞</v>
      </c>
      <c r="AN7" s="24">
        <f>VLOOKUP($R7,武学奇术!$A:$ZZ,26,FALSE)</f>
        <v>2.3397</v>
      </c>
      <c r="AO7" s="25">
        <f>VLOOKUP($R7,武学奇术!$A:$ZZ,27,FALSE)*(1+IF(OR($AM7=$F$4,$AM7=$F$5),$B$21,0))</f>
        <v>1036.8</v>
      </c>
      <c r="AP7" s="24">
        <f>VLOOKUP($R7,武学奇术!$A:$ZZ,28,FALSE)</f>
        <v>3.5095</v>
      </c>
      <c r="AQ7" s="25">
        <f>VLOOKUP($R7,武学奇术!$A:$ZZ,29,FALSE)*(1+IF(OR($AM7=$F$4,$AM7=$F$5),$B$21,0))</f>
        <v>564.8</v>
      </c>
      <c r="AR7" s="24" cm="1">
        <f t="array" ref="AR7">$G$3+IFERROR(VLOOKUP($AM7,$F$4:$G$7,2,FALSE),0)+VLOOKUP($R7,武学奇术!$A:$ZZ,2,FALSE)+SUM(_xlfn.XLOOKUP($S7:$AL7,增益!$A:$A,增益!$B:$B,0))</f>
        <v>0.6543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3859.2</v>
      </c>
      <c r="AU7" cm="1">
        <f t="array" ref="AU7">$E$10*(1+$AS7)+VLOOKUP($R7,武学奇术!$A:$ZZ,4,FALSE)+SUM(_xlfn.XLOOKUP($S7:$AL7,增益!$A:$A,增益!$D:$D,0))-$I$2</f>
        <v>3859.2</v>
      </c>
      <c r="AV7" s="33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0.4039</v>
      </c>
      <c r="AW7" s="33" cm="1">
        <f t="array" ref="AW7">$G$10+VLOOKUP($R7,武学奇术!$A:$ZZ,7,FALSE)+SUM(_xlfn.XLOOKUP($S7:$AL7,增益!$A:$A,增益!$G:$G,0))</f>
        <v>0.145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3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3" cm="1">
        <f t="array" ref="BB7">$G$11+VLOOKUP($R7,武学奇术!$A:$ZZ,10,FALSE)+SUM(_xlfn.XLOOKUP($S7:$AL7,增益!$A:$A,增益!$J:$J,0))</f>
        <v>0.02</v>
      </c>
      <c r="BC7">
        <f t="shared" si="3"/>
        <v>0</v>
      </c>
      <c r="BD7">
        <f t="shared" si="4"/>
        <v>0</v>
      </c>
      <c r="BE7" s="33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3" cm="1">
        <f t="array" ref="BF7">$G$12+VLOOKUP($R7,武学奇术!$A:$ZZ,12,FALSE)+SUM(_xlfn.XLOOKUP($S7:$AL7,增益!$A:$A,增益!$L:$L,0))</f>
        <v>0.02</v>
      </c>
      <c r="BG7">
        <f t="shared" si="5"/>
        <v>618.2</v>
      </c>
      <c r="BH7">
        <f t="shared" si="6"/>
        <v>1567.4</v>
      </c>
      <c r="BI7" s="33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3" cm="1">
        <f t="array" ref="BJ7">$G$13+VLOOKUP($R7,武学奇术!$A:$ZZ,14,FALSE)+SUM(_xlfn.XLOOKUP($S7:$AL7,增益!$A:$A,增益!$N:$N,0))</f>
        <v>0.27</v>
      </c>
      <c r="BK7">
        <f t="shared" si="7"/>
        <v>0</v>
      </c>
      <c r="BL7">
        <f t="shared" si="8"/>
        <v>0</v>
      </c>
      <c r="BM7" s="33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3" cm="1">
        <f t="array" ref="BN7">$G$14+VLOOKUP($R7,武学奇术!$A:$ZZ,16,FALSE)+SUM(_xlfn.XLOOKUP($S7:$AL7,增益!$A:$A,增益!$P:$P,0))</f>
        <v>0.02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4" cm="1">
        <f t="array" ref="BQ7">1+$B$13+VLOOKUP($R7,武学奇术!$A:$ZZ,18,FALSE)+SUM(_xlfn.XLOOKUP($S7:$AL7,增益!$A:$A,增益!$R:$R,0))</f>
        <v>1.86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0.8865</v>
      </c>
      <c r="BU7" s="24">
        <f t="shared" si="10"/>
        <v>0.0222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0.06</v>
      </c>
      <c r="BX7" s="24" cm="1">
        <f t="array" ref="BX7">VLOOKUP($R7,武学奇术!$A:$ZZ,32,FALSE)+SUM(_xlfn.XLOOKUP($S7:$AL7,增益!$A:$A,增益!$X:$X,0))</f>
        <v>0.1</v>
      </c>
    </row>
    <row r="8" spans="1:76">
      <c r="A8" s="66" t="s">
        <v>101</v>
      </c>
      <c r="B8" s="67">
        <v>1.0196</v>
      </c>
      <c r="C8" s="37" t="s">
        <v>102</v>
      </c>
      <c r="D8" s="68"/>
      <c r="E8" s="68"/>
      <c r="F8" s="68"/>
      <c r="G8" s="38"/>
      <c r="H8" s="69" t="s">
        <v>103</v>
      </c>
      <c r="I8" s="20">
        <v>89.7</v>
      </c>
      <c r="J8" s="70"/>
      <c r="K8" s="39">
        <f>$L8*VLOOKUP($R8,武学奇术!$A:$ZY,31,FALSE)</f>
        <v>96194.7315752456</v>
      </c>
      <c r="L8" s="39">
        <f t="shared" si="0"/>
        <v>91614.0300716625</v>
      </c>
      <c r="M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94346.9740539686</v>
      </c>
      <c r="N8" s="39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75086.3372039878</v>
      </c>
      <c r="O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50452.9273015875</v>
      </c>
      <c r="P8" s="39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45286.3455631841</v>
      </c>
      <c r="Q8" s="29">
        <v>1</v>
      </c>
      <c r="R8" s="40" t="s">
        <v>99</v>
      </c>
      <c r="S8" s="40" t="s">
        <v>104</v>
      </c>
      <c r="T8" s="40" t="s">
        <v>105</v>
      </c>
      <c r="U8" s="40" t="s">
        <v>106</v>
      </c>
      <c r="V8" s="40" t="s">
        <v>80</v>
      </c>
      <c r="W8" s="40" t="s">
        <v>100</v>
      </c>
      <c r="X8" s="40" t="s">
        <v>80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80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83</v>
      </c>
      <c r="AL8" s="40" t="s">
        <v>80</v>
      </c>
      <c r="AM8" t="str">
        <f>VLOOKUP($R8,武学奇术!$A:$ZZ,25,FALSE)</f>
        <v>伞</v>
      </c>
      <c r="AN8" s="24">
        <f>VLOOKUP($R8,武学奇术!$A:$ZZ,26,FALSE)</f>
        <v>2.3397</v>
      </c>
      <c r="AO8" s="25">
        <f>VLOOKUP($R8,武学奇术!$A:$ZZ,27,FALSE)*(1+IF(OR($AM8=$F$4,$AM8=$F$5),$B$21,0))</f>
        <v>1036.8</v>
      </c>
      <c r="AP8" s="24">
        <f>VLOOKUP($R8,武学奇术!$A:$ZZ,28,FALSE)</f>
        <v>3.5095</v>
      </c>
      <c r="AQ8" s="25">
        <f>VLOOKUP($R8,武学奇术!$A:$ZZ,29,FALSE)*(1+IF(OR($AM8=$F$4,$AM8=$F$5),$B$21,0))</f>
        <v>564.8</v>
      </c>
      <c r="AR8" s="24" cm="1">
        <f t="array" ref="AR8">$G$3+IFERROR(VLOOKUP($AM8,$F$4:$G$7,2,FALSE),0)+VLOOKUP($R8,武学奇术!$A:$ZZ,2,FALSE)+SUM(_xlfn.XLOOKUP($S8:$AL8,增益!$A:$A,增益!$B:$B,0))</f>
        <v>0.9043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3859.2</v>
      </c>
      <c r="AU8" cm="1">
        <f t="array" ref="AU8">$E$10*(1+$AS8)+VLOOKUP($R8,武学奇术!$A:$ZZ,4,FALSE)+SUM(_xlfn.XLOOKUP($S8:$AL8,增益!$A:$A,增益!$D:$D,0))-$I$2</f>
        <v>3859.2</v>
      </c>
      <c r="AV8" s="33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0.4039</v>
      </c>
      <c r="AW8" s="33" cm="1">
        <f t="array" ref="AW8">$G$10+VLOOKUP($R8,武学奇术!$A:$ZZ,7,FALSE)+SUM(_xlfn.XLOOKUP($S8:$AL8,增益!$A:$A,增益!$G:$G,0))</f>
        <v>0.145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3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3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3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3" cm="1">
        <f t="array" ref="BF8">$G$12+VLOOKUP($R8,武学奇术!$A:$ZZ,12,FALSE)+SUM(_xlfn.XLOOKUP($S8:$AL8,增益!$A:$A,增益!$L:$L,0))</f>
        <v>0.02</v>
      </c>
      <c r="BG8">
        <f t="shared" si="5"/>
        <v>618.2</v>
      </c>
      <c r="BH8">
        <f t="shared" si="6"/>
        <v>1567.4</v>
      </c>
      <c r="BI8" s="33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3" cm="1">
        <f t="array" ref="BJ8">$G$13+VLOOKUP($R8,武学奇术!$A:$ZZ,14,FALSE)+SUM(_xlfn.XLOOKUP($S8:$AL8,增益!$A:$A,增益!$N:$N,0))</f>
        <v>0.27</v>
      </c>
      <c r="BK8">
        <f t="shared" si="7"/>
        <v>0</v>
      </c>
      <c r="BL8">
        <f t="shared" si="8"/>
        <v>0</v>
      </c>
      <c r="BM8" s="33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3" cm="1">
        <f t="array" ref="BN8">$G$14+VLOOKUP($R8,武学奇术!$A:$ZZ,16,FALSE)+SUM(_xlfn.XLOOKUP($S8:$AL8,增益!$A:$A,增益!$P:$P,0))</f>
        <v>0.02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4" cm="1">
        <f t="array" ref="BQ8">1+$B$13+VLOOKUP($R8,武学奇术!$A:$ZZ,18,FALSE)+SUM(_xlfn.XLOOKUP($S8:$AL8,增益!$A:$A,增益!$R:$R,0))</f>
        <v>1.87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0.8865</v>
      </c>
      <c r="BU8" s="24">
        <f t="shared" si="10"/>
        <v>0.0222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0.06</v>
      </c>
      <c r="BX8" s="24" cm="1">
        <f t="array" ref="BX8">VLOOKUP($R8,武学奇术!$A:$ZZ,32,FALSE)+SUM(_xlfn.XLOOKUP($S8:$AL8,增益!$A:$A,增益!$X:$X,0))</f>
        <v>0.1</v>
      </c>
    </row>
    <row r="9" ht="14.25" spans="1:76">
      <c r="A9" s="42" t="s">
        <v>107</v>
      </c>
      <c r="B9" s="71">
        <v>0.7995</v>
      </c>
      <c r="C9" s="46"/>
      <c r="D9" t="s">
        <v>0</v>
      </c>
      <c r="E9" t="s">
        <v>1</v>
      </c>
      <c r="F9" s="29" t="s">
        <v>2</v>
      </c>
      <c r="G9" s="45" t="s">
        <v>3</v>
      </c>
      <c r="H9" s="72"/>
      <c r="I9" s="23"/>
      <c r="J9" s="73"/>
      <c r="K9" s="39">
        <f>$L9*VLOOKUP($R9,武学奇术!$A:$ZY,31,FALSE)</f>
        <v>50901.3720313065</v>
      </c>
      <c r="L9" s="39">
        <f t="shared" si="0"/>
        <v>48477.4971726728</v>
      </c>
      <c r="M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49653.070436545</v>
      </c>
      <c r="N9" s="39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41990.6293083361</v>
      </c>
      <c r="O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28211.971838946</v>
      </c>
      <c r="P9" s="39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25319.7738198653</v>
      </c>
      <c r="Q9" s="29">
        <v>1</v>
      </c>
      <c r="R9" s="40" t="s">
        <v>108</v>
      </c>
      <c r="S9" s="40" t="s">
        <v>78</v>
      </c>
      <c r="T9" s="40" t="s">
        <v>105</v>
      </c>
      <c r="U9" s="40" t="s">
        <v>80</v>
      </c>
      <c r="V9" s="40" t="s">
        <v>80</v>
      </c>
      <c r="W9" s="40" t="s">
        <v>80</v>
      </c>
      <c r="X9" s="40" t="s">
        <v>80</v>
      </c>
      <c r="Y9" s="40" t="s">
        <v>109</v>
      </c>
      <c r="Z9" s="40" t="s">
        <v>110</v>
      </c>
      <c r="AA9" s="40" t="s">
        <v>80</v>
      </c>
      <c r="AB9" s="40" t="s">
        <v>80</v>
      </c>
      <c r="AC9" s="40" t="s">
        <v>82</v>
      </c>
      <c r="AD9" s="40" t="s">
        <v>80</v>
      </c>
      <c r="AE9" s="40" t="s">
        <v>80</v>
      </c>
      <c r="AF9" s="40" t="s">
        <v>80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83</v>
      </c>
      <c r="AL9" s="40" t="s">
        <v>80</v>
      </c>
      <c r="AM9" t="str">
        <f>VLOOKUP($R9,武学奇术!$A:$ZZ,25,FALSE)</f>
        <v>伞</v>
      </c>
      <c r="AN9" s="24">
        <f>VLOOKUP($R9,武学奇术!$A:$ZZ,26,FALSE)</f>
        <v>1.7001</v>
      </c>
      <c r="AO9" s="25">
        <f>VLOOKUP($R9,武学奇术!$A:$ZZ,27,FALSE)*(1+IF(OR($AM9=$F$4,$AM9=$F$5),$B$21,0))</f>
        <v>753.6</v>
      </c>
      <c r="AP9" s="24">
        <f>VLOOKUP($R9,武学奇术!$A:$ZZ,28,FALSE)</f>
        <v>2.5502</v>
      </c>
      <c r="AQ9" s="25">
        <f>VLOOKUP($R9,武学奇术!$A:$ZZ,29,FALSE)*(1+IF(OR($AM9=$F$4,$AM9=$F$5),$B$21,0))</f>
        <v>409.6</v>
      </c>
      <c r="AR9" s="24" cm="1">
        <f t="array" ref="AR9">$G$3+IFERROR(VLOOKUP($AM9,$F$4:$G$7,2,FALSE),0)+VLOOKUP($R9,武学奇术!$A:$ZZ,2,FALSE)+SUM(_xlfn.XLOOKUP($S9:$AL9,增益!$A:$A,增益!$B:$B,0))</f>
        <v>0.5043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3859.2</v>
      </c>
      <c r="AU9" cm="1">
        <f t="array" ref="AU9">$E$10*(1+$AS9)+VLOOKUP($R9,武学奇术!$A:$ZZ,4,FALSE)+SUM(_xlfn.XLOOKUP($S9:$AL9,增益!$A:$A,增益!$D:$D,0))-$I$2</f>
        <v>3859.2</v>
      </c>
      <c r="AV9" s="33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0.5039</v>
      </c>
      <c r="AW9" s="33" cm="1">
        <f t="array" ref="AW9">$G$10+VLOOKUP($R9,武学奇术!$A:$ZZ,7,FALSE)+SUM(_xlfn.XLOOKUP($S9:$AL9,增益!$A:$A,增益!$G:$G,0))</f>
        <v>0.145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3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3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3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3" cm="1">
        <f t="array" ref="BF9">$G$12+VLOOKUP($R9,武学奇术!$A:$ZZ,12,FALSE)+SUM(_xlfn.XLOOKUP($S9:$AL9,增益!$A:$A,增益!$L:$L,0))</f>
        <v>0.02</v>
      </c>
      <c r="BG9">
        <f t="shared" si="5"/>
        <v>618.2</v>
      </c>
      <c r="BH9">
        <f t="shared" si="6"/>
        <v>1567.4</v>
      </c>
      <c r="BI9" s="33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0.18</v>
      </c>
      <c r="BJ9" s="33" cm="1">
        <f t="array" ref="BJ9">$G$13+VLOOKUP($R9,武学奇术!$A:$ZZ,14,FALSE)+SUM(_xlfn.XLOOKUP($S9:$AL9,增益!$A:$A,增益!$N:$N,0))</f>
        <v>0.27</v>
      </c>
      <c r="BK9">
        <f t="shared" si="7"/>
        <v>0</v>
      </c>
      <c r="BL9">
        <f t="shared" si="8"/>
        <v>0</v>
      </c>
      <c r="BM9" s="33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3" cm="1">
        <f t="array" ref="BN9">$G$14+VLOOKUP($R9,武学奇术!$A:$ZZ,16,FALSE)+SUM(_xlfn.XLOOKUP($S9:$AL9,增益!$A:$A,增益!$P:$P,0))</f>
        <v>0.02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4" cm="1">
        <f t="array" ref="BQ9">1+$B$13+VLOOKUP($R9,武学奇术!$A:$ZZ,18,FALSE)+SUM(_xlfn.XLOOKUP($S9:$AL9,增益!$A:$A,增益!$R:$R,0))</f>
        <v>1.76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0.8865</v>
      </c>
      <c r="BU9" s="24">
        <f t="shared" si="10"/>
        <v>0.0222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0.06</v>
      </c>
      <c r="BX9" s="24" cm="1">
        <f t="array" ref="BX9">VLOOKUP($R9,武学奇术!$A:$ZZ,32,FALSE)+SUM(_xlfn.XLOOKUP($S9:$AL9,增益!$A:$A,增益!$X:$X,0))</f>
        <v>0</v>
      </c>
    </row>
    <row r="10" spans="1:76">
      <c r="A10" s="42" t="s">
        <v>111</v>
      </c>
      <c r="B10" s="71">
        <v>0.0913</v>
      </c>
      <c r="C10" s="46" t="s">
        <v>73</v>
      </c>
      <c r="D10">
        <f>(B2+B22)*IF($G$2="撼天",1.06,1)</f>
        <v>4477.5</v>
      </c>
      <c r="E10">
        <f>MAX(B2+B22,C2+B23)*IF($G$2="撼天",1.06,1)</f>
        <v>4477.5</v>
      </c>
      <c r="F10">
        <f>D2</f>
        <v>63.78</v>
      </c>
      <c r="G10" s="92">
        <f>E2</f>
        <v>0.025</v>
      </c>
      <c r="H10" s="69" t="s">
        <v>112</v>
      </c>
      <c r="I10" s="74">
        <f>SUM(L:L)</f>
        <v>17563963.6444379</v>
      </c>
      <c r="J10" s="75"/>
      <c r="K10" s="39">
        <f>$L10*VLOOKUP($R10,武学奇术!$A:$ZY,31,FALSE)</f>
        <v>21446.9503812752</v>
      </c>
      <c r="L10" s="39">
        <f t="shared" si="0"/>
        <v>20425.6670297859</v>
      </c>
      <c r="M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20931.767268055</v>
      </c>
      <c r="N10" s="39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17602.6431162476</v>
      </c>
      <c r="O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11825.8572135904</v>
      </c>
      <c r="P10" s="39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10612.7195262567</v>
      </c>
      <c r="Q10" s="29">
        <v>1</v>
      </c>
      <c r="R10" s="40" t="s">
        <v>113</v>
      </c>
      <c r="S10" s="40" t="s">
        <v>78</v>
      </c>
      <c r="T10" s="40" t="s">
        <v>79</v>
      </c>
      <c r="U10" s="40" t="s">
        <v>80</v>
      </c>
      <c r="V10" s="40" t="s">
        <v>80</v>
      </c>
      <c r="W10" s="40" t="s">
        <v>80</v>
      </c>
      <c r="X10" s="40" t="s">
        <v>80</v>
      </c>
      <c r="Y10" s="40" t="s">
        <v>109</v>
      </c>
      <c r="Z10" s="40" t="s">
        <v>110</v>
      </c>
      <c r="AA10" s="40" t="s">
        <v>80</v>
      </c>
      <c r="AB10" s="40" t="s">
        <v>80</v>
      </c>
      <c r="AC10" s="40" t="s">
        <v>82</v>
      </c>
      <c r="AD10" s="40" t="s">
        <v>80</v>
      </c>
      <c r="AE10" s="40" t="s">
        <v>80</v>
      </c>
      <c r="AF10" s="40" t="s">
        <v>80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83</v>
      </c>
      <c r="AL10" s="40" t="s">
        <v>80</v>
      </c>
      <c r="AM10" t="str">
        <f>VLOOKUP($R10,武学奇术!$A:$ZZ,25,FALSE)</f>
        <v>伞</v>
      </c>
      <c r="AN10" s="24">
        <f>VLOOKUP($R10,武学奇术!$A:$ZZ,26,FALSE)</f>
        <v>0.54</v>
      </c>
      <c r="AO10" s="25">
        <f>VLOOKUP($R10,武学奇术!$A:$ZZ,27,FALSE)*(1+IF(OR($AM10=$F$4,$AM10=$F$5),$B$21,0))</f>
        <v>236.8</v>
      </c>
      <c r="AP10" s="24">
        <f>VLOOKUP($R10,武学奇术!$A:$ZZ,28,FALSE)</f>
        <v>0.81</v>
      </c>
      <c r="AQ10" s="25">
        <f>VLOOKUP($R10,武学奇术!$A:$ZZ,29,FALSE)*(1+IF(OR($AM10=$F$4,$AM10=$F$5),$B$21,0))</f>
        <v>130.4</v>
      </c>
      <c r="AR10" s="24" cm="1">
        <f t="array" ref="AR10">$G$3+IFERROR(VLOOKUP($AM10,$F$4:$G$7,2,FALSE),0)+VLOOKUP($R10,武学奇术!$A:$ZZ,2,FALSE)+SUM(_xlfn.XLOOKUP($S10:$AL10,增益!$A:$A,增益!$B:$B,0))</f>
        <v>0.5043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3859.2</v>
      </c>
      <c r="AU10" cm="1">
        <f t="array" ref="AU10">$E$10*(1+$AS10)+VLOOKUP($R10,武学奇术!$A:$ZZ,4,FALSE)+SUM(_xlfn.XLOOKUP($S10:$AL10,增益!$A:$A,增益!$D:$D,0))-$I$2</f>
        <v>3859.2</v>
      </c>
      <c r="AV10" s="33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0.5039</v>
      </c>
      <c r="AW10" s="33" cm="1">
        <f t="array" ref="AW10">$G$10+VLOOKUP($R10,武学奇术!$A:$ZZ,7,FALSE)+SUM(_xlfn.XLOOKUP($S10:$AL10,增益!$A:$A,增益!$G:$G,0))</f>
        <v>0.145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3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3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3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3" cm="1">
        <f t="array" ref="BF10">$G$12+VLOOKUP($R10,武学奇术!$A:$ZZ,12,FALSE)+SUM(_xlfn.XLOOKUP($S10:$AL10,增益!$A:$A,增益!$L:$L,0))</f>
        <v>0.02</v>
      </c>
      <c r="BG10">
        <f t="shared" si="5"/>
        <v>618.2</v>
      </c>
      <c r="BH10">
        <f t="shared" si="6"/>
        <v>1567.4</v>
      </c>
      <c r="BI10" s="33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0.18</v>
      </c>
      <c r="BJ10" s="33" cm="1">
        <f t="array" ref="BJ10">$G$13+VLOOKUP($R10,武学奇术!$A:$ZZ,14,FALSE)+SUM(_xlfn.XLOOKUP($S10:$AL10,增益!$A:$A,增益!$N:$N,0))</f>
        <v>0.27</v>
      </c>
      <c r="BK10">
        <f t="shared" si="7"/>
        <v>0</v>
      </c>
      <c r="BL10">
        <f t="shared" si="8"/>
        <v>0</v>
      </c>
      <c r="BM10" s="33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3" cm="1">
        <f t="array" ref="BN10">$G$14+VLOOKUP($R10,武学奇术!$A:$ZZ,16,FALSE)+SUM(_xlfn.XLOOKUP($S10:$AL10,增益!$A:$A,增益!$P:$P,0))</f>
        <v>0.02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4" cm="1">
        <f t="array" ref="BQ10">1+$B$13+VLOOKUP($R10,武学奇术!$A:$ZZ,18,FALSE)+SUM(_xlfn.XLOOKUP($S10:$AL10,增益!$A:$A,增益!$R:$R,0))</f>
        <v>1.77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0.8865</v>
      </c>
      <c r="BU10" s="24">
        <f t="shared" si="10"/>
        <v>0.0222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0.06</v>
      </c>
      <c r="BX10" s="24" cm="1">
        <f t="array" ref="BX10">VLOOKUP($R10,武学奇术!$A:$ZZ,32,FALSE)+SUM(_xlfn.XLOOKUP($S10:$AL10,增益!$A:$A,增益!$X:$X,0))</f>
        <v>0</v>
      </c>
    </row>
    <row r="11" ht="14.25" spans="1:76">
      <c r="A11" s="42" t="s">
        <v>114</v>
      </c>
      <c r="B11" s="71">
        <f>8.7%+IF($E$22="易水歌",4.6%,0)</f>
        <v>0.087</v>
      </c>
      <c r="C11" s="46" t="s">
        <v>84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2">
        <f>E3</f>
        <v>0</v>
      </c>
      <c r="H11" s="72"/>
      <c r="I11" s="76"/>
      <c r="J11" s="77"/>
      <c r="K11" s="39">
        <f>$L11*VLOOKUP($R11,武学奇术!$A:$ZY,31,FALSE)</f>
        <v>41534.1676772575</v>
      </c>
      <c r="L11" s="39">
        <f t="shared" si="0"/>
        <v>39556.3501688167</v>
      </c>
      <c r="M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41176.5367390367</v>
      </c>
      <c r="N11" s="39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28742.4583309966</v>
      </c>
      <c r="O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19331.7073892191</v>
      </c>
      <c r="P11" s="39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17372.7049036259</v>
      </c>
      <c r="Q11" s="29">
        <v>0.5</v>
      </c>
      <c r="R11" s="40" t="s">
        <v>115</v>
      </c>
      <c r="S11" s="40" t="s">
        <v>86</v>
      </c>
      <c r="T11" s="40" t="s">
        <v>79</v>
      </c>
      <c r="U11" s="40" t="s">
        <v>106</v>
      </c>
      <c r="V11" s="40" t="s">
        <v>80</v>
      </c>
      <c r="W11" s="40" t="s">
        <v>100</v>
      </c>
      <c r="X11" s="40" t="s">
        <v>80</v>
      </c>
      <c r="Y11" s="40" t="s">
        <v>109</v>
      </c>
      <c r="Z11" s="40" t="s">
        <v>110</v>
      </c>
      <c r="AA11" s="40" t="s">
        <v>80</v>
      </c>
      <c r="AB11" s="40" t="s">
        <v>80</v>
      </c>
      <c r="AC11" s="40" t="s">
        <v>82</v>
      </c>
      <c r="AD11" s="40" t="s">
        <v>80</v>
      </c>
      <c r="AE11" s="40" t="s">
        <v>80</v>
      </c>
      <c r="AF11" s="40" t="s">
        <v>80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83</v>
      </c>
      <c r="AL11" s="40" t="s">
        <v>80</v>
      </c>
      <c r="AM11" t="str">
        <f>VLOOKUP($R11,武学奇术!$A:$ZZ,25,FALSE)</f>
        <v>伞</v>
      </c>
      <c r="AN11" s="24">
        <f>VLOOKUP($R11,武学奇术!$A:$ZZ,26,FALSE)</f>
        <v>1.0217</v>
      </c>
      <c r="AO11" s="25">
        <f>VLOOKUP($R11,武学奇术!$A:$ZZ,27,FALSE)*(1+IF(OR($AM11=$F$4,$AM11=$F$5),$B$21,0))</f>
        <v>451.2</v>
      </c>
      <c r="AP11" s="24">
        <f>VLOOKUP($R11,武学奇术!$A:$ZZ,28,FALSE)</f>
        <v>1.5325</v>
      </c>
      <c r="AQ11" s="25">
        <f>VLOOKUP($R11,武学奇术!$A:$ZZ,29,FALSE)*(1+IF(OR($AM11=$F$4,$AM11=$F$5),$B$21,0))</f>
        <v>246.4</v>
      </c>
      <c r="AR11" s="24" cm="1">
        <f t="array" ref="AR11">$G$3+IFERROR(VLOOKUP($AM11,$F$4:$G$7,2,FALSE),0)+VLOOKUP($R11,武学奇术!$A:$ZZ,2,FALSE)+SUM(_xlfn.XLOOKUP($S11:$AL11,增益!$A:$A,增益!$B:$B,0))</f>
        <v>1.0543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3859.2</v>
      </c>
      <c r="AU11" cm="1">
        <f t="array" ref="AU11">$E$10*(1+$AS11)+VLOOKUP($R11,武学奇术!$A:$ZZ,4,FALSE)+SUM(_xlfn.XLOOKUP($S11:$AL11,增益!$A:$A,增益!$D:$D,0))-$I$2</f>
        <v>3859.2</v>
      </c>
      <c r="AV11" s="33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0.5289</v>
      </c>
      <c r="AW11" s="33" cm="1">
        <f t="array" ref="AW11">$G$10+VLOOKUP($R11,武学奇术!$A:$ZZ,7,FALSE)+SUM(_xlfn.XLOOKUP($S11:$AL11,增益!$A:$A,增益!$G:$G,0))</f>
        <v>0.145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3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3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3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3" cm="1">
        <f t="array" ref="BF11">$G$12+VLOOKUP($R11,武学奇术!$A:$ZZ,12,FALSE)+SUM(_xlfn.XLOOKUP($S11:$AL11,增益!$A:$A,增益!$L:$L,0))</f>
        <v>0.02</v>
      </c>
      <c r="BG11">
        <f t="shared" si="5"/>
        <v>618.2</v>
      </c>
      <c r="BH11">
        <f t="shared" si="6"/>
        <v>1567.4</v>
      </c>
      <c r="BI11" s="33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0.18</v>
      </c>
      <c r="BJ11" s="33" cm="1">
        <f t="array" ref="BJ11">$G$13+VLOOKUP($R11,武学奇术!$A:$ZZ,14,FALSE)+SUM(_xlfn.XLOOKUP($S11:$AL11,增益!$A:$A,增益!$N:$N,0))</f>
        <v>0.27</v>
      </c>
      <c r="BK11">
        <f t="shared" si="7"/>
        <v>0</v>
      </c>
      <c r="BL11">
        <f t="shared" si="8"/>
        <v>0</v>
      </c>
      <c r="BM11" s="33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3" cm="1">
        <f t="array" ref="BN11">$G$14+VLOOKUP($R11,武学奇术!$A:$ZZ,16,FALSE)+SUM(_xlfn.XLOOKUP($S11:$AL11,增益!$A:$A,增益!$P:$P,0))</f>
        <v>0.02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4" cm="1">
        <f t="array" ref="BQ11">1+$B$13+VLOOKUP($R11,武学奇术!$A:$ZZ,18,FALSE)+SUM(_xlfn.XLOOKUP($S11:$AL11,增益!$A:$A,增益!$R:$R,0))</f>
        <v>2.13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0.8865</v>
      </c>
      <c r="BU11" s="24">
        <f t="shared" si="10"/>
        <v>0.0222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0.06</v>
      </c>
      <c r="BX11" s="24" cm="1">
        <f t="array" ref="BX11">VLOOKUP($R11,武学奇术!$A:$ZZ,32,FALSE)+SUM(_xlfn.XLOOKUP($S11:$AL11,增益!$A:$A,增益!$X:$X,0))</f>
        <v>0.25</v>
      </c>
    </row>
    <row r="12" spans="1:76">
      <c r="A12" s="42" t="s">
        <v>116</v>
      </c>
      <c r="B12" s="71">
        <v>0</v>
      </c>
      <c r="C12" s="46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2">
        <f>E4</f>
        <v>0</v>
      </c>
      <c r="H12" s="69" t="s">
        <v>117</v>
      </c>
      <c r="I12" s="39">
        <f>I10/I8</f>
        <v>195807.844419598</v>
      </c>
      <c r="J12" s="78"/>
      <c r="K12" s="39">
        <f>$L12*VLOOKUP($R12,武学奇术!$A:$ZY,31,FALSE)</f>
        <v>41534.1676772575</v>
      </c>
      <c r="L12" s="39">
        <f t="shared" si="0"/>
        <v>39556.3501688167</v>
      </c>
      <c r="M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41176.5367390367</v>
      </c>
      <c r="N12" s="39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28742.4583309966</v>
      </c>
      <c r="O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19331.7073892191</v>
      </c>
      <c r="P12" s="39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17372.7049036259</v>
      </c>
      <c r="Q12" s="29">
        <v>0.5</v>
      </c>
      <c r="R12" s="40" t="s">
        <v>115</v>
      </c>
      <c r="S12" s="40" t="s">
        <v>86</v>
      </c>
      <c r="T12" s="40" t="s">
        <v>79</v>
      </c>
      <c r="U12" s="40" t="s">
        <v>106</v>
      </c>
      <c r="V12" s="40" t="s">
        <v>80</v>
      </c>
      <c r="W12" s="40" t="s">
        <v>100</v>
      </c>
      <c r="X12" s="40" t="s">
        <v>80</v>
      </c>
      <c r="Y12" s="40" t="s">
        <v>109</v>
      </c>
      <c r="Z12" s="40" t="s">
        <v>110</v>
      </c>
      <c r="AA12" s="40" t="s">
        <v>80</v>
      </c>
      <c r="AB12" s="40" t="s">
        <v>80</v>
      </c>
      <c r="AC12" s="40" t="s">
        <v>82</v>
      </c>
      <c r="AD12" s="40" t="s">
        <v>80</v>
      </c>
      <c r="AE12" s="40" t="s">
        <v>80</v>
      </c>
      <c r="AF12" s="40" t="s">
        <v>80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83</v>
      </c>
      <c r="AL12" s="40" t="s">
        <v>80</v>
      </c>
      <c r="AM12" t="str">
        <f>VLOOKUP($R12,武学奇术!$A:$ZZ,25,FALSE)</f>
        <v>伞</v>
      </c>
      <c r="AN12" s="24">
        <f>VLOOKUP($R12,武学奇术!$A:$ZZ,26,FALSE)</f>
        <v>1.0217</v>
      </c>
      <c r="AO12" s="25">
        <f>VLOOKUP($R12,武学奇术!$A:$ZZ,27,FALSE)*(1+IF(OR($AM12=$F$4,$AM12=$F$5),$B$21,0))</f>
        <v>451.2</v>
      </c>
      <c r="AP12" s="24">
        <f>VLOOKUP($R12,武学奇术!$A:$ZZ,28,FALSE)</f>
        <v>1.5325</v>
      </c>
      <c r="AQ12" s="25">
        <f>VLOOKUP($R12,武学奇术!$A:$ZZ,29,FALSE)*(1+IF(OR($AM12=$F$4,$AM12=$F$5),$B$21,0))</f>
        <v>246.4</v>
      </c>
      <c r="AR12" s="24" cm="1">
        <f t="array" ref="AR12">$G$3+IFERROR(VLOOKUP($AM12,$F$4:$G$7,2,FALSE),0)+VLOOKUP($R12,武学奇术!$A:$ZZ,2,FALSE)+SUM(_xlfn.XLOOKUP($S12:$AL12,增益!$A:$A,增益!$B:$B,0))</f>
        <v>1.0543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3859.2</v>
      </c>
      <c r="AU12" cm="1">
        <f t="array" ref="AU12">$E$10*(1+$AS12)+VLOOKUP($R12,武学奇术!$A:$ZZ,4,FALSE)+SUM(_xlfn.XLOOKUP($S12:$AL12,增益!$A:$A,增益!$D:$D,0))-$I$2</f>
        <v>3859.2</v>
      </c>
      <c r="AV12" s="33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0.5289</v>
      </c>
      <c r="AW12" s="33" cm="1">
        <f t="array" ref="AW12">$G$10+VLOOKUP($R12,武学奇术!$A:$ZZ,7,FALSE)+SUM(_xlfn.XLOOKUP($S12:$AL12,增益!$A:$A,增益!$G:$G,0))</f>
        <v>0.145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3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3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3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3" cm="1">
        <f t="array" ref="BF12">$G$12+VLOOKUP($R12,武学奇术!$A:$ZZ,12,FALSE)+SUM(_xlfn.XLOOKUP($S12:$AL12,增益!$A:$A,增益!$L:$L,0))</f>
        <v>0.02</v>
      </c>
      <c r="BG12">
        <f t="shared" si="5"/>
        <v>618.2</v>
      </c>
      <c r="BH12">
        <f t="shared" si="6"/>
        <v>1567.4</v>
      </c>
      <c r="BI12" s="33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0.18</v>
      </c>
      <c r="BJ12" s="33" cm="1">
        <f t="array" ref="BJ12">$G$13+VLOOKUP($R12,武学奇术!$A:$ZZ,14,FALSE)+SUM(_xlfn.XLOOKUP($S12:$AL12,增益!$A:$A,增益!$N:$N,0))</f>
        <v>0.27</v>
      </c>
      <c r="BK12">
        <f t="shared" si="7"/>
        <v>0</v>
      </c>
      <c r="BL12">
        <f t="shared" si="8"/>
        <v>0</v>
      </c>
      <c r="BM12" s="33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3" cm="1">
        <f t="array" ref="BN12">$G$14+VLOOKUP($R12,武学奇术!$A:$ZZ,16,FALSE)+SUM(_xlfn.XLOOKUP($S12:$AL12,增益!$A:$A,增益!$P:$P,0))</f>
        <v>0.02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4" cm="1">
        <f t="array" ref="BQ12">1+$B$13+VLOOKUP($R12,武学奇术!$A:$ZZ,18,FALSE)+SUM(_xlfn.XLOOKUP($S12:$AL12,增益!$A:$A,增益!$R:$R,0))</f>
        <v>2.13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0.8865</v>
      </c>
      <c r="BU12" s="24">
        <f t="shared" si="10"/>
        <v>0.0222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0.06</v>
      </c>
      <c r="BX12" s="24" cm="1">
        <f t="array" ref="BX12">VLOOKUP($R12,武学奇术!$A:$ZZ,32,FALSE)+SUM(_xlfn.XLOOKUP($S12:$AL12,增益!$A:$A,增益!$X:$X,0))</f>
        <v>0.25</v>
      </c>
    </row>
    <row r="13" ht="14.25" spans="1:76">
      <c r="A13" s="42" t="s">
        <v>118</v>
      </c>
      <c r="B13" s="71">
        <f>50%+IF(G2="时雨",10%,0)</f>
        <v>0.5</v>
      </c>
      <c r="C13" s="46" t="s">
        <v>5</v>
      </c>
      <c r="D13">
        <f>(B5+IF($G$1=$C13,$B$7,0))*IF($G$2="撼天",1.06,1)</f>
        <v>618.2</v>
      </c>
      <c r="E13">
        <f>(MAX(B5,C5)+IF($G$1=$C13,$C$7,0))*IF($G$2="撼天",1.06,1)</f>
        <v>1567.4</v>
      </c>
      <c r="F13">
        <f>D5</f>
        <v>30</v>
      </c>
      <c r="G13" s="92">
        <f>E5</f>
        <v>0.15</v>
      </c>
      <c r="H13" s="72"/>
      <c r="I13" s="79"/>
      <c r="J13" s="77"/>
      <c r="K13" s="39">
        <f>$L13*VLOOKUP($R13,武学奇术!$A:$ZY,31,FALSE)</f>
        <v>175357.33136902</v>
      </c>
      <c r="L13" s="39">
        <f t="shared" si="0"/>
        <v>167006.982256209</v>
      </c>
      <c r="M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173903.555014075</v>
      </c>
      <c r="N13" s="39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120799.176459293</v>
      </c>
      <c r="O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81644.8615089552</v>
      </c>
      <c r="P13" s="39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73808.8515665825</v>
      </c>
      <c r="Q13" s="29">
        <v>2</v>
      </c>
      <c r="R13" s="40" t="s">
        <v>115</v>
      </c>
      <c r="S13" s="40" t="s">
        <v>86</v>
      </c>
      <c r="T13" s="40" t="s">
        <v>79</v>
      </c>
      <c r="U13" s="40" t="s">
        <v>106</v>
      </c>
      <c r="V13" s="40" t="s">
        <v>81</v>
      </c>
      <c r="W13" s="40" t="s">
        <v>100</v>
      </c>
      <c r="X13" s="40" t="s">
        <v>80</v>
      </c>
      <c r="Y13" s="40" t="s">
        <v>109</v>
      </c>
      <c r="Z13" s="40" t="s">
        <v>110</v>
      </c>
      <c r="AA13" s="40" t="s">
        <v>80</v>
      </c>
      <c r="AB13" s="40" t="s">
        <v>80</v>
      </c>
      <c r="AC13" s="40" t="s">
        <v>82</v>
      </c>
      <c r="AD13" s="40" t="s">
        <v>80</v>
      </c>
      <c r="AE13" s="40" t="s">
        <v>80</v>
      </c>
      <c r="AF13" s="40" t="s">
        <v>80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83</v>
      </c>
      <c r="AL13" s="40" t="s">
        <v>80</v>
      </c>
      <c r="AM13" t="str">
        <f>VLOOKUP($R13,武学奇术!$A:$ZZ,25,FALSE)</f>
        <v>伞</v>
      </c>
      <c r="AN13" s="24">
        <f>VLOOKUP($R13,武学奇术!$A:$ZZ,26,FALSE)</f>
        <v>1.0217</v>
      </c>
      <c r="AO13" s="25">
        <f>VLOOKUP($R13,武学奇术!$A:$ZZ,27,FALSE)*(1+IF(OR($AM13=$F$4,$AM13=$F$5),$B$21,0))</f>
        <v>451.2</v>
      </c>
      <c r="AP13" s="24">
        <f>VLOOKUP($R13,武学奇术!$A:$ZZ,28,FALSE)</f>
        <v>1.5325</v>
      </c>
      <c r="AQ13" s="25">
        <f>VLOOKUP($R13,武学奇术!$A:$ZZ,29,FALSE)*(1+IF(OR($AM13=$F$4,$AM13=$F$5),$B$21,0))</f>
        <v>246.4</v>
      </c>
      <c r="AR13" s="24" cm="1">
        <f t="array" ref="AR13">$G$3+IFERROR(VLOOKUP($AM13,$F$4:$G$7,2,FALSE),0)+VLOOKUP($R13,武学奇术!$A:$ZZ,2,FALSE)+SUM(_xlfn.XLOOKUP($S13:$AL13,增益!$A:$A,增益!$B:$B,0))</f>
        <v>1.0543</v>
      </c>
      <c r="AS13" s="24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4195.0125</v>
      </c>
      <c r="AU13" cm="1">
        <f t="array" ref="AU13">$E$10*(1+$AS13)+VLOOKUP($R13,武学奇术!$A:$ZZ,4,FALSE)+SUM(_xlfn.XLOOKUP($S13:$AL13,增益!$A:$A,增益!$D:$D,0))-$I$2</f>
        <v>4195.0125</v>
      </c>
      <c r="AV13" s="33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0.5289</v>
      </c>
      <c r="AW13" s="33" cm="1">
        <f t="array" ref="AW13">$G$10+VLOOKUP($R13,武学奇术!$A:$ZZ,7,FALSE)+SUM(_xlfn.XLOOKUP($S13:$AL13,增益!$A:$A,增益!$G:$G,0))</f>
        <v>0.145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3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3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3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3" cm="1">
        <f t="array" ref="BF13">$G$12+VLOOKUP($R13,武学奇术!$A:$ZZ,12,FALSE)+SUM(_xlfn.XLOOKUP($S13:$AL13,增益!$A:$A,增益!$L:$L,0))</f>
        <v>0.02</v>
      </c>
      <c r="BG13">
        <f t="shared" si="5"/>
        <v>618.2</v>
      </c>
      <c r="BH13">
        <f t="shared" si="6"/>
        <v>1567.4</v>
      </c>
      <c r="BI13" s="33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0.18</v>
      </c>
      <c r="BJ13" s="33" cm="1">
        <f t="array" ref="BJ13">$G$13+VLOOKUP($R13,武学奇术!$A:$ZZ,14,FALSE)+SUM(_xlfn.XLOOKUP($S13:$AL13,增益!$A:$A,增益!$N:$N,0))</f>
        <v>0.27</v>
      </c>
      <c r="BK13">
        <f t="shared" si="7"/>
        <v>0</v>
      </c>
      <c r="BL13">
        <f t="shared" si="8"/>
        <v>0</v>
      </c>
      <c r="BM13" s="33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3" cm="1">
        <f t="array" ref="BN13">$G$14+VLOOKUP($R13,武学奇术!$A:$ZZ,16,FALSE)+SUM(_xlfn.XLOOKUP($S13:$AL13,增益!$A:$A,增益!$P:$P,0))</f>
        <v>0.02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4" cm="1">
        <f t="array" ref="BQ13">1+$B$13+VLOOKUP($R13,武学奇术!$A:$ZZ,18,FALSE)+SUM(_xlfn.XLOOKUP($S13:$AL13,增益!$A:$A,增益!$R:$R,0))</f>
        <v>2.13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0.8865</v>
      </c>
      <c r="BU13" s="24">
        <f t="shared" si="10"/>
        <v>0.0222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0.06</v>
      </c>
      <c r="BX13" s="24" cm="1">
        <f t="array" ref="BX13">VLOOKUP($R13,武学奇术!$A:$ZZ,32,FALSE)+SUM(_xlfn.XLOOKUP($S13:$AL13,增益!$A:$A,增益!$X:$X,0))</f>
        <v>0.25</v>
      </c>
    </row>
    <row r="14" ht="14.25" spans="1:76">
      <c r="A14" s="42" t="s">
        <v>119</v>
      </c>
      <c r="B14" s="71">
        <v>0.35</v>
      </c>
      <c r="C14" s="54" t="s">
        <v>95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3">
        <f>E6</f>
        <v>0</v>
      </c>
      <c r="H14" s="37" t="s">
        <v>120</v>
      </c>
      <c r="I14" s="74">
        <f>RD!I14</f>
        <v>165933.817735358</v>
      </c>
      <c r="J14" s="75"/>
      <c r="K14" s="39">
        <f>$L14*VLOOKUP($R14,武学奇术!$A:$ZY,31,FALSE)</f>
        <v>176117.302151161</v>
      </c>
      <c r="L14" s="39">
        <f t="shared" si="0"/>
        <v>167730.763953486</v>
      </c>
      <c r="M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174720.003629164</v>
      </c>
      <c r="N14" s="39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120799.176459293</v>
      </c>
      <c r="O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81644.8615089552</v>
      </c>
      <c r="P14" s="39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73808.8515665825</v>
      </c>
      <c r="Q14" s="29">
        <v>2</v>
      </c>
      <c r="R14" s="40" t="s">
        <v>115</v>
      </c>
      <c r="S14" s="40" t="s">
        <v>121</v>
      </c>
      <c r="T14" s="40" t="s">
        <v>87</v>
      </c>
      <c r="U14" s="40" t="s">
        <v>106</v>
      </c>
      <c r="V14" s="40" t="s">
        <v>81</v>
      </c>
      <c r="W14" s="40" t="s">
        <v>100</v>
      </c>
      <c r="X14" s="40" t="s">
        <v>80</v>
      </c>
      <c r="Y14" s="40" t="s">
        <v>109</v>
      </c>
      <c r="Z14" s="40" t="s">
        <v>110</v>
      </c>
      <c r="AA14" s="40" t="s">
        <v>80</v>
      </c>
      <c r="AB14" s="40" t="s">
        <v>80</v>
      </c>
      <c r="AC14" s="40" t="s">
        <v>82</v>
      </c>
      <c r="AD14" s="40" t="s">
        <v>80</v>
      </c>
      <c r="AE14" s="40" t="s">
        <v>80</v>
      </c>
      <c r="AF14" s="40" t="s">
        <v>80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83</v>
      </c>
      <c r="AL14" s="40" t="s">
        <v>80</v>
      </c>
      <c r="AM14" t="str">
        <f>VLOOKUP($R14,武学奇术!$A:$ZZ,25,FALSE)</f>
        <v>伞</v>
      </c>
      <c r="AN14" s="24">
        <f>VLOOKUP($R14,武学奇术!$A:$ZZ,26,FALSE)</f>
        <v>1.0217</v>
      </c>
      <c r="AO14" s="25">
        <f>VLOOKUP($R14,武学奇术!$A:$ZZ,27,FALSE)*(1+IF(OR($AM14=$F$4,$AM14=$F$5),$B$21,0))</f>
        <v>451.2</v>
      </c>
      <c r="AP14" s="24">
        <f>VLOOKUP($R14,武学奇术!$A:$ZZ,28,FALSE)</f>
        <v>1.5325</v>
      </c>
      <c r="AQ14" s="25">
        <f>VLOOKUP($R14,武学奇术!$A:$ZZ,29,FALSE)*(1+IF(OR($AM14=$F$4,$AM14=$F$5),$B$21,0))</f>
        <v>246.4</v>
      </c>
      <c r="AR14" s="24" cm="1">
        <f t="array" ref="AR14">$G$3+IFERROR(VLOOKUP($AM14,$F$4:$G$7,2,FALSE),0)+VLOOKUP($R14,武学奇术!$A:$ZZ,2,FALSE)+SUM(_xlfn.XLOOKUP($S14:$AL14,增益!$A:$A,增益!$B:$B,0))</f>
        <v>1.0543</v>
      </c>
      <c r="AS14" s="24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4195.0125</v>
      </c>
      <c r="AU14" cm="1">
        <f t="array" ref="AU14">$E$10*(1+$AS14)+VLOOKUP($R14,武学奇术!$A:$ZZ,4,FALSE)+SUM(_xlfn.XLOOKUP($S14:$AL14,增益!$A:$A,增益!$D:$D,0))-$I$2</f>
        <v>4195.0125</v>
      </c>
      <c r="AV14" s="33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0.5289</v>
      </c>
      <c r="AW14" s="33" cm="1">
        <f t="array" ref="AW14">$G$10+VLOOKUP($R14,武学奇术!$A:$ZZ,7,FALSE)+SUM(_xlfn.XLOOKUP($S14:$AL14,增益!$A:$A,增益!$G:$G,0))</f>
        <v>0.145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3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3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3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3" cm="1">
        <f t="array" ref="BF14">$G$12+VLOOKUP($R14,武学奇术!$A:$ZZ,12,FALSE)+SUM(_xlfn.XLOOKUP($S14:$AL14,增益!$A:$A,增益!$L:$L,0))</f>
        <v>0.02</v>
      </c>
      <c r="BG14">
        <f t="shared" si="5"/>
        <v>618.2</v>
      </c>
      <c r="BH14">
        <f t="shared" si="6"/>
        <v>1567.4</v>
      </c>
      <c r="BI14" s="33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0.18</v>
      </c>
      <c r="BJ14" s="33" cm="1">
        <f t="array" ref="BJ14">$G$13+VLOOKUP($R14,武学奇术!$A:$ZZ,14,FALSE)+SUM(_xlfn.XLOOKUP($S14:$AL14,增益!$A:$A,增益!$N:$N,0))</f>
        <v>0.27</v>
      </c>
      <c r="BK14">
        <f t="shared" si="7"/>
        <v>0</v>
      </c>
      <c r="BL14">
        <f t="shared" si="8"/>
        <v>0</v>
      </c>
      <c r="BM14" s="33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3" cm="1">
        <f t="array" ref="BN14">$G$14+VLOOKUP($R14,武学奇术!$A:$ZZ,16,FALSE)+SUM(_xlfn.XLOOKUP($S14:$AL14,增益!$A:$A,增益!$P:$P,0))</f>
        <v>0.02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4" cm="1">
        <f t="array" ref="BQ14">1+$B$13+VLOOKUP($R14,武学奇术!$A:$ZZ,18,FALSE)+SUM(_xlfn.XLOOKUP($S14:$AL14,增益!$A:$A,增益!$R:$R,0))</f>
        <v>2.14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0.8865</v>
      </c>
      <c r="BU14" s="24">
        <f t="shared" si="10"/>
        <v>0.0222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0.06</v>
      </c>
      <c r="BX14" s="24" cm="1">
        <f t="array" ref="BX14">VLOOKUP($R14,武学奇术!$A:$ZZ,32,FALSE)+SUM(_xlfn.XLOOKUP($S14:$AL14,增益!$A:$A,增益!$X:$X,0))</f>
        <v>0.25</v>
      </c>
    </row>
    <row r="15" spans="1:76">
      <c r="A15" s="42" t="s">
        <v>122</v>
      </c>
      <c r="B15" s="71">
        <v>0.0847</v>
      </c>
      <c r="C15" s="29" t="s">
        <v>123</v>
      </c>
      <c r="D15" s="29"/>
      <c r="F15" s="80"/>
      <c r="H15" s="81"/>
      <c r="I15" s="76"/>
      <c r="J15" s="77"/>
      <c r="K15" s="39">
        <f>$L15*VLOOKUP($R15,武学奇术!$A:$ZY,31,FALSE)</f>
        <v>147798.218553713</v>
      </c>
      <c r="L15" s="39">
        <f t="shared" si="0"/>
        <v>140760.208146394</v>
      </c>
      <c r="M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145096.147923814</v>
      </c>
      <c r="N15" s="39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114218.71908207</v>
      </c>
      <c r="O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76770.4486369384</v>
      </c>
      <c r="P15" s="39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68934.4386945657</v>
      </c>
      <c r="Q15" s="29">
        <v>2</v>
      </c>
      <c r="R15" s="40" t="s">
        <v>115</v>
      </c>
      <c r="S15" s="40" t="s">
        <v>121</v>
      </c>
      <c r="T15" s="40" t="s">
        <v>87</v>
      </c>
      <c r="U15" s="40" t="s">
        <v>106</v>
      </c>
      <c r="V15" s="40" t="s">
        <v>81</v>
      </c>
      <c r="W15" s="40" t="s">
        <v>100</v>
      </c>
      <c r="X15" s="40" t="s">
        <v>80</v>
      </c>
      <c r="Y15" s="40" t="s">
        <v>80</v>
      </c>
      <c r="Z15" s="40" t="s">
        <v>110</v>
      </c>
      <c r="AA15" s="40" t="s">
        <v>80</v>
      </c>
      <c r="AB15" s="40" t="s">
        <v>80</v>
      </c>
      <c r="AC15" s="40" t="s">
        <v>82</v>
      </c>
      <c r="AD15" s="40" t="s">
        <v>80</v>
      </c>
      <c r="AE15" s="40" t="s">
        <v>80</v>
      </c>
      <c r="AF15" s="40" t="s">
        <v>80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83</v>
      </c>
      <c r="AL15" s="40" t="s">
        <v>80</v>
      </c>
      <c r="AM15" t="str">
        <f>VLOOKUP($R15,武学奇术!$A:$ZZ,25,FALSE)</f>
        <v>伞</v>
      </c>
      <c r="AN15" s="24">
        <f>VLOOKUP($R15,武学奇术!$A:$ZZ,26,FALSE)</f>
        <v>1.0217</v>
      </c>
      <c r="AO15" s="25">
        <f>VLOOKUP($R15,武学奇术!$A:$ZZ,27,FALSE)*(1+IF(OR($AM15=$F$4,$AM15=$F$5),$B$21,0))</f>
        <v>451.2</v>
      </c>
      <c r="AP15" s="24">
        <f>VLOOKUP($R15,武学奇术!$A:$ZZ,28,FALSE)</f>
        <v>1.5325</v>
      </c>
      <c r="AQ15" s="25">
        <f>VLOOKUP($R15,武学奇术!$A:$ZZ,29,FALSE)*(1+IF(OR($AM15=$F$4,$AM15=$F$5),$B$21,0))</f>
        <v>246.4</v>
      </c>
      <c r="AR15" s="24" cm="1">
        <f t="array" ref="AR15">$G$3+IFERROR(VLOOKUP($AM15,$F$4:$G$7,2,FALSE),0)+VLOOKUP($R15,武学奇术!$A:$ZZ,2,FALSE)+SUM(_xlfn.XLOOKUP($S15:$AL15,增益!$A:$A,增益!$B:$B,0))</f>
        <v>1.0543</v>
      </c>
      <c r="AS15" s="24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4195.0125</v>
      </c>
      <c r="AU15" cm="1">
        <f t="array" ref="AU15">$E$10*(1+$AS15)+VLOOKUP($R15,武学奇术!$A:$ZZ,4,FALSE)+SUM(_xlfn.XLOOKUP($S15:$AL15,增益!$A:$A,增益!$D:$D,0))-$I$2</f>
        <v>4195.0125</v>
      </c>
      <c r="AV15" s="33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0.4039</v>
      </c>
      <c r="AW15" s="33" cm="1">
        <f t="array" ref="AW15">$G$10+VLOOKUP($R15,武学奇术!$A:$ZZ,7,FALSE)+SUM(_xlfn.XLOOKUP($S15:$AL15,增益!$A:$A,增益!$G:$G,0))</f>
        <v>0.145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3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3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3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3" cm="1">
        <f t="array" ref="BF15">$G$12+VLOOKUP($R15,武学奇术!$A:$ZZ,12,FALSE)+SUM(_xlfn.XLOOKUP($S15:$AL15,增益!$A:$A,增益!$L:$L,0))</f>
        <v>0.02</v>
      </c>
      <c r="BG15">
        <f t="shared" si="5"/>
        <v>618.2</v>
      </c>
      <c r="BH15">
        <f t="shared" si="6"/>
        <v>1567.4</v>
      </c>
      <c r="BI15" s="33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0.18</v>
      </c>
      <c r="BJ15" s="33" cm="1">
        <f t="array" ref="BJ15">$G$13+VLOOKUP($R15,武学奇术!$A:$ZZ,14,FALSE)+SUM(_xlfn.XLOOKUP($S15:$AL15,增益!$A:$A,增益!$N:$N,0))</f>
        <v>0.27</v>
      </c>
      <c r="BK15">
        <f t="shared" si="7"/>
        <v>0</v>
      </c>
      <c r="BL15">
        <f t="shared" si="8"/>
        <v>0</v>
      </c>
      <c r="BM15" s="33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3" cm="1">
        <f t="array" ref="BN15">$G$14+VLOOKUP($R15,武学奇术!$A:$ZZ,16,FALSE)+SUM(_xlfn.XLOOKUP($S15:$AL15,增益!$A:$A,增益!$P:$P,0))</f>
        <v>0.02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4" cm="1">
        <f t="array" ref="BQ15">1+$B$13+VLOOKUP($R15,武学奇术!$A:$ZZ,18,FALSE)+SUM(_xlfn.XLOOKUP($S15:$AL15,增益!$A:$A,增益!$R:$R,0))</f>
        <v>1.89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0.8865</v>
      </c>
      <c r="BU15" s="24">
        <f t="shared" si="10"/>
        <v>0.0222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0.06</v>
      </c>
      <c r="BX15" s="24" cm="1">
        <f t="array" ref="BX15">VLOOKUP($R15,武学奇术!$A:$ZZ,32,FALSE)+SUM(_xlfn.XLOOKUP($S15:$AL15,增益!$A:$A,增益!$X:$X,0))</f>
        <v>0.25</v>
      </c>
    </row>
    <row r="16" spans="1:76">
      <c r="A16" s="42" t="s">
        <v>124</v>
      </c>
      <c r="B16" s="71">
        <v>0.0892</v>
      </c>
      <c r="C16" s="29" t="s">
        <v>125</v>
      </c>
      <c r="D16" s="80" t="s">
        <v>126</v>
      </c>
      <c r="E16" s="29" t="s">
        <v>127</v>
      </c>
      <c r="F16" s="80" t="s">
        <v>126</v>
      </c>
      <c r="H16" s="69" t="s">
        <v>128</v>
      </c>
      <c r="I16" s="82">
        <f>I12/195807.84</f>
        <v>1.0000000225711</v>
      </c>
      <c r="J16" s="83"/>
      <c r="K16" s="39">
        <f>$L16*VLOOKUP($R16,武学奇术!$A:$ZY,31,FALSE)</f>
        <v>147798.218553713</v>
      </c>
      <c r="L16" s="39">
        <f t="shared" si="0"/>
        <v>140760.208146394</v>
      </c>
      <c r="M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145096.147923814</v>
      </c>
      <c r="N16" s="39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114218.71908207</v>
      </c>
      <c r="O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76770.4486369384</v>
      </c>
      <c r="P16" s="39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68934.4386945657</v>
      </c>
      <c r="Q16" s="29">
        <v>2</v>
      </c>
      <c r="R16" s="40" t="s">
        <v>115</v>
      </c>
      <c r="S16" s="40" t="s">
        <v>91</v>
      </c>
      <c r="T16" s="40" t="s">
        <v>87</v>
      </c>
      <c r="U16" s="40" t="s">
        <v>106</v>
      </c>
      <c r="V16" s="40" t="s">
        <v>81</v>
      </c>
      <c r="W16" s="40" t="s">
        <v>100</v>
      </c>
      <c r="X16" s="40" t="s">
        <v>80</v>
      </c>
      <c r="Y16" s="40" t="s">
        <v>80</v>
      </c>
      <c r="Z16" s="40" t="s">
        <v>110</v>
      </c>
      <c r="AA16" s="40" t="s">
        <v>80</v>
      </c>
      <c r="AB16" s="40" t="s">
        <v>80</v>
      </c>
      <c r="AC16" s="40" t="s">
        <v>82</v>
      </c>
      <c r="AD16" s="40" t="s">
        <v>80</v>
      </c>
      <c r="AE16" s="40" t="s">
        <v>80</v>
      </c>
      <c r="AF16" s="40" t="s">
        <v>80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83</v>
      </c>
      <c r="AL16" s="40" t="s">
        <v>80</v>
      </c>
      <c r="AM16" t="str">
        <f>VLOOKUP($R16,武学奇术!$A:$ZZ,25,FALSE)</f>
        <v>伞</v>
      </c>
      <c r="AN16" s="24">
        <f>VLOOKUP($R16,武学奇术!$A:$ZZ,26,FALSE)</f>
        <v>1.0217</v>
      </c>
      <c r="AO16" s="25">
        <f>VLOOKUP($R16,武学奇术!$A:$ZZ,27,FALSE)*(1+IF(OR($AM16=$F$4,$AM16=$F$5),$B$21,0))</f>
        <v>451.2</v>
      </c>
      <c r="AP16" s="24">
        <f>VLOOKUP($R16,武学奇术!$A:$ZZ,28,FALSE)</f>
        <v>1.5325</v>
      </c>
      <c r="AQ16" s="25">
        <f>VLOOKUP($R16,武学奇术!$A:$ZZ,29,FALSE)*(1+IF(OR($AM16=$F$4,$AM16=$F$5),$B$21,0))</f>
        <v>246.4</v>
      </c>
      <c r="AR16" s="24" cm="1">
        <f t="array" ref="AR16">$G$3+IFERROR(VLOOKUP($AM16,$F$4:$G$7,2,FALSE),0)+VLOOKUP($R16,武学奇术!$A:$ZZ,2,FALSE)+SUM(_xlfn.XLOOKUP($S16:$AL16,增益!$A:$A,增益!$B:$B,0))</f>
        <v>1.0543</v>
      </c>
      <c r="AS16" s="24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4195.0125</v>
      </c>
      <c r="AU16" cm="1">
        <f t="array" ref="AU16">$E$10*(1+$AS16)+VLOOKUP($R16,武学奇术!$A:$ZZ,4,FALSE)+SUM(_xlfn.XLOOKUP($S16:$AL16,增益!$A:$A,增益!$D:$D,0))-$I$2</f>
        <v>4195.0125</v>
      </c>
      <c r="AV16" s="33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0.4039</v>
      </c>
      <c r="AW16" s="33" cm="1">
        <f t="array" ref="AW16">$G$10+VLOOKUP($R16,武学奇术!$A:$ZZ,7,FALSE)+SUM(_xlfn.XLOOKUP($S16:$AL16,增益!$A:$A,增益!$G:$G,0))</f>
        <v>0.145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3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3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3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3" cm="1">
        <f t="array" ref="BF16">$G$12+VLOOKUP($R16,武学奇术!$A:$ZZ,12,FALSE)+SUM(_xlfn.XLOOKUP($S16:$AL16,增益!$A:$A,增益!$L:$L,0))</f>
        <v>0.02</v>
      </c>
      <c r="BG16">
        <f t="shared" si="5"/>
        <v>618.2</v>
      </c>
      <c r="BH16">
        <f t="shared" si="6"/>
        <v>1567.4</v>
      </c>
      <c r="BI16" s="33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0.18</v>
      </c>
      <c r="BJ16" s="33" cm="1">
        <f t="array" ref="BJ16">$G$13+VLOOKUP($R16,武学奇术!$A:$ZZ,14,FALSE)+SUM(_xlfn.XLOOKUP($S16:$AL16,增益!$A:$A,增益!$N:$N,0))</f>
        <v>0.27</v>
      </c>
      <c r="BK16">
        <f t="shared" si="7"/>
        <v>0</v>
      </c>
      <c r="BL16">
        <f t="shared" si="8"/>
        <v>0</v>
      </c>
      <c r="BM16" s="33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3" cm="1">
        <f t="array" ref="BN16">$G$14+VLOOKUP($R16,武学奇术!$A:$ZZ,16,FALSE)+SUM(_xlfn.XLOOKUP($S16:$AL16,增益!$A:$A,增益!$P:$P,0))</f>
        <v>0.02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4" cm="1">
        <f t="array" ref="BQ16">1+$B$13+VLOOKUP($R16,武学奇术!$A:$ZZ,18,FALSE)+SUM(_xlfn.XLOOKUP($S16:$AL16,增益!$A:$A,增益!$R:$R,0))</f>
        <v>1.89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0.8865</v>
      </c>
      <c r="BU16" s="24">
        <f t="shared" si="10"/>
        <v>0.0222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0.06</v>
      </c>
      <c r="BX16" s="24" cm="1">
        <f t="array" ref="BX16">VLOOKUP($R16,武学奇术!$A:$ZZ,32,FALSE)+SUM(_xlfn.XLOOKUP($S16:$AL16,增益!$A:$A,增益!$X:$X,0))</f>
        <v>0.25</v>
      </c>
    </row>
    <row r="17" spans="1:76">
      <c r="A17" s="42" t="s">
        <v>129</v>
      </c>
      <c r="B17" s="71">
        <v>0.0854</v>
      </c>
      <c r="C17" s="29" t="s">
        <v>130</v>
      </c>
      <c r="D17" s="80" t="s">
        <v>126</v>
      </c>
      <c r="E17" s="29" t="s">
        <v>131</v>
      </c>
      <c r="F17" s="80" t="s">
        <v>126</v>
      </c>
      <c r="H17" s="72"/>
      <c r="I17" s="84"/>
      <c r="J17" s="85"/>
      <c r="K17" s="39">
        <f>$L17*VLOOKUP($R17,武学奇术!$A:$ZY,31,FALSE)</f>
        <v>74256.4085411191</v>
      </c>
      <c r="L17" s="39">
        <f t="shared" si="0"/>
        <v>70720.3890867801</v>
      </c>
      <c r="M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72931.9262050915</v>
      </c>
      <c r="N17" s="39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57109.359541035</v>
      </c>
      <c r="O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38385.2243184692</v>
      </c>
      <c r="P17" s="39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34467.2193472829</v>
      </c>
      <c r="Q17" s="29">
        <v>1</v>
      </c>
      <c r="R17" s="40" t="s">
        <v>115</v>
      </c>
      <c r="S17" s="40" t="s">
        <v>91</v>
      </c>
      <c r="T17" s="40" t="s">
        <v>94</v>
      </c>
      <c r="U17" s="40" t="s">
        <v>106</v>
      </c>
      <c r="V17" s="40" t="s">
        <v>81</v>
      </c>
      <c r="W17" s="40" t="s">
        <v>100</v>
      </c>
      <c r="X17" s="40" t="s">
        <v>80</v>
      </c>
      <c r="Y17" s="40" t="s">
        <v>80</v>
      </c>
      <c r="Z17" s="40" t="s">
        <v>110</v>
      </c>
      <c r="AA17" s="40" t="s">
        <v>80</v>
      </c>
      <c r="AB17" s="40" t="s">
        <v>80</v>
      </c>
      <c r="AC17" s="40" t="s">
        <v>82</v>
      </c>
      <c r="AD17" s="40" t="s">
        <v>80</v>
      </c>
      <c r="AE17" s="40" t="s">
        <v>80</v>
      </c>
      <c r="AF17" s="40" t="s">
        <v>80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83</v>
      </c>
      <c r="AL17" s="40" t="s">
        <v>80</v>
      </c>
      <c r="AM17" t="str">
        <f>VLOOKUP($R17,武学奇术!$A:$ZZ,25,FALSE)</f>
        <v>伞</v>
      </c>
      <c r="AN17" s="24">
        <f>VLOOKUP($R17,武学奇术!$A:$ZZ,26,FALSE)</f>
        <v>1.0217</v>
      </c>
      <c r="AO17" s="25">
        <f>VLOOKUP($R17,武学奇术!$A:$ZZ,27,FALSE)*(1+IF(OR($AM17=$F$4,$AM17=$F$5),$B$21,0))</f>
        <v>451.2</v>
      </c>
      <c r="AP17" s="24">
        <f>VLOOKUP($R17,武学奇术!$A:$ZZ,28,FALSE)</f>
        <v>1.5325</v>
      </c>
      <c r="AQ17" s="25">
        <f>VLOOKUP($R17,武学奇术!$A:$ZZ,29,FALSE)*(1+IF(OR($AM17=$F$4,$AM17=$F$5),$B$21,0))</f>
        <v>246.4</v>
      </c>
      <c r="AR17" s="24" cm="1">
        <f t="array" ref="AR17">$G$3+IFERROR(VLOOKUP($AM17,$F$4:$G$7,2,FALSE),0)+VLOOKUP($R17,武学奇术!$A:$ZZ,2,FALSE)+SUM(_xlfn.XLOOKUP($S17:$AL17,增益!$A:$A,增益!$B:$B,0))</f>
        <v>1.0543</v>
      </c>
      <c r="AS17" s="24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4195.0125</v>
      </c>
      <c r="AU17" cm="1">
        <f t="array" ref="AU17">$E$10*(1+$AS17)+VLOOKUP($R17,武学奇术!$A:$ZZ,4,FALSE)+SUM(_xlfn.XLOOKUP($S17:$AL17,增益!$A:$A,增益!$D:$D,0))-$I$2</f>
        <v>4195.0125</v>
      </c>
      <c r="AV17" s="33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0.4039</v>
      </c>
      <c r="AW17" s="33" cm="1">
        <f t="array" ref="AW17">$G$10+VLOOKUP($R17,武学奇术!$A:$ZZ,7,FALSE)+SUM(_xlfn.XLOOKUP($S17:$AL17,增益!$A:$A,增益!$G:$G,0))</f>
        <v>0.145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3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3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3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3" cm="1">
        <f t="array" ref="BF17">$G$12+VLOOKUP($R17,武学奇术!$A:$ZZ,12,FALSE)+SUM(_xlfn.XLOOKUP($S17:$AL17,增益!$A:$A,增益!$L:$L,0))</f>
        <v>0.02</v>
      </c>
      <c r="BG17">
        <f t="shared" si="5"/>
        <v>618.2</v>
      </c>
      <c r="BH17">
        <f t="shared" si="6"/>
        <v>1567.4</v>
      </c>
      <c r="BI17" s="33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0.18</v>
      </c>
      <c r="BJ17" s="33" cm="1">
        <f t="array" ref="BJ17">$G$13+VLOOKUP($R17,武学奇术!$A:$ZZ,14,FALSE)+SUM(_xlfn.XLOOKUP($S17:$AL17,增益!$A:$A,增益!$N:$N,0))</f>
        <v>0.27</v>
      </c>
      <c r="BK17">
        <f t="shared" si="7"/>
        <v>0</v>
      </c>
      <c r="BL17">
        <f t="shared" si="8"/>
        <v>0</v>
      </c>
      <c r="BM17" s="33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3" cm="1">
        <f t="array" ref="BN17">$G$14+VLOOKUP($R17,武学奇术!$A:$ZZ,16,FALSE)+SUM(_xlfn.XLOOKUP($S17:$AL17,增益!$A:$A,增益!$P:$P,0))</f>
        <v>0.02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4" cm="1">
        <f t="array" ref="BQ17">1+$B$13+VLOOKUP($R17,武学奇术!$A:$ZZ,18,FALSE)+SUM(_xlfn.XLOOKUP($S17:$AL17,增益!$A:$A,增益!$R:$R,0))</f>
        <v>1.9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0.8865</v>
      </c>
      <c r="BU17" s="24">
        <f t="shared" si="10"/>
        <v>0.0222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0.06</v>
      </c>
      <c r="BX17" s="24" cm="1">
        <f t="array" ref="BX17">VLOOKUP($R17,武学奇术!$A:$ZZ,32,FALSE)+SUM(_xlfn.XLOOKUP($S17:$AL17,增益!$A:$A,增益!$X:$X,0))</f>
        <v>0.25</v>
      </c>
    </row>
    <row r="18" spans="1:76">
      <c r="A18" s="42" t="s">
        <v>132</v>
      </c>
      <c r="B18" s="71">
        <v>0.0854</v>
      </c>
      <c r="C18" s="29" t="s">
        <v>133</v>
      </c>
      <c r="D18" s="80" t="s">
        <v>126</v>
      </c>
      <c r="H18" s="37" t="s">
        <v>7</v>
      </c>
      <c r="I18" s="82">
        <f>SUM(K:K)/SUM(L:L)</f>
        <v>1.04416576368567</v>
      </c>
      <c r="J18" s="83"/>
      <c r="K18" s="39">
        <f>$L18*VLOOKUP($R18,武学奇术!$A:$ZY,31,FALSE)</f>
        <v>32720.0874266112</v>
      </c>
      <c r="L18" s="39">
        <f t="shared" si="0"/>
        <v>31161.988025344</v>
      </c>
      <c r="M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31936.0252263506</v>
      </c>
      <c r="N18" s="39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26836.2335755412</v>
      </c>
      <c r="O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18042.9521052828</v>
      </c>
      <c r="P18" s="39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16207.2126731278</v>
      </c>
      <c r="Q18" s="29">
        <v>1</v>
      </c>
      <c r="R18" s="40" t="s">
        <v>134</v>
      </c>
      <c r="S18" s="40" t="s">
        <v>86</v>
      </c>
      <c r="T18" s="40" t="s">
        <v>79</v>
      </c>
      <c r="U18" s="40" t="s">
        <v>80</v>
      </c>
      <c r="V18" s="40" t="s">
        <v>80</v>
      </c>
      <c r="W18" s="40" t="s">
        <v>80</v>
      </c>
      <c r="X18" s="40" t="s">
        <v>80</v>
      </c>
      <c r="Y18" s="40" t="s">
        <v>109</v>
      </c>
      <c r="Z18" s="40" t="s">
        <v>110</v>
      </c>
      <c r="AA18" s="40" t="s">
        <v>80</v>
      </c>
      <c r="AB18" s="40" t="s">
        <v>80</v>
      </c>
      <c r="AC18" s="40" t="s">
        <v>82</v>
      </c>
      <c r="AD18" s="40" t="s">
        <v>80</v>
      </c>
      <c r="AE18" s="40" t="s">
        <v>80</v>
      </c>
      <c r="AF18" s="40" t="s">
        <v>80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83</v>
      </c>
      <c r="AL18" s="40" t="s">
        <v>80</v>
      </c>
      <c r="AM18" t="str">
        <f>VLOOKUP($R18,武学奇术!$A:$ZZ,25,FALSE)</f>
        <v>扇</v>
      </c>
      <c r="AN18" s="24">
        <f>VLOOKUP($R18,武学奇术!$A:$ZZ,26,FALSE)</f>
        <v>1.2798</v>
      </c>
      <c r="AO18" s="25">
        <f>VLOOKUP($R18,武学奇术!$A:$ZZ,27,FALSE)*(1+IF(OR($AM18=$F$4,$AM18=$F$5),$B$21,0))</f>
        <v>568</v>
      </c>
      <c r="AP18" s="24">
        <f>VLOOKUP($R18,武学奇术!$A:$ZZ,28,FALSE)</f>
        <v>1.9197</v>
      </c>
      <c r="AQ18" s="25">
        <f>VLOOKUP($R18,武学奇术!$A:$ZZ,29,FALSE)*(1+IF(OR($AM18=$F$4,$AM18=$F$5),$B$21,0))</f>
        <v>308.8</v>
      </c>
      <c r="AR18" s="24" cm="1">
        <f t="array" ref="AR18">$G$3+IFERROR(VLOOKUP($AM18,$F$4:$G$7,2,FALSE),0)+VLOOKUP($R18,武学奇术!$A:$ZZ,2,FALSE)+SUM(_xlfn.XLOOKUP($S18:$AL18,增益!$A:$A,增益!$B:$B,0))</f>
        <v>0.5043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3859.2</v>
      </c>
      <c r="AU18" cm="1">
        <f t="array" ref="AU18">$E$10*(1+$AS18)+VLOOKUP($R18,武学奇术!$A:$ZZ,4,FALSE)+SUM(_xlfn.XLOOKUP($S18:$AL18,增益!$A:$A,增益!$D:$D,0))-$I$2</f>
        <v>3859.2</v>
      </c>
      <c r="AV18" s="33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0.4039</v>
      </c>
      <c r="AW18" s="33" cm="1">
        <f t="array" ref="AW18">$G$10+VLOOKUP($R18,武学奇术!$A:$ZZ,7,FALSE)+SUM(_xlfn.XLOOKUP($S18:$AL18,增益!$A:$A,增益!$G:$G,0))</f>
        <v>0.045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3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3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3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3" cm="1">
        <f t="array" ref="BF18">$G$12+VLOOKUP($R18,武学奇术!$A:$ZZ,12,FALSE)+SUM(_xlfn.XLOOKUP($S18:$AL18,增益!$A:$A,增益!$L:$L,0))</f>
        <v>0.02</v>
      </c>
      <c r="BG18">
        <f t="shared" si="5"/>
        <v>618.2</v>
      </c>
      <c r="BH18">
        <f t="shared" si="6"/>
        <v>1567.4</v>
      </c>
      <c r="BI18" s="33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0.08</v>
      </c>
      <c r="BJ18" s="33" cm="1">
        <f t="array" ref="BJ18">$G$13+VLOOKUP($R18,武学奇术!$A:$ZZ,14,FALSE)+SUM(_xlfn.XLOOKUP($S18:$AL18,增益!$A:$A,增益!$N:$N,0))</f>
        <v>0.17</v>
      </c>
      <c r="BK18">
        <f t="shared" si="7"/>
        <v>0</v>
      </c>
      <c r="BL18">
        <f t="shared" si="8"/>
        <v>0</v>
      </c>
      <c r="BM18" s="33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3" cm="1">
        <f t="array" ref="BN18">$G$14+VLOOKUP($R18,武学奇术!$A:$ZZ,16,FALSE)+SUM(_xlfn.XLOOKUP($S18:$AL18,增益!$A:$A,增益!$P:$P,0))</f>
        <v>0.02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4" cm="1">
        <f t="array" ref="BQ18">1+$B$13+VLOOKUP($R18,武学奇术!$A:$ZZ,18,FALSE)+SUM(_xlfn.XLOOKUP($S18:$AL18,增益!$A:$A,增益!$R:$R,0))</f>
        <v>1.77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0.8865</v>
      </c>
      <c r="BU18" s="24">
        <f t="shared" si="10"/>
        <v>0.0222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0.06</v>
      </c>
      <c r="BX18" s="24" cm="1">
        <f t="array" ref="BX18">VLOOKUP($R18,武学奇术!$A:$ZZ,32,FALSE)+SUM(_xlfn.XLOOKUP($S18:$AL18,增益!$A:$A,增益!$X:$X,0))</f>
        <v>0</v>
      </c>
    </row>
    <row r="19" ht="14.25" spans="1:76">
      <c r="A19" s="94" t="s">
        <v>135</v>
      </c>
      <c r="B19" s="95">
        <v>0.2677</v>
      </c>
      <c r="C19" s="29" t="s">
        <v>136</v>
      </c>
      <c r="D19" s="80" t="s">
        <v>126</v>
      </c>
      <c r="E19" s="29" t="s">
        <v>137</v>
      </c>
      <c r="F19" s="80" t="s">
        <v>126</v>
      </c>
      <c r="H19" s="81"/>
      <c r="I19" s="84"/>
      <c r="J19" s="85"/>
      <c r="K19" s="39">
        <f>$L19*VLOOKUP($R19,武学奇术!$A:$ZY,31,FALSE)</f>
        <v>0</v>
      </c>
      <c r="L19" s="39">
        <f t="shared" si="0"/>
        <v>0</v>
      </c>
      <c r="M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0</v>
      </c>
      <c r="N19" s="39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0</v>
      </c>
      <c r="O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0</v>
      </c>
      <c r="P19" s="39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0</v>
      </c>
      <c r="Q19" s="86">
        <f>IF($E$24="龙卷",1,0)</f>
        <v>0</v>
      </c>
      <c r="R19" s="40" t="s">
        <v>138</v>
      </c>
      <c r="S19" s="40" t="s">
        <v>121</v>
      </c>
      <c r="T19" s="40" t="s">
        <v>87</v>
      </c>
      <c r="U19" s="40" t="s">
        <v>80</v>
      </c>
      <c r="V19" s="40" t="s">
        <v>81</v>
      </c>
      <c r="W19" s="40" t="s">
        <v>100</v>
      </c>
      <c r="X19" s="40" t="s">
        <v>80</v>
      </c>
      <c r="Y19" s="40" t="s">
        <v>109</v>
      </c>
      <c r="Z19" s="40" t="s">
        <v>110</v>
      </c>
      <c r="AA19" s="40" t="s">
        <v>80</v>
      </c>
      <c r="AB19" s="40" t="s">
        <v>80</v>
      </c>
      <c r="AC19" s="40" t="s">
        <v>82</v>
      </c>
      <c r="AD19" s="40" t="s">
        <v>80</v>
      </c>
      <c r="AE19" s="40" t="s">
        <v>80</v>
      </c>
      <c r="AF19" s="40" t="s">
        <v>80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83</v>
      </c>
      <c r="AL19" s="40" t="s">
        <v>80</v>
      </c>
      <c r="AM19" t="str">
        <f>VLOOKUP($R19,武学奇术!$A:$ZZ,25,FALSE)</f>
        <v>扇</v>
      </c>
      <c r="AN19" s="24">
        <f>VLOOKUP($R19,武学奇术!$A:$ZZ,26,FALSE)</f>
        <v>1.9044</v>
      </c>
      <c r="AO19" s="25">
        <f>VLOOKUP($R19,武学奇术!$A:$ZZ,27,FALSE)*(1+IF(OR($AM19=$F$4,$AM19=$F$5),$B$21,0))</f>
        <v>843.2</v>
      </c>
      <c r="AP19" s="24">
        <f>VLOOKUP($R19,武学奇术!$A:$ZZ,28,FALSE)</f>
        <v>2.8566</v>
      </c>
      <c r="AQ19" s="25">
        <f>VLOOKUP($R19,武学奇术!$A:$ZZ,29,FALSE)*(1+IF(OR($AM19=$F$4,$AM19=$F$5),$B$21,0))</f>
        <v>459.2</v>
      </c>
      <c r="AR19" s="24" cm="1">
        <f t="array" ref="AR19">$G$3+IFERROR(VLOOKUP($AM19,$F$4:$G$7,2,FALSE),0)+VLOOKUP($R19,武学奇术!$A:$ZZ,2,FALSE)+SUM(_xlfn.XLOOKUP($S19:$AL19,增益!$A:$A,增益!$B:$B,0))</f>
        <v>0.8043</v>
      </c>
      <c r="AS19" s="24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4195.0125</v>
      </c>
      <c r="AU19" cm="1">
        <f t="array" ref="AU19">$E$10*(1+$AS19)+VLOOKUP($R19,武学奇术!$A:$ZZ,4,FALSE)+SUM(_xlfn.XLOOKUP($S19:$AL19,增益!$A:$A,增益!$D:$D,0))-$I$2</f>
        <v>4195.0125</v>
      </c>
      <c r="AV19" s="33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0.5039</v>
      </c>
      <c r="AW19" s="33" cm="1">
        <f t="array" ref="AW19">$G$10+VLOOKUP($R19,武学奇术!$A:$ZZ,7,FALSE)+SUM(_xlfn.XLOOKUP($S19:$AL19,增益!$A:$A,增益!$G:$G,0))</f>
        <v>0.145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3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3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3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3" cm="1">
        <f t="array" ref="BF19">$G$12+VLOOKUP($R19,武学奇术!$A:$ZZ,12,FALSE)+SUM(_xlfn.XLOOKUP($S19:$AL19,增益!$A:$A,增益!$L:$L,0))</f>
        <v>0.02</v>
      </c>
      <c r="BG19">
        <f t="shared" si="5"/>
        <v>618.2</v>
      </c>
      <c r="BH19">
        <f t="shared" si="6"/>
        <v>1567.4</v>
      </c>
      <c r="BI19" s="33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0.18</v>
      </c>
      <c r="BJ19" s="33" cm="1">
        <f t="array" ref="BJ19">$G$13+VLOOKUP($R19,武学奇术!$A:$ZZ,14,FALSE)+SUM(_xlfn.XLOOKUP($S19:$AL19,增益!$A:$A,增益!$N:$N,0))</f>
        <v>0.27</v>
      </c>
      <c r="BK19">
        <f t="shared" si="7"/>
        <v>0</v>
      </c>
      <c r="BL19">
        <f t="shared" si="8"/>
        <v>0</v>
      </c>
      <c r="BM19" s="33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3" cm="1">
        <f t="array" ref="BN19">$G$14+VLOOKUP($R19,武学奇术!$A:$ZZ,16,FALSE)+SUM(_xlfn.XLOOKUP($S19:$AL19,增益!$A:$A,增益!$P:$P,0))</f>
        <v>0.02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4" cm="1">
        <f t="array" ref="BQ19">1+$B$13+VLOOKUP($R19,武学奇术!$A:$ZZ,18,FALSE)+SUM(_xlfn.XLOOKUP($S19:$AL19,增益!$A:$A,增益!$R:$R,0))</f>
        <v>1.78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0.8865</v>
      </c>
      <c r="BU19" s="24">
        <f t="shared" si="10"/>
        <v>0.0222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0.06</v>
      </c>
      <c r="BX19" s="24" cm="1">
        <f t="array" ref="BX19">VLOOKUP($R19,武学奇术!$A:$ZZ,32,FALSE)+SUM(_xlfn.XLOOKUP($S19:$AL19,增益!$A:$A,增益!$X:$X,0))</f>
        <v>0.55</v>
      </c>
    </row>
    <row r="20" ht="14.25" spans="1:76">
      <c r="A20" s="87" t="s">
        <v>139</v>
      </c>
      <c r="B20" s="88">
        <v>0.3206</v>
      </c>
      <c r="C20" s="29" t="s">
        <v>140</v>
      </c>
      <c r="D20" s="80" t="s">
        <v>126</v>
      </c>
      <c r="E20" s="29" t="s">
        <v>110</v>
      </c>
      <c r="F20" s="80" t="s">
        <v>126</v>
      </c>
      <c r="K20" s="39">
        <f>$L20*VLOOKUP($R20,武学奇术!$A:$ZY,31,FALSE)</f>
        <v>263010.345082665</v>
      </c>
      <c r="L20" s="39">
        <f t="shared" si="0"/>
        <v>250486.042935872</v>
      </c>
      <c r="M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258179.316235835</v>
      </c>
      <c r="N20" s="39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203477.509837121</v>
      </c>
      <c r="O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136602.812823193</v>
      </c>
      <c r="P20" s="39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122481.544285556</v>
      </c>
      <c r="Q20" s="29">
        <v>1</v>
      </c>
      <c r="R20" s="40" t="s">
        <v>141</v>
      </c>
      <c r="S20" s="40" t="s">
        <v>91</v>
      </c>
      <c r="T20" s="40" t="s">
        <v>87</v>
      </c>
      <c r="U20" s="40" t="s">
        <v>80</v>
      </c>
      <c r="V20" s="40" t="s">
        <v>81</v>
      </c>
      <c r="W20" s="40" t="s">
        <v>142</v>
      </c>
      <c r="X20" s="40" t="s">
        <v>80</v>
      </c>
      <c r="Y20" s="40" t="s">
        <v>80</v>
      </c>
      <c r="Z20" s="40" t="s">
        <v>110</v>
      </c>
      <c r="AA20" s="40" t="s">
        <v>80</v>
      </c>
      <c r="AB20" s="40" t="s">
        <v>80</v>
      </c>
      <c r="AC20" s="40" t="s">
        <v>82</v>
      </c>
      <c r="AD20" s="40" t="s">
        <v>80</v>
      </c>
      <c r="AE20" s="40" t="s">
        <v>80</v>
      </c>
      <c r="AF20" s="40" t="s">
        <v>80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83</v>
      </c>
      <c r="AL20" s="40" t="s">
        <v>80</v>
      </c>
      <c r="AM20" t="str">
        <f>VLOOKUP($R20,武学奇术!$A:$ZZ,25,FALSE)</f>
        <v>扇</v>
      </c>
      <c r="AN20" s="24">
        <f>VLOOKUP($R20,武学奇术!$A:$ZZ,26,FALSE)</f>
        <v>7.5463</v>
      </c>
      <c r="AO20" s="25">
        <f>VLOOKUP($R20,武学奇术!$A:$ZZ,27,FALSE)*(1+IF(OR($AM20=$F$4,$AM20=$F$5),$B$21,0))</f>
        <v>3339.2</v>
      </c>
      <c r="AP20" s="24">
        <f>VLOOKUP($R20,武学奇术!$A:$ZZ,28,FALSE)</f>
        <v>11.3195</v>
      </c>
      <c r="AQ20" s="25">
        <f>VLOOKUP($R20,武学奇术!$A:$ZZ,29,FALSE)*(1+IF(OR($AM20=$F$4,$AM20=$F$5),$B$21,0))</f>
        <v>1819.2</v>
      </c>
      <c r="AR20" s="24" cm="1">
        <f t="array" ref="AR20">$G$3+IFERROR(VLOOKUP($AM20,$F$4:$G$7,2,FALSE),0)+VLOOKUP($R20,武学奇术!$A:$ZZ,2,FALSE)+SUM(_xlfn.XLOOKUP($S20:$AL20,增益!$A:$A,增益!$B:$B,0))</f>
        <v>0.5043</v>
      </c>
      <c r="AS20" s="24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4195.0125</v>
      </c>
      <c r="AU20" cm="1">
        <f t="array" ref="AU20">$E$10*(1+$AS20)+VLOOKUP($R20,武学奇术!$A:$ZZ,4,FALSE)+SUM(_xlfn.XLOOKUP($S20:$AL20,增益!$A:$A,增益!$D:$D,0))-$I$2</f>
        <v>4195.0125</v>
      </c>
      <c r="AV20" s="33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0.3789</v>
      </c>
      <c r="AW20" s="33" cm="1">
        <f t="array" ref="AW20">$G$10+VLOOKUP($R20,武学奇术!$A:$ZZ,7,FALSE)+SUM(_xlfn.XLOOKUP($S20:$AL20,增益!$A:$A,增益!$G:$G,0))</f>
        <v>0.145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3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3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3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3" cm="1">
        <f t="array" ref="BF20">$G$12+VLOOKUP($R20,武学奇术!$A:$ZZ,12,FALSE)+SUM(_xlfn.XLOOKUP($S20:$AL20,增益!$A:$A,增益!$L:$L,0))</f>
        <v>0.02</v>
      </c>
      <c r="BG20">
        <f t="shared" si="5"/>
        <v>618.2</v>
      </c>
      <c r="BH20">
        <f t="shared" si="6"/>
        <v>1567.4</v>
      </c>
      <c r="BI20" s="33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0.18</v>
      </c>
      <c r="BJ20" s="33" cm="1">
        <f t="array" ref="BJ20">$G$13+VLOOKUP($R20,武学奇术!$A:$ZZ,14,FALSE)+SUM(_xlfn.XLOOKUP($S20:$AL20,增益!$A:$A,增益!$N:$N,0))</f>
        <v>0.27</v>
      </c>
      <c r="BK20">
        <f t="shared" si="7"/>
        <v>0</v>
      </c>
      <c r="BL20">
        <f t="shared" si="8"/>
        <v>0</v>
      </c>
      <c r="BM20" s="33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3" cm="1">
        <f t="array" ref="BN20">$G$14+VLOOKUP($R20,武学奇术!$A:$ZZ,16,FALSE)+SUM(_xlfn.XLOOKUP($S20:$AL20,增益!$A:$A,增益!$P:$P,0))</f>
        <v>0.02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4" cm="1">
        <f t="array" ref="BQ20">1+$B$13+VLOOKUP($R20,武学奇术!$A:$ZZ,18,FALSE)+SUM(_xlfn.XLOOKUP($S20:$AL20,增益!$A:$A,增益!$R:$R,0))</f>
        <v>1.89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0.8865</v>
      </c>
      <c r="BU20" s="24">
        <f t="shared" si="10"/>
        <v>0.0222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0.06</v>
      </c>
      <c r="BX20" s="24" cm="1">
        <f t="array" ref="BX20">VLOOKUP($R20,武学奇术!$A:$ZZ,32,FALSE)+SUM(_xlfn.XLOOKUP($S20:$AL20,增益!$A:$A,增益!$X:$X,0))</f>
        <v>0.1</v>
      </c>
    </row>
    <row r="21" spans="1:76">
      <c r="A21" t="s">
        <v>143</v>
      </c>
      <c r="B21" s="27">
        <v>0.6</v>
      </c>
      <c r="C21" s="29" t="s">
        <v>144</v>
      </c>
      <c r="D21" s="80" t="s">
        <v>145</v>
      </c>
      <c r="E21" s="29" t="s">
        <v>146</v>
      </c>
      <c r="F21" s="29"/>
      <c r="K21" s="39">
        <f>$L21*VLOOKUP($R21,武学奇术!$A:$ZY,31,FALSE)</f>
        <v>113345.981134905</v>
      </c>
      <c r="L21" s="39">
        <f t="shared" si="0"/>
        <v>107948.553461814</v>
      </c>
      <c r="M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111324.47796343</v>
      </c>
      <c r="N21" s="39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87170.4831322718</v>
      </c>
      <c r="O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58591.8305070685</v>
      </c>
      <c r="P21" s="39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52612.9327680097</v>
      </c>
      <c r="Q21" s="29">
        <v>1</v>
      </c>
      <c r="R21" s="40" t="s">
        <v>99</v>
      </c>
      <c r="S21" s="40" t="s">
        <v>91</v>
      </c>
      <c r="T21" s="40" t="s">
        <v>94</v>
      </c>
      <c r="U21" s="40" t="s">
        <v>106</v>
      </c>
      <c r="V21" s="40" t="s">
        <v>81</v>
      </c>
      <c r="W21" s="40" t="s">
        <v>100</v>
      </c>
      <c r="X21" s="40" t="s">
        <v>80</v>
      </c>
      <c r="Y21" s="40" t="s">
        <v>80</v>
      </c>
      <c r="Z21" s="40" t="s">
        <v>110</v>
      </c>
      <c r="AA21" s="40" t="s">
        <v>80</v>
      </c>
      <c r="AB21" s="40" t="s">
        <v>80</v>
      </c>
      <c r="AC21" s="40" t="s">
        <v>82</v>
      </c>
      <c r="AD21" s="40" t="s">
        <v>80</v>
      </c>
      <c r="AE21" s="40" t="s">
        <v>80</v>
      </c>
      <c r="AF21" s="40" t="s">
        <v>80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83</v>
      </c>
      <c r="AL21" s="40" t="s">
        <v>80</v>
      </c>
      <c r="AM21" t="str">
        <f>VLOOKUP($R21,武学奇术!$A:$ZZ,25,FALSE)</f>
        <v>伞</v>
      </c>
      <c r="AN21" s="24">
        <f>VLOOKUP($R21,武学奇术!$A:$ZZ,26,FALSE)</f>
        <v>2.3397</v>
      </c>
      <c r="AO21" s="25">
        <f>VLOOKUP($R21,武学奇术!$A:$ZZ,27,FALSE)*(1+IF(OR($AM21=$F$4,$AM21=$F$5),$B$21,0))</f>
        <v>1036.8</v>
      </c>
      <c r="AP21" s="24">
        <f>VLOOKUP($R21,武学奇术!$A:$ZZ,28,FALSE)</f>
        <v>3.5095</v>
      </c>
      <c r="AQ21" s="25">
        <f>VLOOKUP($R21,武学奇术!$A:$ZZ,29,FALSE)*(1+IF(OR($AM21=$F$4,$AM21=$F$5),$B$21,0))</f>
        <v>564.8</v>
      </c>
      <c r="AR21" s="24" cm="1">
        <f t="array" ref="AR21">$G$3+IFERROR(VLOOKUP($AM21,$F$4:$G$7,2,FALSE),0)+VLOOKUP($R21,武学奇术!$A:$ZZ,2,FALSE)+SUM(_xlfn.XLOOKUP($S21:$AL21,增益!$A:$A,增益!$B:$B,0))</f>
        <v>1.0543</v>
      </c>
      <c r="AS21" s="24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4195.0125</v>
      </c>
      <c r="AU21" cm="1">
        <f t="array" ref="AU21">$E$10*(1+$AS21)+VLOOKUP($R21,武学奇术!$A:$ZZ,4,FALSE)+SUM(_xlfn.XLOOKUP($S21:$AL21,增益!$A:$A,增益!$D:$D,0))-$I$2</f>
        <v>4195.0125</v>
      </c>
      <c r="AV21" s="33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0.4039</v>
      </c>
      <c r="AW21" s="33" cm="1">
        <f t="array" ref="AW21">$G$10+VLOOKUP($R21,武学奇术!$A:$ZZ,7,FALSE)+SUM(_xlfn.XLOOKUP($S21:$AL21,增益!$A:$A,增益!$G:$G,0))</f>
        <v>0.145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3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3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3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3" cm="1">
        <f t="array" ref="BF21">$G$12+VLOOKUP($R21,武学奇术!$A:$ZZ,12,FALSE)+SUM(_xlfn.XLOOKUP($S21:$AL21,增益!$A:$A,增益!$L:$L,0))</f>
        <v>0.02</v>
      </c>
      <c r="BG21">
        <f t="shared" si="5"/>
        <v>618.2</v>
      </c>
      <c r="BH21">
        <f t="shared" si="6"/>
        <v>1567.4</v>
      </c>
      <c r="BI21" s="33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0.18</v>
      </c>
      <c r="BJ21" s="33" cm="1">
        <f t="array" ref="BJ21">$G$13+VLOOKUP($R21,武学奇术!$A:$ZZ,14,FALSE)+SUM(_xlfn.XLOOKUP($S21:$AL21,增益!$A:$A,增益!$N:$N,0))</f>
        <v>0.27</v>
      </c>
      <c r="BK21">
        <f t="shared" si="7"/>
        <v>0</v>
      </c>
      <c r="BL21">
        <f t="shared" si="8"/>
        <v>0</v>
      </c>
      <c r="BM21" s="33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3" cm="1">
        <f t="array" ref="BN21">$G$14+VLOOKUP($R21,武学奇术!$A:$ZZ,16,FALSE)+SUM(_xlfn.XLOOKUP($S21:$AL21,增益!$A:$A,增益!$P:$P,0))</f>
        <v>0.02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4" cm="1">
        <f t="array" ref="BQ21">1+$B$13+VLOOKUP($R21,武学奇术!$A:$ZZ,18,FALSE)+SUM(_xlfn.XLOOKUP($S21:$AL21,增益!$A:$A,增益!$R:$R,0))</f>
        <v>1.9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0.8865</v>
      </c>
      <c r="BU21" s="24">
        <f t="shared" si="10"/>
        <v>0.0222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0.06</v>
      </c>
      <c r="BX21" s="24" cm="1">
        <f t="array" ref="BX21">VLOOKUP($R21,武学奇术!$A:$ZZ,32,FALSE)+SUM(_xlfn.XLOOKUP($S21:$AL21,增益!$A:$A,增益!$X:$X,0))</f>
        <v>0.1</v>
      </c>
    </row>
    <row r="22" spans="1:76">
      <c r="A22" s="89" t="s">
        <v>147</v>
      </c>
      <c r="B22">
        <v>240</v>
      </c>
      <c r="C22" s="29" t="s">
        <v>148</v>
      </c>
      <c r="D22" s="80" t="s">
        <v>126</v>
      </c>
      <c r="E22" s="40" t="s">
        <v>149</v>
      </c>
      <c r="F22" s="40"/>
      <c r="K22" s="39">
        <f>$L22*VLOOKUP($R22,武学奇术!$A:$ZY,31,FALSE)</f>
        <v>44756.0145385444</v>
      </c>
      <c r="L22" s="39">
        <f t="shared" si="0"/>
        <v>42624.7757509946</v>
      </c>
      <c r="M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43089.0890711014</v>
      </c>
      <c r="N22" s="39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41677.3700828933</v>
      </c>
      <c r="O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27979.9279682477</v>
      </c>
      <c r="P22" s="39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25087.7299491669</v>
      </c>
      <c r="Q22" s="29">
        <v>1</v>
      </c>
      <c r="R22" s="40" t="s">
        <v>108</v>
      </c>
      <c r="S22" s="40" t="s">
        <v>91</v>
      </c>
      <c r="T22" s="40" t="s">
        <v>94</v>
      </c>
      <c r="U22" s="40" t="s">
        <v>80</v>
      </c>
      <c r="V22" s="40" t="s">
        <v>81</v>
      </c>
      <c r="W22" s="40" t="s">
        <v>80</v>
      </c>
      <c r="X22" s="40" t="s">
        <v>80</v>
      </c>
      <c r="Y22" s="40" t="s">
        <v>80</v>
      </c>
      <c r="Z22" s="40" t="s">
        <v>110</v>
      </c>
      <c r="AA22" s="40" t="s">
        <v>80</v>
      </c>
      <c r="AB22" s="40" t="s">
        <v>80</v>
      </c>
      <c r="AC22" s="40" t="s">
        <v>82</v>
      </c>
      <c r="AD22" s="40" t="s">
        <v>80</v>
      </c>
      <c r="AE22" s="40" t="s">
        <v>80</v>
      </c>
      <c r="AF22" s="40" t="s">
        <v>80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83</v>
      </c>
      <c r="AL22" s="40" t="s">
        <v>80</v>
      </c>
      <c r="AM22" t="str">
        <f>VLOOKUP($R22,武学奇术!$A:$ZZ,25,FALSE)</f>
        <v>伞</v>
      </c>
      <c r="AN22" s="24">
        <f>VLOOKUP($R22,武学奇术!$A:$ZZ,26,FALSE)</f>
        <v>1.7001</v>
      </c>
      <c r="AO22" s="25">
        <f>VLOOKUP($R22,武学奇术!$A:$ZZ,27,FALSE)*(1+IF(OR($AM22=$F$4,$AM22=$F$5),$B$21,0))</f>
        <v>753.6</v>
      </c>
      <c r="AP22" s="24">
        <f>VLOOKUP($R22,武学奇术!$A:$ZZ,28,FALSE)</f>
        <v>2.5502</v>
      </c>
      <c r="AQ22" s="25">
        <f>VLOOKUP($R22,武学奇术!$A:$ZZ,29,FALSE)*(1+IF(OR($AM22=$F$4,$AM22=$F$5),$B$21,0))</f>
        <v>409.6</v>
      </c>
      <c r="AR22" s="24" cm="1">
        <f t="array" ref="AR22">$G$3+IFERROR(VLOOKUP($AM22,$F$4:$G$7,2,FALSE),0)+VLOOKUP($R22,武学奇术!$A:$ZZ,2,FALSE)+SUM(_xlfn.XLOOKUP($S22:$AL22,增益!$A:$A,增益!$B:$B,0))</f>
        <v>0.5043</v>
      </c>
      <c r="AS22" s="24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4195.0125</v>
      </c>
      <c r="AU22" cm="1">
        <f t="array" ref="AU22">$E$10*(1+$AS22)+VLOOKUP($R22,武学奇术!$A:$ZZ,4,FALSE)+SUM(_xlfn.XLOOKUP($S22:$AL22,增益!$A:$A,增益!$D:$D,0))-$I$2</f>
        <v>4195.0125</v>
      </c>
      <c r="AV22" s="33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0.3789</v>
      </c>
      <c r="AW22" s="33" cm="1">
        <f t="array" ref="AW22">$G$10+VLOOKUP($R22,武学奇术!$A:$ZZ,7,FALSE)+SUM(_xlfn.XLOOKUP($S22:$AL22,增益!$A:$A,增益!$G:$G,0))</f>
        <v>0.145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3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3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3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3" cm="1">
        <f t="array" ref="BF22">$G$12+VLOOKUP($R22,武学奇术!$A:$ZZ,12,FALSE)+SUM(_xlfn.XLOOKUP($S22:$AL22,增益!$A:$A,增益!$L:$L,0))</f>
        <v>0.02</v>
      </c>
      <c r="BG22">
        <f t="shared" si="5"/>
        <v>618.2</v>
      </c>
      <c r="BH22">
        <f t="shared" si="6"/>
        <v>1567.4</v>
      </c>
      <c r="BI22" s="33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0.18</v>
      </c>
      <c r="BJ22" s="33" cm="1">
        <f t="array" ref="BJ22">$G$13+VLOOKUP($R22,武学奇术!$A:$ZZ,14,FALSE)+SUM(_xlfn.XLOOKUP($S22:$AL22,增益!$A:$A,增益!$N:$N,0))</f>
        <v>0.27</v>
      </c>
      <c r="BK22">
        <f t="shared" si="7"/>
        <v>0</v>
      </c>
      <c r="BL22">
        <f t="shared" si="8"/>
        <v>0</v>
      </c>
      <c r="BM22" s="33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3" cm="1">
        <f t="array" ref="BN22">$G$14+VLOOKUP($R22,武学奇术!$A:$ZZ,16,FALSE)+SUM(_xlfn.XLOOKUP($S22:$AL22,增益!$A:$A,增益!$P:$P,0))</f>
        <v>0.02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4" cm="1">
        <f t="array" ref="BQ22">1+$B$13+VLOOKUP($R22,武学奇术!$A:$ZZ,18,FALSE)+SUM(_xlfn.XLOOKUP($S22:$AL22,增益!$A:$A,增益!$R:$R,0))</f>
        <v>1.54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0.8865</v>
      </c>
      <c r="BU22" s="24">
        <f t="shared" si="10"/>
        <v>0.0222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0.06</v>
      </c>
      <c r="BX22" s="24" cm="1">
        <f t="array" ref="BX22">VLOOKUP($R22,武学奇术!$A:$ZZ,32,FALSE)+SUM(_xlfn.XLOOKUP($S22:$AL22,增益!$A:$A,增益!$X:$X,0))</f>
        <v>0</v>
      </c>
    </row>
    <row r="23" spans="1:76">
      <c r="A23" s="89"/>
      <c r="B23">
        <v>480</v>
      </c>
      <c r="C23" s="29" t="s">
        <v>150</v>
      </c>
      <c r="D23" s="80" t="s">
        <v>145</v>
      </c>
      <c r="E23" s="29" t="s">
        <v>151</v>
      </c>
      <c r="F23" s="29"/>
      <c r="K23" s="39">
        <f>$L23*VLOOKUP($R23,武学奇术!$A:$ZY,31,FALSE)</f>
        <v>18871.1712641384</v>
      </c>
      <c r="L23" s="39">
        <f t="shared" si="0"/>
        <v>17972.5440610841</v>
      </c>
      <c r="M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18180.4104571278</v>
      </c>
      <c r="N23" s="39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17472.2869212053</v>
      </c>
      <c r="O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11729.2970691147</v>
      </c>
      <c r="P23" s="39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10516.159381781</v>
      </c>
      <c r="Q23" s="29">
        <v>1</v>
      </c>
      <c r="R23" s="40" t="s">
        <v>113</v>
      </c>
      <c r="S23" s="40" t="s">
        <v>91</v>
      </c>
      <c r="T23" s="40" t="s">
        <v>152</v>
      </c>
      <c r="U23" s="40" t="s">
        <v>80</v>
      </c>
      <c r="V23" s="40" t="s">
        <v>81</v>
      </c>
      <c r="W23" s="40" t="s">
        <v>80</v>
      </c>
      <c r="X23" s="40" t="s">
        <v>80</v>
      </c>
      <c r="Y23" s="40" t="s">
        <v>80</v>
      </c>
      <c r="Z23" s="40" t="s">
        <v>110</v>
      </c>
      <c r="AA23" s="40" t="s">
        <v>80</v>
      </c>
      <c r="AB23" s="40" t="s">
        <v>80</v>
      </c>
      <c r="AC23" s="40" t="s">
        <v>82</v>
      </c>
      <c r="AD23" s="40" t="s">
        <v>80</v>
      </c>
      <c r="AE23" s="40" t="s">
        <v>80</v>
      </c>
      <c r="AF23" s="40" t="s">
        <v>80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83</v>
      </c>
      <c r="AL23" s="40" t="s">
        <v>80</v>
      </c>
      <c r="AM23" t="str">
        <f>VLOOKUP($R23,武学奇术!$A:$ZZ,25,FALSE)</f>
        <v>伞</v>
      </c>
      <c r="AN23" s="24">
        <f>VLOOKUP($R23,武学奇术!$A:$ZZ,26,FALSE)</f>
        <v>0.54</v>
      </c>
      <c r="AO23" s="25">
        <f>VLOOKUP($R23,武学奇术!$A:$ZZ,27,FALSE)*(1+IF(OR($AM23=$F$4,$AM23=$F$5),$B$21,0))</f>
        <v>236.8</v>
      </c>
      <c r="AP23" s="24">
        <f>VLOOKUP($R23,武学奇术!$A:$ZZ,28,FALSE)</f>
        <v>0.81</v>
      </c>
      <c r="AQ23" s="25">
        <f>VLOOKUP($R23,武学奇术!$A:$ZZ,29,FALSE)*(1+IF(OR($AM23=$F$4,$AM23=$F$5),$B$21,0))</f>
        <v>130.4</v>
      </c>
      <c r="AR23" s="24" cm="1">
        <f t="array" ref="AR23">$G$3+IFERROR(VLOOKUP($AM23,$F$4:$G$7,2,FALSE),0)+VLOOKUP($R23,武学奇术!$A:$ZZ,2,FALSE)+SUM(_xlfn.XLOOKUP($S23:$AL23,增益!$A:$A,增益!$B:$B,0))</f>
        <v>0.5043</v>
      </c>
      <c r="AS23" s="24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4195.0125</v>
      </c>
      <c r="AU23" cm="1">
        <f t="array" ref="AU23">$E$10*(1+$AS23)+VLOOKUP($R23,武学奇术!$A:$ZZ,4,FALSE)+SUM(_xlfn.XLOOKUP($S23:$AL23,增益!$A:$A,增益!$D:$D,0))-$I$2</f>
        <v>4195.0125</v>
      </c>
      <c r="AV23" s="33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0.3789</v>
      </c>
      <c r="AW23" s="33" cm="1">
        <f t="array" ref="AW23">$G$10+VLOOKUP($R23,武学奇术!$A:$ZZ,7,FALSE)+SUM(_xlfn.XLOOKUP($S23:$AL23,增益!$A:$A,增益!$G:$G,0))</f>
        <v>0.145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3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3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3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3" cm="1">
        <f t="array" ref="BF23">$G$12+VLOOKUP($R23,武学奇术!$A:$ZZ,12,FALSE)+SUM(_xlfn.XLOOKUP($S23:$AL23,增益!$A:$A,增益!$L:$L,0))</f>
        <v>0.02</v>
      </c>
      <c r="BG23">
        <f t="shared" si="5"/>
        <v>618.2</v>
      </c>
      <c r="BH23">
        <f t="shared" si="6"/>
        <v>1567.4</v>
      </c>
      <c r="BI23" s="33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0.18</v>
      </c>
      <c r="BJ23" s="33" cm="1">
        <f t="array" ref="BJ23">$G$13+VLOOKUP($R23,武学奇术!$A:$ZZ,14,FALSE)+SUM(_xlfn.XLOOKUP($S23:$AL23,增益!$A:$A,增益!$N:$N,0))</f>
        <v>0.27</v>
      </c>
      <c r="BK23">
        <f t="shared" si="7"/>
        <v>0</v>
      </c>
      <c r="BL23">
        <f t="shared" si="8"/>
        <v>0</v>
      </c>
      <c r="BM23" s="33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3" cm="1">
        <f t="array" ref="BN23">$G$14+VLOOKUP($R23,武学奇术!$A:$ZZ,16,FALSE)+SUM(_xlfn.XLOOKUP($S23:$AL23,增益!$A:$A,增益!$P:$P,0))</f>
        <v>0.02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4" cm="1">
        <f t="array" ref="BQ23">1+$B$13+VLOOKUP($R23,武学奇术!$A:$ZZ,18,FALSE)+SUM(_xlfn.XLOOKUP($S23:$AL23,增益!$A:$A,增益!$R:$R,0))</f>
        <v>1.55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0.8865</v>
      </c>
      <c r="BU23" s="24">
        <f t="shared" si="10"/>
        <v>0.0222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0.06</v>
      </c>
      <c r="BX23" s="24" cm="1">
        <f t="array" ref="BX23">VLOOKUP($R23,武学奇术!$A:$ZZ,32,FALSE)+SUM(_xlfn.XLOOKUP($S23:$AL23,增益!$A:$A,增益!$X:$X,0))</f>
        <v>0</v>
      </c>
    </row>
    <row r="24" spans="1:76">
      <c r="E24" s="40" t="s">
        <v>153</v>
      </c>
      <c r="F24" s="40"/>
      <c r="K24" s="39">
        <f>$L24*VLOOKUP($R24,武学奇术!$A:$ZY,31,FALSE)</f>
        <v>335761.685124217</v>
      </c>
      <c r="L24" s="39">
        <f t="shared" si="0"/>
        <v>319773.033451635</v>
      </c>
      <c r="M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329921.003017243</v>
      </c>
      <c r="N24" s="39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256992.117934657</v>
      </c>
      <c r="O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172733.509433111</v>
      </c>
      <c r="P24" s="39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155102.487062773</v>
      </c>
      <c r="Q24" s="29">
        <v>4.5</v>
      </c>
      <c r="R24" s="40" t="s">
        <v>115</v>
      </c>
      <c r="S24" s="40" t="s">
        <v>91</v>
      </c>
      <c r="T24" s="40" t="s">
        <v>152</v>
      </c>
      <c r="U24" s="40" t="s">
        <v>106</v>
      </c>
      <c r="V24" s="40" t="s">
        <v>81</v>
      </c>
      <c r="W24" s="40" t="s">
        <v>100</v>
      </c>
      <c r="X24" s="40" t="s">
        <v>80</v>
      </c>
      <c r="Y24" s="40" t="s">
        <v>80</v>
      </c>
      <c r="Z24" s="40" t="s">
        <v>110</v>
      </c>
      <c r="AA24" s="40" t="s">
        <v>80</v>
      </c>
      <c r="AB24" s="40" t="s">
        <v>80</v>
      </c>
      <c r="AC24" s="40" t="s">
        <v>82</v>
      </c>
      <c r="AD24" s="40" t="s">
        <v>80</v>
      </c>
      <c r="AE24" s="40" t="s">
        <v>80</v>
      </c>
      <c r="AF24" s="40" t="s">
        <v>80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83</v>
      </c>
      <c r="AL24" s="40" t="s">
        <v>80</v>
      </c>
      <c r="AM24" t="str">
        <f>VLOOKUP($R24,武学奇术!$A:$ZZ,25,FALSE)</f>
        <v>伞</v>
      </c>
      <c r="AN24" s="24">
        <f>VLOOKUP($R24,武学奇术!$A:$ZZ,26,FALSE)</f>
        <v>1.0217</v>
      </c>
      <c r="AO24" s="25">
        <f>VLOOKUP($R24,武学奇术!$A:$ZZ,27,FALSE)*(1+IF(OR($AM24=$F$4,$AM24=$F$5),$B$21,0))</f>
        <v>451.2</v>
      </c>
      <c r="AP24" s="24">
        <f>VLOOKUP($R24,武学奇术!$A:$ZZ,28,FALSE)</f>
        <v>1.5325</v>
      </c>
      <c r="AQ24" s="25">
        <f>VLOOKUP($R24,武学奇术!$A:$ZZ,29,FALSE)*(1+IF(OR($AM24=$F$4,$AM24=$F$5),$B$21,0))</f>
        <v>246.4</v>
      </c>
      <c r="AR24" s="24" cm="1">
        <f t="array" ref="AR24">$G$3+IFERROR(VLOOKUP($AM24,$F$4:$G$7,2,FALSE),0)+VLOOKUP($R24,武学奇术!$A:$ZZ,2,FALSE)+SUM(_xlfn.XLOOKUP($S24:$AL24,增益!$A:$A,增益!$B:$B,0))</f>
        <v>1.0543</v>
      </c>
      <c r="AS24" s="24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4195.0125</v>
      </c>
      <c r="AU24" cm="1">
        <f t="array" ref="AU24">$E$10*(1+$AS24)+VLOOKUP($R24,武学奇术!$A:$ZZ,4,FALSE)+SUM(_xlfn.XLOOKUP($S24:$AL24,增益!$A:$A,增益!$D:$D,0))-$I$2</f>
        <v>4195.0125</v>
      </c>
      <c r="AV24" s="33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0.4039</v>
      </c>
      <c r="AW24" s="33" cm="1">
        <f t="array" ref="AW24">$G$10+VLOOKUP($R24,武学奇术!$A:$ZZ,7,FALSE)+SUM(_xlfn.XLOOKUP($S24:$AL24,增益!$A:$A,增益!$G:$G,0))</f>
        <v>0.145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3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3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3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3" cm="1">
        <f t="array" ref="BF24">$G$12+VLOOKUP($R24,武学奇术!$A:$ZZ,12,FALSE)+SUM(_xlfn.XLOOKUP($S24:$AL24,增益!$A:$A,增益!$L:$L,0))</f>
        <v>0.02</v>
      </c>
      <c r="BG24">
        <f t="shared" si="5"/>
        <v>618.2</v>
      </c>
      <c r="BH24">
        <f t="shared" si="6"/>
        <v>1567.4</v>
      </c>
      <c r="BI24" s="33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0.18</v>
      </c>
      <c r="BJ24" s="33" cm="1">
        <f t="array" ref="BJ24">$G$13+VLOOKUP($R24,武学奇术!$A:$ZZ,14,FALSE)+SUM(_xlfn.XLOOKUP($S24:$AL24,增益!$A:$A,增益!$N:$N,0))</f>
        <v>0.27</v>
      </c>
      <c r="BK24">
        <f t="shared" si="7"/>
        <v>0</v>
      </c>
      <c r="BL24">
        <f t="shared" si="8"/>
        <v>0</v>
      </c>
      <c r="BM24" s="33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3" cm="1">
        <f t="array" ref="BN24">$G$14+VLOOKUP($R24,武学奇术!$A:$ZZ,16,FALSE)+SUM(_xlfn.XLOOKUP($S24:$AL24,增益!$A:$A,增益!$P:$P,0))</f>
        <v>0.02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4" cm="1">
        <f t="array" ref="BQ24">1+$B$13+VLOOKUP($R24,武学奇术!$A:$ZZ,18,FALSE)+SUM(_xlfn.XLOOKUP($S24:$AL24,增益!$A:$A,增益!$R:$R,0))</f>
        <v>1.91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0.8865</v>
      </c>
      <c r="BU24" s="24">
        <f t="shared" si="10"/>
        <v>0.0222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0.06</v>
      </c>
      <c r="BX24" s="24" cm="1">
        <f t="array" ref="BX24">VLOOKUP($R24,武学奇术!$A:$ZZ,32,FALSE)+SUM(_xlfn.XLOOKUP($S24:$AL24,增益!$A:$A,增益!$X:$X,0))</f>
        <v>0.25</v>
      </c>
    </row>
    <row r="25" spans="1:76">
      <c r="K25" s="39">
        <f>$L25*VLOOKUP($R25,武学奇术!$A:$ZY,31,FALSE)</f>
        <v>412340.538883042</v>
      </c>
      <c r="L25" s="39">
        <f t="shared" si="0"/>
        <v>392705.275126706</v>
      </c>
      <c r="M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405347.968803035</v>
      </c>
      <c r="N25" s="39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314101.477475693</v>
      </c>
      <c r="O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211118.733751581</v>
      </c>
      <c r="P25" s="39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189569.706410056</v>
      </c>
      <c r="Q25" s="29">
        <v>5.5</v>
      </c>
      <c r="R25" s="40" t="s">
        <v>115</v>
      </c>
      <c r="S25" s="40" t="s">
        <v>91</v>
      </c>
      <c r="T25" s="40" t="s">
        <v>154</v>
      </c>
      <c r="U25" s="40" t="s">
        <v>106</v>
      </c>
      <c r="V25" s="40" t="s">
        <v>81</v>
      </c>
      <c r="W25" s="40" t="s">
        <v>100</v>
      </c>
      <c r="X25" s="40" t="s">
        <v>80</v>
      </c>
      <c r="Y25" s="40" t="s">
        <v>80</v>
      </c>
      <c r="Z25" s="40" t="s">
        <v>110</v>
      </c>
      <c r="AA25" s="40" t="s">
        <v>80</v>
      </c>
      <c r="AB25" s="40" t="s">
        <v>80</v>
      </c>
      <c r="AC25" s="40" t="s">
        <v>82</v>
      </c>
      <c r="AD25" s="40" t="s">
        <v>80</v>
      </c>
      <c r="AE25" s="40" t="s">
        <v>80</v>
      </c>
      <c r="AF25" s="40" t="s">
        <v>80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83</v>
      </c>
      <c r="AL25" s="40" t="s">
        <v>80</v>
      </c>
      <c r="AM25" t="str">
        <f>VLOOKUP($R25,武学奇术!$A:$ZZ,25,FALSE)</f>
        <v>伞</v>
      </c>
      <c r="AN25" s="24">
        <f>VLOOKUP($R25,武学奇术!$A:$ZZ,26,FALSE)</f>
        <v>1.0217</v>
      </c>
      <c r="AO25" s="25">
        <f>VLOOKUP($R25,武学奇术!$A:$ZZ,27,FALSE)*(1+IF(OR($AM25=$F$4,$AM25=$F$5),$B$21,0))</f>
        <v>451.2</v>
      </c>
      <c r="AP25" s="24">
        <f>VLOOKUP($R25,武学奇术!$A:$ZZ,28,FALSE)</f>
        <v>1.5325</v>
      </c>
      <c r="AQ25" s="25">
        <f>VLOOKUP($R25,武学奇术!$A:$ZZ,29,FALSE)*(1+IF(OR($AM25=$F$4,$AM25=$F$5),$B$21,0))</f>
        <v>246.4</v>
      </c>
      <c r="AR25" s="24" cm="1">
        <f t="array" ref="AR25">$G$3+IFERROR(VLOOKUP($AM25,$F$4:$G$7,2,FALSE),0)+VLOOKUP($R25,武学奇术!$A:$ZZ,2,FALSE)+SUM(_xlfn.XLOOKUP($S25:$AL25,增益!$A:$A,增益!$B:$B,0))</f>
        <v>1.0543</v>
      </c>
      <c r="AS25" s="24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4195.0125</v>
      </c>
      <c r="AU25" cm="1">
        <f t="array" ref="AU25">$E$10*(1+$AS25)+VLOOKUP($R25,武学奇术!$A:$ZZ,4,FALSE)+SUM(_xlfn.XLOOKUP($S25:$AL25,增益!$A:$A,增益!$D:$D,0))-$I$2</f>
        <v>4195.0125</v>
      </c>
      <c r="AV25" s="33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0.4039</v>
      </c>
      <c r="AW25" s="33" cm="1">
        <f t="array" ref="AW25">$G$10+VLOOKUP($R25,武学奇术!$A:$ZZ,7,FALSE)+SUM(_xlfn.XLOOKUP($S25:$AL25,增益!$A:$A,增益!$G:$G,0))</f>
        <v>0.145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3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3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3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3" cm="1">
        <f t="array" ref="BF25">$G$12+VLOOKUP($R25,武学奇术!$A:$ZZ,12,FALSE)+SUM(_xlfn.XLOOKUP($S25:$AL25,增益!$A:$A,增益!$L:$L,0))</f>
        <v>0.02</v>
      </c>
      <c r="BG25">
        <f t="shared" si="5"/>
        <v>618.2</v>
      </c>
      <c r="BH25">
        <f t="shared" si="6"/>
        <v>1567.4</v>
      </c>
      <c r="BI25" s="33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0.18</v>
      </c>
      <c r="BJ25" s="33" cm="1">
        <f t="array" ref="BJ25">$G$13+VLOOKUP($R25,武学奇术!$A:$ZZ,14,FALSE)+SUM(_xlfn.XLOOKUP($S25:$AL25,增益!$A:$A,增益!$N:$N,0))</f>
        <v>0.27</v>
      </c>
      <c r="BK25">
        <f t="shared" si="7"/>
        <v>0</v>
      </c>
      <c r="BL25">
        <f t="shared" si="8"/>
        <v>0</v>
      </c>
      <c r="BM25" s="33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-0.14</v>
      </c>
      <c r="BN25" s="33" cm="1">
        <f t="array" ref="BN25">$G$14+VLOOKUP($R25,武学奇术!$A:$ZZ,16,FALSE)+SUM(_xlfn.XLOOKUP($S25:$AL25,增益!$A:$A,增益!$P:$P,0))</f>
        <v>0.02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4" cm="1">
        <f t="array" ref="BQ25">1+$B$13+VLOOKUP($R25,武学奇术!$A:$ZZ,18,FALSE)+SUM(_xlfn.XLOOKUP($S25:$AL25,增益!$A:$A,增益!$R:$R,0))</f>
        <v>1.92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0.8865</v>
      </c>
      <c r="BU25" s="24">
        <f t="shared" si="10"/>
        <v>0.0222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0.06</v>
      </c>
      <c r="BX25" s="24" cm="1">
        <f t="array" ref="BX25">VLOOKUP($R25,武学奇术!$A:$ZZ,32,FALSE)+SUM(_xlfn.XLOOKUP($S25:$AL25,增益!$A:$A,增益!$X:$X,0))</f>
        <v>0.25</v>
      </c>
    </row>
    <row r="26" spans="1:76">
      <c r="K26" s="39">
        <f>$L26*VLOOKUP($R26,武学奇术!$A:$ZY,31,FALSE)</f>
        <v>20759.7018878739</v>
      </c>
      <c r="L26" s="39">
        <f t="shared" si="0"/>
        <v>19771.144655118</v>
      </c>
      <c r="M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20000.3999495713</v>
      </c>
      <c r="N26" s="39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19215.0356912363</v>
      </c>
      <c r="O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12903.4838384331</v>
      </c>
      <c r="P26" s="39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11573.60790558</v>
      </c>
      <c r="Q26" s="29">
        <v>1</v>
      </c>
      <c r="R26" s="40" t="s">
        <v>155</v>
      </c>
      <c r="S26" s="40" t="s">
        <v>121</v>
      </c>
      <c r="T26" s="40" t="s">
        <v>152</v>
      </c>
      <c r="U26" s="40" t="s">
        <v>80</v>
      </c>
      <c r="V26" s="40" t="s">
        <v>81</v>
      </c>
      <c r="W26" s="40" t="s">
        <v>80</v>
      </c>
      <c r="X26" s="40" t="s">
        <v>80</v>
      </c>
      <c r="Y26" s="40" t="s">
        <v>80</v>
      </c>
      <c r="Z26" s="40" t="s">
        <v>110</v>
      </c>
      <c r="AA26" s="40" t="s">
        <v>80</v>
      </c>
      <c r="AB26" s="40" t="s">
        <v>80</v>
      </c>
      <c r="AC26" s="40" t="s">
        <v>82</v>
      </c>
      <c r="AD26" s="40" t="s">
        <v>80</v>
      </c>
      <c r="AE26" s="40" t="s">
        <v>80</v>
      </c>
      <c r="AF26" s="40" t="s">
        <v>80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83</v>
      </c>
      <c r="AL26" s="40" t="s">
        <v>80</v>
      </c>
      <c r="AM26" t="str">
        <f>VLOOKUP($R26,武学奇术!$A:$ZZ,25,FALSE)</f>
        <v>扇</v>
      </c>
      <c r="AN26" s="24">
        <f>VLOOKUP($R26,武学奇术!$A:$ZZ,26,FALSE)</f>
        <v>0.9271</v>
      </c>
      <c r="AO26" s="25">
        <f>VLOOKUP($R26,武学奇术!$A:$ZZ,27,FALSE)*(1+IF(OR($AM26=$F$4,$AM26=$F$5),$B$21,0))</f>
        <v>411.2</v>
      </c>
      <c r="AP26" s="24">
        <f>VLOOKUP($R26,武学奇术!$A:$ZZ,28,FALSE)</f>
        <v>1.3907</v>
      </c>
      <c r="AQ26" s="25">
        <f>VLOOKUP($R26,武学奇术!$A:$ZZ,29,FALSE)*(1+IF(OR($AM26=$F$4,$AM26=$F$5),$B$21,0))</f>
        <v>224</v>
      </c>
      <c r="AR26" s="24" cm="1">
        <f t="array" ref="AR26">$G$3+IFERROR(VLOOKUP($AM26,$F$4:$G$7,2,FALSE),0)+VLOOKUP($R26,武学奇术!$A:$ZZ,2,FALSE)+SUM(_xlfn.XLOOKUP($S26:$AL26,增益!$A:$A,增益!$B:$B,0))</f>
        <v>0.5043</v>
      </c>
      <c r="AS26" s="24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4195.0125</v>
      </c>
      <c r="AU26" cm="1">
        <f t="array" ref="AU26">$E$10*(1+$AS26)+VLOOKUP($R26,武学奇术!$A:$ZZ,4,FALSE)+SUM(_xlfn.XLOOKUP($S26:$AL26,增益!$A:$A,增益!$D:$D,0))-$I$2</f>
        <v>4195.0125</v>
      </c>
      <c r="AV26" s="33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0.2789</v>
      </c>
      <c r="AW26" s="33" cm="1">
        <f t="array" ref="AW26">$G$10+VLOOKUP($R26,武学奇术!$A:$ZZ,7,FALSE)+SUM(_xlfn.XLOOKUP($S26:$AL26,增益!$A:$A,增益!$G:$G,0))</f>
        <v>0.045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3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3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3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3" cm="1">
        <f t="array" ref="BF26">$G$12+VLOOKUP($R26,武学奇术!$A:$ZZ,12,FALSE)+SUM(_xlfn.XLOOKUP($S26:$AL26,增益!$A:$A,增益!$L:$L,0))</f>
        <v>0.02</v>
      </c>
      <c r="BG26">
        <f t="shared" si="5"/>
        <v>618.2</v>
      </c>
      <c r="BH26">
        <f t="shared" si="6"/>
        <v>1567.4</v>
      </c>
      <c r="BI26" s="33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0.08</v>
      </c>
      <c r="BJ26" s="33" cm="1">
        <f t="array" ref="BJ26">$G$13+VLOOKUP($R26,武学奇术!$A:$ZZ,14,FALSE)+SUM(_xlfn.XLOOKUP($S26:$AL26,增益!$A:$A,增益!$N:$N,0))</f>
        <v>0.17</v>
      </c>
      <c r="BK26">
        <f t="shared" si="7"/>
        <v>0</v>
      </c>
      <c r="BL26">
        <f t="shared" si="8"/>
        <v>0</v>
      </c>
      <c r="BM26" s="33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-0.14</v>
      </c>
      <c r="BN26" s="33" cm="1">
        <f t="array" ref="BN26">$G$14+VLOOKUP($R26,武学奇术!$A:$ZZ,16,FALSE)+SUM(_xlfn.XLOOKUP($S26:$AL26,增益!$A:$A,增益!$P:$P,0))</f>
        <v>0.02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4" cm="1">
        <f t="array" ref="BQ26">1+$B$13+VLOOKUP($R26,武学奇术!$A:$ZZ,18,FALSE)+SUM(_xlfn.XLOOKUP($S26:$AL26,增益!$A:$A,增益!$R:$R,0))</f>
        <v>1.55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0.8865</v>
      </c>
      <c r="BU26" s="24">
        <f t="shared" si="10"/>
        <v>0.0222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0.06</v>
      </c>
      <c r="BX26" s="24" cm="1">
        <f t="array" ref="BX26">VLOOKUP($R26,武学奇术!$A:$ZZ,32,FALSE)+SUM(_xlfn.XLOOKUP($S26:$AL26,增益!$A:$A,增益!$X:$X,0))</f>
        <v>0</v>
      </c>
    </row>
    <row r="27" spans="1:76">
      <c r="A27" t="s">
        <v>156</v>
      </c>
      <c r="B27">
        <v>1.1</v>
      </c>
      <c r="K27" s="39">
        <f>$L27*VLOOKUP($R27,武学奇术!$A:$ZY,31,FALSE)</f>
        <v>0</v>
      </c>
      <c r="L27" s="39">
        <f t="shared" si="0"/>
        <v>0</v>
      </c>
      <c r="M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0</v>
      </c>
      <c r="N27" s="39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0</v>
      </c>
      <c r="O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0</v>
      </c>
      <c r="P27" s="39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0</v>
      </c>
      <c r="Q27" s="86">
        <f>IF($E$24="龙卷",1,0)</f>
        <v>0</v>
      </c>
      <c r="R27" s="40" t="s">
        <v>138</v>
      </c>
      <c r="S27" s="40" t="s">
        <v>121</v>
      </c>
      <c r="T27" s="40" t="s">
        <v>154</v>
      </c>
      <c r="U27" s="40" t="s">
        <v>80</v>
      </c>
      <c r="V27" s="40" t="s">
        <v>81</v>
      </c>
      <c r="W27" s="40" t="s">
        <v>100</v>
      </c>
      <c r="X27" s="40" t="s">
        <v>157</v>
      </c>
      <c r="Y27" s="40" t="s">
        <v>80</v>
      </c>
      <c r="Z27" s="40" t="s">
        <v>110</v>
      </c>
      <c r="AA27" s="40" t="s">
        <v>80</v>
      </c>
      <c r="AB27" s="40" t="s">
        <v>80</v>
      </c>
      <c r="AC27" s="40" t="s">
        <v>82</v>
      </c>
      <c r="AD27" s="40" t="s">
        <v>80</v>
      </c>
      <c r="AE27" s="40" t="s">
        <v>80</v>
      </c>
      <c r="AF27" s="40" t="s">
        <v>80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83</v>
      </c>
      <c r="AL27" s="40" t="s">
        <v>80</v>
      </c>
      <c r="AM27" t="str">
        <f>VLOOKUP($R27,武学奇术!$A:$ZZ,25,FALSE)</f>
        <v>扇</v>
      </c>
      <c r="AN27" s="24">
        <f>VLOOKUP($R27,武学奇术!$A:$ZZ,26,FALSE)</f>
        <v>1.9044</v>
      </c>
      <c r="AO27" s="25">
        <f>VLOOKUP($R27,武学奇术!$A:$ZZ,27,FALSE)*(1+IF(OR($AM27=$F$4,$AM27=$F$5),$B$21,0))</f>
        <v>843.2</v>
      </c>
      <c r="AP27" s="24">
        <f>VLOOKUP($R27,武学奇术!$A:$ZZ,28,FALSE)</f>
        <v>2.8566</v>
      </c>
      <c r="AQ27" s="25">
        <f>VLOOKUP($R27,武学奇术!$A:$ZZ,29,FALSE)*(1+IF(OR($AM27=$F$4,$AM27=$F$5),$B$21,0))</f>
        <v>459.2</v>
      </c>
      <c r="AR27" s="24" cm="1">
        <f t="array" ref="AR27">$G$3+IFERROR(VLOOKUP($AM27,$F$4:$G$7,2,FALSE),0)+VLOOKUP($R27,武学奇术!$A:$ZZ,2,FALSE)+SUM(_xlfn.XLOOKUP($S27:$AL27,增益!$A:$A,增益!$B:$B,0))</f>
        <v>1.0043</v>
      </c>
      <c r="AS27" s="24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4195.0125</v>
      </c>
      <c r="AU27" cm="1">
        <f t="array" ref="AU27">$E$10*(1+$AS27)+VLOOKUP($R27,武学奇术!$A:$ZZ,4,FALSE)+SUM(_xlfn.XLOOKUP($S27:$AL27,增益!$A:$A,增益!$D:$D,0))-$I$2</f>
        <v>4195.0125</v>
      </c>
      <c r="AV27" s="33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0.3789</v>
      </c>
      <c r="AW27" s="33" cm="1">
        <f t="array" ref="AW27">$G$10+VLOOKUP($R27,武学奇术!$A:$ZZ,7,FALSE)+SUM(_xlfn.XLOOKUP($S27:$AL27,增益!$A:$A,增益!$G:$G,0))</f>
        <v>0.145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3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3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3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3" cm="1">
        <f t="array" ref="BF27">$G$12+VLOOKUP($R27,武学奇术!$A:$ZZ,12,FALSE)+SUM(_xlfn.XLOOKUP($S27:$AL27,增益!$A:$A,增益!$L:$L,0))</f>
        <v>0.02</v>
      </c>
      <c r="BG27">
        <f t="shared" si="5"/>
        <v>618.2</v>
      </c>
      <c r="BH27">
        <f t="shared" si="6"/>
        <v>1567.4</v>
      </c>
      <c r="BI27" s="33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0.18</v>
      </c>
      <c r="BJ27" s="33" cm="1">
        <f t="array" ref="BJ27">$G$13+VLOOKUP($R27,武学奇术!$A:$ZZ,14,FALSE)+SUM(_xlfn.XLOOKUP($S27:$AL27,增益!$A:$A,增益!$N:$N,0))</f>
        <v>0.27</v>
      </c>
      <c r="BK27">
        <f t="shared" si="7"/>
        <v>0</v>
      </c>
      <c r="BL27">
        <f t="shared" si="8"/>
        <v>0</v>
      </c>
      <c r="BM27" s="33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-0.14</v>
      </c>
      <c r="BN27" s="33" cm="1">
        <f t="array" ref="BN27">$G$14+VLOOKUP($R27,武学奇术!$A:$ZZ,16,FALSE)+SUM(_xlfn.XLOOKUP($S27:$AL27,增益!$A:$A,增益!$P:$P,0))</f>
        <v>0.02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4" cm="1">
        <f t="array" ref="BQ27">1+$B$13+VLOOKUP($R27,武学奇术!$A:$ZZ,18,FALSE)+SUM(_xlfn.XLOOKUP($S27:$AL27,增益!$A:$A,增益!$R:$R,0))</f>
        <v>1.56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0.8865</v>
      </c>
      <c r="BU27" s="24">
        <f t="shared" si="10"/>
        <v>0.0222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0.06</v>
      </c>
      <c r="BX27" s="24" cm="1">
        <f t="array" ref="BX27">VLOOKUP($R27,武学奇术!$A:$ZZ,32,FALSE)+SUM(_xlfn.XLOOKUP($S27:$AL27,增益!$A:$A,增益!$X:$X,0))</f>
        <v>0.55</v>
      </c>
    </row>
    <row r="28" spans="1:76">
      <c r="A28" t="s">
        <v>158</v>
      </c>
      <c r="B28">
        <v>1.1</v>
      </c>
      <c r="H28">
        <v>5</v>
      </c>
      <c r="I28">
        <v>3</v>
      </c>
      <c r="K28" s="39">
        <f>$L28*VLOOKUP($R28,武学奇术!$A:$ZY,31,FALSE)</f>
        <v>266824.94448005</v>
      </c>
      <c r="L28" s="39">
        <f t="shared" si="0"/>
        <v>254118.994742905</v>
      </c>
      <c r="M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262277.400620531</v>
      </c>
      <c r="N28" s="39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203477.509837121</v>
      </c>
      <c r="O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136602.812823193</v>
      </c>
      <c r="P28" s="39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122481.544285556</v>
      </c>
      <c r="Q28" s="29">
        <v>1</v>
      </c>
      <c r="R28" s="40" t="s">
        <v>141</v>
      </c>
      <c r="S28" s="40" t="s">
        <v>91</v>
      </c>
      <c r="T28" s="40" t="s">
        <v>154</v>
      </c>
      <c r="U28" s="40" t="s">
        <v>80</v>
      </c>
      <c r="V28" s="40" t="s">
        <v>81</v>
      </c>
      <c r="W28" s="40" t="s">
        <v>142</v>
      </c>
      <c r="X28" s="40" t="s">
        <v>80</v>
      </c>
      <c r="Y28" s="40" t="s">
        <v>80</v>
      </c>
      <c r="Z28" s="40" t="s">
        <v>110</v>
      </c>
      <c r="AA28" s="40" t="s">
        <v>80</v>
      </c>
      <c r="AB28" s="40" t="s">
        <v>80</v>
      </c>
      <c r="AC28" s="40" t="s">
        <v>82</v>
      </c>
      <c r="AD28" s="40" t="s">
        <v>80</v>
      </c>
      <c r="AE28" s="40" t="s">
        <v>80</v>
      </c>
      <c r="AF28" s="40" t="s">
        <v>80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83</v>
      </c>
      <c r="AL28" s="40" t="s">
        <v>80</v>
      </c>
      <c r="AM28" t="str">
        <f>VLOOKUP($R28,武学奇术!$A:$ZZ,25,FALSE)</f>
        <v>扇</v>
      </c>
      <c r="AN28" s="24">
        <f>VLOOKUP($R28,武学奇术!$A:$ZZ,26,FALSE)</f>
        <v>7.5463</v>
      </c>
      <c r="AO28" s="25">
        <f>VLOOKUP($R28,武学奇术!$A:$ZZ,27,FALSE)*(1+IF(OR($AM28=$F$4,$AM28=$F$5),$B$21,0))</f>
        <v>3339.2</v>
      </c>
      <c r="AP28" s="24">
        <f>VLOOKUP($R28,武学奇术!$A:$ZZ,28,FALSE)</f>
        <v>11.3195</v>
      </c>
      <c r="AQ28" s="25">
        <f>VLOOKUP($R28,武学奇术!$A:$ZZ,29,FALSE)*(1+IF(OR($AM28=$F$4,$AM28=$F$5),$B$21,0))</f>
        <v>1819.2</v>
      </c>
      <c r="AR28" s="24" cm="1">
        <f t="array" ref="AR28">$G$3+IFERROR(VLOOKUP($AM28,$F$4:$G$7,2,FALSE),0)+VLOOKUP($R28,武学奇术!$A:$ZZ,2,FALSE)+SUM(_xlfn.XLOOKUP($S28:$AL28,增益!$A:$A,增益!$B:$B,0))</f>
        <v>0.5043</v>
      </c>
      <c r="AS28" s="24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4195.0125</v>
      </c>
      <c r="AU28" cm="1">
        <f t="array" ref="AU28">$E$10*(1+$AS28)+VLOOKUP($R28,武学奇术!$A:$ZZ,4,FALSE)+SUM(_xlfn.XLOOKUP($S28:$AL28,增益!$A:$A,增益!$D:$D,0))-$I$2</f>
        <v>4195.0125</v>
      </c>
      <c r="AV28" s="33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0.3789</v>
      </c>
      <c r="AW28" s="33" cm="1">
        <f t="array" ref="AW28">$G$10+VLOOKUP($R28,武学奇术!$A:$ZZ,7,FALSE)+SUM(_xlfn.XLOOKUP($S28:$AL28,增益!$A:$A,增益!$G:$G,0))</f>
        <v>0.145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3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3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3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3" cm="1">
        <f t="array" ref="BF28">$G$12+VLOOKUP($R28,武学奇术!$A:$ZZ,12,FALSE)+SUM(_xlfn.XLOOKUP($S28:$AL28,增益!$A:$A,增益!$L:$L,0))</f>
        <v>0.02</v>
      </c>
      <c r="BG28">
        <f t="shared" si="5"/>
        <v>618.2</v>
      </c>
      <c r="BH28">
        <f t="shared" si="6"/>
        <v>1567.4</v>
      </c>
      <c r="BI28" s="33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0.18</v>
      </c>
      <c r="BJ28" s="33" cm="1">
        <f t="array" ref="BJ28">$G$13+VLOOKUP($R28,武学奇术!$A:$ZZ,14,FALSE)+SUM(_xlfn.XLOOKUP($S28:$AL28,增益!$A:$A,增益!$N:$N,0))</f>
        <v>0.27</v>
      </c>
      <c r="BK28">
        <f t="shared" si="7"/>
        <v>0</v>
      </c>
      <c r="BL28">
        <f t="shared" si="8"/>
        <v>0</v>
      </c>
      <c r="BM28" s="33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-0.14</v>
      </c>
      <c r="BN28" s="33" cm="1">
        <f t="array" ref="BN28">$G$14+VLOOKUP($R28,武学奇术!$A:$ZZ,16,FALSE)+SUM(_xlfn.XLOOKUP($S28:$AL28,增益!$A:$A,增益!$P:$P,0))</f>
        <v>0.02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4" cm="1">
        <f t="array" ref="BQ28">1+$B$13+VLOOKUP($R28,武学奇术!$A:$ZZ,18,FALSE)+SUM(_xlfn.XLOOKUP($S28:$AL28,增益!$A:$A,增益!$R:$R,0))</f>
        <v>1.92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0.8865</v>
      </c>
      <c r="BU28" s="24">
        <f t="shared" si="10"/>
        <v>0.0222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0.06</v>
      </c>
      <c r="BX28" s="24" cm="1">
        <f t="array" ref="BX28">VLOOKUP($R28,武学奇术!$A:$ZZ,32,FALSE)+SUM(_xlfn.XLOOKUP($S28:$AL28,增益!$A:$A,增益!$X:$X,0))</f>
        <v>0.1</v>
      </c>
    </row>
    <row r="29" spans="1:76">
      <c r="A29" s="4" t="s">
        <v>159</v>
      </c>
      <c r="B29" s="4">
        <v>0.3</v>
      </c>
      <c r="H29">
        <v>6.8</v>
      </c>
      <c r="I29">
        <v>43</v>
      </c>
      <c r="K29" s="39">
        <f>$L29*VLOOKUP($R29,武学奇术!$A:$ZY,31,FALSE)</f>
        <v>54329.0606269654</v>
      </c>
      <c r="L29" s="39">
        <f t="shared" si="0"/>
        <v>51741.9625018718</v>
      </c>
      <c r="M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53195.9552667311</v>
      </c>
      <c r="N29" s="39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43098.2959238555</v>
      </c>
      <c r="O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29228.5468498522</v>
      </c>
      <c r="P29" s="39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26532.4300524041</v>
      </c>
      <c r="Q29" s="29">
        <v>1</v>
      </c>
      <c r="R29" s="40" t="s">
        <v>108</v>
      </c>
      <c r="S29" s="40" t="s">
        <v>91</v>
      </c>
      <c r="T29" s="40" t="s">
        <v>160</v>
      </c>
      <c r="U29" s="40" t="s">
        <v>80</v>
      </c>
      <c r="V29" s="40" t="s">
        <v>81</v>
      </c>
      <c r="W29" s="40" t="s">
        <v>80</v>
      </c>
      <c r="X29" s="40" t="s">
        <v>80</v>
      </c>
      <c r="Y29" s="40" t="s">
        <v>109</v>
      </c>
      <c r="Z29" s="40" t="s">
        <v>110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80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83</v>
      </c>
      <c r="AL29" s="40" t="s">
        <v>80</v>
      </c>
      <c r="AM29" t="str">
        <f>VLOOKUP($R29,武学奇术!$A:$ZZ,25,FALSE)</f>
        <v>伞</v>
      </c>
      <c r="AN29" s="24">
        <f>VLOOKUP($R29,武学奇术!$A:$ZZ,26,FALSE)</f>
        <v>1.7001</v>
      </c>
      <c r="AO29" s="25">
        <f>VLOOKUP($R29,武学奇术!$A:$ZZ,27,FALSE)*(1+IF(OR($AM29=$F$4,$AM29=$F$5),$B$21,0))</f>
        <v>753.6</v>
      </c>
      <c r="AP29" s="24">
        <f>VLOOKUP($R29,武学奇术!$A:$ZZ,28,FALSE)</f>
        <v>2.5502</v>
      </c>
      <c r="AQ29" s="25">
        <f>VLOOKUP($R29,武学奇术!$A:$ZZ,29,FALSE)*(1+IF(OR($AM29=$F$4,$AM29=$F$5),$B$21,0))</f>
        <v>409.6</v>
      </c>
      <c r="AR29" s="24" cm="1">
        <f t="array" ref="AR29">$G$3+IFERROR(VLOOKUP($AM29,$F$4:$G$7,2,FALSE),0)+VLOOKUP($R29,武学奇术!$A:$ZZ,2,FALSE)+SUM(_xlfn.XLOOKUP($S29:$AL29,增益!$A:$A,增益!$B:$B,0))</f>
        <v>0.5043</v>
      </c>
      <c r="AS29" s="24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4195.0125</v>
      </c>
      <c r="AU29" cm="1">
        <f t="array" ref="AU29">$E$10*(1+$AS29)+VLOOKUP($R29,武学奇术!$A:$ZZ,4,FALSE)+SUM(_xlfn.XLOOKUP($S29:$AL29,增益!$A:$A,增益!$D:$D,0))-$I$2</f>
        <v>4195.0125</v>
      </c>
      <c r="AV29" s="33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0.5039</v>
      </c>
      <c r="AW29" s="33" cm="1">
        <f t="array" ref="AW29">$G$10+VLOOKUP($R29,武学奇术!$A:$ZZ,7,FALSE)+SUM(_xlfn.XLOOKUP($S29:$AL29,增益!$A:$A,增益!$G:$G,0))</f>
        <v>0.145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3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3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3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3" cm="1">
        <f t="array" ref="BF29">$G$12+VLOOKUP($R29,武学奇术!$A:$ZZ,12,FALSE)+SUM(_xlfn.XLOOKUP($S29:$AL29,增益!$A:$A,增益!$L:$L,0))</f>
        <v>0.02</v>
      </c>
      <c r="BG29">
        <f t="shared" si="5"/>
        <v>618.2</v>
      </c>
      <c r="BH29">
        <f t="shared" si="6"/>
        <v>1567.4</v>
      </c>
      <c r="BI29" s="33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3" cm="1">
        <f t="array" ref="BJ29">$G$13+VLOOKUP($R29,武学奇术!$A:$ZZ,14,FALSE)+SUM(_xlfn.XLOOKUP($S29:$AL29,增益!$A:$A,增益!$N:$N,0))</f>
        <v>0.27</v>
      </c>
      <c r="BK29">
        <f t="shared" si="7"/>
        <v>0</v>
      </c>
      <c r="BL29">
        <f t="shared" si="8"/>
        <v>0</v>
      </c>
      <c r="BM29" s="33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3" cm="1">
        <f t="array" ref="BN29">$G$14+VLOOKUP($R29,武学奇术!$A:$ZZ,16,FALSE)+SUM(_xlfn.XLOOKUP($S29:$AL29,增益!$A:$A,增益!$P:$P,0))</f>
        <v>0.02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4" cm="1">
        <f t="array" ref="BQ29">1+$B$13+VLOOKUP($R29,武学奇术!$A:$ZZ,18,FALSE)+SUM(_xlfn.XLOOKUP($S29:$AL29,增益!$A:$A,增益!$R:$R,0))</f>
        <v>1.82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0.8865</v>
      </c>
      <c r="BU29" s="24">
        <f t="shared" si="10"/>
        <v>0.0222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0.06</v>
      </c>
      <c r="BX29" s="24" cm="1">
        <f t="array" ref="BX29">VLOOKUP($R29,武学奇术!$A:$ZZ,32,FALSE)+SUM(_xlfn.XLOOKUP($S29:$AL29,增益!$A:$A,增益!$X:$X,0))</f>
        <v>0</v>
      </c>
    </row>
    <row r="30" spans="1:76">
      <c r="A30" s="4" t="s">
        <v>99</v>
      </c>
      <c r="B30" s="4">
        <v>0.95</v>
      </c>
      <c r="H30">
        <v>8.3</v>
      </c>
      <c r="I30">
        <v>63</v>
      </c>
      <c r="K30" s="39">
        <f>$L30*VLOOKUP($R30,武学奇术!$A:$ZY,31,FALSE)</f>
        <v>134195.52054147</v>
      </c>
      <c r="L30" s="39">
        <f t="shared" si="0"/>
        <v>127805.257658543</v>
      </c>
      <c r="M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133356.370592649</v>
      </c>
      <c r="N30" s="39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90107.3643308756</v>
      </c>
      <c r="O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61172.647060848</v>
      </c>
      <c r="P30" s="39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55599.0983210475</v>
      </c>
      <c r="Q30" s="29">
        <v>1</v>
      </c>
      <c r="R30" s="40" t="s">
        <v>99</v>
      </c>
      <c r="S30" s="40" t="s">
        <v>91</v>
      </c>
      <c r="T30" s="40" t="s">
        <v>160</v>
      </c>
      <c r="U30" s="40" t="s">
        <v>106</v>
      </c>
      <c r="V30" s="40" t="s">
        <v>81</v>
      </c>
      <c r="W30" s="40" t="s">
        <v>100</v>
      </c>
      <c r="X30" s="40" t="s">
        <v>80</v>
      </c>
      <c r="Y30" s="40" t="s">
        <v>109</v>
      </c>
      <c r="Z30" s="40" t="s">
        <v>110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80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83</v>
      </c>
      <c r="AL30" s="40" t="s">
        <v>80</v>
      </c>
      <c r="AM30" t="str">
        <f>VLOOKUP($R30,武学奇术!$A:$ZZ,25,FALSE)</f>
        <v>伞</v>
      </c>
      <c r="AN30" s="24">
        <f>VLOOKUP($R30,武学奇术!$A:$ZZ,26,FALSE)</f>
        <v>2.3397</v>
      </c>
      <c r="AO30" s="25">
        <f>VLOOKUP($R30,武学奇术!$A:$ZZ,27,FALSE)*(1+IF(OR($AM30=$F$4,$AM30=$F$5),$B$21,0))</f>
        <v>1036.8</v>
      </c>
      <c r="AP30" s="24">
        <f>VLOOKUP($R30,武学奇术!$A:$ZZ,28,FALSE)</f>
        <v>3.5095</v>
      </c>
      <c r="AQ30" s="25">
        <f>VLOOKUP($R30,武学奇术!$A:$ZZ,29,FALSE)*(1+IF(OR($AM30=$F$4,$AM30=$F$5),$B$21,0))</f>
        <v>564.8</v>
      </c>
      <c r="AR30" s="24" cm="1">
        <f t="array" ref="AR30">$G$3+IFERROR(VLOOKUP($AM30,$F$4:$G$7,2,FALSE),0)+VLOOKUP($R30,武学奇术!$A:$ZZ,2,FALSE)+SUM(_xlfn.XLOOKUP($S30:$AL30,增益!$A:$A,增益!$B:$B,0))</f>
        <v>1.0543</v>
      </c>
      <c r="AS30" s="24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4195.0125</v>
      </c>
      <c r="AU30" cm="1">
        <f t="array" ref="AU30">$E$10*(1+$AS30)+VLOOKUP($R30,武学奇术!$A:$ZZ,4,FALSE)+SUM(_xlfn.XLOOKUP($S30:$AL30,增益!$A:$A,增益!$D:$D,0))-$I$2</f>
        <v>4195.0125</v>
      </c>
      <c r="AV30" s="33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0.5289</v>
      </c>
      <c r="AW30" s="33" cm="1">
        <f t="array" ref="AW30">$G$10+VLOOKUP($R30,武学奇术!$A:$ZZ,7,FALSE)+SUM(_xlfn.XLOOKUP($S30:$AL30,增益!$A:$A,增益!$G:$G,0))</f>
        <v>0.145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3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3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3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3" cm="1">
        <f t="array" ref="BF30">$G$12+VLOOKUP($R30,武学奇术!$A:$ZZ,12,FALSE)+SUM(_xlfn.XLOOKUP($S30:$AL30,增益!$A:$A,增益!$L:$L,0))</f>
        <v>0.02</v>
      </c>
      <c r="BG30">
        <f t="shared" si="5"/>
        <v>618.2</v>
      </c>
      <c r="BH30">
        <f t="shared" si="6"/>
        <v>1567.4</v>
      </c>
      <c r="BI30" s="33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3" cm="1">
        <f t="array" ref="BJ30">$G$13+VLOOKUP($R30,武学奇术!$A:$ZZ,14,FALSE)+SUM(_xlfn.XLOOKUP($S30:$AL30,增益!$A:$A,增益!$N:$N,0))</f>
        <v>0.27</v>
      </c>
      <c r="BK30">
        <f t="shared" si="7"/>
        <v>0</v>
      </c>
      <c r="BL30">
        <f t="shared" si="8"/>
        <v>0</v>
      </c>
      <c r="BM30" s="33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3" cm="1">
        <f t="array" ref="BN30">$G$14+VLOOKUP($R30,武学奇术!$A:$ZZ,16,FALSE)+SUM(_xlfn.XLOOKUP($S30:$AL30,增益!$A:$A,增益!$P:$P,0))</f>
        <v>0.02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4" cm="1">
        <f t="array" ref="BQ30">1+$B$13+VLOOKUP($R30,武学奇术!$A:$ZZ,18,FALSE)+SUM(_xlfn.XLOOKUP($S30:$AL30,增益!$A:$A,增益!$R:$R,0))</f>
        <v>2.18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0.8865</v>
      </c>
      <c r="BU30" s="24">
        <f t="shared" si="10"/>
        <v>0.0222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0.06</v>
      </c>
      <c r="BX30" s="24" cm="1">
        <f t="array" ref="BX30">VLOOKUP($R30,武学奇术!$A:$ZZ,32,FALSE)+SUM(_xlfn.XLOOKUP($S30:$AL30,增益!$A:$A,增益!$X:$X,0))</f>
        <v>0.1</v>
      </c>
    </row>
    <row r="31" spans="1:76">
      <c r="A31" s="4" t="s">
        <v>99</v>
      </c>
      <c r="B31" s="4">
        <v>1.25</v>
      </c>
      <c r="H31">
        <v>9.8</v>
      </c>
      <c r="I31">
        <v>83</v>
      </c>
      <c r="K31" s="39">
        <f>$L31*VLOOKUP($R31,武学奇术!$A:$ZY,31,FALSE)</f>
        <v>22888.0833503339</v>
      </c>
      <c r="L31" s="39">
        <f t="shared" si="0"/>
        <v>21798.1746193656</v>
      </c>
      <c r="M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22421.484685857</v>
      </c>
      <c r="N31" s="39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18067.1424593794</v>
      </c>
      <c r="O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12252.1774239656</v>
      </c>
      <c r="P31" s="39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11121.2863595019</v>
      </c>
      <c r="Q31" s="29">
        <v>1</v>
      </c>
      <c r="R31" s="40" t="s">
        <v>113</v>
      </c>
      <c r="S31" s="40" t="s">
        <v>91</v>
      </c>
      <c r="T31" s="40" t="s">
        <v>161</v>
      </c>
      <c r="U31" s="40" t="s">
        <v>80</v>
      </c>
      <c r="V31" s="40" t="s">
        <v>81</v>
      </c>
      <c r="W31" s="40" t="s">
        <v>80</v>
      </c>
      <c r="X31" s="40" t="s">
        <v>80</v>
      </c>
      <c r="Y31" s="40" t="s">
        <v>109</v>
      </c>
      <c r="Z31" s="40" t="s">
        <v>110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80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83</v>
      </c>
      <c r="AL31" s="40" t="s">
        <v>80</v>
      </c>
      <c r="AM31" t="str">
        <f>VLOOKUP($R31,武学奇术!$A:$ZZ,25,FALSE)</f>
        <v>伞</v>
      </c>
      <c r="AN31" s="24">
        <f>VLOOKUP($R31,武学奇术!$A:$ZZ,26,FALSE)</f>
        <v>0.54</v>
      </c>
      <c r="AO31" s="25">
        <f>VLOOKUP($R31,武学奇术!$A:$ZZ,27,FALSE)*(1+IF(OR($AM31=$F$4,$AM31=$F$5),$B$21,0))</f>
        <v>236.8</v>
      </c>
      <c r="AP31" s="24">
        <f>VLOOKUP($R31,武学奇术!$A:$ZZ,28,FALSE)</f>
        <v>0.81</v>
      </c>
      <c r="AQ31" s="25">
        <f>VLOOKUP($R31,武学奇术!$A:$ZZ,29,FALSE)*(1+IF(OR($AM31=$F$4,$AM31=$F$5),$B$21,0))</f>
        <v>130.4</v>
      </c>
      <c r="AR31" s="24" cm="1">
        <f t="array" ref="AR31">$G$3+IFERROR(VLOOKUP($AM31,$F$4:$G$7,2,FALSE),0)+VLOOKUP($R31,武学奇术!$A:$ZZ,2,FALSE)+SUM(_xlfn.XLOOKUP($S31:$AL31,增益!$A:$A,增益!$B:$B,0))</f>
        <v>0.5043</v>
      </c>
      <c r="AS31" s="24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4195.0125</v>
      </c>
      <c r="AU31" cm="1">
        <f t="array" ref="AU31">$E$10*(1+$AS31)+VLOOKUP($R31,武学奇术!$A:$ZZ,4,FALSE)+SUM(_xlfn.XLOOKUP($S31:$AL31,增益!$A:$A,增益!$D:$D,0))-$I$2</f>
        <v>4195.0125</v>
      </c>
      <c r="AV31" s="33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0.5039</v>
      </c>
      <c r="AW31" s="33" cm="1">
        <f t="array" ref="AW31">$G$10+VLOOKUP($R31,武学奇术!$A:$ZZ,7,FALSE)+SUM(_xlfn.XLOOKUP($S31:$AL31,增益!$A:$A,增益!$G:$G,0))</f>
        <v>0.145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3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3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3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3" cm="1">
        <f t="array" ref="BF31">$G$12+VLOOKUP($R31,武学奇术!$A:$ZZ,12,FALSE)+SUM(_xlfn.XLOOKUP($S31:$AL31,增益!$A:$A,增益!$L:$L,0))</f>
        <v>0.02</v>
      </c>
      <c r="BG31">
        <f t="shared" si="5"/>
        <v>618.2</v>
      </c>
      <c r="BH31">
        <f t="shared" si="6"/>
        <v>1567.4</v>
      </c>
      <c r="BI31" s="33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3" cm="1">
        <f t="array" ref="BJ31">$G$13+VLOOKUP($R31,武学奇术!$A:$ZZ,14,FALSE)+SUM(_xlfn.XLOOKUP($S31:$AL31,增益!$A:$A,增益!$N:$N,0))</f>
        <v>0.27</v>
      </c>
      <c r="BK31">
        <f t="shared" si="7"/>
        <v>0</v>
      </c>
      <c r="BL31">
        <f t="shared" si="8"/>
        <v>0</v>
      </c>
      <c r="BM31" s="33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3" cm="1">
        <f t="array" ref="BN31">$G$14+VLOOKUP($R31,武学奇术!$A:$ZZ,16,FALSE)+SUM(_xlfn.XLOOKUP($S31:$AL31,增益!$A:$A,增益!$P:$P,0))</f>
        <v>0.02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4" cm="1">
        <f t="array" ref="BQ31">1+$B$13+VLOOKUP($R31,武学奇术!$A:$ZZ,18,FALSE)+SUM(_xlfn.XLOOKUP($S31:$AL31,增益!$A:$A,增益!$R:$R,0))</f>
        <v>1.83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0.8865</v>
      </c>
      <c r="BU31" s="24">
        <f t="shared" si="10"/>
        <v>0.0222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0.06</v>
      </c>
      <c r="BX31" s="24" cm="1">
        <f t="array" ref="BX31">VLOOKUP($R31,武学奇术!$A:$ZZ,32,FALSE)+SUM(_xlfn.XLOOKUP($S31:$AL31,增益!$A:$A,增益!$X:$X,0))</f>
        <v>0</v>
      </c>
    </row>
    <row r="32" spans="1:76">
      <c r="A32" s="4" t="s">
        <v>162</v>
      </c>
      <c r="B32" s="91">
        <v>1.3</v>
      </c>
      <c r="C32" t="s">
        <v>163</v>
      </c>
      <c r="D32" s="29" t="s">
        <v>164</v>
      </c>
      <c r="E32" s="29" t="s">
        <v>110</v>
      </c>
      <c r="H32">
        <v>11.3</v>
      </c>
      <c r="K32" s="39">
        <f>$L32*VLOOKUP($R32,武学奇术!$A:$ZY,31,FALSE)</f>
        <v>132432.311117164</v>
      </c>
      <c r="L32" s="39">
        <f t="shared" si="0"/>
        <v>126126.010587775</v>
      </c>
      <c r="M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131649.076992492</v>
      </c>
      <c r="N32" s="39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88549.6050807234</v>
      </c>
      <c r="O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60113.7337865261</v>
      </c>
      <c r="P32" s="39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54635.167513257</v>
      </c>
      <c r="Q32" s="29">
        <v>1.5</v>
      </c>
      <c r="R32" s="40" t="s">
        <v>115</v>
      </c>
      <c r="S32" s="40" t="s">
        <v>91</v>
      </c>
      <c r="T32" s="40" t="s">
        <v>161</v>
      </c>
      <c r="U32" s="40" t="s">
        <v>106</v>
      </c>
      <c r="V32" s="40" t="s">
        <v>81</v>
      </c>
      <c r="W32" s="40" t="s">
        <v>100</v>
      </c>
      <c r="X32" s="40" t="s">
        <v>80</v>
      </c>
      <c r="Y32" s="40" t="s">
        <v>109</v>
      </c>
      <c r="Z32" s="40" t="s">
        <v>110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80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83</v>
      </c>
      <c r="AL32" s="40" t="s">
        <v>80</v>
      </c>
      <c r="AM32" t="str">
        <f>VLOOKUP($R32,武学奇术!$A:$ZZ,25,FALSE)</f>
        <v>伞</v>
      </c>
      <c r="AN32" s="24">
        <f>VLOOKUP($R32,武学奇术!$A:$ZZ,26,FALSE)</f>
        <v>1.0217</v>
      </c>
      <c r="AO32" s="25">
        <f>VLOOKUP($R32,武学奇术!$A:$ZZ,27,FALSE)*(1+IF(OR($AM32=$F$4,$AM32=$F$5),$B$21,0))</f>
        <v>451.2</v>
      </c>
      <c r="AP32" s="24">
        <f>VLOOKUP($R32,武学奇术!$A:$ZZ,28,FALSE)</f>
        <v>1.5325</v>
      </c>
      <c r="AQ32" s="25">
        <f>VLOOKUP($R32,武学奇术!$A:$ZZ,29,FALSE)*(1+IF(OR($AM32=$F$4,$AM32=$F$5),$B$21,0))</f>
        <v>246.4</v>
      </c>
      <c r="AR32" s="24" cm="1">
        <f t="array" ref="AR32">$G$3+IFERROR(VLOOKUP($AM32,$F$4:$G$7,2,FALSE),0)+VLOOKUP($R32,武学奇术!$A:$ZZ,2,FALSE)+SUM(_xlfn.XLOOKUP($S32:$AL32,增益!$A:$A,增益!$B:$B,0))</f>
        <v>1.0543</v>
      </c>
      <c r="AS32" s="24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4195.0125</v>
      </c>
      <c r="AU32" cm="1">
        <f t="array" ref="AU32">$E$10*(1+$AS32)+VLOOKUP($R32,武学奇术!$A:$ZZ,4,FALSE)+SUM(_xlfn.XLOOKUP($S32:$AL32,增益!$A:$A,增益!$D:$D,0))-$I$2</f>
        <v>4195.0125</v>
      </c>
      <c r="AV32" s="33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0.5289</v>
      </c>
      <c r="AW32" s="33" cm="1">
        <f t="array" ref="AW32">$G$10+VLOOKUP($R32,武学奇术!$A:$ZZ,7,FALSE)+SUM(_xlfn.XLOOKUP($S32:$AL32,增益!$A:$A,增益!$G:$G,0))</f>
        <v>0.145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3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3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3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3" cm="1">
        <f t="array" ref="BF32">$G$12+VLOOKUP($R32,武学奇术!$A:$ZZ,12,FALSE)+SUM(_xlfn.XLOOKUP($S32:$AL32,增益!$A:$A,增益!$L:$L,0))</f>
        <v>0.02</v>
      </c>
      <c r="BG32">
        <f t="shared" si="5"/>
        <v>618.2</v>
      </c>
      <c r="BH32">
        <f t="shared" si="6"/>
        <v>1567.4</v>
      </c>
      <c r="BI32" s="33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3" cm="1">
        <f t="array" ref="BJ32">$G$13+VLOOKUP($R32,武学奇术!$A:$ZZ,14,FALSE)+SUM(_xlfn.XLOOKUP($S32:$AL32,增益!$A:$A,增益!$N:$N,0))</f>
        <v>0.27</v>
      </c>
      <c r="BK32">
        <f t="shared" si="7"/>
        <v>0</v>
      </c>
      <c r="BL32">
        <f t="shared" si="8"/>
        <v>0</v>
      </c>
      <c r="BM32" s="33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3" cm="1">
        <f t="array" ref="BN32">$G$14+VLOOKUP($R32,武学奇术!$A:$ZZ,16,FALSE)+SUM(_xlfn.XLOOKUP($S32:$AL32,增益!$A:$A,增益!$P:$P,0))</f>
        <v>0.02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4" cm="1">
        <f t="array" ref="BQ32">1+$B$13+VLOOKUP($R32,武学奇术!$A:$ZZ,18,FALSE)+SUM(_xlfn.XLOOKUP($S32:$AL32,增益!$A:$A,增益!$R:$R,0))</f>
        <v>2.19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0.8865</v>
      </c>
      <c r="BU32" s="24">
        <f t="shared" si="10"/>
        <v>0.0222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0.06</v>
      </c>
      <c r="BX32" s="24" cm="1">
        <f t="array" ref="BX32">VLOOKUP($R32,武学奇术!$A:$ZZ,32,FALSE)+SUM(_xlfn.XLOOKUP($S32:$AL32,增益!$A:$A,增益!$X:$X,0))</f>
        <v>0.25</v>
      </c>
    </row>
    <row r="33" spans="1:76">
      <c r="A33" s="4" t="s">
        <v>113</v>
      </c>
      <c r="B33" s="91">
        <v>1.16</v>
      </c>
      <c r="D33" s="29"/>
      <c r="E33" s="29"/>
      <c r="F33" s="29" t="s">
        <v>165</v>
      </c>
      <c r="K33" s="39">
        <f>$L33*VLOOKUP($R33,武学奇术!$A:$ZY,31,FALSE)</f>
        <v>284068.464971042</v>
      </c>
      <c r="L33" s="39">
        <f t="shared" si="0"/>
        <v>270541.395210517</v>
      </c>
      <c r="M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282388.105019497</v>
      </c>
      <c r="N33" s="39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189942.779391899</v>
      </c>
      <c r="O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128944.340191551</v>
      </c>
      <c r="P33" s="39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117190.325277992</v>
      </c>
      <c r="Q33" s="29">
        <v>3</v>
      </c>
      <c r="R33" s="40" t="s">
        <v>115</v>
      </c>
      <c r="S33" s="40" t="s">
        <v>91</v>
      </c>
      <c r="T33" s="40" t="s">
        <v>161</v>
      </c>
      <c r="U33" s="40" t="s">
        <v>106</v>
      </c>
      <c r="V33" s="40" t="s">
        <v>166</v>
      </c>
      <c r="W33" s="40" t="s">
        <v>100</v>
      </c>
      <c r="X33" s="40" t="s">
        <v>80</v>
      </c>
      <c r="Y33" s="40" t="s">
        <v>109</v>
      </c>
      <c r="Z33" s="40" t="s">
        <v>110</v>
      </c>
      <c r="AA33" s="40" t="s">
        <v>80</v>
      </c>
      <c r="AB33" s="40" t="s">
        <v>80</v>
      </c>
      <c r="AC33" s="40" t="s">
        <v>82</v>
      </c>
      <c r="AD33" s="40" t="s">
        <v>80</v>
      </c>
      <c r="AE33" s="40" t="s">
        <v>80</v>
      </c>
      <c r="AF33" s="40" t="s">
        <v>80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83</v>
      </c>
      <c r="AL33" s="40" t="s">
        <v>80</v>
      </c>
      <c r="AM33" t="str">
        <f>VLOOKUP($R33,武学奇术!$A:$ZZ,25,FALSE)</f>
        <v>伞</v>
      </c>
      <c r="AN33" s="24">
        <f>VLOOKUP($R33,武学奇术!$A:$ZZ,26,FALSE)</f>
        <v>1.0217</v>
      </c>
      <c r="AO33" s="25">
        <f>VLOOKUP($R33,武学奇术!$A:$ZZ,27,FALSE)*(1+IF(OR($AM33=$F$4,$AM33=$F$5),$B$21,0))</f>
        <v>451.2</v>
      </c>
      <c r="AP33" s="24">
        <f>VLOOKUP($R33,武学奇术!$A:$ZZ,28,FALSE)</f>
        <v>1.5325</v>
      </c>
      <c r="AQ33" s="25">
        <f>VLOOKUP($R33,武学奇术!$A:$ZZ,29,FALSE)*(1+IF(OR($AM33=$F$4,$AM33=$F$5),$B$21,0))</f>
        <v>246.4</v>
      </c>
      <c r="AR33" s="24" cm="1">
        <f t="array" ref="AR33">$G$3+IFERROR(VLOOKUP($AM33,$F$4:$G$7,2,FALSE),0)+VLOOKUP($R33,武学奇术!$A:$ZZ,2,FALSE)+SUM(_xlfn.XLOOKUP($S33:$AL33,增益!$A:$A,增益!$B:$B,0))</f>
        <v>1.0543</v>
      </c>
      <c r="AS33" s="24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4530.825</v>
      </c>
      <c r="AU33" cm="1">
        <f t="array" ref="AU33">$E$10*(1+$AS33)+VLOOKUP($R33,武学奇术!$A:$ZZ,4,FALSE)+SUM(_xlfn.XLOOKUP($S33:$AL33,增益!$A:$A,增益!$D:$D,0))-$I$2</f>
        <v>4530.825</v>
      </c>
      <c r="AV33" s="33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0.5289</v>
      </c>
      <c r="AW33" s="33" cm="1">
        <f t="array" ref="AW33">$G$10+VLOOKUP($R33,武学奇术!$A:$ZZ,7,FALSE)+SUM(_xlfn.XLOOKUP($S33:$AL33,增益!$A:$A,增益!$G:$G,0))</f>
        <v>0.145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3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3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3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3" cm="1">
        <f t="array" ref="BF33">$G$12+VLOOKUP($R33,武学奇术!$A:$ZZ,12,FALSE)+SUM(_xlfn.XLOOKUP($S33:$AL33,增益!$A:$A,增益!$L:$L,0))</f>
        <v>0.02</v>
      </c>
      <c r="BG33">
        <f t="shared" si="5"/>
        <v>618.2</v>
      </c>
      <c r="BH33">
        <f t="shared" si="6"/>
        <v>1567.4</v>
      </c>
      <c r="BI33" s="33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0.18</v>
      </c>
      <c r="BJ33" s="33" cm="1">
        <f t="array" ref="BJ33">$G$13+VLOOKUP($R33,武学奇术!$A:$ZZ,14,FALSE)+SUM(_xlfn.XLOOKUP($S33:$AL33,增益!$A:$A,增益!$N:$N,0))</f>
        <v>0.27</v>
      </c>
      <c r="BK33">
        <f t="shared" si="7"/>
        <v>0</v>
      </c>
      <c r="BL33">
        <f t="shared" si="8"/>
        <v>0</v>
      </c>
      <c r="BM33" s="33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3" cm="1">
        <f t="array" ref="BN33">$G$14+VLOOKUP($R33,武学奇术!$A:$ZZ,16,FALSE)+SUM(_xlfn.XLOOKUP($S33:$AL33,增益!$A:$A,增益!$P:$P,0))</f>
        <v>0.02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4" cm="1">
        <f t="array" ref="BQ33">1+$B$13+VLOOKUP($R33,武学奇术!$A:$ZZ,18,FALSE)+SUM(_xlfn.XLOOKUP($S33:$AL33,增益!$A:$A,增益!$R:$R,0))</f>
        <v>2.19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0.8865</v>
      </c>
      <c r="BU33" s="24">
        <f t="shared" si="10"/>
        <v>0.0222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0.06</v>
      </c>
      <c r="BX33" s="24" cm="1">
        <f t="array" ref="BX33">VLOOKUP($R33,武学奇术!$A:$ZZ,32,FALSE)+SUM(_xlfn.XLOOKUP($S33:$AL33,增益!$A:$A,增益!$X:$X,0))</f>
        <v>0.25</v>
      </c>
    </row>
    <row r="34" spans="1:76">
      <c r="A34" s="4" t="s">
        <v>167</v>
      </c>
      <c r="B34" s="4">
        <v>0.1</v>
      </c>
      <c r="D34" s="29"/>
      <c r="E34" s="29"/>
      <c r="F34" s="29"/>
      <c r="K34" s="39">
        <f>$L34*VLOOKUP($R34,武学奇术!$A:$ZY,31,FALSE)</f>
        <v>439692.76179558</v>
      </c>
      <c r="L34" s="39">
        <f t="shared" si="0"/>
        <v>418755.011233886</v>
      </c>
      <c r="M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432943.831241358</v>
      </c>
      <c r="N34" s="39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328821.531616615</v>
      </c>
      <c r="O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222022.477559671</v>
      </c>
      <c r="P34" s="39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200473.450218146</v>
      </c>
      <c r="Q34" s="29">
        <v>5.5</v>
      </c>
      <c r="R34" s="40" t="s">
        <v>115</v>
      </c>
      <c r="S34" s="40" t="s">
        <v>91</v>
      </c>
      <c r="T34" s="40" t="s">
        <v>168</v>
      </c>
      <c r="U34" s="40" t="s">
        <v>106</v>
      </c>
      <c r="V34" s="40" t="s">
        <v>166</v>
      </c>
      <c r="W34" s="40" t="s">
        <v>100</v>
      </c>
      <c r="X34" s="40" t="s">
        <v>80</v>
      </c>
      <c r="Y34" s="40" t="s">
        <v>80</v>
      </c>
      <c r="Z34" s="40" t="s">
        <v>110</v>
      </c>
      <c r="AA34" s="40" t="s">
        <v>80</v>
      </c>
      <c r="AB34" s="40" t="s">
        <v>80</v>
      </c>
      <c r="AC34" s="40" t="s">
        <v>82</v>
      </c>
      <c r="AD34" s="40" t="s">
        <v>80</v>
      </c>
      <c r="AE34" s="40" t="s">
        <v>80</v>
      </c>
      <c r="AF34" s="40" t="s">
        <v>80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83</v>
      </c>
      <c r="AL34" s="40" t="s">
        <v>80</v>
      </c>
      <c r="AM34" t="str">
        <f>VLOOKUP($R34,武学奇术!$A:$ZZ,25,FALSE)</f>
        <v>伞</v>
      </c>
      <c r="AN34" s="24">
        <f>VLOOKUP($R34,武学奇术!$A:$ZZ,26,FALSE)</f>
        <v>1.0217</v>
      </c>
      <c r="AO34" s="25">
        <f>VLOOKUP($R34,武学奇术!$A:$ZZ,27,FALSE)*(1+IF(OR($AM34=$F$4,$AM34=$F$5),$B$21,0))</f>
        <v>451.2</v>
      </c>
      <c r="AP34" s="24">
        <f>VLOOKUP($R34,武学奇术!$A:$ZZ,28,FALSE)</f>
        <v>1.5325</v>
      </c>
      <c r="AQ34" s="25">
        <f>VLOOKUP($R34,武学奇术!$A:$ZZ,29,FALSE)*(1+IF(OR($AM34=$F$4,$AM34=$F$5),$B$21,0))</f>
        <v>246.4</v>
      </c>
      <c r="AR34" s="24" cm="1">
        <f t="array" ref="AR34">$G$3+IFERROR(VLOOKUP($AM34,$F$4:$G$7,2,FALSE),0)+VLOOKUP($R34,武学奇术!$A:$ZZ,2,FALSE)+SUM(_xlfn.XLOOKUP($S34:$AL34,增益!$A:$A,增益!$B:$B,0))</f>
        <v>1.0543</v>
      </c>
      <c r="AS34" s="24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4530.825</v>
      </c>
      <c r="AU34" cm="1">
        <f t="array" ref="AU34">$E$10*(1+$AS34)+VLOOKUP($R34,武学奇术!$A:$ZZ,4,FALSE)+SUM(_xlfn.XLOOKUP($S34:$AL34,增益!$A:$A,增益!$D:$D,0))-$I$2</f>
        <v>4530.825</v>
      </c>
      <c r="AV34" s="33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0.4039</v>
      </c>
      <c r="AW34" s="33" cm="1">
        <f t="array" ref="AW34">$G$10+VLOOKUP($R34,武学奇术!$A:$ZZ,7,FALSE)+SUM(_xlfn.XLOOKUP($S34:$AL34,增益!$A:$A,增益!$G:$G,0))</f>
        <v>0.145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3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3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3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3" cm="1">
        <f t="array" ref="BF34">$G$12+VLOOKUP($R34,武学奇术!$A:$ZZ,12,FALSE)+SUM(_xlfn.XLOOKUP($S34:$AL34,增益!$A:$A,增益!$L:$L,0))</f>
        <v>0.02</v>
      </c>
      <c r="BG34">
        <f t="shared" si="5"/>
        <v>618.2</v>
      </c>
      <c r="BH34">
        <f t="shared" si="6"/>
        <v>1567.4</v>
      </c>
      <c r="BI34" s="33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0.18</v>
      </c>
      <c r="BJ34" s="33" cm="1">
        <f t="array" ref="BJ34">$G$13+VLOOKUP($R34,武学奇术!$A:$ZZ,14,FALSE)+SUM(_xlfn.XLOOKUP($S34:$AL34,增益!$A:$A,增益!$N:$N,0))</f>
        <v>0.27</v>
      </c>
      <c r="BK34">
        <f t="shared" si="7"/>
        <v>0</v>
      </c>
      <c r="BL34">
        <f t="shared" si="8"/>
        <v>0</v>
      </c>
      <c r="BM34" s="33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3" cm="1">
        <f t="array" ref="BN34">$G$14+VLOOKUP($R34,武学奇术!$A:$ZZ,16,FALSE)+SUM(_xlfn.XLOOKUP($S34:$AL34,增益!$A:$A,增益!$P:$P,0))</f>
        <v>0.02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4" cm="1">
        <f t="array" ref="BQ34">1+$B$13+VLOOKUP($R34,武学奇术!$A:$ZZ,18,FALSE)+SUM(_xlfn.XLOOKUP($S34:$AL34,增益!$A:$A,增益!$R:$R,0))</f>
        <v>1.95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0.8865</v>
      </c>
      <c r="BU34" s="24">
        <f t="shared" si="10"/>
        <v>0.0222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0.06</v>
      </c>
      <c r="BX34" s="24" cm="1">
        <f t="array" ref="BX34">VLOOKUP($R34,武学奇术!$A:$ZZ,32,FALSE)+SUM(_xlfn.XLOOKUP($S34:$AL34,增益!$A:$A,增益!$X:$X,0))</f>
        <v>0.25</v>
      </c>
    </row>
    <row r="35" spans="1:76">
      <c r="A35" s="4" t="s">
        <v>134</v>
      </c>
      <c r="B35" s="4">
        <v>0.8</v>
      </c>
      <c r="D35" s="29"/>
      <c r="E35" s="29"/>
      <c r="F35" s="29"/>
      <c r="K35" s="39">
        <f>$L35*VLOOKUP($R35,武学奇术!$A:$ZY,31,FALSE)</f>
        <v>28515.6248642327</v>
      </c>
      <c r="L35" s="39">
        <f t="shared" ref="L35:L66" si="11">($M35*$BT35+$N35*$BR35+$O35*$BU35+$P35*$BV35)</f>
        <v>27157.7379659359</v>
      </c>
      <c r="M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27538.6595787023</v>
      </c>
      <c r="N35" s="39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25824.5416517433</v>
      </c>
      <c r="O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17429.5313789255</v>
      </c>
      <c r="P35" s="39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15729.7726454486</v>
      </c>
      <c r="Q35" s="29">
        <v>1</v>
      </c>
      <c r="R35" s="40" t="s">
        <v>134</v>
      </c>
      <c r="S35" s="40" t="s">
        <v>91</v>
      </c>
      <c r="T35" s="40" t="s">
        <v>161</v>
      </c>
      <c r="U35" s="40" t="s">
        <v>80</v>
      </c>
      <c r="V35" s="40" t="s">
        <v>81</v>
      </c>
      <c r="W35" s="40" t="s">
        <v>80</v>
      </c>
      <c r="X35" s="40" t="s">
        <v>80</v>
      </c>
      <c r="Y35" s="40" t="s">
        <v>80</v>
      </c>
      <c r="Z35" s="40" t="s">
        <v>110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80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83</v>
      </c>
      <c r="AL35" s="40" t="s">
        <v>80</v>
      </c>
      <c r="AM35" t="str">
        <f>VLOOKUP($R35,武学奇术!$A:$ZZ,25,FALSE)</f>
        <v>扇</v>
      </c>
      <c r="AN35" s="24">
        <f>VLOOKUP($R35,武学奇术!$A:$ZZ,26,FALSE)</f>
        <v>1.2798</v>
      </c>
      <c r="AO35" s="25">
        <f>VLOOKUP($R35,武学奇术!$A:$ZZ,27,FALSE)*(1+IF(OR($AM35=$F$4,$AM35=$F$5),$B$21,0))</f>
        <v>568</v>
      </c>
      <c r="AP35" s="24">
        <f>VLOOKUP($R35,武学奇术!$A:$ZZ,28,FALSE)</f>
        <v>1.9197</v>
      </c>
      <c r="AQ35" s="25">
        <f>VLOOKUP($R35,武学奇术!$A:$ZZ,29,FALSE)*(1+IF(OR($AM35=$F$4,$AM35=$F$5),$B$21,0))</f>
        <v>308.8</v>
      </c>
      <c r="AR35" s="24" cm="1">
        <f t="array" ref="AR35">$G$3+IFERROR(VLOOKUP($AM35,$F$4:$G$7,2,FALSE),0)+VLOOKUP($R35,武学奇术!$A:$ZZ,2,FALSE)+SUM(_xlfn.XLOOKUP($S35:$AL35,增益!$A:$A,增益!$B:$B,0))</f>
        <v>0.5043</v>
      </c>
      <c r="AS35" s="24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4195.0125</v>
      </c>
      <c r="AU35" cm="1">
        <f t="array" ref="AU35">$E$10*(1+$AS35)+VLOOKUP($R35,武学奇术!$A:$ZZ,4,FALSE)+SUM(_xlfn.XLOOKUP($S35:$AL35,增益!$A:$A,增益!$D:$D,0))-$I$2</f>
        <v>4195.0125</v>
      </c>
      <c r="AV35" s="33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0.2789</v>
      </c>
      <c r="AW35" s="33" cm="1">
        <f t="array" ref="AW35">$G$10+VLOOKUP($R35,武学奇术!$A:$ZZ,7,FALSE)+SUM(_xlfn.XLOOKUP($S35:$AL35,增益!$A:$A,增益!$G:$G,0))</f>
        <v>0.045</v>
      </c>
      <c r="AX35" s="24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3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3" cm="1">
        <f t="array" ref="BB35">$G$11+VLOOKUP($R35,武学奇术!$A:$ZZ,10,FALSE)+SUM(_xlfn.XLOOKUP($S35:$AL35,增益!$A:$A,增益!$J:$J,0))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33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3" cm="1">
        <f t="array" ref="BF35">$G$12+VLOOKUP($R35,武学奇术!$A:$ZZ,12,FALSE)+SUM(_xlfn.XLOOKUP($S35:$AL35,增益!$A:$A,增益!$L:$L,0))</f>
        <v>0.02</v>
      </c>
      <c r="BG35">
        <f t="shared" ref="BG35:BG66" si="16">$D$13*(1+$AX35)</f>
        <v>618.2</v>
      </c>
      <c r="BH35">
        <f t="shared" ref="BH35:BH66" si="17">$E$13*(1+$AX35)</f>
        <v>1567.4</v>
      </c>
      <c r="BI35" s="33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3" cm="1">
        <f t="array" ref="BJ35">$G$13+VLOOKUP($R35,武学奇术!$A:$ZZ,14,FALSE)+SUM(_xlfn.XLOOKUP($S35:$AL35,增益!$A:$A,增益!$N:$N,0))</f>
        <v>0.17</v>
      </c>
      <c r="BK35">
        <f t="shared" ref="BK35:BK66" si="18">$D$14*(1+$AX35)</f>
        <v>0</v>
      </c>
      <c r="BL35">
        <f t="shared" ref="BL35:BL66" si="19">$E$14*(1+$AX35)</f>
        <v>0</v>
      </c>
      <c r="BM35" s="33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3" cm="1">
        <f t="array" ref="BN35">$G$14+VLOOKUP($R35,武学奇术!$A:$ZZ,16,FALSE)+SUM(_xlfn.XLOOKUP($S35:$AL35,增益!$A:$A,增益!$P:$P,0))</f>
        <v>0.02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4" cm="1">
        <f t="array" ref="BQ35">1+$B$13+VLOOKUP($R35,武学奇术!$A:$ZZ,18,FALSE)+SUM(_xlfn.XLOOKUP($S35:$AL35,增益!$A:$A,增益!$R:$R,0))</f>
        <v>1.58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0">MIN((1-BR35)*BO35,BO35*BP35)</f>
        <v>0.8865</v>
      </c>
      <c r="BU35" s="24">
        <f t="shared" ref="BU35:BU66" si="21">1-BR35-BT35-BV35</f>
        <v>0.0222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0.06</v>
      </c>
      <c r="BX35" s="24" cm="1">
        <f t="array" ref="BX35">VLOOKUP($R35,武学奇术!$A:$ZZ,32,FALSE)+SUM(_xlfn.XLOOKUP($S35:$AL35,增益!$A:$A,增益!$X:$X,0))</f>
        <v>0</v>
      </c>
    </row>
    <row r="36" spans="1:76">
      <c r="A36" s="4" t="s">
        <v>169</v>
      </c>
      <c r="B36" s="4">
        <v>1.4</v>
      </c>
      <c r="D36" s="29"/>
      <c r="E36" s="29"/>
      <c r="F36" s="29"/>
      <c r="K36" s="39">
        <f>$L36*VLOOKUP($R36,武学奇术!$A:$ZY,31,FALSE)</f>
        <v>0</v>
      </c>
      <c r="L36" s="39">
        <f t="shared" si="11"/>
        <v>0</v>
      </c>
      <c r="M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0</v>
      </c>
      <c r="N36" s="39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0</v>
      </c>
      <c r="O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0</v>
      </c>
      <c r="P36" s="39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0</v>
      </c>
      <c r="Q36" s="86">
        <f>IF($E$24="龙卷",1,0)</f>
        <v>0</v>
      </c>
      <c r="R36" s="40" t="s">
        <v>138</v>
      </c>
      <c r="S36" s="40" t="s">
        <v>91</v>
      </c>
      <c r="T36" s="40" t="s">
        <v>161</v>
      </c>
      <c r="U36" s="40" t="s">
        <v>80</v>
      </c>
      <c r="V36" s="40" t="s">
        <v>166</v>
      </c>
      <c r="W36" s="40" t="s">
        <v>100</v>
      </c>
      <c r="X36" s="40" t="s">
        <v>157</v>
      </c>
      <c r="Y36" s="40" t="s">
        <v>80</v>
      </c>
      <c r="Z36" s="40" t="s">
        <v>110</v>
      </c>
      <c r="AA36" s="40" t="s">
        <v>80</v>
      </c>
      <c r="AB36" s="40" t="s">
        <v>80</v>
      </c>
      <c r="AC36" s="40" t="s">
        <v>82</v>
      </c>
      <c r="AD36" s="40" t="s">
        <v>80</v>
      </c>
      <c r="AE36" s="40" t="s">
        <v>80</v>
      </c>
      <c r="AF36" s="40" t="s">
        <v>80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83</v>
      </c>
      <c r="AL36" s="40" t="s">
        <v>80</v>
      </c>
      <c r="AM36" t="str">
        <f>VLOOKUP($R36,武学奇术!$A:$ZZ,25,FALSE)</f>
        <v>扇</v>
      </c>
      <c r="AN36" s="24">
        <f>VLOOKUP($R36,武学奇术!$A:$ZZ,26,FALSE)</f>
        <v>1.9044</v>
      </c>
      <c r="AO36" s="25">
        <f>VLOOKUP($R36,武学奇术!$A:$ZZ,27,FALSE)*(1+IF(OR($AM36=$F$4,$AM36=$F$5),$B$21,0))</f>
        <v>843.2</v>
      </c>
      <c r="AP36" s="24">
        <f>VLOOKUP($R36,武学奇术!$A:$ZZ,28,FALSE)</f>
        <v>2.8566</v>
      </c>
      <c r="AQ36" s="25">
        <f>VLOOKUP($R36,武学奇术!$A:$ZZ,29,FALSE)*(1+IF(OR($AM36=$F$4,$AM36=$F$5),$B$21,0))</f>
        <v>459.2</v>
      </c>
      <c r="AR36" s="24" cm="1">
        <f t="array" ref="AR36">$G$3+IFERROR(VLOOKUP($AM36,$F$4:$G$7,2,FALSE),0)+VLOOKUP($R36,武学奇术!$A:$ZZ,2,FALSE)+SUM(_xlfn.XLOOKUP($S36:$AL36,增益!$A:$A,增益!$B:$B,0))</f>
        <v>1.0043</v>
      </c>
      <c r="AS36" s="24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4530.825</v>
      </c>
      <c r="AU36" cm="1">
        <f t="array" ref="AU36">$E$10*(1+$AS36)+VLOOKUP($R36,武学奇术!$A:$ZZ,4,FALSE)+SUM(_xlfn.XLOOKUP($S36:$AL36,增益!$A:$A,增益!$D:$D,0))-$I$2</f>
        <v>4530.825</v>
      </c>
      <c r="AV36" s="33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0.3789</v>
      </c>
      <c r="AW36" s="33" cm="1">
        <f t="array" ref="AW36">$G$10+VLOOKUP($R36,武学奇术!$A:$ZZ,7,FALSE)+SUM(_xlfn.XLOOKUP($S36:$AL36,增益!$A:$A,增益!$G:$G,0))</f>
        <v>0.145</v>
      </c>
      <c r="AX36" s="24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3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3" cm="1">
        <f t="array" ref="BB36">$G$11+VLOOKUP($R36,武学奇术!$A:$ZZ,10,FALSE)+SUM(_xlfn.XLOOKUP($S36:$AL36,增益!$A:$A,增益!$J:$J,0))</f>
        <v>0.02</v>
      </c>
      <c r="BC36">
        <f t="shared" si="14"/>
        <v>0</v>
      </c>
      <c r="BD36">
        <f t="shared" si="15"/>
        <v>0</v>
      </c>
      <c r="BE36" s="33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3" cm="1">
        <f t="array" ref="BF36">$G$12+VLOOKUP($R36,武学奇术!$A:$ZZ,12,FALSE)+SUM(_xlfn.XLOOKUP($S36:$AL36,增益!$A:$A,增益!$L:$L,0))</f>
        <v>0.02</v>
      </c>
      <c r="BG36">
        <f t="shared" si="16"/>
        <v>618.2</v>
      </c>
      <c r="BH36">
        <f t="shared" si="17"/>
        <v>1567.4</v>
      </c>
      <c r="BI36" s="33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0.18</v>
      </c>
      <c r="BJ36" s="33" cm="1">
        <f t="array" ref="BJ36">$G$13+VLOOKUP($R36,武学奇术!$A:$ZZ,14,FALSE)+SUM(_xlfn.XLOOKUP($S36:$AL36,增益!$A:$A,增益!$N:$N,0))</f>
        <v>0.27</v>
      </c>
      <c r="BK36">
        <f t="shared" si="18"/>
        <v>0</v>
      </c>
      <c r="BL36">
        <f t="shared" si="19"/>
        <v>0</v>
      </c>
      <c r="BM36" s="33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3" cm="1">
        <f t="array" ref="BN36">$G$14+VLOOKUP($R36,武学奇术!$A:$ZZ,16,FALSE)+SUM(_xlfn.XLOOKUP($S36:$AL36,增益!$A:$A,增益!$P:$P,0))</f>
        <v>0.02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4" cm="1">
        <f t="array" ref="BQ36">1+$B$13+VLOOKUP($R36,武学奇术!$A:$ZZ,18,FALSE)+SUM(_xlfn.XLOOKUP($S36:$AL36,增益!$A:$A,增益!$R:$R,0))</f>
        <v>1.58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0"/>
        <v>0.8865</v>
      </c>
      <c r="BU36" s="24">
        <f t="shared" si="21"/>
        <v>0.0222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0.06</v>
      </c>
      <c r="BX36" s="24" cm="1">
        <f t="array" ref="BX36">VLOOKUP($R36,武学奇术!$A:$ZZ,32,FALSE)+SUM(_xlfn.XLOOKUP($S36:$AL36,增益!$A:$A,增益!$X:$X,0))</f>
        <v>0.55</v>
      </c>
    </row>
    <row r="37" spans="1:76">
      <c r="A37" s="4" t="s">
        <v>170</v>
      </c>
      <c r="B37" s="4">
        <v>2.5</v>
      </c>
      <c r="E37" s="29"/>
      <c r="F37" s="29"/>
      <c r="K37" s="39">
        <f>$L37*VLOOKUP($R37,武学奇术!$A:$ZY,31,FALSE)</f>
        <v>320696.017912743</v>
      </c>
      <c r="L37" s="39">
        <f t="shared" si="11"/>
        <v>305424.778964517</v>
      </c>
      <c r="M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317642.858519463</v>
      </c>
      <c r="N37" s="39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224276.518038881</v>
      </c>
      <c r="O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151258.504056887</v>
      </c>
      <c r="P37" s="39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136386.2540109</v>
      </c>
      <c r="Q37" s="29">
        <v>1</v>
      </c>
      <c r="R37" s="40" t="s">
        <v>141</v>
      </c>
      <c r="S37" s="40" t="s">
        <v>91</v>
      </c>
      <c r="T37" s="40" t="s">
        <v>168</v>
      </c>
      <c r="U37" s="40" t="s">
        <v>80</v>
      </c>
      <c r="V37" s="40" t="s">
        <v>166</v>
      </c>
      <c r="W37" s="40" t="s">
        <v>142</v>
      </c>
      <c r="X37" s="40" t="s">
        <v>171</v>
      </c>
      <c r="Y37" s="40" t="s">
        <v>80</v>
      </c>
      <c r="Z37" s="40" t="s">
        <v>110</v>
      </c>
      <c r="AA37" s="40" t="s">
        <v>80</v>
      </c>
      <c r="AB37" s="40" t="s">
        <v>80</v>
      </c>
      <c r="AC37" s="40" t="s">
        <v>82</v>
      </c>
      <c r="AD37" s="40" t="s">
        <v>80</v>
      </c>
      <c r="AE37" s="40" t="s">
        <v>80</v>
      </c>
      <c r="AF37" s="40" t="s">
        <v>80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83</v>
      </c>
      <c r="AL37" s="40" t="s">
        <v>80</v>
      </c>
      <c r="AM37" t="str">
        <f>VLOOKUP($R37,武学奇术!$A:$ZZ,25,FALSE)</f>
        <v>扇</v>
      </c>
      <c r="AN37" s="24">
        <f>VLOOKUP($R37,武学奇术!$A:$ZZ,26,FALSE)</f>
        <v>7.5463</v>
      </c>
      <c r="AO37" s="25">
        <f>VLOOKUP($R37,武学奇术!$A:$ZZ,27,FALSE)*(1+IF(OR($AM37=$F$4,$AM37=$F$5),$B$21,0))</f>
        <v>3339.2</v>
      </c>
      <c r="AP37" s="24">
        <f>VLOOKUP($R37,武学奇术!$A:$ZZ,28,FALSE)</f>
        <v>11.3195</v>
      </c>
      <c r="AQ37" s="25">
        <f>VLOOKUP($R37,武学奇术!$A:$ZZ,29,FALSE)*(1+IF(OR($AM37=$F$4,$AM37=$F$5),$B$21,0))</f>
        <v>1819.2</v>
      </c>
      <c r="AR37" s="24" cm="1">
        <f t="array" ref="AR37">$G$3+IFERROR(VLOOKUP($AM37,$F$4:$G$7,2,FALSE),0)+VLOOKUP($R37,武学奇术!$A:$ZZ,2,FALSE)+SUM(_xlfn.XLOOKUP($S37:$AL37,增益!$A:$A,增益!$B:$B,0))</f>
        <v>0.5843</v>
      </c>
      <c r="AS37" s="24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4530.825</v>
      </c>
      <c r="AU37" cm="1">
        <f t="array" ref="AU37">$E$10*(1+$AS37)+VLOOKUP($R37,武学奇术!$A:$ZZ,4,FALSE)+SUM(_xlfn.XLOOKUP($S37:$AL37,增益!$A:$A,增益!$D:$D,0))-$I$2</f>
        <v>4530.825</v>
      </c>
      <c r="AV37" s="33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0.3789</v>
      </c>
      <c r="AW37" s="33" cm="1">
        <f t="array" ref="AW37">$G$10+VLOOKUP($R37,武学奇术!$A:$ZZ,7,FALSE)+SUM(_xlfn.XLOOKUP($S37:$AL37,增益!$A:$A,增益!$G:$G,0))</f>
        <v>0.145</v>
      </c>
      <c r="AX37" s="24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3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3" cm="1">
        <f t="array" ref="BB37">$G$11+VLOOKUP($R37,武学奇术!$A:$ZZ,10,FALSE)+SUM(_xlfn.XLOOKUP($S37:$AL37,增益!$A:$A,增益!$J:$J,0))</f>
        <v>0.02</v>
      </c>
      <c r="BC37">
        <f t="shared" si="14"/>
        <v>0</v>
      </c>
      <c r="BD37">
        <f t="shared" si="15"/>
        <v>0</v>
      </c>
      <c r="BE37" s="33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3" cm="1">
        <f t="array" ref="BF37">$G$12+VLOOKUP($R37,武学奇术!$A:$ZZ,12,FALSE)+SUM(_xlfn.XLOOKUP($S37:$AL37,增益!$A:$A,增益!$L:$L,0))</f>
        <v>0.02</v>
      </c>
      <c r="BG37">
        <f t="shared" si="16"/>
        <v>618.2</v>
      </c>
      <c r="BH37">
        <f t="shared" si="17"/>
        <v>1567.4</v>
      </c>
      <c r="BI37" s="33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0.18</v>
      </c>
      <c r="BJ37" s="33" cm="1">
        <f t="array" ref="BJ37">$G$13+VLOOKUP($R37,武学奇术!$A:$ZZ,14,FALSE)+SUM(_xlfn.XLOOKUP($S37:$AL37,增益!$A:$A,增益!$N:$N,0))</f>
        <v>0.27</v>
      </c>
      <c r="BK37">
        <f t="shared" si="18"/>
        <v>0</v>
      </c>
      <c r="BL37">
        <f t="shared" si="19"/>
        <v>0</v>
      </c>
      <c r="BM37" s="33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3" cm="1">
        <f t="array" ref="BN37">$G$14+VLOOKUP($R37,武学奇术!$A:$ZZ,16,FALSE)+SUM(_xlfn.XLOOKUP($S37:$AL37,增益!$A:$A,增益!$P:$P,0))</f>
        <v>0.02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4" cm="1">
        <f t="array" ref="BQ37">1+$B$13+VLOOKUP($R37,武学奇术!$A:$ZZ,18,FALSE)+SUM(_xlfn.XLOOKUP($S37:$AL37,增益!$A:$A,增益!$R:$R,0))</f>
        <v>2.1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0"/>
        <v>0.8865</v>
      </c>
      <c r="BU37" s="24">
        <f t="shared" si="21"/>
        <v>0.0222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0.06</v>
      </c>
      <c r="BX37" s="24" cm="1">
        <f t="array" ref="BX37">VLOOKUP($R37,武学奇术!$A:$ZZ,32,FALSE)+SUM(_xlfn.XLOOKUP($S37:$AL37,增益!$A:$A,增益!$X:$X,0))</f>
        <v>0.1</v>
      </c>
    </row>
    <row r="38" spans="1:76">
      <c r="A38" s="4" t="s">
        <v>167</v>
      </c>
      <c r="B38" s="4">
        <v>0.1</v>
      </c>
      <c r="E38" s="29"/>
      <c r="F38" s="29"/>
      <c r="K38" s="39">
        <f>$L38*VLOOKUP($R38,武学奇术!$A:$ZY,31,FALSE)</f>
        <v>113647.730883084</v>
      </c>
      <c r="L38" s="39">
        <f t="shared" si="11"/>
        <v>108235.934174366</v>
      </c>
      <c r="M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111951.181628656</v>
      </c>
      <c r="N38" s="39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84591.3819799338</v>
      </c>
      <c r="O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57117.949810539</v>
      </c>
      <c r="P38" s="39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51575.616672979</v>
      </c>
      <c r="Q38" s="29">
        <v>1</v>
      </c>
      <c r="R38" s="40" t="s">
        <v>99</v>
      </c>
      <c r="S38" s="40" t="s">
        <v>91</v>
      </c>
      <c r="T38" s="40" t="s">
        <v>172</v>
      </c>
      <c r="U38" s="40" t="s">
        <v>106</v>
      </c>
      <c r="V38" s="40" t="s">
        <v>166</v>
      </c>
      <c r="W38" s="40" t="s">
        <v>100</v>
      </c>
      <c r="X38" s="40" t="s">
        <v>80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82</v>
      </c>
      <c r="AD38" s="40" t="s">
        <v>80</v>
      </c>
      <c r="AE38" s="40" t="s">
        <v>80</v>
      </c>
      <c r="AF38" s="40" t="s">
        <v>80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83</v>
      </c>
      <c r="AL38" s="40" t="s">
        <v>80</v>
      </c>
      <c r="AM38" t="str">
        <f>VLOOKUP($R38,武学奇术!$A:$ZZ,25,FALSE)</f>
        <v>伞</v>
      </c>
      <c r="AN38" s="24">
        <f>VLOOKUP($R38,武学奇术!$A:$ZZ,26,FALSE)</f>
        <v>2.3397</v>
      </c>
      <c r="AO38" s="25">
        <f>VLOOKUP($R38,武学奇术!$A:$ZZ,27,FALSE)*(1+IF(OR($AM38=$F$4,$AM38=$F$5),$B$21,0))</f>
        <v>1036.8</v>
      </c>
      <c r="AP38" s="24">
        <f>VLOOKUP($R38,武学奇术!$A:$ZZ,28,FALSE)</f>
        <v>3.5095</v>
      </c>
      <c r="AQ38" s="25">
        <f>VLOOKUP($R38,武学奇术!$A:$ZZ,29,FALSE)*(1+IF(OR($AM38=$F$4,$AM38=$F$5),$B$21,0))</f>
        <v>564.8</v>
      </c>
      <c r="AR38" s="24" cm="1">
        <f t="array" ref="AR38">$G$3+IFERROR(VLOOKUP($AM38,$F$4:$G$7,2,FALSE),0)+VLOOKUP($R38,武学奇术!$A:$ZZ,2,FALSE)+SUM(_xlfn.XLOOKUP($S38:$AL38,增益!$A:$A,增益!$B:$B,0))</f>
        <v>0.9043</v>
      </c>
      <c r="AS38" s="24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4530.825</v>
      </c>
      <c r="AU38" cm="1">
        <f t="array" ref="AU38">$E$10*(1+$AS38)+VLOOKUP($R38,武学奇术!$A:$ZZ,4,FALSE)+SUM(_xlfn.XLOOKUP($S38:$AL38,增益!$A:$A,增益!$D:$D,0))-$I$2</f>
        <v>4530.825</v>
      </c>
      <c r="AV38" s="33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0.4039</v>
      </c>
      <c r="AW38" s="33" cm="1">
        <f t="array" ref="AW38">$G$10+VLOOKUP($R38,武学奇术!$A:$ZZ,7,FALSE)+SUM(_xlfn.XLOOKUP($S38:$AL38,增益!$A:$A,增益!$G:$G,0))</f>
        <v>0.145</v>
      </c>
      <c r="AX38" s="24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3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3" cm="1">
        <f t="array" ref="BB38">$G$11+VLOOKUP($R38,武学奇术!$A:$ZZ,10,FALSE)+SUM(_xlfn.XLOOKUP($S38:$AL38,增益!$A:$A,增益!$J:$J,0))</f>
        <v>0.02</v>
      </c>
      <c r="BC38">
        <f t="shared" si="14"/>
        <v>0</v>
      </c>
      <c r="BD38">
        <f t="shared" si="15"/>
        <v>0</v>
      </c>
      <c r="BE38" s="33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3" cm="1">
        <f t="array" ref="BF38">$G$12+VLOOKUP($R38,武学奇术!$A:$ZZ,12,FALSE)+SUM(_xlfn.XLOOKUP($S38:$AL38,增益!$A:$A,增益!$L:$L,0))</f>
        <v>0.02</v>
      </c>
      <c r="BG38">
        <f t="shared" si="16"/>
        <v>618.2</v>
      </c>
      <c r="BH38">
        <f t="shared" si="17"/>
        <v>1567.4</v>
      </c>
      <c r="BI38" s="33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0.18</v>
      </c>
      <c r="BJ38" s="33" cm="1">
        <f t="array" ref="BJ38">$G$13+VLOOKUP($R38,武学奇术!$A:$ZZ,14,FALSE)+SUM(_xlfn.XLOOKUP($S38:$AL38,增益!$A:$A,增益!$N:$N,0))</f>
        <v>0.27</v>
      </c>
      <c r="BK38">
        <f t="shared" si="18"/>
        <v>0</v>
      </c>
      <c r="BL38">
        <f t="shared" si="19"/>
        <v>0</v>
      </c>
      <c r="BM38" s="33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3" cm="1">
        <f t="array" ref="BN38">$G$14+VLOOKUP($R38,武学奇术!$A:$ZZ,16,FALSE)+SUM(_xlfn.XLOOKUP($S38:$AL38,增益!$A:$A,增益!$P:$P,0))</f>
        <v>0.02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4" cm="1">
        <f t="array" ref="BQ38">1+$B$13+VLOOKUP($R38,武学奇术!$A:$ZZ,18,FALSE)+SUM(_xlfn.XLOOKUP($S38:$AL38,增益!$A:$A,增益!$R:$R,0))</f>
        <v>1.96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0"/>
        <v>0.8865</v>
      </c>
      <c r="BU38" s="24">
        <f t="shared" si="21"/>
        <v>0.0222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0.06</v>
      </c>
      <c r="BX38" s="24" cm="1">
        <f t="array" ref="BX38">VLOOKUP($R38,武学奇术!$A:$ZZ,32,FALSE)+SUM(_xlfn.XLOOKUP($S38:$AL38,增益!$A:$A,增益!$X:$X,0))</f>
        <v>0.1</v>
      </c>
    </row>
    <row r="39" spans="1:76">
      <c r="A39" s="4" t="s">
        <v>99</v>
      </c>
      <c r="B39" s="4">
        <v>1.25</v>
      </c>
      <c r="E39" s="29"/>
      <c r="F39" s="29"/>
      <c r="K39" s="39">
        <f>$L39*VLOOKUP($R39,武学奇术!$A:$ZY,31,FALSE)</f>
        <v>48678.8082271036</v>
      </c>
      <c r="L39" s="39">
        <f t="shared" si="11"/>
        <v>46360.7697400987</v>
      </c>
      <c r="M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47067.5778746821</v>
      </c>
      <c r="N39" s="39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43617.736157522</v>
      </c>
      <c r="O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29417.2361716763</v>
      </c>
      <c r="P39" s="39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26525.0381525956</v>
      </c>
      <c r="Q39" s="29">
        <v>1</v>
      </c>
      <c r="R39" s="40" t="s">
        <v>108</v>
      </c>
      <c r="S39" s="40" t="s">
        <v>91</v>
      </c>
      <c r="T39" s="40" t="s">
        <v>172</v>
      </c>
      <c r="U39" s="40" t="s">
        <v>80</v>
      </c>
      <c r="V39" s="40" t="s">
        <v>166</v>
      </c>
      <c r="W39" s="40" t="s">
        <v>80</v>
      </c>
      <c r="X39" s="40" t="s">
        <v>80</v>
      </c>
      <c r="Y39" s="40" t="s">
        <v>80</v>
      </c>
      <c r="Z39" s="40" t="s">
        <v>110</v>
      </c>
      <c r="AA39" s="40" t="s">
        <v>80</v>
      </c>
      <c r="AB39" s="40" t="s">
        <v>80</v>
      </c>
      <c r="AC39" s="40" t="s">
        <v>82</v>
      </c>
      <c r="AD39" s="40" t="s">
        <v>80</v>
      </c>
      <c r="AE39" s="40" t="s">
        <v>80</v>
      </c>
      <c r="AF39" s="40" t="s">
        <v>80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83</v>
      </c>
      <c r="AL39" s="40" t="s">
        <v>80</v>
      </c>
      <c r="AM39" t="str">
        <f>VLOOKUP($R39,武学奇术!$A:$ZZ,25,FALSE)</f>
        <v>伞</v>
      </c>
      <c r="AN39" s="24">
        <f>VLOOKUP($R39,武学奇术!$A:$ZZ,26,FALSE)</f>
        <v>1.7001</v>
      </c>
      <c r="AO39" s="25">
        <f>VLOOKUP($R39,武学奇术!$A:$ZZ,27,FALSE)*(1+IF(OR($AM39=$F$4,$AM39=$F$5),$B$21,0))</f>
        <v>753.6</v>
      </c>
      <c r="AP39" s="24">
        <f>VLOOKUP($R39,武学奇术!$A:$ZZ,28,FALSE)</f>
        <v>2.5502</v>
      </c>
      <c r="AQ39" s="25">
        <f>VLOOKUP($R39,武学奇术!$A:$ZZ,29,FALSE)*(1+IF(OR($AM39=$F$4,$AM39=$F$5),$B$21,0))</f>
        <v>409.6</v>
      </c>
      <c r="AR39" s="24" cm="1">
        <f t="array" ref="AR39">$G$3+IFERROR(VLOOKUP($AM39,$F$4:$G$7,2,FALSE),0)+VLOOKUP($R39,武学奇术!$A:$ZZ,2,FALSE)+SUM(_xlfn.XLOOKUP($S39:$AL39,增益!$A:$A,增益!$B:$B,0))</f>
        <v>0.5043</v>
      </c>
      <c r="AS39" s="24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4530.825</v>
      </c>
      <c r="AU39" cm="1">
        <f t="array" ref="AU39">$E$10*(1+$AS39)+VLOOKUP($R39,武学奇术!$A:$ZZ,4,FALSE)+SUM(_xlfn.XLOOKUP($S39:$AL39,增益!$A:$A,增益!$D:$D,0))-$I$2</f>
        <v>4530.825</v>
      </c>
      <c r="AV39" s="33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0.3789</v>
      </c>
      <c r="AW39" s="33" cm="1">
        <f t="array" ref="AW39">$G$10+VLOOKUP($R39,武学奇术!$A:$ZZ,7,FALSE)+SUM(_xlfn.XLOOKUP($S39:$AL39,增益!$A:$A,增益!$G:$G,0))</f>
        <v>0.145</v>
      </c>
      <c r="AX39" s="24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3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3" cm="1">
        <f t="array" ref="BB39">$G$11+VLOOKUP($R39,武学奇术!$A:$ZZ,10,FALSE)+SUM(_xlfn.XLOOKUP($S39:$AL39,增益!$A:$A,增益!$J:$J,0))</f>
        <v>0.02</v>
      </c>
      <c r="BC39">
        <f t="shared" si="14"/>
        <v>0</v>
      </c>
      <c r="BD39">
        <f t="shared" si="15"/>
        <v>0</v>
      </c>
      <c r="BE39" s="33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3" cm="1">
        <f t="array" ref="BF39">$G$12+VLOOKUP($R39,武学奇术!$A:$ZZ,12,FALSE)+SUM(_xlfn.XLOOKUP($S39:$AL39,增益!$A:$A,增益!$L:$L,0))</f>
        <v>0.02</v>
      </c>
      <c r="BG39">
        <f t="shared" si="16"/>
        <v>618.2</v>
      </c>
      <c r="BH39">
        <f t="shared" si="17"/>
        <v>1567.4</v>
      </c>
      <c r="BI39" s="33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0.18</v>
      </c>
      <c r="BJ39" s="33" cm="1">
        <f t="array" ref="BJ39">$G$13+VLOOKUP($R39,武学奇术!$A:$ZZ,14,FALSE)+SUM(_xlfn.XLOOKUP($S39:$AL39,增益!$A:$A,增益!$N:$N,0))</f>
        <v>0.27</v>
      </c>
      <c r="BK39">
        <f t="shared" si="18"/>
        <v>0</v>
      </c>
      <c r="BL39">
        <f t="shared" si="19"/>
        <v>0</v>
      </c>
      <c r="BM39" s="33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3" cm="1">
        <f t="array" ref="BN39">$G$14+VLOOKUP($R39,武学奇术!$A:$ZZ,16,FALSE)+SUM(_xlfn.XLOOKUP($S39:$AL39,增益!$A:$A,增益!$P:$P,0))</f>
        <v>0.02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4" cm="1">
        <f t="array" ref="BQ39">1+$B$13+VLOOKUP($R39,武学奇术!$A:$ZZ,18,FALSE)+SUM(_xlfn.XLOOKUP($S39:$AL39,增益!$A:$A,增益!$R:$R,0))</f>
        <v>1.6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0"/>
        <v>0.8865</v>
      </c>
      <c r="BU39" s="24">
        <f t="shared" si="21"/>
        <v>0.0222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0.06</v>
      </c>
      <c r="BX39" s="24" cm="1">
        <f t="array" ref="BX39">VLOOKUP($R39,武学奇术!$A:$ZZ,32,FALSE)+SUM(_xlfn.XLOOKUP($S39:$AL39,增益!$A:$A,增益!$X:$X,0))</f>
        <v>0</v>
      </c>
    </row>
    <row r="40" spans="1:76">
      <c r="A40" s="4" t="s">
        <v>162</v>
      </c>
      <c r="B40" s="91">
        <v>1.3</v>
      </c>
      <c r="C40" t="s">
        <v>173</v>
      </c>
      <c r="E40" s="29"/>
      <c r="F40" s="29"/>
      <c r="K40" s="39">
        <f>$L40*VLOOKUP($R40,武学奇术!$A:$ZY,31,FALSE)</f>
        <v>20407.0470714504</v>
      </c>
      <c r="L40" s="39">
        <f t="shared" si="11"/>
        <v>19435.2829251909</v>
      </c>
      <c r="M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19731.5046620446</v>
      </c>
      <c r="N40" s="39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18286.1929365006</v>
      </c>
      <c r="O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12332.1904137778</v>
      </c>
      <c r="P40" s="39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11119.0527264441</v>
      </c>
      <c r="Q40" s="29">
        <v>1</v>
      </c>
      <c r="R40" s="40" t="s">
        <v>113</v>
      </c>
      <c r="S40" s="40" t="s">
        <v>91</v>
      </c>
      <c r="T40" s="40" t="s">
        <v>172</v>
      </c>
      <c r="U40" s="40" t="s">
        <v>80</v>
      </c>
      <c r="V40" s="40" t="s">
        <v>166</v>
      </c>
      <c r="W40" s="40" t="s">
        <v>80</v>
      </c>
      <c r="X40" s="40" t="s">
        <v>80</v>
      </c>
      <c r="Y40" s="40" t="s">
        <v>80</v>
      </c>
      <c r="Z40" s="40" t="s">
        <v>110</v>
      </c>
      <c r="AA40" s="40" t="s">
        <v>80</v>
      </c>
      <c r="AB40" s="40" t="s">
        <v>80</v>
      </c>
      <c r="AC40" s="40" t="s">
        <v>82</v>
      </c>
      <c r="AD40" s="40" t="s">
        <v>80</v>
      </c>
      <c r="AE40" s="40" t="s">
        <v>80</v>
      </c>
      <c r="AF40" s="40" t="s">
        <v>80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83</v>
      </c>
      <c r="AL40" s="40" t="s">
        <v>80</v>
      </c>
      <c r="AM40" t="str">
        <f>VLOOKUP($R40,武学奇术!$A:$ZZ,25,FALSE)</f>
        <v>伞</v>
      </c>
      <c r="AN40" s="24">
        <f>VLOOKUP($R40,武学奇术!$A:$ZZ,26,FALSE)</f>
        <v>0.54</v>
      </c>
      <c r="AO40" s="25">
        <f>VLOOKUP($R40,武学奇术!$A:$ZZ,27,FALSE)*(1+IF(OR($AM40=$F$4,$AM40=$F$5),$B$21,0))</f>
        <v>236.8</v>
      </c>
      <c r="AP40" s="24">
        <f>VLOOKUP($R40,武学奇术!$A:$ZZ,28,FALSE)</f>
        <v>0.81</v>
      </c>
      <c r="AQ40" s="25">
        <f>VLOOKUP($R40,武学奇术!$A:$ZZ,29,FALSE)*(1+IF(OR($AM40=$F$4,$AM40=$F$5),$B$21,0))</f>
        <v>130.4</v>
      </c>
      <c r="AR40" s="24" cm="1">
        <f t="array" ref="AR40">$G$3+IFERROR(VLOOKUP($AM40,$F$4:$G$7,2,FALSE),0)+VLOOKUP($R40,武学奇术!$A:$ZZ,2,FALSE)+SUM(_xlfn.XLOOKUP($S40:$AL40,增益!$A:$A,增益!$B:$B,0))</f>
        <v>0.5043</v>
      </c>
      <c r="AS40" s="24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4530.825</v>
      </c>
      <c r="AU40" cm="1">
        <f t="array" ref="AU40">$E$10*(1+$AS40)+VLOOKUP($R40,武学奇术!$A:$ZZ,4,FALSE)+SUM(_xlfn.XLOOKUP($S40:$AL40,增益!$A:$A,增益!$D:$D,0))-$I$2</f>
        <v>4530.825</v>
      </c>
      <c r="AV40" s="33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0.3789</v>
      </c>
      <c r="AW40" s="33" cm="1">
        <f t="array" ref="AW40">$G$10+VLOOKUP($R40,武学奇术!$A:$ZZ,7,FALSE)+SUM(_xlfn.XLOOKUP($S40:$AL40,增益!$A:$A,增益!$G:$G,0))</f>
        <v>0.145</v>
      </c>
      <c r="AX40" s="24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3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3" cm="1">
        <f t="array" ref="BB40">$G$11+VLOOKUP($R40,武学奇术!$A:$ZZ,10,FALSE)+SUM(_xlfn.XLOOKUP($S40:$AL40,增益!$A:$A,增益!$J:$J,0))</f>
        <v>0.02</v>
      </c>
      <c r="BC40">
        <f t="shared" si="14"/>
        <v>0</v>
      </c>
      <c r="BD40">
        <f t="shared" si="15"/>
        <v>0</v>
      </c>
      <c r="BE40" s="33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3" cm="1">
        <f t="array" ref="BF40">$G$12+VLOOKUP($R40,武学奇术!$A:$ZZ,12,FALSE)+SUM(_xlfn.XLOOKUP($S40:$AL40,增益!$A:$A,增益!$L:$L,0))</f>
        <v>0.02</v>
      </c>
      <c r="BG40">
        <f t="shared" si="16"/>
        <v>618.2</v>
      </c>
      <c r="BH40">
        <f t="shared" si="17"/>
        <v>1567.4</v>
      </c>
      <c r="BI40" s="33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0.18</v>
      </c>
      <c r="BJ40" s="33" cm="1">
        <f t="array" ref="BJ40">$G$13+VLOOKUP($R40,武学奇术!$A:$ZZ,14,FALSE)+SUM(_xlfn.XLOOKUP($S40:$AL40,增益!$A:$A,增益!$N:$N,0))</f>
        <v>0.27</v>
      </c>
      <c r="BK40">
        <f t="shared" si="18"/>
        <v>0</v>
      </c>
      <c r="BL40">
        <f t="shared" si="19"/>
        <v>0</v>
      </c>
      <c r="BM40" s="33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3" cm="1">
        <f t="array" ref="BN40">$G$14+VLOOKUP($R40,武学奇术!$A:$ZZ,16,FALSE)+SUM(_xlfn.XLOOKUP($S40:$AL40,增益!$A:$A,增益!$P:$P,0))</f>
        <v>0.02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4" cm="1">
        <f t="array" ref="BQ40">1+$B$13+VLOOKUP($R40,武学奇术!$A:$ZZ,18,FALSE)+SUM(_xlfn.XLOOKUP($S40:$AL40,增益!$A:$A,增益!$R:$R,0))</f>
        <v>1.6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20"/>
        <v>0.8865</v>
      </c>
      <c r="BU40" s="24">
        <f t="shared" si="21"/>
        <v>0.0222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0.06</v>
      </c>
      <c r="BX40" s="24" cm="1">
        <f t="array" ref="BX40">VLOOKUP($R40,武学奇术!$A:$ZZ,32,FALSE)+SUM(_xlfn.XLOOKUP($S40:$AL40,增益!$A:$A,增益!$X:$X,0))</f>
        <v>0</v>
      </c>
    </row>
    <row r="41" spans="1:76">
      <c r="A41" s="4" t="s">
        <v>113</v>
      </c>
      <c r="B41" s="91">
        <v>1.16</v>
      </c>
      <c r="E41" s="29"/>
      <c r="F41" s="29"/>
      <c r="K41" s="39">
        <f>$L41*VLOOKUP($R41,武学奇术!$A:$ZY,31,FALSE)</f>
        <v>116269.226012809</v>
      </c>
      <c r="L41" s="39">
        <f t="shared" si="11"/>
        <v>110732.596202675</v>
      </c>
      <c r="M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115659.622924123</v>
      </c>
      <c r="N41" s="39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77092.1224983382</v>
      </c>
      <c r="O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52334.6710063906</v>
      </c>
      <c r="P41" s="39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47564.0660880863</v>
      </c>
      <c r="Q41" s="29">
        <v>1</v>
      </c>
      <c r="R41" s="40" t="s">
        <v>115</v>
      </c>
      <c r="S41" s="40" t="s">
        <v>91</v>
      </c>
      <c r="T41" s="40" t="s">
        <v>172</v>
      </c>
      <c r="U41" s="40" t="s">
        <v>174</v>
      </c>
      <c r="V41" s="40" t="s">
        <v>166</v>
      </c>
      <c r="W41" s="40" t="s">
        <v>100</v>
      </c>
      <c r="X41" s="40" t="s">
        <v>80</v>
      </c>
      <c r="Y41" s="40" t="s">
        <v>109</v>
      </c>
      <c r="Z41" s="40" t="s">
        <v>110</v>
      </c>
      <c r="AA41" s="40" t="s">
        <v>175</v>
      </c>
      <c r="AB41" s="40" t="s">
        <v>176</v>
      </c>
      <c r="AC41" s="40" t="s">
        <v>82</v>
      </c>
      <c r="AD41" s="40" t="s">
        <v>80</v>
      </c>
      <c r="AE41" s="40" t="s">
        <v>80</v>
      </c>
      <c r="AF41" s="40" t="s">
        <v>80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83</v>
      </c>
      <c r="AL41" s="40" t="s">
        <v>80</v>
      </c>
      <c r="AM41" t="str">
        <f>VLOOKUP($R41,武学奇术!$A:$ZZ,25,FALSE)</f>
        <v>伞</v>
      </c>
      <c r="AN41" s="24">
        <f>VLOOKUP($R41,武学奇术!$A:$ZZ,26,FALSE)</f>
        <v>1.0217</v>
      </c>
      <c r="AO41" s="25">
        <f>VLOOKUP($R41,武学奇术!$A:$ZZ,27,FALSE)*(1+IF(OR($AM41=$F$4,$AM41=$F$5),$B$21,0))</f>
        <v>451.2</v>
      </c>
      <c r="AP41" s="24">
        <f>VLOOKUP($R41,武学奇术!$A:$ZZ,28,FALSE)</f>
        <v>1.5325</v>
      </c>
      <c r="AQ41" s="25">
        <f>VLOOKUP($R41,武学奇术!$A:$ZZ,29,FALSE)*(1+IF(OR($AM41=$F$4,$AM41=$F$5),$B$21,0))</f>
        <v>246.4</v>
      </c>
      <c r="AR41" s="24" cm="1">
        <f t="array" ref="AR41">$G$3+IFERROR(VLOOKUP($AM41,$F$4:$G$7,2,FALSE),0)+VLOOKUP($R41,武学奇术!$A:$ZZ,2,FALSE)+SUM(_xlfn.XLOOKUP($S41:$AL41,增益!$A:$A,增益!$B:$B,0))</f>
        <v>1.1043</v>
      </c>
      <c r="AS41" s="24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4530.825</v>
      </c>
      <c r="AU41" cm="1">
        <f t="array" ref="AU41">$E$10*(1+$AS41)+VLOOKUP($R41,武学奇术!$A:$ZZ,4,FALSE)+SUM(_xlfn.XLOOKUP($S41:$AL41,增益!$A:$A,增益!$D:$D,0))-$I$2</f>
        <v>4530.825</v>
      </c>
      <c r="AV41" s="33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0.5289</v>
      </c>
      <c r="AW41" s="33" cm="1">
        <f t="array" ref="AW41">$G$10+VLOOKUP($R41,武学奇术!$A:$ZZ,7,FALSE)+SUM(_xlfn.XLOOKUP($S41:$AL41,增益!$A:$A,增益!$G:$G,0))</f>
        <v>0.145</v>
      </c>
      <c r="AX41" s="24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3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3" cm="1">
        <f t="array" ref="BB41">$G$11+VLOOKUP($R41,武学奇术!$A:$ZZ,10,FALSE)+SUM(_xlfn.XLOOKUP($S41:$AL41,增益!$A:$A,增益!$J:$J,0))</f>
        <v>0.12</v>
      </c>
      <c r="BC41">
        <f t="shared" si="14"/>
        <v>0</v>
      </c>
      <c r="BD41">
        <f t="shared" si="15"/>
        <v>0</v>
      </c>
      <c r="BE41" s="33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3" cm="1">
        <f t="array" ref="BF41">$G$12+VLOOKUP($R41,武学奇术!$A:$ZZ,12,FALSE)+SUM(_xlfn.XLOOKUP($S41:$AL41,增益!$A:$A,增益!$L:$L,0))</f>
        <v>0.02</v>
      </c>
      <c r="BG41">
        <f t="shared" si="16"/>
        <v>618.2</v>
      </c>
      <c r="BH41">
        <f t="shared" si="17"/>
        <v>1567.4</v>
      </c>
      <c r="BI41" s="33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0.18</v>
      </c>
      <c r="BJ41" s="33" cm="1">
        <f t="array" ref="BJ41">$G$13+VLOOKUP($R41,武学奇术!$A:$ZZ,14,FALSE)+SUM(_xlfn.XLOOKUP($S41:$AL41,增益!$A:$A,增益!$N:$N,0))</f>
        <v>0.27</v>
      </c>
      <c r="BK41">
        <f t="shared" si="18"/>
        <v>0</v>
      </c>
      <c r="BL41">
        <f t="shared" si="19"/>
        <v>0</v>
      </c>
      <c r="BM41" s="33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3" cm="1">
        <f t="array" ref="BN41">$G$14+VLOOKUP($R41,武学奇术!$A:$ZZ,16,FALSE)+SUM(_xlfn.XLOOKUP($S41:$AL41,增益!$A:$A,增益!$P:$P,0))</f>
        <v>0.02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4" cm="1">
        <f t="array" ref="BQ41">1+$B$13+VLOOKUP($R41,武学奇术!$A:$ZZ,18,FALSE)+SUM(_xlfn.XLOOKUP($S41:$AL41,增益!$A:$A,增益!$R:$R,0))</f>
        <v>2.21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0"/>
        <v>0.8865</v>
      </c>
      <c r="BU41" s="24">
        <f t="shared" si="21"/>
        <v>0.0222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0.26</v>
      </c>
      <c r="BX41" s="24" cm="1">
        <f t="array" ref="BX41">VLOOKUP($R41,武学奇术!$A:$ZZ,32,FALSE)+SUM(_xlfn.XLOOKUP($S41:$AL41,增益!$A:$A,增益!$X:$X,0))</f>
        <v>0.25</v>
      </c>
    </row>
    <row r="42" spans="1:76">
      <c r="A42" s="4" t="s">
        <v>167</v>
      </c>
      <c r="B42" s="4">
        <v>0.1</v>
      </c>
      <c r="E42" s="29"/>
      <c r="F42" s="29"/>
      <c r="K42" s="39">
        <f>$L42*VLOOKUP($R42,武学奇术!$A:$ZY,31,FALSE)</f>
        <v>1278961.4861409</v>
      </c>
      <c r="L42" s="39">
        <f t="shared" si="11"/>
        <v>1218058.55822943</v>
      </c>
      <c r="M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1272255.85216536</v>
      </c>
      <c r="N42" s="39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848013.34748172</v>
      </c>
      <c r="O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575681.381070297</v>
      </c>
      <c r="P42" s="39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523204.726968949</v>
      </c>
      <c r="Q42" s="29">
        <v>11</v>
      </c>
      <c r="R42" s="40" t="s">
        <v>115</v>
      </c>
      <c r="S42" s="40" t="s">
        <v>91</v>
      </c>
      <c r="T42" s="40" t="s">
        <v>172</v>
      </c>
      <c r="U42" s="40" t="s">
        <v>174</v>
      </c>
      <c r="V42" s="40" t="s">
        <v>166</v>
      </c>
      <c r="W42" s="40" t="s">
        <v>100</v>
      </c>
      <c r="X42" s="40" t="s">
        <v>80</v>
      </c>
      <c r="Y42" s="40" t="s">
        <v>109</v>
      </c>
      <c r="Z42" s="40" t="s">
        <v>110</v>
      </c>
      <c r="AA42" s="40" t="s">
        <v>175</v>
      </c>
      <c r="AB42" s="40" t="s">
        <v>176</v>
      </c>
      <c r="AC42" s="40" t="s">
        <v>82</v>
      </c>
      <c r="AD42" s="40" t="s">
        <v>80</v>
      </c>
      <c r="AE42" s="40" t="s">
        <v>80</v>
      </c>
      <c r="AF42" s="40" t="s">
        <v>80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83</v>
      </c>
      <c r="AL42" s="40" t="s">
        <v>80</v>
      </c>
      <c r="AM42" t="str">
        <f>VLOOKUP($R42,武学奇术!$A:$ZZ,25,FALSE)</f>
        <v>伞</v>
      </c>
      <c r="AN42" s="24">
        <f>VLOOKUP($R42,武学奇术!$A:$ZZ,26,FALSE)</f>
        <v>1.0217</v>
      </c>
      <c r="AO42" s="25">
        <f>VLOOKUP($R42,武学奇术!$A:$ZZ,27,FALSE)*(1+IF(OR($AM42=$F$4,$AM42=$F$5),$B$21,0))</f>
        <v>451.2</v>
      </c>
      <c r="AP42" s="24">
        <f>VLOOKUP($R42,武学奇术!$A:$ZZ,28,FALSE)</f>
        <v>1.5325</v>
      </c>
      <c r="AQ42" s="25">
        <f>VLOOKUP($R42,武学奇术!$A:$ZZ,29,FALSE)*(1+IF(OR($AM42=$F$4,$AM42=$F$5),$B$21,0))</f>
        <v>246.4</v>
      </c>
      <c r="AR42" s="24" cm="1">
        <f t="array" ref="AR42">$G$3+IFERROR(VLOOKUP($AM42,$F$4:$G$7,2,FALSE),0)+VLOOKUP($R42,武学奇术!$A:$ZZ,2,FALSE)+SUM(_xlfn.XLOOKUP($S42:$AL42,增益!$A:$A,增益!$B:$B,0))</f>
        <v>1.1043</v>
      </c>
      <c r="AS42" s="24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4530.825</v>
      </c>
      <c r="AU42" cm="1">
        <f t="array" ref="AU42">$E$10*(1+$AS42)+VLOOKUP($R42,武学奇术!$A:$ZZ,4,FALSE)+SUM(_xlfn.XLOOKUP($S42:$AL42,增益!$A:$A,增益!$D:$D,0))-$I$2</f>
        <v>4530.825</v>
      </c>
      <c r="AV42" s="33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0.5289</v>
      </c>
      <c r="AW42" s="33" cm="1">
        <f t="array" ref="AW42">$G$10+VLOOKUP($R42,武学奇术!$A:$ZZ,7,FALSE)+SUM(_xlfn.XLOOKUP($S42:$AL42,增益!$A:$A,增益!$G:$G,0))</f>
        <v>0.145</v>
      </c>
      <c r="AX42" s="24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3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3" cm="1">
        <f t="array" ref="BB42">$G$11+VLOOKUP($R42,武学奇术!$A:$ZZ,10,FALSE)+SUM(_xlfn.XLOOKUP($S42:$AL42,增益!$A:$A,增益!$J:$J,0))</f>
        <v>0.12</v>
      </c>
      <c r="BC42">
        <f t="shared" si="14"/>
        <v>0</v>
      </c>
      <c r="BD42">
        <f t="shared" si="15"/>
        <v>0</v>
      </c>
      <c r="BE42" s="33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3" cm="1">
        <f t="array" ref="BF42">$G$12+VLOOKUP($R42,武学奇术!$A:$ZZ,12,FALSE)+SUM(_xlfn.XLOOKUP($S42:$AL42,增益!$A:$A,增益!$L:$L,0))</f>
        <v>0.02</v>
      </c>
      <c r="BG42">
        <f t="shared" si="16"/>
        <v>618.2</v>
      </c>
      <c r="BH42">
        <f t="shared" si="17"/>
        <v>1567.4</v>
      </c>
      <c r="BI42" s="33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0.18</v>
      </c>
      <c r="BJ42" s="33" cm="1">
        <f t="array" ref="BJ42">$G$13+VLOOKUP($R42,武学奇术!$A:$ZZ,14,FALSE)+SUM(_xlfn.XLOOKUP($S42:$AL42,增益!$A:$A,增益!$N:$N,0))</f>
        <v>0.27</v>
      </c>
      <c r="BK42">
        <f t="shared" si="18"/>
        <v>0</v>
      </c>
      <c r="BL42">
        <f t="shared" si="19"/>
        <v>0</v>
      </c>
      <c r="BM42" s="33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3" cm="1">
        <f t="array" ref="BN42">$G$14+VLOOKUP($R42,武学奇术!$A:$ZZ,16,FALSE)+SUM(_xlfn.XLOOKUP($S42:$AL42,增益!$A:$A,增益!$P:$P,0))</f>
        <v>0.02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4" cm="1">
        <f t="array" ref="BQ42">1+$B$13+VLOOKUP($R42,武学奇术!$A:$ZZ,18,FALSE)+SUM(_xlfn.XLOOKUP($S42:$AL42,增益!$A:$A,增益!$R:$R,0))</f>
        <v>2.21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0"/>
        <v>0.8865</v>
      </c>
      <c r="BU42" s="24">
        <f t="shared" si="21"/>
        <v>0.0222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0.26</v>
      </c>
      <c r="BX42" s="24" cm="1">
        <f t="array" ref="BX42">VLOOKUP($R42,武学奇术!$A:$ZZ,32,FALSE)+SUM(_xlfn.XLOOKUP($S42:$AL42,增益!$A:$A,增益!$X:$X,0))</f>
        <v>0.25</v>
      </c>
    </row>
    <row r="43" spans="1:76">
      <c r="A43" t="s">
        <v>177</v>
      </c>
      <c r="B43">
        <v>1</v>
      </c>
      <c r="E43" s="29"/>
      <c r="F43" s="29"/>
      <c r="K43" s="39">
        <f>$L43*VLOOKUP($R43,武学奇术!$A:$ZY,31,FALSE)</f>
        <v>431925.00764498</v>
      </c>
      <c r="L43" s="39">
        <f t="shared" si="11"/>
        <v>411357.150138076</v>
      </c>
      <c r="M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429660.411691515</v>
      </c>
      <c r="N43" s="39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286387.178631378</v>
      </c>
      <c r="O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194416.475878514</v>
      </c>
      <c r="P43" s="39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176694.30091897</v>
      </c>
      <c r="Q43" s="29">
        <v>4</v>
      </c>
      <c r="R43" s="40" t="s">
        <v>115</v>
      </c>
      <c r="S43" s="40" t="s">
        <v>91</v>
      </c>
      <c r="T43" s="40" t="s">
        <v>172</v>
      </c>
      <c r="U43" s="40" t="s">
        <v>174</v>
      </c>
      <c r="V43" s="40" t="s">
        <v>166</v>
      </c>
      <c r="W43" s="40" t="s">
        <v>100</v>
      </c>
      <c r="X43" s="40" t="s">
        <v>80</v>
      </c>
      <c r="Y43" s="40" t="s">
        <v>109</v>
      </c>
      <c r="Z43" s="40" t="s">
        <v>80</v>
      </c>
      <c r="AA43" s="40" t="s">
        <v>175</v>
      </c>
      <c r="AB43" s="40" t="s">
        <v>176</v>
      </c>
      <c r="AC43" s="40" t="s">
        <v>82</v>
      </c>
      <c r="AD43" s="40" t="s">
        <v>80</v>
      </c>
      <c r="AE43" s="40" t="s">
        <v>80</v>
      </c>
      <c r="AF43" s="40" t="s">
        <v>80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83</v>
      </c>
      <c r="AL43" s="40" t="s">
        <v>80</v>
      </c>
      <c r="AM43" t="str">
        <f>VLOOKUP($R43,武学奇术!$A:$ZZ,25,FALSE)</f>
        <v>伞</v>
      </c>
      <c r="AN43" s="24">
        <f>VLOOKUP($R43,武学奇术!$A:$ZZ,26,FALSE)</f>
        <v>1.0217</v>
      </c>
      <c r="AO43" s="25">
        <f>VLOOKUP($R43,武学奇术!$A:$ZZ,27,FALSE)*(1+IF(OR($AM43=$F$4,$AM43=$F$5),$B$21,0))</f>
        <v>451.2</v>
      </c>
      <c r="AP43" s="24">
        <f>VLOOKUP($R43,武学奇术!$A:$ZZ,28,FALSE)</f>
        <v>1.5325</v>
      </c>
      <c r="AQ43" s="25">
        <f>VLOOKUP($R43,武学奇术!$A:$ZZ,29,FALSE)*(1+IF(OR($AM43=$F$4,$AM43=$F$5),$B$21,0))</f>
        <v>246.4</v>
      </c>
      <c r="AR43" s="24" cm="1">
        <f t="array" ref="AR43">$G$3+IFERROR(VLOOKUP($AM43,$F$4:$G$7,2,FALSE),0)+VLOOKUP($R43,武学奇术!$A:$ZZ,2,FALSE)+SUM(_xlfn.XLOOKUP($S43:$AL43,增益!$A:$A,增益!$B:$B,0))</f>
        <v>0.9543</v>
      </c>
      <c r="AS43" s="24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4530.825</v>
      </c>
      <c r="AU43" cm="1">
        <f t="array" ref="AU43">$E$10*(1+$AS43)+VLOOKUP($R43,武学奇术!$A:$ZZ,4,FALSE)+SUM(_xlfn.XLOOKUP($S43:$AL43,增益!$A:$A,增益!$D:$D,0))-$I$2</f>
        <v>4530.825</v>
      </c>
      <c r="AV43" s="33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0.5289</v>
      </c>
      <c r="AW43" s="33" cm="1">
        <f t="array" ref="AW43">$G$10+VLOOKUP($R43,武学奇术!$A:$ZZ,7,FALSE)+SUM(_xlfn.XLOOKUP($S43:$AL43,增益!$A:$A,增益!$G:$G,0))</f>
        <v>0.145</v>
      </c>
      <c r="AX43" s="24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3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3" cm="1">
        <f t="array" ref="BB43">$G$11+VLOOKUP($R43,武学奇术!$A:$ZZ,10,FALSE)+SUM(_xlfn.XLOOKUP($S43:$AL43,增益!$A:$A,增益!$J:$J,0))</f>
        <v>0.12</v>
      </c>
      <c r="BC43">
        <f t="shared" si="14"/>
        <v>0</v>
      </c>
      <c r="BD43">
        <f t="shared" si="15"/>
        <v>0</v>
      </c>
      <c r="BE43" s="33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3" cm="1">
        <f t="array" ref="BF43">$G$12+VLOOKUP($R43,武学奇术!$A:$ZZ,12,FALSE)+SUM(_xlfn.XLOOKUP($S43:$AL43,增益!$A:$A,增益!$L:$L,0))</f>
        <v>0.02</v>
      </c>
      <c r="BG43">
        <f t="shared" si="16"/>
        <v>618.2</v>
      </c>
      <c r="BH43">
        <f t="shared" si="17"/>
        <v>1567.4</v>
      </c>
      <c r="BI43" s="33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0.18</v>
      </c>
      <c r="BJ43" s="33" cm="1">
        <f t="array" ref="BJ43">$G$13+VLOOKUP($R43,武学奇术!$A:$ZZ,14,FALSE)+SUM(_xlfn.XLOOKUP($S43:$AL43,增益!$A:$A,增益!$N:$N,0))</f>
        <v>0.27</v>
      </c>
      <c r="BK43">
        <f t="shared" si="18"/>
        <v>0</v>
      </c>
      <c r="BL43">
        <f t="shared" si="19"/>
        <v>0</v>
      </c>
      <c r="BM43" s="33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-0.14</v>
      </c>
      <c r="BN43" s="33" cm="1">
        <f t="array" ref="BN43">$G$14+VLOOKUP($R43,武学奇术!$A:$ZZ,16,FALSE)+SUM(_xlfn.XLOOKUP($S43:$AL43,增益!$A:$A,增益!$P:$P,0))</f>
        <v>0.02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4" cm="1">
        <f t="array" ref="BQ43">1+$B$13+VLOOKUP($R43,武学奇术!$A:$ZZ,18,FALSE)+SUM(_xlfn.XLOOKUP($S43:$AL43,增益!$A:$A,增益!$R:$R,0))</f>
        <v>2.21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0"/>
        <v>0.8865</v>
      </c>
      <c r="BU43" s="24">
        <f t="shared" si="21"/>
        <v>0.0222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0.26</v>
      </c>
      <c r="BX43" s="24" cm="1">
        <f t="array" ref="BX43">VLOOKUP($R43,武学奇术!$A:$ZZ,32,FALSE)+SUM(_xlfn.XLOOKUP($S43:$AL43,增益!$A:$A,增益!$X:$X,0))</f>
        <v>0.25</v>
      </c>
    </row>
    <row r="44" spans="1:76">
      <c r="A44" s="4" t="s">
        <v>169</v>
      </c>
      <c r="B44" s="4">
        <v>1.4</v>
      </c>
      <c r="E44" s="29"/>
      <c r="F44" s="29"/>
      <c r="K44" s="39">
        <f>$L44*VLOOKUP($R44,武学奇术!$A:$ZY,31,FALSE)</f>
        <v>424306.608687155</v>
      </c>
      <c r="L44" s="39">
        <f t="shared" si="11"/>
        <v>404101.532083004</v>
      </c>
      <c r="M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422197.005409734</v>
      </c>
      <c r="N44" s="39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280206.054723785</v>
      </c>
      <c r="O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191039.36896368</v>
      </c>
      <c r="P44" s="39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174518.697391224</v>
      </c>
      <c r="Q44" s="29">
        <v>4</v>
      </c>
      <c r="R44" s="40" t="s">
        <v>115</v>
      </c>
      <c r="S44" s="40" t="s">
        <v>91</v>
      </c>
      <c r="T44" s="40" t="s">
        <v>172</v>
      </c>
      <c r="U44" s="40" t="s">
        <v>174</v>
      </c>
      <c r="V44" s="40" t="s">
        <v>166</v>
      </c>
      <c r="W44" s="40" t="s">
        <v>100</v>
      </c>
      <c r="X44" s="40" t="s">
        <v>80</v>
      </c>
      <c r="Y44" s="40" t="s">
        <v>109</v>
      </c>
      <c r="Z44" s="40" t="s">
        <v>80</v>
      </c>
      <c r="AA44" s="40" t="s">
        <v>175</v>
      </c>
      <c r="AB44" s="40" t="s">
        <v>176</v>
      </c>
      <c r="AC44" s="40" t="s">
        <v>80</v>
      </c>
      <c r="AD44" s="40" t="s">
        <v>80</v>
      </c>
      <c r="AE44" s="40" t="s">
        <v>80</v>
      </c>
      <c r="AF44" s="40" t="s">
        <v>80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83</v>
      </c>
      <c r="AL44" s="40" t="s">
        <v>80</v>
      </c>
      <c r="AM44" t="str">
        <f>VLOOKUP($R44,武学奇术!$A:$ZZ,25,FALSE)</f>
        <v>伞</v>
      </c>
      <c r="AN44" s="24">
        <f>VLOOKUP($R44,武学奇术!$A:$ZZ,26,FALSE)</f>
        <v>1.0217</v>
      </c>
      <c r="AO44" s="25">
        <f>VLOOKUP($R44,武学奇术!$A:$ZZ,27,FALSE)*(1+IF(OR($AM44=$F$4,$AM44=$F$5),$B$21,0))</f>
        <v>451.2</v>
      </c>
      <c r="AP44" s="24">
        <f>VLOOKUP($R44,武学奇术!$A:$ZZ,28,FALSE)</f>
        <v>1.5325</v>
      </c>
      <c r="AQ44" s="25">
        <f>VLOOKUP($R44,武学奇术!$A:$ZZ,29,FALSE)*(1+IF(OR($AM44=$F$4,$AM44=$F$5),$B$21,0))</f>
        <v>246.4</v>
      </c>
      <c r="AR44" s="24" cm="1">
        <f t="array" ref="AR44">$G$3+IFERROR(VLOOKUP($AM44,$F$4:$G$7,2,FALSE),0)+VLOOKUP($R44,武学奇术!$A:$ZZ,2,FALSE)+SUM(_xlfn.XLOOKUP($S44:$AL44,增益!$A:$A,增益!$B:$B,0))</f>
        <v>0.9543</v>
      </c>
      <c r="AS44" s="24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4530.825</v>
      </c>
      <c r="AU44" cm="1">
        <f t="array" ref="AU44">$E$10*(1+$AS44)+VLOOKUP($R44,武学奇术!$A:$ZZ,4,FALSE)+SUM(_xlfn.XLOOKUP($S44:$AL44,增益!$A:$A,增益!$D:$D,0))-$I$2</f>
        <v>4530.825</v>
      </c>
      <c r="AV44" s="33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0.5289</v>
      </c>
      <c r="AW44" s="33" cm="1">
        <f t="array" ref="AW44">$G$10+VLOOKUP($R44,武学奇术!$A:$ZZ,7,FALSE)+SUM(_xlfn.XLOOKUP($S44:$AL44,增益!$A:$A,增益!$G:$G,0))</f>
        <v>0.145</v>
      </c>
      <c r="AX44" s="24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3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3" cm="1">
        <f t="array" ref="BB44">$G$11+VLOOKUP($R44,武学奇术!$A:$ZZ,10,FALSE)+SUM(_xlfn.XLOOKUP($S44:$AL44,增益!$A:$A,增益!$J:$J,0))</f>
        <v>0.12</v>
      </c>
      <c r="BC44">
        <f t="shared" si="14"/>
        <v>0</v>
      </c>
      <c r="BD44">
        <f t="shared" si="15"/>
        <v>0</v>
      </c>
      <c r="BE44" s="33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3" cm="1">
        <f t="array" ref="BF44">$G$12+VLOOKUP($R44,武学奇术!$A:$ZZ,12,FALSE)+SUM(_xlfn.XLOOKUP($S44:$AL44,增益!$A:$A,增益!$L:$L,0))</f>
        <v>0.02</v>
      </c>
      <c r="BG44">
        <f t="shared" si="16"/>
        <v>618.2</v>
      </c>
      <c r="BH44">
        <f t="shared" si="17"/>
        <v>1567.4</v>
      </c>
      <c r="BI44" s="33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3" cm="1">
        <f t="array" ref="BJ44">$G$13+VLOOKUP($R44,武学奇术!$A:$ZZ,14,FALSE)+SUM(_xlfn.XLOOKUP($S44:$AL44,增益!$A:$A,增益!$N:$N,0))</f>
        <v>0.27</v>
      </c>
      <c r="BK44">
        <f t="shared" si="18"/>
        <v>0</v>
      </c>
      <c r="BL44">
        <f t="shared" si="19"/>
        <v>0</v>
      </c>
      <c r="BM44" s="33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3" cm="1">
        <f t="array" ref="BN44">$G$14+VLOOKUP($R44,武学奇术!$A:$ZZ,16,FALSE)+SUM(_xlfn.XLOOKUP($S44:$AL44,增益!$A:$A,增益!$P:$P,0))</f>
        <v>0.02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4" cm="1">
        <f t="array" ref="BQ44">1+$B$13+VLOOKUP($R44,武学奇术!$A:$ZZ,18,FALSE)+SUM(_xlfn.XLOOKUP($S44:$AL44,增益!$A:$A,增益!$R:$R,0))</f>
        <v>2.21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0"/>
        <v>0.8865</v>
      </c>
      <c r="BU44" s="24">
        <f t="shared" si="21"/>
        <v>0.0222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0.26</v>
      </c>
      <c r="BX44" s="24" cm="1">
        <f t="array" ref="BX44">VLOOKUP($R44,武学奇术!$A:$ZZ,32,FALSE)+SUM(_xlfn.XLOOKUP($S44:$AL44,增益!$A:$A,增益!$X:$X,0))</f>
        <v>0.25</v>
      </c>
    </row>
    <row r="45" spans="1:76">
      <c r="A45" s="4" t="s">
        <v>170</v>
      </c>
      <c r="B45" s="4">
        <v>2.5</v>
      </c>
      <c r="C45" s="4"/>
      <c r="E45" s="29"/>
      <c r="F45" s="29"/>
      <c r="K45" s="39">
        <f>$L45*VLOOKUP($R45,武学奇术!$A:$ZY,31,FALSE)</f>
        <v>32578.8868218263</v>
      </c>
      <c r="L45" s="39">
        <f t="shared" si="11"/>
        <v>31027.5112588822</v>
      </c>
      <c r="M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31946.8378121395</v>
      </c>
      <c r="N45" s="39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25446.6318146203</v>
      </c>
      <c r="O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17268.5609795349</v>
      </c>
      <c r="P45" s="39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15687.765059351</v>
      </c>
      <c r="Q45" s="29">
        <v>1</v>
      </c>
      <c r="R45" s="40" t="s">
        <v>155</v>
      </c>
      <c r="S45" s="40" t="s">
        <v>91</v>
      </c>
      <c r="T45" s="40" t="s">
        <v>172</v>
      </c>
      <c r="U45" s="40" t="s">
        <v>80</v>
      </c>
      <c r="V45" s="40" t="s">
        <v>166</v>
      </c>
      <c r="W45" s="40" t="s">
        <v>80</v>
      </c>
      <c r="X45" s="40" t="s">
        <v>80</v>
      </c>
      <c r="Y45" s="40" t="s">
        <v>109</v>
      </c>
      <c r="Z45" s="40" t="s">
        <v>110</v>
      </c>
      <c r="AA45" s="40" t="s">
        <v>175</v>
      </c>
      <c r="AB45" s="40" t="s">
        <v>176</v>
      </c>
      <c r="AC45" s="40" t="s">
        <v>82</v>
      </c>
      <c r="AD45" s="40" t="s">
        <v>80</v>
      </c>
      <c r="AE45" s="40" t="s">
        <v>80</v>
      </c>
      <c r="AF45" s="40" t="s">
        <v>80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83</v>
      </c>
      <c r="AL45" s="40" t="s">
        <v>80</v>
      </c>
      <c r="AM45" t="str">
        <f>VLOOKUP($R45,武学奇术!$A:$ZZ,25,FALSE)</f>
        <v>扇</v>
      </c>
      <c r="AN45" s="24">
        <f>VLOOKUP($R45,武学奇术!$A:$ZZ,26,FALSE)</f>
        <v>0.9271</v>
      </c>
      <c r="AO45" s="25">
        <f>VLOOKUP($R45,武学奇术!$A:$ZZ,27,FALSE)*(1+IF(OR($AM45=$F$4,$AM45=$F$5),$B$21,0))</f>
        <v>411.2</v>
      </c>
      <c r="AP45" s="24">
        <f>VLOOKUP($R45,武学奇术!$A:$ZZ,28,FALSE)</f>
        <v>1.3907</v>
      </c>
      <c r="AQ45" s="25">
        <f>VLOOKUP($R45,武学奇术!$A:$ZZ,29,FALSE)*(1+IF(OR($AM45=$F$4,$AM45=$F$5),$B$21,0))</f>
        <v>224</v>
      </c>
      <c r="AR45" s="24" cm="1">
        <f t="array" ref="AR45">$G$3+IFERROR(VLOOKUP($AM45,$F$4:$G$7,2,FALSE),0)+VLOOKUP($R45,武学奇术!$A:$ZZ,2,FALSE)+SUM(_xlfn.XLOOKUP($S45:$AL45,增益!$A:$A,增益!$B:$B,0))</f>
        <v>0.5043</v>
      </c>
      <c r="AS45" s="24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4530.825</v>
      </c>
      <c r="AU45" cm="1">
        <f t="array" ref="AU45">$E$10*(1+$AS45)+VLOOKUP($R45,武学奇术!$A:$ZZ,4,FALSE)+SUM(_xlfn.XLOOKUP($S45:$AL45,增益!$A:$A,增益!$D:$D,0))-$I$2</f>
        <v>4530.825</v>
      </c>
      <c r="AV45" s="33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0.4039</v>
      </c>
      <c r="AW45" s="33" cm="1">
        <f t="array" ref="AW45">$G$10+VLOOKUP($R45,武学奇术!$A:$ZZ,7,FALSE)+SUM(_xlfn.XLOOKUP($S45:$AL45,增益!$A:$A,增益!$G:$G,0))</f>
        <v>0.045</v>
      </c>
      <c r="AX45" s="24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3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3" cm="1">
        <f t="array" ref="BB45">$G$11+VLOOKUP($R45,武学奇术!$A:$ZZ,10,FALSE)+SUM(_xlfn.XLOOKUP($S45:$AL45,增益!$A:$A,增益!$J:$J,0))</f>
        <v>0.12</v>
      </c>
      <c r="BC45">
        <f t="shared" si="14"/>
        <v>0</v>
      </c>
      <c r="BD45">
        <f t="shared" si="15"/>
        <v>0</v>
      </c>
      <c r="BE45" s="33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3" cm="1">
        <f t="array" ref="BF45">$G$12+VLOOKUP($R45,武学奇术!$A:$ZZ,12,FALSE)+SUM(_xlfn.XLOOKUP($S45:$AL45,增益!$A:$A,增益!$L:$L,0))</f>
        <v>0.02</v>
      </c>
      <c r="BG45">
        <f t="shared" si="16"/>
        <v>618.2</v>
      </c>
      <c r="BH45">
        <f t="shared" si="17"/>
        <v>1567.4</v>
      </c>
      <c r="BI45" s="33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0.08</v>
      </c>
      <c r="BJ45" s="33" cm="1">
        <f t="array" ref="BJ45">$G$13+VLOOKUP($R45,武学奇术!$A:$ZZ,14,FALSE)+SUM(_xlfn.XLOOKUP($S45:$AL45,增益!$A:$A,增益!$N:$N,0))</f>
        <v>0.17</v>
      </c>
      <c r="BK45">
        <f t="shared" si="18"/>
        <v>0</v>
      </c>
      <c r="BL45">
        <f t="shared" si="19"/>
        <v>0</v>
      </c>
      <c r="BM45" s="33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-0.14</v>
      </c>
      <c r="BN45" s="33" cm="1">
        <f t="array" ref="BN45">$G$14+VLOOKUP($R45,武学奇术!$A:$ZZ,16,FALSE)+SUM(_xlfn.XLOOKUP($S45:$AL45,增益!$A:$A,增益!$P:$P,0))</f>
        <v>0.02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4" cm="1">
        <f t="array" ref="BQ45">1+$B$13+VLOOKUP($R45,武学奇术!$A:$ZZ,18,FALSE)+SUM(_xlfn.XLOOKUP($S45:$AL45,增益!$A:$A,增益!$R:$R,0))</f>
        <v>1.85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0"/>
        <v>0.8865</v>
      </c>
      <c r="BU45" s="24">
        <f t="shared" si="21"/>
        <v>0.0222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0.26</v>
      </c>
      <c r="BX45" s="24" cm="1">
        <f t="array" ref="BX45">VLOOKUP($R45,武学奇术!$A:$ZZ,32,FALSE)+SUM(_xlfn.XLOOKUP($S45:$AL45,增益!$A:$A,增益!$X:$X,0))</f>
        <v>0</v>
      </c>
    </row>
    <row r="46" spans="1:76">
      <c r="A46" s="4" t="s">
        <v>167</v>
      </c>
      <c r="B46" s="4">
        <v>0.1</v>
      </c>
      <c r="E46" s="29"/>
      <c r="K46" s="39">
        <f>$L46*VLOOKUP($R46,武学奇术!$A:$ZY,31,FALSE)</f>
        <v>452430.356233031</v>
      </c>
      <c r="L46" s="39">
        <f t="shared" si="11"/>
        <v>430886.053555268</v>
      </c>
      <c r="M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452159.028106592</v>
      </c>
      <c r="N46" s="39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282516.043698091</v>
      </c>
      <c r="O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191592.808519743</v>
      </c>
      <c r="P46" s="39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173914.473559418</v>
      </c>
      <c r="Q46" s="29">
        <v>1</v>
      </c>
      <c r="R46" s="40" t="s">
        <v>141</v>
      </c>
      <c r="S46" s="40" t="s">
        <v>91</v>
      </c>
      <c r="T46" s="40" t="s">
        <v>172</v>
      </c>
      <c r="U46" s="40" t="s">
        <v>80</v>
      </c>
      <c r="V46" s="40" t="s">
        <v>166</v>
      </c>
      <c r="W46" s="40" t="s">
        <v>142</v>
      </c>
      <c r="X46" s="40" t="s">
        <v>171</v>
      </c>
      <c r="Y46" s="40" t="s">
        <v>109</v>
      </c>
      <c r="Z46" s="40" t="s">
        <v>110</v>
      </c>
      <c r="AA46" s="40" t="s">
        <v>175</v>
      </c>
      <c r="AB46" s="40" t="s">
        <v>176</v>
      </c>
      <c r="AC46" s="40" t="s">
        <v>82</v>
      </c>
      <c r="AD46" s="40" t="s">
        <v>80</v>
      </c>
      <c r="AE46" s="40" t="s">
        <v>80</v>
      </c>
      <c r="AF46" s="40" t="s">
        <v>80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83</v>
      </c>
      <c r="AL46" s="40" t="s">
        <v>80</v>
      </c>
      <c r="AM46" t="str">
        <f>VLOOKUP($R46,武学奇术!$A:$ZZ,25,FALSE)</f>
        <v>扇</v>
      </c>
      <c r="AN46" s="24">
        <f>VLOOKUP($R46,武学奇术!$A:$ZZ,26,FALSE)</f>
        <v>7.5463</v>
      </c>
      <c r="AO46" s="25">
        <f>VLOOKUP($R46,武学奇术!$A:$ZZ,27,FALSE)*(1+IF(OR($AM46=$F$4,$AM46=$F$5),$B$21,0))</f>
        <v>3339.2</v>
      </c>
      <c r="AP46" s="24">
        <f>VLOOKUP($R46,武学奇术!$A:$ZZ,28,FALSE)</f>
        <v>11.3195</v>
      </c>
      <c r="AQ46" s="25">
        <f>VLOOKUP($R46,武学奇术!$A:$ZZ,29,FALSE)*(1+IF(OR($AM46=$F$4,$AM46=$F$5),$B$21,0))</f>
        <v>1819.2</v>
      </c>
      <c r="AR46" s="24" cm="1">
        <f t="array" ref="AR46">$G$3+IFERROR(VLOOKUP($AM46,$F$4:$G$7,2,FALSE),0)+VLOOKUP($R46,武学奇术!$A:$ZZ,2,FALSE)+SUM(_xlfn.XLOOKUP($S46:$AL46,增益!$A:$A,增益!$B:$B,0))</f>
        <v>0.5843</v>
      </c>
      <c r="AS46" s="24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4530.825</v>
      </c>
      <c r="AU46" cm="1">
        <f t="array" ref="AU46">$E$10*(1+$AS46)+VLOOKUP($R46,武学奇术!$A:$ZZ,4,FALSE)+SUM(_xlfn.XLOOKUP($S46:$AL46,增益!$A:$A,增益!$D:$D,0))-$I$2</f>
        <v>4530.825</v>
      </c>
      <c r="AV46" s="33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0.5039</v>
      </c>
      <c r="AW46" s="33" cm="1">
        <f t="array" ref="AW46">$G$10+VLOOKUP($R46,武学奇术!$A:$ZZ,7,FALSE)+SUM(_xlfn.XLOOKUP($S46:$AL46,增益!$A:$A,增益!$G:$G,0))</f>
        <v>0.145</v>
      </c>
      <c r="AX46" s="24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3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3" cm="1">
        <f t="array" ref="BB46">$G$11+VLOOKUP($R46,武学奇术!$A:$ZZ,10,FALSE)+SUM(_xlfn.XLOOKUP($S46:$AL46,增益!$A:$A,增益!$J:$J,0))</f>
        <v>0.12</v>
      </c>
      <c r="BC46">
        <f t="shared" si="14"/>
        <v>0</v>
      </c>
      <c r="BD46">
        <f t="shared" si="15"/>
        <v>0</v>
      </c>
      <c r="BE46" s="33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3" cm="1">
        <f t="array" ref="BF46">$G$12+VLOOKUP($R46,武学奇术!$A:$ZZ,12,FALSE)+SUM(_xlfn.XLOOKUP($S46:$AL46,增益!$A:$A,增益!$L:$L,0))</f>
        <v>0.02</v>
      </c>
      <c r="BG46">
        <f t="shared" si="16"/>
        <v>618.2</v>
      </c>
      <c r="BH46">
        <f t="shared" si="17"/>
        <v>1567.4</v>
      </c>
      <c r="BI46" s="33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0.18</v>
      </c>
      <c r="BJ46" s="33" cm="1">
        <f t="array" ref="BJ46">$G$13+VLOOKUP($R46,武学奇术!$A:$ZZ,14,FALSE)+SUM(_xlfn.XLOOKUP($S46:$AL46,增益!$A:$A,增益!$N:$N,0))</f>
        <v>0.27</v>
      </c>
      <c r="BK46">
        <f t="shared" si="18"/>
        <v>0</v>
      </c>
      <c r="BL46">
        <f t="shared" si="19"/>
        <v>0</v>
      </c>
      <c r="BM46" s="33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-0.14</v>
      </c>
      <c r="BN46" s="33" cm="1">
        <f t="array" ref="BN46">$G$14+VLOOKUP($R46,武学奇术!$A:$ZZ,16,FALSE)+SUM(_xlfn.XLOOKUP($S46:$AL46,增益!$A:$A,增益!$P:$P,0))</f>
        <v>0.02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4" cm="1">
        <f t="array" ref="BQ46">1+$B$13+VLOOKUP($R46,武学奇术!$A:$ZZ,18,FALSE)+SUM(_xlfn.XLOOKUP($S46:$AL46,增益!$A:$A,增益!$R:$R,0))</f>
        <v>2.36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0"/>
        <v>0.8865</v>
      </c>
      <c r="BU46" s="24">
        <f t="shared" si="21"/>
        <v>0.0222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0.26</v>
      </c>
      <c r="BX46" s="24" cm="1">
        <f t="array" ref="BX46">VLOOKUP($R46,武学奇术!$A:$ZZ,32,FALSE)+SUM(_xlfn.XLOOKUP($S46:$AL46,增益!$A:$A,增益!$X:$X,0))</f>
        <v>0.1</v>
      </c>
    </row>
    <row r="47" spans="1:76">
      <c r="A47" s="4" t="s">
        <v>162</v>
      </c>
      <c r="B47" s="91">
        <v>1.3</v>
      </c>
      <c r="C47" t="s">
        <v>163</v>
      </c>
      <c r="D47" s="29" t="s">
        <v>164</v>
      </c>
      <c r="E47" s="29"/>
      <c r="K47" s="39">
        <f>$L47*VLOOKUP($R47,武学奇术!$A:$ZY,31,FALSE)</f>
        <v>354245.053417749</v>
      </c>
      <c r="L47" s="39">
        <f t="shared" si="11"/>
        <v>337376.241350238</v>
      </c>
      <c r="M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347175.579170462</v>
      </c>
      <c r="N47" s="39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278630.706085188</v>
      </c>
      <c r="O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187662.475227277</v>
      </c>
      <c r="P47" s="39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168931.834835896</v>
      </c>
      <c r="Q47" s="29">
        <v>1</v>
      </c>
      <c r="R47" s="40" t="s">
        <v>178</v>
      </c>
      <c r="S47" s="40" t="s">
        <v>91</v>
      </c>
      <c r="T47" s="40" t="s">
        <v>172</v>
      </c>
      <c r="U47" s="40" t="s">
        <v>80</v>
      </c>
      <c r="V47" s="40" t="s">
        <v>166</v>
      </c>
      <c r="W47" s="40" t="s">
        <v>80</v>
      </c>
      <c r="X47" s="40" t="s">
        <v>80</v>
      </c>
      <c r="Y47" s="40" t="s">
        <v>109</v>
      </c>
      <c r="Z47" s="40" t="s">
        <v>110</v>
      </c>
      <c r="AA47" s="40" t="s">
        <v>175</v>
      </c>
      <c r="AB47" s="40" t="s">
        <v>176</v>
      </c>
      <c r="AC47" s="40" t="s">
        <v>82</v>
      </c>
      <c r="AD47" s="40" t="s">
        <v>80</v>
      </c>
      <c r="AE47" s="40" t="s">
        <v>80</v>
      </c>
      <c r="AF47" s="40" t="s">
        <v>80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83</v>
      </c>
      <c r="AL47" s="40" t="s">
        <v>80</v>
      </c>
      <c r="AM47" t="str">
        <f>VLOOKUP($R47,武学奇术!$A:$ZZ,25,FALSE)</f>
        <v>群体奇术</v>
      </c>
      <c r="AN47" s="24">
        <f>VLOOKUP($R47,武学奇术!$A:$ZZ,26,FALSE)</f>
        <v>10.31616</v>
      </c>
      <c r="AO47" s="25">
        <f>VLOOKUP($R47,武学奇术!$A:$ZZ,27,FALSE)*(1+IF(OR($AM47=$F$4,$AM47=$F$5),$B$21,0))</f>
        <v>2069.55</v>
      </c>
      <c r="AP47" s="24">
        <f>VLOOKUP($R47,武学奇术!$A:$ZZ,28,FALSE)</f>
        <v>15.47424</v>
      </c>
      <c r="AQ47" s="25">
        <f>VLOOKUP($R47,武学奇术!$A:$ZZ,29,FALSE)*(1+IF(OR($AM47=$F$4,$AM47=$F$5),$B$21,0))</f>
        <v>0</v>
      </c>
      <c r="AR47" s="24" cm="1">
        <f t="array" ref="AR47">$G$3+IFERROR(VLOOKUP($AM47,$F$4:$G$7,2,FALSE),0)+VLOOKUP($R47,武学奇术!$A:$ZZ,2,FALSE)+SUM(_xlfn.XLOOKUP($S47:$AL47,增益!$A:$A,增益!$B:$B,0))</f>
        <v>0.6019</v>
      </c>
      <c r="AS47" s="24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4530.825</v>
      </c>
      <c r="AU47" cm="1">
        <f t="array" ref="AU47">$E$10*(1+$AS47)+VLOOKUP($R47,武学奇术!$A:$ZZ,4,FALSE)+SUM(_xlfn.XLOOKUP($S47:$AL47,增益!$A:$A,增益!$D:$D,0))-$I$2</f>
        <v>4530.825</v>
      </c>
      <c r="AV47" s="33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0.4039</v>
      </c>
      <c r="AW47" s="33" cm="1">
        <f t="array" ref="AW47">$G$10+VLOOKUP($R47,武学奇术!$A:$ZZ,7,FALSE)+SUM(_xlfn.XLOOKUP($S47:$AL47,增益!$A:$A,增益!$G:$G,0))</f>
        <v>0.045</v>
      </c>
      <c r="AX47" s="24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3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3" cm="1">
        <f t="array" ref="BB47">$G$11+VLOOKUP($R47,武学奇术!$A:$ZZ,10,FALSE)+SUM(_xlfn.XLOOKUP($S47:$AL47,增益!$A:$A,增益!$J:$J,0))</f>
        <v>0.12</v>
      </c>
      <c r="BC47">
        <f t="shared" si="14"/>
        <v>0</v>
      </c>
      <c r="BD47">
        <f t="shared" si="15"/>
        <v>0</v>
      </c>
      <c r="BE47" s="33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3" cm="1">
        <f t="array" ref="BF47">$G$12+VLOOKUP($R47,武学奇术!$A:$ZZ,12,FALSE)+SUM(_xlfn.XLOOKUP($S47:$AL47,增益!$A:$A,增益!$L:$L,0))</f>
        <v>0.02</v>
      </c>
      <c r="BG47">
        <f t="shared" si="16"/>
        <v>618.2</v>
      </c>
      <c r="BH47">
        <f t="shared" si="17"/>
        <v>1567.4</v>
      </c>
      <c r="BI47" s="33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0.08</v>
      </c>
      <c r="BJ47" s="33" cm="1">
        <f t="array" ref="BJ47">$G$13+VLOOKUP($R47,武学奇术!$A:$ZZ,14,FALSE)+SUM(_xlfn.XLOOKUP($S47:$AL47,增益!$A:$A,增益!$N:$N,0))</f>
        <v>0.17</v>
      </c>
      <c r="BK47">
        <f t="shared" si="18"/>
        <v>0</v>
      </c>
      <c r="BL47">
        <f t="shared" si="19"/>
        <v>0</v>
      </c>
      <c r="BM47" s="33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-0.14</v>
      </c>
      <c r="BN47" s="33" cm="1">
        <f t="array" ref="BN47">$G$14+VLOOKUP($R47,武学奇术!$A:$ZZ,16,FALSE)+SUM(_xlfn.XLOOKUP($S47:$AL47,增益!$A:$A,增益!$P:$P,0))</f>
        <v>0.02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4" cm="1">
        <f t="array" ref="BQ47">1+$B$13+VLOOKUP($R47,武学奇术!$A:$ZZ,18,FALSE)+SUM(_xlfn.XLOOKUP($S47:$AL47,增益!$A:$A,增益!$R:$R,0))</f>
        <v>1.85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0"/>
        <v>0.8865</v>
      </c>
      <c r="BU47" s="24">
        <f t="shared" si="21"/>
        <v>0.0222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0.26</v>
      </c>
      <c r="BX47" s="24" cm="1">
        <f t="array" ref="BX47">VLOOKUP($R47,武学奇术!$A:$ZZ,32,FALSE)+SUM(_xlfn.XLOOKUP($S47:$AL47,增益!$A:$A,增益!$X:$X,0))</f>
        <v>0</v>
      </c>
    </row>
    <row r="48" spans="1:76">
      <c r="A48" s="4" t="s">
        <v>99</v>
      </c>
      <c r="B48" s="4">
        <v>1.25</v>
      </c>
      <c r="D48" s="29"/>
      <c r="E48" s="29"/>
      <c r="K48" s="39">
        <f>$L48*VLOOKUP($R48,武学奇术!$A:$ZY,31,FALSE)</f>
        <v>0</v>
      </c>
      <c r="L48" s="39">
        <f t="shared" si="11"/>
        <v>0</v>
      </c>
      <c r="M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39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39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29">
        <v>1</v>
      </c>
      <c r="R48" s="40" t="s">
        <v>80</v>
      </c>
      <c r="S48" s="40" t="s">
        <v>91</v>
      </c>
      <c r="T48" s="40" t="s">
        <v>172</v>
      </c>
      <c r="U48" s="40" t="s">
        <v>80</v>
      </c>
      <c r="V48" s="40" t="s">
        <v>166</v>
      </c>
      <c r="W48" s="40" t="s">
        <v>80</v>
      </c>
      <c r="X48" s="40" t="s">
        <v>80</v>
      </c>
      <c r="Y48" s="40" t="s">
        <v>109</v>
      </c>
      <c r="Z48" s="40" t="s">
        <v>80</v>
      </c>
      <c r="AA48" s="40" t="s">
        <v>175</v>
      </c>
      <c r="AB48" s="40" t="s">
        <v>176</v>
      </c>
      <c r="AC48" s="40" t="s">
        <v>82</v>
      </c>
      <c r="AD48" s="40" t="s">
        <v>80</v>
      </c>
      <c r="AE48" s="40" t="s">
        <v>80</v>
      </c>
      <c r="AF48" s="40" t="s">
        <v>80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83</v>
      </c>
      <c r="AL48" s="40" t="s">
        <v>80</v>
      </c>
      <c r="AM48" t="str">
        <f>VLOOKUP($R48,武学奇术!$A:$ZZ,25,FALSE)</f>
        <v>心法</v>
      </c>
      <c r="AN48" s="24">
        <f>VLOOKUP($R48,武学奇术!$A:$ZZ,26,FALSE)</f>
        <v>0</v>
      </c>
      <c r="AO48" s="25">
        <f>VLOOKUP($R48,武学奇术!$A:$ZZ,27,FALSE)*(1+IF(OR($AM48=$F$4,$AM48=$F$5),$B$21,0))</f>
        <v>0</v>
      </c>
      <c r="AP48" s="24">
        <f>VLOOKUP($R48,武学奇术!$A:$ZZ,28,FALSE)</f>
        <v>0</v>
      </c>
      <c r="AQ48" s="25">
        <f>VLOOKUP($R48,武学奇术!$A:$ZZ,29,FALSE)*(1+IF(OR($AM48=$F$4,$AM48=$F$5),$B$21,0))</f>
        <v>0</v>
      </c>
      <c r="AR48" s="24" cm="1">
        <f t="array" ref="AR48">$G$3+IFERROR(VLOOKUP($AM48,$F$4:$G$7,2,FALSE),0)+VLOOKUP($R48,武学奇术!$A:$ZZ,2,FALSE)+SUM(_xlfn.XLOOKUP($S48:$AL48,增益!$A:$A,增益!$B:$B,0))</f>
        <v>0.1842</v>
      </c>
      <c r="AS48" s="24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4530.825</v>
      </c>
      <c r="AU48" cm="1">
        <f t="array" ref="AU48">$E$10*(1+$AS48)+VLOOKUP($R48,武学奇术!$A:$ZZ,4,FALSE)+SUM(_xlfn.XLOOKUP($S48:$AL48,增益!$A:$A,增益!$D:$D,0))-$I$2</f>
        <v>4530.825</v>
      </c>
      <c r="AV48" s="33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0.4039</v>
      </c>
      <c r="AW48" s="33" cm="1">
        <f t="array" ref="AW48">$G$10+VLOOKUP($R48,武学奇术!$A:$ZZ,7,FALSE)+SUM(_xlfn.XLOOKUP($S48:$AL48,增益!$A:$A,增益!$G:$G,0))</f>
        <v>0.045</v>
      </c>
      <c r="AX48" s="24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3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3" cm="1">
        <f t="array" ref="BB48">$G$11+VLOOKUP($R48,武学奇术!$A:$ZZ,10,FALSE)+SUM(_xlfn.XLOOKUP($S48:$AL48,增益!$A:$A,增益!$J:$J,0))</f>
        <v>0.12</v>
      </c>
      <c r="BC48">
        <f t="shared" si="14"/>
        <v>0</v>
      </c>
      <c r="BD48">
        <f t="shared" si="15"/>
        <v>0</v>
      </c>
      <c r="BE48" s="33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3" cm="1">
        <f t="array" ref="BF48">$G$12+VLOOKUP($R48,武学奇术!$A:$ZZ,12,FALSE)+SUM(_xlfn.XLOOKUP($S48:$AL48,增益!$A:$A,增益!$L:$L,0))</f>
        <v>0.02</v>
      </c>
      <c r="BG48">
        <f t="shared" si="16"/>
        <v>618.2</v>
      </c>
      <c r="BH48">
        <f t="shared" si="17"/>
        <v>1567.4</v>
      </c>
      <c r="BI48" s="33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0.08</v>
      </c>
      <c r="BJ48" s="33" cm="1">
        <f t="array" ref="BJ48">$G$13+VLOOKUP($R48,武学奇术!$A:$ZZ,14,FALSE)+SUM(_xlfn.XLOOKUP($S48:$AL48,增益!$A:$A,增益!$N:$N,0))</f>
        <v>0.17</v>
      </c>
      <c r="BK48">
        <f t="shared" si="18"/>
        <v>0</v>
      </c>
      <c r="BL48">
        <f t="shared" si="19"/>
        <v>0</v>
      </c>
      <c r="BM48" s="33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-0.14</v>
      </c>
      <c r="BN48" s="33" cm="1">
        <f t="array" ref="BN48">$G$14+VLOOKUP($R48,武学奇术!$A:$ZZ,16,FALSE)+SUM(_xlfn.XLOOKUP($S48:$AL48,增益!$A:$A,增益!$P:$P,0))</f>
        <v>0.02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4" cm="1">
        <f t="array" ref="BQ48">1+$B$13+VLOOKUP($R48,武学奇术!$A:$ZZ,18,FALSE)+SUM(_xlfn.XLOOKUP($S48:$AL48,增益!$A:$A,增益!$R:$R,0))</f>
        <v>1.85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0"/>
        <v>0.8865</v>
      </c>
      <c r="BU48" s="24">
        <f t="shared" si="21"/>
        <v>0.0222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0.26</v>
      </c>
      <c r="BX48" s="24" cm="1">
        <f t="array" ref="BX48">VLOOKUP($R48,武学奇术!$A:$ZZ,32,FALSE)+SUM(_xlfn.XLOOKUP($S48:$AL48,增益!$A:$A,增益!$X:$X,0))</f>
        <v>0</v>
      </c>
    </row>
    <row r="49" spans="1:76">
      <c r="A49" s="4" t="s">
        <v>113</v>
      </c>
      <c r="B49" s="91">
        <v>1.16</v>
      </c>
      <c r="D49" s="29"/>
      <c r="E49" s="29"/>
      <c r="K49" s="39">
        <f>$L49*VLOOKUP($R49,武学奇术!$A:$ZY,31,FALSE)</f>
        <v>40487.4197252131</v>
      </c>
      <c r="L49" s="39">
        <f t="shared" si="11"/>
        <v>38559.4473573458</v>
      </c>
      <c r="M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39701.942697566</v>
      </c>
      <c r="N49" s="39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31623.7879910493</v>
      </c>
      <c r="O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21460.5095662519</v>
      </c>
      <c r="P49" s="39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19495.9909909858</v>
      </c>
      <c r="Q49" s="29">
        <v>1</v>
      </c>
      <c r="R49" s="40" t="s">
        <v>134</v>
      </c>
      <c r="S49" s="40" t="s">
        <v>91</v>
      </c>
      <c r="T49" s="40" t="s">
        <v>172</v>
      </c>
      <c r="U49" s="40" t="s">
        <v>80</v>
      </c>
      <c r="V49" s="40" t="s">
        <v>166</v>
      </c>
      <c r="W49" s="40" t="s">
        <v>80</v>
      </c>
      <c r="X49" s="40" t="s">
        <v>80</v>
      </c>
      <c r="Y49" s="40" t="s">
        <v>109</v>
      </c>
      <c r="Z49" s="40" t="s">
        <v>80</v>
      </c>
      <c r="AA49" s="40" t="s">
        <v>175</v>
      </c>
      <c r="AB49" s="40" t="s">
        <v>176</v>
      </c>
      <c r="AC49" s="40" t="s">
        <v>82</v>
      </c>
      <c r="AD49" s="40" t="s">
        <v>80</v>
      </c>
      <c r="AE49" s="40" t="s">
        <v>80</v>
      </c>
      <c r="AF49" s="40" t="s">
        <v>80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83</v>
      </c>
      <c r="AL49" s="40" t="s">
        <v>80</v>
      </c>
      <c r="AM49" t="str">
        <f>VLOOKUP($R49,武学奇术!$A:$ZZ,25,FALSE)</f>
        <v>扇</v>
      </c>
      <c r="AN49" s="24">
        <f>VLOOKUP($R49,武学奇术!$A:$ZZ,26,FALSE)</f>
        <v>1.2798</v>
      </c>
      <c r="AO49" s="25">
        <f>VLOOKUP($R49,武学奇术!$A:$ZZ,27,FALSE)*(1+IF(OR($AM49=$F$4,$AM49=$F$5),$B$21,0))</f>
        <v>568</v>
      </c>
      <c r="AP49" s="24">
        <f>VLOOKUP($R49,武学奇术!$A:$ZZ,28,FALSE)</f>
        <v>1.9197</v>
      </c>
      <c r="AQ49" s="25">
        <f>VLOOKUP($R49,武学奇术!$A:$ZZ,29,FALSE)*(1+IF(OR($AM49=$F$4,$AM49=$F$5),$B$21,0))</f>
        <v>308.8</v>
      </c>
      <c r="AR49" s="24" cm="1">
        <f t="array" ref="AR49">$G$3+IFERROR(VLOOKUP($AM49,$F$4:$G$7,2,FALSE),0)+VLOOKUP($R49,武学奇术!$A:$ZZ,2,FALSE)+SUM(_xlfn.XLOOKUP($S49:$AL49,增益!$A:$A,增益!$B:$B,0))</f>
        <v>0.3543</v>
      </c>
      <c r="AS49" s="24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4530.825</v>
      </c>
      <c r="AU49" cm="1">
        <f t="array" ref="AU49">$E$10*(1+$AS49)+VLOOKUP($R49,武学奇术!$A:$ZZ,4,FALSE)+SUM(_xlfn.XLOOKUP($S49:$AL49,增益!$A:$A,增益!$D:$D,0))-$I$2</f>
        <v>4530.825</v>
      </c>
      <c r="AV49" s="33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0.4039</v>
      </c>
      <c r="AW49" s="33" cm="1">
        <f t="array" ref="AW49">$G$10+VLOOKUP($R49,武学奇术!$A:$ZZ,7,FALSE)+SUM(_xlfn.XLOOKUP($S49:$AL49,增益!$A:$A,增益!$G:$G,0))</f>
        <v>0.045</v>
      </c>
      <c r="AX49" s="24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3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3" cm="1">
        <f t="array" ref="BB49">$G$11+VLOOKUP($R49,武学奇术!$A:$ZZ,10,FALSE)+SUM(_xlfn.XLOOKUP($S49:$AL49,增益!$A:$A,增益!$J:$J,0))</f>
        <v>0.12</v>
      </c>
      <c r="BC49">
        <f t="shared" si="14"/>
        <v>0</v>
      </c>
      <c r="BD49">
        <f t="shared" si="15"/>
        <v>0</v>
      </c>
      <c r="BE49" s="33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3" cm="1">
        <f t="array" ref="BF49">$G$12+VLOOKUP($R49,武学奇术!$A:$ZZ,12,FALSE)+SUM(_xlfn.XLOOKUP($S49:$AL49,增益!$A:$A,增益!$L:$L,0))</f>
        <v>0.02</v>
      </c>
      <c r="BG49">
        <f t="shared" si="16"/>
        <v>618.2</v>
      </c>
      <c r="BH49">
        <f t="shared" si="17"/>
        <v>1567.4</v>
      </c>
      <c r="BI49" s="33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0.08</v>
      </c>
      <c r="BJ49" s="33" cm="1">
        <f t="array" ref="BJ49">$G$13+VLOOKUP($R49,武学奇术!$A:$ZZ,14,FALSE)+SUM(_xlfn.XLOOKUP($S49:$AL49,增益!$A:$A,增益!$N:$N,0))</f>
        <v>0.17</v>
      </c>
      <c r="BK49">
        <f t="shared" si="18"/>
        <v>0</v>
      </c>
      <c r="BL49">
        <f t="shared" si="19"/>
        <v>0</v>
      </c>
      <c r="BM49" s="33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-0.14</v>
      </c>
      <c r="BN49" s="33" cm="1">
        <f t="array" ref="BN49">$G$14+VLOOKUP($R49,武学奇术!$A:$ZZ,16,FALSE)+SUM(_xlfn.XLOOKUP($S49:$AL49,增益!$A:$A,增益!$P:$P,0))</f>
        <v>0.02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4" cm="1">
        <f t="array" ref="BQ49">1+$B$13+VLOOKUP($R49,武学奇术!$A:$ZZ,18,FALSE)+SUM(_xlfn.XLOOKUP($S49:$AL49,增益!$A:$A,增益!$R:$R,0))</f>
        <v>1.85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0"/>
        <v>0.8865</v>
      </c>
      <c r="BU49" s="24">
        <f t="shared" si="21"/>
        <v>0.0222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0.26</v>
      </c>
      <c r="BX49" s="24" cm="1">
        <f t="array" ref="BX49">VLOOKUP($R49,武学奇术!$A:$ZZ,32,FALSE)+SUM(_xlfn.XLOOKUP($S49:$AL49,增益!$A:$A,增益!$X:$X,0))</f>
        <v>0</v>
      </c>
    </row>
    <row r="50" spans="1:76">
      <c r="A50" s="4" t="s">
        <v>167</v>
      </c>
      <c r="B50" s="4">
        <v>0.1</v>
      </c>
      <c r="D50" s="29"/>
      <c r="E50" s="29"/>
      <c r="K50" s="39">
        <f>$L50*VLOOKUP($R50,武学奇术!$A:$ZY,31,FALSE)</f>
        <v>402289.383510482</v>
      </c>
      <c r="L50" s="39">
        <f t="shared" si="11"/>
        <v>383132.746200459</v>
      </c>
      <c r="M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402152.072463236</v>
      </c>
      <c r="N50" s="39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250185.958662839</v>
      </c>
      <c r="O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170403.42053527</v>
      </c>
      <c r="P50" s="39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155483.908727695</v>
      </c>
      <c r="Q50" s="29">
        <v>1</v>
      </c>
      <c r="R50" s="40" t="s">
        <v>141</v>
      </c>
      <c r="S50" s="40" t="s">
        <v>91</v>
      </c>
      <c r="T50" s="40" t="s">
        <v>172</v>
      </c>
      <c r="U50" s="40" t="s">
        <v>80</v>
      </c>
      <c r="V50" s="40" t="s">
        <v>166</v>
      </c>
      <c r="W50" s="40" t="s">
        <v>142</v>
      </c>
      <c r="X50" s="40" t="s">
        <v>171</v>
      </c>
      <c r="Y50" s="40" t="s">
        <v>109</v>
      </c>
      <c r="Z50" s="40" t="s">
        <v>80</v>
      </c>
      <c r="AA50" s="40" t="s">
        <v>175</v>
      </c>
      <c r="AB50" s="40" t="s">
        <v>176</v>
      </c>
      <c r="AC50" s="40" t="s">
        <v>80</v>
      </c>
      <c r="AD50" s="40" t="s">
        <v>80</v>
      </c>
      <c r="AE50" s="40" t="s">
        <v>80</v>
      </c>
      <c r="AF50" s="40" t="s">
        <v>80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83</v>
      </c>
      <c r="AL50" s="40" t="s">
        <v>80</v>
      </c>
      <c r="AM50" t="str">
        <f>VLOOKUP($R50,武学奇术!$A:$ZZ,25,FALSE)</f>
        <v>扇</v>
      </c>
      <c r="AN50" s="24">
        <f>VLOOKUP($R50,武学奇术!$A:$ZZ,26,FALSE)</f>
        <v>7.5463</v>
      </c>
      <c r="AO50" s="25">
        <f>VLOOKUP($R50,武学奇术!$A:$ZZ,27,FALSE)*(1+IF(OR($AM50=$F$4,$AM50=$F$5),$B$21,0))</f>
        <v>3339.2</v>
      </c>
      <c r="AP50" s="24">
        <f>VLOOKUP($R50,武学奇术!$A:$ZZ,28,FALSE)</f>
        <v>11.3195</v>
      </c>
      <c r="AQ50" s="25">
        <f>VLOOKUP($R50,武学奇术!$A:$ZZ,29,FALSE)*(1+IF(OR($AM50=$F$4,$AM50=$F$5),$B$21,0))</f>
        <v>1819.2</v>
      </c>
      <c r="AR50" s="24" cm="1">
        <f t="array" ref="AR50">$G$3+IFERROR(VLOOKUP($AM50,$F$4:$G$7,2,FALSE),0)+VLOOKUP($R50,武学奇术!$A:$ZZ,2,FALSE)+SUM(_xlfn.XLOOKUP($S50:$AL50,增益!$A:$A,增益!$B:$B,0))</f>
        <v>0.4343</v>
      </c>
      <c r="AS50" s="24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4530.825</v>
      </c>
      <c r="AU50" cm="1">
        <f t="array" ref="AU50">$E$10*(1+$AS50)+VLOOKUP($R50,武学奇术!$A:$ZZ,4,FALSE)+SUM(_xlfn.XLOOKUP($S50:$AL50,增益!$A:$A,增益!$D:$D,0))-$I$2</f>
        <v>4530.825</v>
      </c>
      <c r="AV50" s="33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0.5039</v>
      </c>
      <c r="AW50" s="33" cm="1">
        <f t="array" ref="AW50">$G$10+VLOOKUP($R50,武学奇术!$A:$ZZ,7,FALSE)+SUM(_xlfn.XLOOKUP($S50:$AL50,增益!$A:$A,增益!$G:$G,0))</f>
        <v>0.145</v>
      </c>
      <c r="AX50" s="24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3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3" cm="1">
        <f t="array" ref="BB50">$G$11+VLOOKUP($R50,武学奇术!$A:$ZZ,10,FALSE)+SUM(_xlfn.XLOOKUP($S50:$AL50,增益!$A:$A,增益!$J:$J,0))</f>
        <v>0.12</v>
      </c>
      <c r="BC50">
        <f t="shared" si="14"/>
        <v>0</v>
      </c>
      <c r="BD50">
        <f t="shared" si="15"/>
        <v>0</v>
      </c>
      <c r="BE50" s="33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3" cm="1">
        <f t="array" ref="BF50">$G$12+VLOOKUP($R50,武学奇术!$A:$ZZ,12,FALSE)+SUM(_xlfn.XLOOKUP($S50:$AL50,增益!$A:$A,增益!$L:$L,0))</f>
        <v>0.02</v>
      </c>
      <c r="BG50">
        <f t="shared" si="16"/>
        <v>618.2</v>
      </c>
      <c r="BH50">
        <f t="shared" si="17"/>
        <v>1567.4</v>
      </c>
      <c r="BI50" s="33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3" cm="1">
        <f t="array" ref="BJ50">$G$13+VLOOKUP($R50,武学奇术!$A:$ZZ,14,FALSE)+SUM(_xlfn.XLOOKUP($S50:$AL50,增益!$A:$A,增益!$N:$N,0))</f>
        <v>0.27</v>
      </c>
      <c r="BK50">
        <f t="shared" si="18"/>
        <v>0</v>
      </c>
      <c r="BL50">
        <f t="shared" si="19"/>
        <v>0</v>
      </c>
      <c r="BM50" s="33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3" cm="1">
        <f t="array" ref="BN50">$G$14+VLOOKUP($R50,武学奇术!$A:$ZZ,16,FALSE)+SUM(_xlfn.XLOOKUP($S50:$AL50,增益!$A:$A,增益!$P:$P,0))</f>
        <v>0.02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4" cm="1">
        <f t="array" ref="BQ50">1+$B$13+VLOOKUP($R50,武学奇术!$A:$ZZ,18,FALSE)+SUM(_xlfn.XLOOKUP($S50:$AL50,增益!$A:$A,增益!$R:$R,0))</f>
        <v>2.36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0"/>
        <v>0.8865</v>
      </c>
      <c r="BU50" s="24">
        <f t="shared" si="21"/>
        <v>0.0222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0.26</v>
      </c>
      <c r="BX50" s="24" cm="1">
        <f t="array" ref="BX50">VLOOKUP($R50,武学奇术!$A:$ZZ,32,FALSE)+SUM(_xlfn.XLOOKUP($S50:$AL50,增益!$A:$A,增益!$X:$X,0))</f>
        <v>0.1</v>
      </c>
    </row>
    <row r="51" spans="1:76">
      <c r="A51" s="4" t="s">
        <v>134</v>
      </c>
      <c r="B51" s="4">
        <v>0.8</v>
      </c>
      <c r="C51" s="27">
        <v>0.3</v>
      </c>
      <c r="D51" s="29"/>
      <c r="E51" s="29"/>
      <c r="K51" s="39">
        <f>$L51*VLOOKUP($R51,武学奇术!$A:$ZY,31,FALSE)</f>
        <v>61159.9326373939</v>
      </c>
      <c r="L51" s="39">
        <f t="shared" si="11"/>
        <v>58247.5548927561</v>
      </c>
      <c r="M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59963.1867717507</v>
      </c>
      <c r="N51" s="39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47871.101624732</v>
      </c>
      <c r="O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32412.5333901355</v>
      </c>
      <c r="P51" s="39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29364.9915026918</v>
      </c>
      <c r="Q51" s="29">
        <v>1</v>
      </c>
      <c r="R51" s="40" t="s">
        <v>77</v>
      </c>
      <c r="S51" s="40" t="s">
        <v>91</v>
      </c>
      <c r="T51" s="40" t="s">
        <v>172</v>
      </c>
      <c r="U51" s="40" t="s">
        <v>80</v>
      </c>
      <c r="V51" s="40" t="s">
        <v>166</v>
      </c>
      <c r="W51" s="40" t="s">
        <v>80</v>
      </c>
      <c r="X51" s="40" t="s">
        <v>80</v>
      </c>
      <c r="Y51" s="40" t="s">
        <v>109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80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83</v>
      </c>
      <c r="AL51" s="40" t="s">
        <v>80</v>
      </c>
      <c r="AM51" t="str">
        <f>VLOOKUP($R51,武学奇术!$A:$ZZ,25,FALSE)</f>
        <v>群体奇术</v>
      </c>
      <c r="AN51" s="24">
        <f>VLOOKUP($R51,武学奇术!$A:$ZZ,26,FALSE)</f>
        <v>2.3774</v>
      </c>
      <c r="AO51" s="25">
        <f>VLOOKUP($R51,武学奇术!$A:$ZZ,27,FALSE)*(1+IF(OR($AM51=$F$4,$AM51=$F$5),$B$21,0))</f>
        <v>476</v>
      </c>
      <c r="AP51" s="24">
        <f>VLOOKUP($R51,武学奇术!$A:$ZZ,28,FALSE)</f>
        <v>3.5661</v>
      </c>
      <c r="AQ51" s="25">
        <f>VLOOKUP($R51,武学奇术!$A:$ZZ,29,FALSE)*(1+IF(OR($AM51=$F$4,$AM51=$F$5),$B$21,0))</f>
        <v>0</v>
      </c>
      <c r="AR51" s="24" cm="1">
        <f t="array" ref="AR51">$G$3+IFERROR(VLOOKUP($AM51,$F$4:$G$7,2,FALSE),0)+VLOOKUP($R51,武学奇术!$A:$ZZ,2,FALSE)+SUM(_xlfn.XLOOKUP($S51:$AL51,增益!$A:$A,增益!$B:$B,0))</f>
        <v>0.4519</v>
      </c>
      <c r="AS51" s="24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4530.825</v>
      </c>
      <c r="AU51" cm="1">
        <f t="array" ref="AU51">$E$10*(1+$AS51)+VLOOKUP($R51,武学奇术!$A:$ZZ,4,FALSE)+SUM(_xlfn.XLOOKUP($S51:$AL51,增益!$A:$A,增益!$D:$D,0))-$I$2</f>
        <v>4530.825</v>
      </c>
      <c r="AV51" s="33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0.4039</v>
      </c>
      <c r="AW51" s="33" cm="1">
        <f t="array" ref="AW51">$G$10+VLOOKUP($R51,武学奇术!$A:$ZZ,7,FALSE)+SUM(_xlfn.XLOOKUP($S51:$AL51,增益!$A:$A,增益!$G:$G,0))</f>
        <v>0.045</v>
      </c>
      <c r="AX51" s="24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3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3" cm="1">
        <f t="array" ref="BB51">$G$11+VLOOKUP($R51,武学奇术!$A:$ZZ,10,FALSE)+SUM(_xlfn.XLOOKUP($S51:$AL51,增益!$A:$A,增益!$J:$J,0))</f>
        <v>0.02</v>
      </c>
      <c r="BC51">
        <f t="shared" si="14"/>
        <v>0</v>
      </c>
      <c r="BD51">
        <f t="shared" si="15"/>
        <v>0</v>
      </c>
      <c r="BE51" s="33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3" cm="1">
        <f t="array" ref="BF51">$G$12+VLOOKUP($R51,武学奇术!$A:$ZZ,12,FALSE)+SUM(_xlfn.XLOOKUP($S51:$AL51,增益!$A:$A,增益!$L:$L,0))</f>
        <v>0.02</v>
      </c>
      <c r="BG51">
        <f t="shared" si="16"/>
        <v>618.2</v>
      </c>
      <c r="BH51">
        <f t="shared" si="17"/>
        <v>1567.4</v>
      </c>
      <c r="BI51" s="33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3" cm="1">
        <f t="array" ref="BJ51">$G$13+VLOOKUP($R51,武学奇术!$A:$ZZ,14,FALSE)+SUM(_xlfn.XLOOKUP($S51:$AL51,增益!$A:$A,增益!$N:$N,0))</f>
        <v>0.17</v>
      </c>
      <c r="BK51">
        <f t="shared" si="18"/>
        <v>0</v>
      </c>
      <c r="BL51">
        <f t="shared" si="19"/>
        <v>0</v>
      </c>
      <c r="BM51" s="33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3" cm="1">
        <f t="array" ref="BN51">$G$14+VLOOKUP($R51,武学奇术!$A:$ZZ,16,FALSE)+SUM(_xlfn.XLOOKUP($S51:$AL51,增益!$A:$A,增益!$P:$P,0))</f>
        <v>0.02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4" cm="1">
        <f t="array" ref="BQ51">1+$B$13+VLOOKUP($R51,武学奇术!$A:$ZZ,18,FALSE)+SUM(_xlfn.XLOOKUP($S51:$AL51,增益!$A:$A,增益!$R:$R,0))</f>
        <v>1.85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0"/>
        <v>0.8865</v>
      </c>
      <c r="BU51" s="24">
        <f t="shared" si="21"/>
        <v>0.0222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0.06</v>
      </c>
      <c r="BX51" s="24" cm="1">
        <f t="array" ref="BX51">VLOOKUP($R51,武学奇术!$A:$ZZ,32,FALSE)+SUM(_xlfn.XLOOKUP($S51:$AL51,增益!$A:$A,增益!$X:$X,0))</f>
        <v>0</v>
      </c>
    </row>
    <row r="52" spans="1:76">
      <c r="A52" s="4" t="s">
        <v>169</v>
      </c>
      <c r="B52" s="4">
        <v>1.4</v>
      </c>
      <c r="E52" s="29"/>
      <c r="F52" s="29" t="s">
        <v>165</v>
      </c>
      <c r="K52" s="39">
        <f>$L52*VLOOKUP($R52,武学奇术!$A:$ZY,31,FALSE)</f>
        <v>248975.696266988</v>
      </c>
      <c r="L52" s="39">
        <f t="shared" si="11"/>
        <v>237119.710730465</v>
      </c>
      <c r="M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244006.917829865</v>
      </c>
      <c r="N52" s="39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195832.366487744</v>
      </c>
      <c r="O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131895.631259386</v>
      </c>
      <c r="P52" s="39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118730.250305629</v>
      </c>
      <c r="Q52" s="29">
        <v>4</v>
      </c>
      <c r="R52" s="40" t="s">
        <v>77</v>
      </c>
      <c r="S52" s="40" t="s">
        <v>91</v>
      </c>
      <c r="T52" s="40" t="s">
        <v>172</v>
      </c>
      <c r="U52" s="40" t="s">
        <v>80</v>
      </c>
      <c r="V52" s="40" t="s">
        <v>166</v>
      </c>
      <c r="W52" s="40" t="s">
        <v>80</v>
      </c>
      <c r="X52" s="40" t="s">
        <v>80</v>
      </c>
      <c r="Y52" s="40" t="s">
        <v>109</v>
      </c>
      <c r="Z52" s="40" t="s">
        <v>80</v>
      </c>
      <c r="AA52" s="40" t="s">
        <v>80</v>
      </c>
      <c r="AB52" s="40" t="s">
        <v>80</v>
      </c>
      <c r="AC52" s="40" t="s">
        <v>82</v>
      </c>
      <c r="AD52" s="40" t="s">
        <v>80</v>
      </c>
      <c r="AE52" s="40" t="s">
        <v>80</v>
      </c>
      <c r="AF52" s="40" t="s">
        <v>80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83</v>
      </c>
      <c r="AL52" s="40" t="s">
        <v>80</v>
      </c>
      <c r="AM52" t="str">
        <f>VLOOKUP($R52,武学奇术!$A:$ZZ,25,FALSE)</f>
        <v>群体奇术</v>
      </c>
      <c r="AN52" s="24">
        <f>VLOOKUP($R52,武学奇术!$A:$ZZ,26,FALSE)</f>
        <v>2.3774</v>
      </c>
      <c r="AO52" s="25">
        <f>VLOOKUP($R52,武学奇术!$A:$ZZ,27,FALSE)*(1+IF(OR($AM52=$F$4,$AM52=$F$5),$B$21,0))</f>
        <v>476</v>
      </c>
      <c r="AP52" s="24">
        <f>VLOOKUP($R52,武学奇术!$A:$ZZ,28,FALSE)</f>
        <v>3.5661</v>
      </c>
      <c r="AQ52" s="25">
        <f>VLOOKUP($R52,武学奇术!$A:$ZZ,29,FALSE)*(1+IF(OR($AM52=$F$4,$AM52=$F$5),$B$21,0))</f>
        <v>0</v>
      </c>
      <c r="AR52" s="24" cm="1">
        <f t="array" ref="AR52">$G$3+IFERROR(VLOOKUP($AM52,$F$4:$G$7,2,FALSE),0)+VLOOKUP($R52,武学奇术!$A:$ZZ,2,FALSE)+SUM(_xlfn.XLOOKUP($S52:$AL52,增益!$A:$A,增益!$B:$B,0))</f>
        <v>0.4519</v>
      </c>
      <c r="AS52" s="24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4530.825</v>
      </c>
      <c r="AU52" cm="1">
        <f t="array" ref="AU52">$E$10*(1+$AS52)+VLOOKUP($R52,武学奇术!$A:$ZZ,4,FALSE)+SUM(_xlfn.XLOOKUP($S52:$AL52,增益!$A:$A,增益!$D:$D,0))-$I$2</f>
        <v>4530.825</v>
      </c>
      <c r="AV52" s="33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0.4039</v>
      </c>
      <c r="AW52" s="33" cm="1">
        <f t="array" ref="AW52">$G$10+VLOOKUP($R52,武学奇术!$A:$ZZ,7,FALSE)+SUM(_xlfn.XLOOKUP($S52:$AL52,增益!$A:$A,增益!$G:$G,0))</f>
        <v>0.045</v>
      </c>
      <c r="AX52" s="24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3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3" cm="1">
        <f t="array" ref="BB52">$G$11+VLOOKUP($R52,武学奇术!$A:$ZZ,10,FALSE)+SUM(_xlfn.XLOOKUP($S52:$AL52,增益!$A:$A,增益!$J:$J,0))</f>
        <v>0.02</v>
      </c>
      <c r="BC52">
        <f t="shared" si="14"/>
        <v>0</v>
      </c>
      <c r="BD52">
        <f t="shared" si="15"/>
        <v>0</v>
      </c>
      <c r="BE52" s="33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3" cm="1">
        <f t="array" ref="BF52">$G$12+VLOOKUP($R52,武学奇术!$A:$ZZ,12,FALSE)+SUM(_xlfn.XLOOKUP($S52:$AL52,增益!$A:$A,增益!$L:$L,0))</f>
        <v>0.02</v>
      </c>
      <c r="BG52">
        <f t="shared" si="16"/>
        <v>618.2</v>
      </c>
      <c r="BH52">
        <f t="shared" si="17"/>
        <v>1567.4</v>
      </c>
      <c r="BI52" s="33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0.08</v>
      </c>
      <c r="BJ52" s="33" cm="1">
        <f t="array" ref="BJ52">$G$13+VLOOKUP($R52,武学奇术!$A:$ZZ,14,FALSE)+SUM(_xlfn.XLOOKUP($S52:$AL52,增益!$A:$A,增益!$N:$N,0))</f>
        <v>0.17</v>
      </c>
      <c r="BK52">
        <f t="shared" si="18"/>
        <v>0</v>
      </c>
      <c r="BL52">
        <f t="shared" si="19"/>
        <v>0</v>
      </c>
      <c r="BM52" s="33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3" cm="1">
        <f t="array" ref="BN52">$G$14+VLOOKUP($R52,武学奇术!$A:$ZZ,16,FALSE)+SUM(_xlfn.XLOOKUP($S52:$AL52,增益!$A:$A,增益!$P:$P,0))</f>
        <v>0.02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4" cm="1">
        <f t="array" ref="BQ52">1+$B$13+VLOOKUP($R52,武学奇术!$A:$ZZ,18,FALSE)+SUM(_xlfn.XLOOKUP($S52:$AL52,增益!$A:$A,增益!$R:$R,0))</f>
        <v>1.85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0"/>
        <v>0.8865</v>
      </c>
      <c r="BU52" s="24">
        <f t="shared" si="21"/>
        <v>0.0222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0.06</v>
      </c>
      <c r="BX52" s="24" cm="1">
        <f t="array" ref="BX52">VLOOKUP($R52,武学奇术!$A:$ZZ,32,FALSE)+SUM(_xlfn.XLOOKUP($S52:$AL52,增益!$A:$A,增益!$X:$X,0))</f>
        <v>0</v>
      </c>
    </row>
    <row r="53" spans="1:76">
      <c r="A53" s="4" t="s">
        <v>170</v>
      </c>
      <c r="B53" s="4">
        <v>2.5</v>
      </c>
      <c r="E53" s="29"/>
      <c r="F53" s="29"/>
      <c r="K53" s="39">
        <f>$L53*VLOOKUP($R53,武学奇术!$A:$ZY,31,FALSE)</f>
        <v>36561.253102329</v>
      </c>
      <c r="L53" s="39">
        <f t="shared" si="11"/>
        <v>34820.2410498372</v>
      </c>
      <c r="M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35857.2142746034</v>
      </c>
      <c r="N53" s="39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28505.3014688497</v>
      </c>
      <c r="O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19382.2779862721</v>
      </c>
      <c r="P53" s="39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17649.5178474704</v>
      </c>
      <c r="Q53" s="29">
        <v>1</v>
      </c>
      <c r="R53" s="40" t="s">
        <v>179</v>
      </c>
      <c r="S53" s="40" t="s">
        <v>91</v>
      </c>
      <c r="T53" s="40" t="s">
        <v>172</v>
      </c>
      <c r="U53" s="40" t="s">
        <v>80</v>
      </c>
      <c r="V53" s="40" t="s">
        <v>166</v>
      </c>
      <c r="W53" s="40" t="s">
        <v>80</v>
      </c>
      <c r="X53" s="40" t="s">
        <v>80</v>
      </c>
      <c r="Y53" s="40" t="s">
        <v>109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80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83</v>
      </c>
      <c r="AL53" s="40" t="s">
        <v>80</v>
      </c>
      <c r="AM53" t="str">
        <f>VLOOKUP($R53,武学奇术!$A:$ZZ,25,FALSE)</f>
        <v>单体奇术</v>
      </c>
      <c r="AN53" s="24">
        <f>VLOOKUP($R53,武学奇术!$A:$ZZ,26,FALSE)</f>
        <v>1.3517</v>
      </c>
      <c r="AO53" s="25">
        <f>VLOOKUP($R53,武学奇术!$A:$ZZ,27,FALSE)*(1+IF(OR($AM53=$F$4,$AM53=$F$5),$B$21,0))</f>
        <v>693</v>
      </c>
      <c r="AP53" s="24">
        <f>VLOOKUP($R53,武学奇术!$A:$ZZ,28,FALSE)</f>
        <v>2.0276</v>
      </c>
      <c r="AQ53" s="25">
        <f>VLOOKUP($R53,武学奇术!$A:$ZZ,29,FALSE)*(1+IF(OR($AM53=$F$4,$AM53=$F$5),$B$21,0))</f>
        <v>0</v>
      </c>
      <c r="AR53" s="24" cm="1">
        <f t="array" ref="AR53">$G$3+IFERROR(VLOOKUP($AM53,$F$4:$G$7,2,FALSE),0)+VLOOKUP($R53,武学奇术!$A:$ZZ,2,FALSE)+SUM(_xlfn.XLOOKUP($S53:$AL53,增益!$A:$A,增益!$B:$B,0))</f>
        <v>0.4519</v>
      </c>
      <c r="AS53" s="24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4530.825</v>
      </c>
      <c r="AU53" cm="1">
        <f t="array" ref="AU53">$E$10*(1+$AS53)+VLOOKUP($R53,武学奇术!$A:$ZZ,4,FALSE)+SUM(_xlfn.XLOOKUP($S53:$AL53,增益!$A:$A,增益!$D:$D,0))-$I$2</f>
        <v>4530.825</v>
      </c>
      <c r="AV53" s="33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0.4039</v>
      </c>
      <c r="AW53" s="33" cm="1">
        <f t="array" ref="AW53">$G$10+VLOOKUP($R53,武学奇术!$A:$ZZ,7,FALSE)+SUM(_xlfn.XLOOKUP($S53:$AL53,增益!$A:$A,增益!$G:$G,0))</f>
        <v>0.045</v>
      </c>
      <c r="AX53" s="24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3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3" cm="1">
        <f t="array" ref="BB53">$G$11+VLOOKUP($R53,武学奇术!$A:$ZZ,10,FALSE)+SUM(_xlfn.XLOOKUP($S53:$AL53,增益!$A:$A,增益!$J:$J,0))</f>
        <v>0.02</v>
      </c>
      <c r="BC53">
        <f t="shared" si="14"/>
        <v>0</v>
      </c>
      <c r="BD53">
        <f t="shared" si="15"/>
        <v>0</v>
      </c>
      <c r="BE53" s="33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3" cm="1">
        <f t="array" ref="BF53">$G$12+VLOOKUP($R53,武学奇术!$A:$ZZ,12,FALSE)+SUM(_xlfn.XLOOKUP($S53:$AL53,增益!$A:$A,增益!$L:$L,0))</f>
        <v>0.02</v>
      </c>
      <c r="BG53">
        <f t="shared" si="16"/>
        <v>618.2</v>
      </c>
      <c r="BH53">
        <f t="shared" si="17"/>
        <v>1567.4</v>
      </c>
      <c r="BI53" s="33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3" cm="1">
        <f t="array" ref="BJ53">$G$13+VLOOKUP($R53,武学奇术!$A:$ZZ,14,FALSE)+SUM(_xlfn.XLOOKUP($S53:$AL53,增益!$A:$A,增益!$N:$N,0))</f>
        <v>0.17</v>
      </c>
      <c r="BK53">
        <f t="shared" si="18"/>
        <v>0</v>
      </c>
      <c r="BL53">
        <f t="shared" si="19"/>
        <v>0</v>
      </c>
      <c r="BM53" s="33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3" cm="1">
        <f t="array" ref="BN53">$G$14+VLOOKUP($R53,武学奇术!$A:$ZZ,16,FALSE)+SUM(_xlfn.XLOOKUP($S53:$AL53,增益!$A:$A,增益!$P:$P,0))</f>
        <v>0.02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4" cm="1">
        <f t="array" ref="BQ53">1+$B$13+VLOOKUP($R53,武学奇术!$A:$ZZ,18,FALSE)+SUM(_xlfn.XLOOKUP($S53:$AL53,增益!$A:$A,增益!$R:$R,0))</f>
        <v>1.85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0"/>
        <v>0.8865</v>
      </c>
      <c r="BU53" s="24">
        <f t="shared" si="21"/>
        <v>0.0222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0.06</v>
      </c>
      <c r="BX53" s="24" cm="1">
        <f t="array" ref="BX53">VLOOKUP($R53,武学奇术!$A:$ZZ,32,FALSE)+SUM(_xlfn.XLOOKUP($S53:$AL53,增益!$A:$A,增益!$X:$X,0))</f>
        <v>0</v>
      </c>
    </row>
    <row r="54" spans="1:76">
      <c r="A54" s="4" t="s">
        <v>167</v>
      </c>
      <c r="B54" s="4">
        <v>0.1</v>
      </c>
      <c r="F54" s="29"/>
      <c r="K54" s="39">
        <f>$L54*VLOOKUP($R54,武学奇术!$A:$ZY,31,FALSE)</f>
        <v>86955.9412149283</v>
      </c>
      <c r="L54" s="39">
        <f t="shared" si="11"/>
        <v>82815.1821094555</v>
      </c>
      <c r="M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86523.6063541874</v>
      </c>
      <c r="N54" s="39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57424.4678818882</v>
      </c>
      <c r="O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39150.9531014423</v>
      </c>
      <c r="P54" s="39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35765.2633274118</v>
      </c>
      <c r="Q54" s="29">
        <v>1</v>
      </c>
      <c r="R54" s="40" t="s">
        <v>115</v>
      </c>
      <c r="S54" s="40" t="s">
        <v>91</v>
      </c>
      <c r="T54" s="40" t="s">
        <v>172</v>
      </c>
      <c r="U54" s="40" t="s">
        <v>106</v>
      </c>
      <c r="V54" s="40" t="s">
        <v>166</v>
      </c>
      <c r="W54" s="40" t="s">
        <v>100</v>
      </c>
      <c r="X54" s="40" t="s">
        <v>80</v>
      </c>
      <c r="Y54" s="40" t="s">
        <v>109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80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83</v>
      </c>
      <c r="AL54" s="40" t="s">
        <v>80</v>
      </c>
      <c r="AM54" t="str">
        <f>VLOOKUP($R54,武学奇术!$A:$ZZ,25,FALSE)</f>
        <v>伞</v>
      </c>
      <c r="AN54" s="24">
        <f>VLOOKUP($R54,武学奇术!$A:$ZZ,26,FALSE)</f>
        <v>1.0217</v>
      </c>
      <c r="AO54" s="25">
        <f>VLOOKUP($R54,武学奇术!$A:$ZZ,27,FALSE)*(1+IF(OR($AM54=$F$4,$AM54=$F$5),$B$21,0))</f>
        <v>451.2</v>
      </c>
      <c r="AP54" s="24">
        <f>VLOOKUP($R54,武学奇术!$A:$ZZ,28,FALSE)</f>
        <v>1.5325</v>
      </c>
      <c r="AQ54" s="25">
        <f>VLOOKUP($R54,武学奇术!$A:$ZZ,29,FALSE)*(1+IF(OR($AM54=$F$4,$AM54=$F$5),$B$21,0))</f>
        <v>246.4</v>
      </c>
      <c r="AR54" s="24" cm="1">
        <f t="array" ref="AR54">$G$3+IFERROR(VLOOKUP($AM54,$F$4:$G$7,2,FALSE),0)+VLOOKUP($R54,武学奇术!$A:$ZZ,2,FALSE)+SUM(_xlfn.XLOOKUP($S54:$AL54,增益!$A:$A,增益!$B:$B,0))</f>
        <v>0.9043</v>
      </c>
      <c r="AS54" s="24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4530.825</v>
      </c>
      <c r="AU54" cm="1">
        <f t="array" ref="AU54">$E$10*(1+$AS54)+VLOOKUP($R54,武学奇术!$A:$ZZ,4,FALSE)+SUM(_xlfn.XLOOKUP($S54:$AL54,增益!$A:$A,增益!$D:$D,0))-$I$2</f>
        <v>4530.825</v>
      </c>
      <c r="AV54" s="33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0.5289</v>
      </c>
      <c r="AW54" s="33" cm="1">
        <f t="array" ref="AW54">$G$10+VLOOKUP($R54,武学奇术!$A:$ZZ,7,FALSE)+SUM(_xlfn.XLOOKUP($S54:$AL54,增益!$A:$A,增益!$G:$G,0))</f>
        <v>0.145</v>
      </c>
      <c r="AX54" s="24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3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3" cm="1">
        <f t="array" ref="BB54">$G$11+VLOOKUP($R54,武学奇术!$A:$ZZ,10,FALSE)+SUM(_xlfn.XLOOKUP($S54:$AL54,增益!$A:$A,增益!$J:$J,0))</f>
        <v>0.02</v>
      </c>
      <c r="BC54">
        <f t="shared" si="14"/>
        <v>0</v>
      </c>
      <c r="BD54">
        <f t="shared" si="15"/>
        <v>0</v>
      </c>
      <c r="BE54" s="33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3" cm="1">
        <f t="array" ref="BF54">$G$12+VLOOKUP($R54,武学奇术!$A:$ZZ,12,FALSE)+SUM(_xlfn.XLOOKUP($S54:$AL54,增益!$A:$A,增益!$L:$L,0))</f>
        <v>0.02</v>
      </c>
      <c r="BG54">
        <f t="shared" si="16"/>
        <v>618.2</v>
      </c>
      <c r="BH54">
        <f t="shared" si="17"/>
        <v>1567.4</v>
      </c>
      <c r="BI54" s="33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3" cm="1">
        <f t="array" ref="BJ54">$G$13+VLOOKUP($R54,武学奇术!$A:$ZZ,14,FALSE)+SUM(_xlfn.XLOOKUP($S54:$AL54,增益!$A:$A,增益!$N:$N,0))</f>
        <v>0.27</v>
      </c>
      <c r="BK54">
        <f t="shared" si="18"/>
        <v>0</v>
      </c>
      <c r="BL54">
        <f t="shared" si="19"/>
        <v>0</v>
      </c>
      <c r="BM54" s="33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3" cm="1">
        <f t="array" ref="BN54">$G$14+VLOOKUP($R54,武学奇术!$A:$ZZ,16,FALSE)+SUM(_xlfn.XLOOKUP($S54:$AL54,增益!$A:$A,增益!$P:$P,0))</f>
        <v>0.02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4" cm="1">
        <f t="array" ref="BQ54">1+$B$13+VLOOKUP($R54,武学奇术!$A:$ZZ,18,FALSE)+SUM(_xlfn.XLOOKUP($S54:$AL54,增益!$A:$A,增益!$R:$R,0))</f>
        <v>2.21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0"/>
        <v>0.8865</v>
      </c>
      <c r="BU54" s="24">
        <f t="shared" si="21"/>
        <v>0.0222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0.06</v>
      </c>
      <c r="BX54" s="24" cm="1">
        <f t="array" ref="BX54">VLOOKUP($R54,武学奇术!$A:$ZZ,32,FALSE)+SUM(_xlfn.XLOOKUP($S54:$AL54,增益!$A:$A,增益!$X:$X,0))</f>
        <v>0.25</v>
      </c>
    </row>
    <row r="55" spans="1:76">
      <c r="A55" s="4" t="s">
        <v>99</v>
      </c>
      <c r="B55" s="4">
        <v>1.25</v>
      </c>
      <c r="F55" s="29"/>
      <c r="K55" s="39">
        <f>$L55*VLOOKUP($R55,武学奇术!$A:$ZY,31,FALSE)</f>
        <v>132729.375078967</v>
      </c>
      <c r="L55" s="39">
        <f t="shared" si="11"/>
        <v>126408.928646635</v>
      </c>
      <c r="M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132069.631937345</v>
      </c>
      <c r="N55" s="39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87650.9048560826</v>
      </c>
      <c r="O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59760.0144512874</v>
      </c>
      <c r="P55" s="39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54593.4327128839</v>
      </c>
      <c r="Q55" s="29">
        <v>1</v>
      </c>
      <c r="R55" s="40" t="s">
        <v>99</v>
      </c>
      <c r="S55" s="40" t="s">
        <v>91</v>
      </c>
      <c r="T55" s="40" t="s">
        <v>172</v>
      </c>
      <c r="U55" s="40" t="s">
        <v>106</v>
      </c>
      <c r="V55" s="40" t="s">
        <v>166</v>
      </c>
      <c r="W55" s="40" t="s">
        <v>100</v>
      </c>
      <c r="X55" s="40" t="s">
        <v>80</v>
      </c>
      <c r="Y55" s="40" t="s">
        <v>109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80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83</v>
      </c>
      <c r="AL55" s="40" t="s">
        <v>80</v>
      </c>
      <c r="AM55" t="str">
        <f>VLOOKUP($R55,武学奇术!$A:$ZZ,25,FALSE)</f>
        <v>伞</v>
      </c>
      <c r="AN55" s="24">
        <f>VLOOKUP($R55,武学奇术!$A:$ZZ,26,FALSE)</f>
        <v>2.3397</v>
      </c>
      <c r="AO55" s="25">
        <f>VLOOKUP($R55,武学奇术!$A:$ZZ,27,FALSE)*(1+IF(OR($AM55=$F$4,$AM55=$F$5),$B$21,0))</f>
        <v>1036.8</v>
      </c>
      <c r="AP55" s="24">
        <f>VLOOKUP($R55,武学奇术!$A:$ZZ,28,FALSE)</f>
        <v>3.5095</v>
      </c>
      <c r="AQ55" s="25">
        <f>VLOOKUP($R55,武学奇术!$A:$ZZ,29,FALSE)*(1+IF(OR($AM55=$F$4,$AM55=$F$5),$B$21,0))</f>
        <v>564.8</v>
      </c>
      <c r="AR55" s="24" cm="1">
        <f t="array" ref="AR55">$G$3+IFERROR(VLOOKUP($AM55,$F$4:$G$7,2,FALSE),0)+VLOOKUP($R55,武学奇术!$A:$ZZ,2,FALSE)+SUM(_xlfn.XLOOKUP($S55:$AL55,增益!$A:$A,增益!$B:$B,0))</f>
        <v>0.9043</v>
      </c>
      <c r="AS55" s="24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4530.825</v>
      </c>
      <c r="AU55" cm="1">
        <f t="array" ref="AU55">$E$10*(1+$AS55)+VLOOKUP($R55,武学奇术!$A:$ZZ,4,FALSE)+SUM(_xlfn.XLOOKUP($S55:$AL55,增益!$A:$A,增益!$D:$D,0))-$I$2</f>
        <v>4530.825</v>
      </c>
      <c r="AV55" s="33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0.5289</v>
      </c>
      <c r="AW55" s="33" cm="1">
        <f t="array" ref="AW55">$G$10+VLOOKUP($R55,武学奇术!$A:$ZZ,7,FALSE)+SUM(_xlfn.XLOOKUP($S55:$AL55,增益!$A:$A,增益!$G:$G,0))</f>
        <v>0.145</v>
      </c>
      <c r="AX55" s="24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3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3" cm="1">
        <f t="array" ref="BB55">$G$11+VLOOKUP($R55,武学奇术!$A:$ZZ,10,FALSE)+SUM(_xlfn.XLOOKUP($S55:$AL55,增益!$A:$A,增益!$J:$J,0))</f>
        <v>0.02</v>
      </c>
      <c r="BC55">
        <f t="shared" si="14"/>
        <v>0</v>
      </c>
      <c r="BD55">
        <f t="shared" si="15"/>
        <v>0</v>
      </c>
      <c r="BE55" s="33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3" cm="1">
        <f t="array" ref="BF55">$G$12+VLOOKUP($R55,武学奇术!$A:$ZZ,12,FALSE)+SUM(_xlfn.XLOOKUP($S55:$AL55,增益!$A:$A,增益!$L:$L,0))</f>
        <v>0.02</v>
      </c>
      <c r="BG55">
        <f t="shared" si="16"/>
        <v>618.2</v>
      </c>
      <c r="BH55">
        <f t="shared" si="17"/>
        <v>1567.4</v>
      </c>
      <c r="BI55" s="33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3" cm="1">
        <f t="array" ref="BJ55">$G$13+VLOOKUP($R55,武学奇术!$A:$ZZ,14,FALSE)+SUM(_xlfn.XLOOKUP($S55:$AL55,增益!$A:$A,增益!$N:$N,0))</f>
        <v>0.27</v>
      </c>
      <c r="BK55">
        <f t="shared" si="18"/>
        <v>0</v>
      </c>
      <c r="BL55">
        <f t="shared" si="19"/>
        <v>0</v>
      </c>
      <c r="BM55" s="33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3" cm="1">
        <f t="array" ref="BN55">$G$14+VLOOKUP($R55,武学奇术!$A:$ZZ,16,FALSE)+SUM(_xlfn.XLOOKUP($S55:$AL55,增益!$A:$A,增益!$P:$P,0))</f>
        <v>0.02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4" cm="1">
        <f t="array" ref="BQ55">1+$B$13+VLOOKUP($R55,武学奇术!$A:$ZZ,18,FALSE)+SUM(_xlfn.XLOOKUP($S55:$AL55,增益!$A:$A,增益!$R:$R,0))</f>
        <v>2.21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0"/>
        <v>0.8865</v>
      </c>
      <c r="BU55" s="24">
        <f t="shared" si="21"/>
        <v>0.0222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0.06</v>
      </c>
      <c r="BX55" s="24" cm="1">
        <f t="array" ref="BX55">VLOOKUP($R55,武学奇术!$A:$ZZ,32,FALSE)+SUM(_xlfn.XLOOKUP($S55:$AL55,增益!$A:$A,增益!$X:$X,0))</f>
        <v>0.1</v>
      </c>
    </row>
    <row r="56" spans="1:76">
      <c r="A56" s="4" t="s">
        <v>162</v>
      </c>
      <c r="B56" s="91">
        <v>1.3</v>
      </c>
      <c r="C56" t="s">
        <v>163</v>
      </c>
      <c r="E56" s="96" t="s">
        <v>110</v>
      </c>
      <c r="F56" s="29"/>
      <c r="K56" s="39">
        <f>$L56*VLOOKUP($R56,武学奇术!$A:$ZY,31,FALSE)</f>
        <v>52292.3206622666</v>
      </c>
      <c r="L56" s="39">
        <f t="shared" si="11"/>
        <v>49802.2101545396</v>
      </c>
      <c r="M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51291.8750763573</v>
      </c>
      <c r="N56" s="39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40706.0284603793</v>
      </c>
      <c r="O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27725.337879112</v>
      </c>
      <c r="P56" s="39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25298.062083869</v>
      </c>
      <c r="Q56" s="29">
        <v>1</v>
      </c>
      <c r="R56" s="40" t="s">
        <v>108</v>
      </c>
      <c r="S56" s="40" t="s">
        <v>91</v>
      </c>
      <c r="T56" s="40" t="s">
        <v>172</v>
      </c>
      <c r="U56" s="40" t="s">
        <v>80</v>
      </c>
      <c r="V56" s="40" t="s">
        <v>166</v>
      </c>
      <c r="W56" s="40" t="s">
        <v>80</v>
      </c>
      <c r="X56" s="40" t="s">
        <v>80</v>
      </c>
      <c r="Y56" s="40" t="s">
        <v>109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80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83</v>
      </c>
      <c r="AL56" s="40" t="s">
        <v>80</v>
      </c>
      <c r="AM56" t="str">
        <f>VLOOKUP($R56,武学奇术!$A:$ZZ,25,FALSE)</f>
        <v>伞</v>
      </c>
      <c r="AN56" s="24">
        <f>VLOOKUP($R56,武学奇术!$A:$ZZ,26,FALSE)</f>
        <v>1.7001</v>
      </c>
      <c r="AO56" s="25">
        <f>VLOOKUP($R56,武学奇术!$A:$ZZ,27,FALSE)*(1+IF(OR($AM56=$F$4,$AM56=$F$5),$B$21,0))</f>
        <v>753.6</v>
      </c>
      <c r="AP56" s="24">
        <f>VLOOKUP($R56,武学奇术!$A:$ZZ,28,FALSE)</f>
        <v>2.5502</v>
      </c>
      <c r="AQ56" s="25">
        <f>VLOOKUP($R56,武学奇术!$A:$ZZ,29,FALSE)*(1+IF(OR($AM56=$F$4,$AM56=$F$5),$B$21,0))</f>
        <v>409.6</v>
      </c>
      <c r="AR56" s="24" cm="1">
        <f t="array" ref="AR56">$G$3+IFERROR(VLOOKUP($AM56,$F$4:$G$7,2,FALSE),0)+VLOOKUP($R56,武学奇术!$A:$ZZ,2,FALSE)+SUM(_xlfn.XLOOKUP($S56:$AL56,增益!$A:$A,增益!$B:$B,0))</f>
        <v>0.3543</v>
      </c>
      <c r="AS56" s="24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4530.825</v>
      </c>
      <c r="AU56" cm="1">
        <f t="array" ref="AU56">$E$10*(1+$AS56)+VLOOKUP($R56,武学奇术!$A:$ZZ,4,FALSE)+SUM(_xlfn.XLOOKUP($S56:$AL56,增益!$A:$A,增益!$D:$D,0))-$I$2</f>
        <v>4530.825</v>
      </c>
      <c r="AV56" s="33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0.5039</v>
      </c>
      <c r="AW56" s="33" cm="1">
        <f t="array" ref="AW56">$G$10+VLOOKUP($R56,武学奇术!$A:$ZZ,7,FALSE)+SUM(_xlfn.XLOOKUP($S56:$AL56,增益!$A:$A,增益!$G:$G,0))</f>
        <v>0.145</v>
      </c>
      <c r="AX56" s="24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3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3" cm="1">
        <f t="array" ref="BB56">$G$11+VLOOKUP($R56,武学奇术!$A:$ZZ,10,FALSE)+SUM(_xlfn.XLOOKUP($S56:$AL56,增益!$A:$A,增益!$J:$J,0))</f>
        <v>0.02</v>
      </c>
      <c r="BC56">
        <f t="shared" si="14"/>
        <v>0</v>
      </c>
      <c r="BD56">
        <f t="shared" si="15"/>
        <v>0</v>
      </c>
      <c r="BE56" s="33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3" cm="1">
        <f t="array" ref="BF56">$G$12+VLOOKUP($R56,武学奇术!$A:$ZZ,12,FALSE)+SUM(_xlfn.XLOOKUP($S56:$AL56,增益!$A:$A,增益!$L:$L,0))</f>
        <v>0.02</v>
      </c>
      <c r="BG56">
        <f t="shared" si="16"/>
        <v>618.2</v>
      </c>
      <c r="BH56">
        <f t="shared" si="17"/>
        <v>1567.4</v>
      </c>
      <c r="BI56" s="33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3" cm="1">
        <f t="array" ref="BJ56">$G$13+VLOOKUP($R56,武学奇术!$A:$ZZ,14,FALSE)+SUM(_xlfn.XLOOKUP($S56:$AL56,增益!$A:$A,增益!$N:$N,0))</f>
        <v>0.27</v>
      </c>
      <c r="BK56">
        <f t="shared" si="18"/>
        <v>0</v>
      </c>
      <c r="BL56">
        <f t="shared" si="19"/>
        <v>0</v>
      </c>
      <c r="BM56" s="33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3" cm="1">
        <f t="array" ref="BN56">$G$14+VLOOKUP($R56,武学奇术!$A:$ZZ,16,FALSE)+SUM(_xlfn.XLOOKUP($S56:$AL56,增益!$A:$A,增益!$P:$P,0))</f>
        <v>0.02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4" cm="1">
        <f t="array" ref="BQ56">1+$B$13+VLOOKUP($R56,武学奇术!$A:$ZZ,18,FALSE)+SUM(_xlfn.XLOOKUP($S56:$AL56,增益!$A:$A,增益!$R:$R,0))</f>
        <v>1.85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20"/>
        <v>0.8865</v>
      </c>
      <c r="BU56" s="24">
        <f t="shared" si="21"/>
        <v>0.0222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0.06</v>
      </c>
      <c r="BX56" s="24" cm="1">
        <f t="array" ref="BX56">VLOOKUP($R56,武学奇术!$A:$ZZ,32,FALSE)+SUM(_xlfn.XLOOKUP($S56:$AL56,增益!$A:$A,增益!$X:$X,0))</f>
        <v>0</v>
      </c>
    </row>
    <row r="57" spans="1:76">
      <c r="A57" s="4" t="s">
        <v>113</v>
      </c>
      <c r="B57" s="91">
        <v>1.16</v>
      </c>
      <c r="E57" s="96"/>
      <c r="F57" s="29"/>
      <c r="K57" s="39">
        <f>$L57*VLOOKUP($R57,武学奇术!$A:$ZY,31,FALSE)</f>
        <v>22320.8335570347</v>
      </c>
      <c r="L57" s="39">
        <f t="shared" si="11"/>
        <v>21257.9367209855</v>
      </c>
      <c r="M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21886.6323126782</v>
      </c>
      <c r="N57" s="39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17445.7567146122</v>
      </c>
      <c r="O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11830.6120609071</v>
      </c>
      <c r="P57" s="39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10738.4413702497</v>
      </c>
      <c r="Q57" s="29">
        <v>1</v>
      </c>
      <c r="R57" s="40" t="s">
        <v>113</v>
      </c>
      <c r="S57" s="40" t="s">
        <v>91</v>
      </c>
      <c r="T57" s="40" t="s">
        <v>172</v>
      </c>
      <c r="U57" s="40" t="s">
        <v>80</v>
      </c>
      <c r="V57" s="40" t="s">
        <v>166</v>
      </c>
      <c r="W57" s="40" t="s">
        <v>80</v>
      </c>
      <c r="X57" s="40" t="s">
        <v>80</v>
      </c>
      <c r="Y57" s="40" t="s">
        <v>109</v>
      </c>
      <c r="Z57" s="40" t="s">
        <v>80</v>
      </c>
      <c r="AA57" s="40" t="s">
        <v>80</v>
      </c>
      <c r="AB57" s="40" t="s">
        <v>80</v>
      </c>
      <c r="AC57" s="40" t="s">
        <v>82</v>
      </c>
      <c r="AD57" s="40" t="s">
        <v>80</v>
      </c>
      <c r="AE57" s="40" t="s">
        <v>80</v>
      </c>
      <c r="AF57" s="40" t="s">
        <v>80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83</v>
      </c>
      <c r="AL57" s="40" t="s">
        <v>80</v>
      </c>
      <c r="AM57" t="str">
        <f>VLOOKUP($R57,武学奇术!$A:$ZZ,25,FALSE)</f>
        <v>伞</v>
      </c>
      <c r="AN57" s="24">
        <f>VLOOKUP($R57,武学奇术!$A:$ZZ,26,FALSE)</f>
        <v>0.54</v>
      </c>
      <c r="AO57" s="25">
        <f>VLOOKUP($R57,武学奇术!$A:$ZZ,27,FALSE)*(1+IF(OR($AM57=$F$4,$AM57=$F$5),$B$21,0))</f>
        <v>236.8</v>
      </c>
      <c r="AP57" s="24">
        <f>VLOOKUP($R57,武学奇术!$A:$ZZ,28,FALSE)</f>
        <v>0.81</v>
      </c>
      <c r="AQ57" s="25">
        <f>VLOOKUP($R57,武学奇术!$A:$ZZ,29,FALSE)*(1+IF(OR($AM57=$F$4,$AM57=$F$5),$B$21,0))</f>
        <v>130.4</v>
      </c>
      <c r="AR57" s="24" cm="1">
        <f t="array" ref="AR57">$G$3+IFERROR(VLOOKUP($AM57,$F$4:$G$7,2,FALSE),0)+VLOOKUP($R57,武学奇术!$A:$ZZ,2,FALSE)+SUM(_xlfn.XLOOKUP($S57:$AL57,增益!$A:$A,增益!$B:$B,0))</f>
        <v>0.3543</v>
      </c>
      <c r="AS57" s="24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4530.825</v>
      </c>
      <c r="AU57" cm="1">
        <f t="array" ref="AU57">$E$10*(1+$AS57)+VLOOKUP($R57,武学奇术!$A:$ZZ,4,FALSE)+SUM(_xlfn.XLOOKUP($S57:$AL57,增益!$A:$A,增益!$D:$D,0))-$I$2</f>
        <v>4530.825</v>
      </c>
      <c r="AV57" s="33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0.5039</v>
      </c>
      <c r="AW57" s="33" cm="1">
        <f t="array" ref="AW57">$G$10+VLOOKUP($R57,武学奇术!$A:$ZZ,7,FALSE)+SUM(_xlfn.XLOOKUP($S57:$AL57,增益!$A:$A,增益!$G:$G,0))</f>
        <v>0.145</v>
      </c>
      <c r="AX57" s="24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3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3" cm="1">
        <f t="array" ref="BB57">$G$11+VLOOKUP($R57,武学奇术!$A:$ZZ,10,FALSE)+SUM(_xlfn.XLOOKUP($S57:$AL57,增益!$A:$A,增益!$J:$J,0))</f>
        <v>0.02</v>
      </c>
      <c r="BC57">
        <f t="shared" si="14"/>
        <v>0</v>
      </c>
      <c r="BD57">
        <f t="shared" si="15"/>
        <v>0</v>
      </c>
      <c r="BE57" s="33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3" cm="1">
        <f t="array" ref="BF57">$G$12+VLOOKUP($R57,武学奇术!$A:$ZZ,12,FALSE)+SUM(_xlfn.XLOOKUP($S57:$AL57,增益!$A:$A,增益!$L:$L,0))</f>
        <v>0.02</v>
      </c>
      <c r="BG57">
        <f t="shared" si="16"/>
        <v>618.2</v>
      </c>
      <c r="BH57">
        <f t="shared" si="17"/>
        <v>1567.4</v>
      </c>
      <c r="BI57" s="33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0.18</v>
      </c>
      <c r="BJ57" s="33" cm="1">
        <f t="array" ref="BJ57">$G$13+VLOOKUP($R57,武学奇术!$A:$ZZ,14,FALSE)+SUM(_xlfn.XLOOKUP($S57:$AL57,增益!$A:$A,增益!$N:$N,0))</f>
        <v>0.27</v>
      </c>
      <c r="BK57">
        <f t="shared" si="18"/>
        <v>0</v>
      </c>
      <c r="BL57">
        <f t="shared" si="19"/>
        <v>0</v>
      </c>
      <c r="BM57" s="33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3" cm="1">
        <f t="array" ref="BN57">$G$14+VLOOKUP($R57,武学奇术!$A:$ZZ,16,FALSE)+SUM(_xlfn.XLOOKUP($S57:$AL57,增益!$A:$A,增益!$P:$P,0))</f>
        <v>0.02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4" cm="1">
        <f t="array" ref="BQ57">1+$B$13+VLOOKUP($R57,武学奇术!$A:$ZZ,18,FALSE)+SUM(_xlfn.XLOOKUP($S57:$AL57,增益!$A:$A,增益!$R:$R,0))</f>
        <v>1.85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0"/>
        <v>0.8865</v>
      </c>
      <c r="BU57" s="24">
        <f t="shared" si="21"/>
        <v>0.0222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0.06</v>
      </c>
      <c r="BX57" s="24" cm="1">
        <f t="array" ref="BX57">VLOOKUP($R57,武学奇术!$A:$ZZ,32,FALSE)+SUM(_xlfn.XLOOKUP($S57:$AL57,增益!$A:$A,增益!$X:$X,0))</f>
        <v>0</v>
      </c>
    </row>
    <row r="58" spans="1:76">
      <c r="A58" t="s">
        <v>177</v>
      </c>
      <c r="B58">
        <v>1</v>
      </c>
      <c r="C58" s="29" t="s">
        <v>175</v>
      </c>
      <c r="E58" s="96"/>
      <c r="F58" s="29"/>
      <c r="K58" s="39">
        <f>$L58*VLOOKUP($R58,武学奇术!$A:$ZY,31,FALSE)</f>
        <v>24674.7058475583</v>
      </c>
      <c r="L58" s="39">
        <f t="shared" si="11"/>
        <v>23499.7198548175</v>
      </c>
      <c r="M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24196.0024627388</v>
      </c>
      <c r="N58" s="39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19272.8547869297</v>
      </c>
      <c r="O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13078.9202501291</v>
      </c>
      <c r="P58" s="39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11881.6517691991</v>
      </c>
      <c r="Q58" s="29">
        <v>1</v>
      </c>
      <c r="R58" s="40" t="s">
        <v>155</v>
      </c>
      <c r="S58" s="40" t="s">
        <v>91</v>
      </c>
      <c r="T58" s="40" t="s">
        <v>172</v>
      </c>
      <c r="U58" s="40" t="s">
        <v>80</v>
      </c>
      <c r="V58" s="40" t="s">
        <v>166</v>
      </c>
      <c r="W58" s="40" t="s">
        <v>80</v>
      </c>
      <c r="X58" s="40" t="s">
        <v>80</v>
      </c>
      <c r="Y58" s="40" t="s">
        <v>109</v>
      </c>
      <c r="Z58" s="40" t="s">
        <v>80</v>
      </c>
      <c r="AA58" s="40" t="s">
        <v>80</v>
      </c>
      <c r="AB58" s="40" t="s">
        <v>80</v>
      </c>
      <c r="AC58" s="40" t="s">
        <v>82</v>
      </c>
      <c r="AD58" s="40" t="s">
        <v>80</v>
      </c>
      <c r="AE58" s="40" t="s">
        <v>80</v>
      </c>
      <c r="AF58" s="40" t="s">
        <v>80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83</v>
      </c>
      <c r="AL58" s="40" t="s">
        <v>80</v>
      </c>
      <c r="AM58" t="str">
        <f>VLOOKUP($R58,武学奇术!$A:$ZZ,25,FALSE)</f>
        <v>扇</v>
      </c>
      <c r="AN58" s="24">
        <f>VLOOKUP($R58,武学奇术!$A:$ZZ,26,FALSE)</f>
        <v>0.9271</v>
      </c>
      <c r="AO58" s="25">
        <f>VLOOKUP($R58,武学奇术!$A:$ZZ,27,FALSE)*(1+IF(OR($AM58=$F$4,$AM58=$F$5),$B$21,0))</f>
        <v>411.2</v>
      </c>
      <c r="AP58" s="24">
        <f>VLOOKUP($R58,武学奇术!$A:$ZZ,28,FALSE)</f>
        <v>1.3907</v>
      </c>
      <c r="AQ58" s="25">
        <f>VLOOKUP($R58,武学奇术!$A:$ZZ,29,FALSE)*(1+IF(OR($AM58=$F$4,$AM58=$F$5),$B$21,0))</f>
        <v>224</v>
      </c>
      <c r="AR58" s="24" cm="1">
        <f t="array" ref="AR58">$G$3+IFERROR(VLOOKUP($AM58,$F$4:$G$7,2,FALSE),0)+VLOOKUP($R58,武学奇术!$A:$ZZ,2,FALSE)+SUM(_xlfn.XLOOKUP($S58:$AL58,增益!$A:$A,增益!$B:$B,0))</f>
        <v>0.3543</v>
      </c>
      <c r="AS58" s="24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4530.825</v>
      </c>
      <c r="AU58" cm="1">
        <f t="array" ref="AU58">$E$10*(1+$AS58)+VLOOKUP($R58,武学奇术!$A:$ZZ,4,FALSE)+SUM(_xlfn.XLOOKUP($S58:$AL58,增益!$A:$A,增益!$D:$D,0))-$I$2</f>
        <v>4530.825</v>
      </c>
      <c r="AV58" s="33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0.4039</v>
      </c>
      <c r="AW58" s="33" cm="1">
        <f t="array" ref="AW58">$G$10+VLOOKUP($R58,武学奇术!$A:$ZZ,7,FALSE)+SUM(_xlfn.XLOOKUP($S58:$AL58,增益!$A:$A,增益!$G:$G,0))</f>
        <v>0.045</v>
      </c>
      <c r="AX58" s="24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3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3" cm="1">
        <f t="array" ref="BB58">$G$11+VLOOKUP($R58,武学奇术!$A:$ZZ,10,FALSE)+SUM(_xlfn.XLOOKUP($S58:$AL58,增益!$A:$A,增益!$J:$J,0))</f>
        <v>0.02</v>
      </c>
      <c r="BC58">
        <f t="shared" si="14"/>
        <v>0</v>
      </c>
      <c r="BD58">
        <f t="shared" si="15"/>
        <v>0</v>
      </c>
      <c r="BE58" s="33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3" cm="1">
        <f t="array" ref="BF58">$G$12+VLOOKUP($R58,武学奇术!$A:$ZZ,12,FALSE)+SUM(_xlfn.XLOOKUP($S58:$AL58,增益!$A:$A,增益!$L:$L,0))</f>
        <v>0.02</v>
      </c>
      <c r="BG58">
        <f t="shared" si="16"/>
        <v>618.2</v>
      </c>
      <c r="BH58">
        <f t="shared" si="17"/>
        <v>1567.4</v>
      </c>
      <c r="BI58" s="33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0.08</v>
      </c>
      <c r="BJ58" s="33" cm="1">
        <f t="array" ref="BJ58">$G$13+VLOOKUP($R58,武学奇术!$A:$ZZ,14,FALSE)+SUM(_xlfn.XLOOKUP($S58:$AL58,增益!$A:$A,增益!$N:$N,0))</f>
        <v>0.17</v>
      </c>
      <c r="BK58">
        <f t="shared" si="18"/>
        <v>0</v>
      </c>
      <c r="BL58">
        <f t="shared" si="19"/>
        <v>0</v>
      </c>
      <c r="BM58" s="33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3" cm="1">
        <f t="array" ref="BN58">$G$14+VLOOKUP($R58,武学奇术!$A:$ZZ,16,FALSE)+SUM(_xlfn.XLOOKUP($S58:$AL58,增益!$A:$A,增益!$P:$P,0))</f>
        <v>0.02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4" cm="1">
        <f t="array" ref="BQ58">1+$B$13+VLOOKUP($R58,武学奇术!$A:$ZZ,18,FALSE)+SUM(_xlfn.XLOOKUP($S58:$AL58,增益!$A:$A,增益!$R:$R,0))</f>
        <v>1.85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0"/>
        <v>0.8865</v>
      </c>
      <c r="BU58" s="24">
        <f t="shared" si="21"/>
        <v>0.0222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0.06</v>
      </c>
      <c r="BX58" s="24" cm="1">
        <f t="array" ref="BX58">VLOOKUP($R58,武学奇术!$A:$ZZ,32,FALSE)+SUM(_xlfn.XLOOKUP($S58:$AL58,增益!$A:$A,增益!$X:$X,0))</f>
        <v>0</v>
      </c>
    </row>
    <row r="59" spans="1:76">
      <c r="A59" s="4" t="s">
        <v>170</v>
      </c>
      <c r="B59" s="4">
        <v>2.5</v>
      </c>
      <c r="C59" s="29"/>
      <c r="E59" s="96"/>
      <c r="F59" s="29"/>
      <c r="K59" s="39">
        <f>$L59*VLOOKUP($R59,武学奇术!$A:$ZY,31,FALSE)</f>
        <v>575361.993504142</v>
      </c>
      <c r="L59" s="39">
        <f t="shared" si="11"/>
        <v>547963.803337278</v>
      </c>
      <c r="M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572345.353070723</v>
      </c>
      <c r="N59" s="39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381492.840411811</v>
      </c>
      <c r="O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258979.797769558</v>
      </c>
      <c r="P59" s="39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235372.306345182</v>
      </c>
      <c r="Q59" s="29">
        <v>6.5</v>
      </c>
      <c r="R59" s="40" t="s">
        <v>115</v>
      </c>
      <c r="S59" s="40" t="s">
        <v>91</v>
      </c>
      <c r="T59" s="40" t="s">
        <v>172</v>
      </c>
      <c r="U59" s="40" t="s">
        <v>106</v>
      </c>
      <c r="V59" s="40" t="s">
        <v>166</v>
      </c>
      <c r="W59" s="40" t="s">
        <v>100</v>
      </c>
      <c r="X59" s="40" t="s">
        <v>80</v>
      </c>
      <c r="Y59" s="40" t="s">
        <v>109</v>
      </c>
      <c r="Z59" s="40" t="s">
        <v>80</v>
      </c>
      <c r="AA59" s="40" t="s">
        <v>80</v>
      </c>
      <c r="AB59" s="40" t="s">
        <v>80</v>
      </c>
      <c r="AC59" s="40" t="s">
        <v>82</v>
      </c>
      <c r="AD59" s="40" t="s">
        <v>80</v>
      </c>
      <c r="AE59" s="40" t="s">
        <v>80</v>
      </c>
      <c r="AF59" s="40" t="s">
        <v>80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83</v>
      </c>
      <c r="AL59" s="40" t="s">
        <v>80</v>
      </c>
      <c r="AM59" t="str">
        <f>VLOOKUP($R59,武学奇术!$A:$ZZ,25,FALSE)</f>
        <v>伞</v>
      </c>
      <c r="AN59" s="24">
        <f>VLOOKUP($R59,武学奇术!$A:$ZZ,26,FALSE)</f>
        <v>1.0217</v>
      </c>
      <c r="AO59" s="25">
        <f>VLOOKUP($R59,武学奇术!$A:$ZZ,27,FALSE)*(1+IF(OR($AM59=$F$4,$AM59=$F$5),$B$21,0))</f>
        <v>451.2</v>
      </c>
      <c r="AP59" s="24">
        <f>VLOOKUP($R59,武学奇术!$A:$ZZ,28,FALSE)</f>
        <v>1.5325</v>
      </c>
      <c r="AQ59" s="25">
        <f>VLOOKUP($R59,武学奇术!$A:$ZZ,29,FALSE)*(1+IF(OR($AM59=$F$4,$AM59=$F$5),$B$21,0))</f>
        <v>246.4</v>
      </c>
      <c r="AR59" s="24" cm="1">
        <f t="array" ref="AR59">$G$3+IFERROR(VLOOKUP($AM59,$F$4:$G$7,2,FALSE),0)+VLOOKUP($R59,武学奇术!$A:$ZZ,2,FALSE)+SUM(_xlfn.XLOOKUP($S59:$AL59,增益!$A:$A,增益!$B:$B,0))</f>
        <v>0.9043</v>
      </c>
      <c r="AS59" s="24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4530.825</v>
      </c>
      <c r="AU59" cm="1">
        <f t="array" ref="AU59">$E$10*(1+$AS59)+VLOOKUP($R59,武学奇术!$A:$ZZ,4,FALSE)+SUM(_xlfn.XLOOKUP($S59:$AL59,增益!$A:$A,增益!$D:$D,0))-$I$2</f>
        <v>4530.825</v>
      </c>
      <c r="AV59" s="33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0.5289</v>
      </c>
      <c r="AW59" s="33" cm="1">
        <f t="array" ref="AW59">$G$10+VLOOKUP($R59,武学奇术!$A:$ZZ,7,FALSE)+SUM(_xlfn.XLOOKUP($S59:$AL59,增益!$A:$A,增益!$G:$G,0))</f>
        <v>0.145</v>
      </c>
      <c r="AX59" s="24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3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3" cm="1">
        <f t="array" ref="BB59">$G$11+VLOOKUP($R59,武学奇术!$A:$ZZ,10,FALSE)+SUM(_xlfn.XLOOKUP($S59:$AL59,增益!$A:$A,增益!$J:$J,0))</f>
        <v>0.02</v>
      </c>
      <c r="BC59">
        <f t="shared" si="14"/>
        <v>0</v>
      </c>
      <c r="BD59">
        <f t="shared" si="15"/>
        <v>0</v>
      </c>
      <c r="BE59" s="33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3" cm="1">
        <f t="array" ref="BF59">$G$12+VLOOKUP($R59,武学奇术!$A:$ZZ,12,FALSE)+SUM(_xlfn.XLOOKUP($S59:$AL59,增益!$A:$A,增益!$L:$L,0))</f>
        <v>0.02</v>
      </c>
      <c r="BG59">
        <f t="shared" si="16"/>
        <v>618.2</v>
      </c>
      <c r="BH59">
        <f t="shared" si="17"/>
        <v>1567.4</v>
      </c>
      <c r="BI59" s="33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0.18</v>
      </c>
      <c r="BJ59" s="33" cm="1">
        <f t="array" ref="BJ59">$G$13+VLOOKUP($R59,武学奇术!$A:$ZZ,14,FALSE)+SUM(_xlfn.XLOOKUP($S59:$AL59,增益!$A:$A,增益!$N:$N,0))</f>
        <v>0.27</v>
      </c>
      <c r="BK59">
        <f t="shared" si="18"/>
        <v>0</v>
      </c>
      <c r="BL59">
        <f t="shared" si="19"/>
        <v>0</v>
      </c>
      <c r="BM59" s="33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3" cm="1">
        <f t="array" ref="BN59">$G$14+VLOOKUP($R59,武学奇术!$A:$ZZ,16,FALSE)+SUM(_xlfn.XLOOKUP($S59:$AL59,增益!$A:$A,增益!$P:$P,0))</f>
        <v>0.02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4" cm="1">
        <f t="array" ref="BQ59">1+$B$13+VLOOKUP($R59,武学奇术!$A:$ZZ,18,FALSE)+SUM(_xlfn.XLOOKUP($S59:$AL59,增益!$A:$A,增益!$R:$R,0))</f>
        <v>2.21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0"/>
        <v>0.8865</v>
      </c>
      <c r="BU59" s="24">
        <f t="shared" si="21"/>
        <v>0.0222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0.06</v>
      </c>
      <c r="BX59" s="24" cm="1">
        <f t="array" ref="BX59">VLOOKUP($R59,武学奇术!$A:$ZZ,32,FALSE)+SUM(_xlfn.XLOOKUP($S59:$AL59,增益!$A:$A,增益!$X:$X,0))</f>
        <v>0.25</v>
      </c>
    </row>
    <row r="60" spans="1:76">
      <c r="A60" t="s">
        <v>180</v>
      </c>
      <c r="B60">
        <v>1.7</v>
      </c>
      <c r="C60" s="29"/>
      <c r="E60" s="96"/>
      <c r="F60" s="29"/>
      <c r="K60" s="39">
        <f>$L60*VLOOKUP($R60,武学奇术!$A:$ZY,31,FALSE)</f>
        <v>260592.94745668</v>
      </c>
      <c r="L60" s="39">
        <f t="shared" si="11"/>
        <v>248183.759482553</v>
      </c>
      <c r="M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256702.366349591</v>
      </c>
      <c r="N60" s="39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193971.133657677</v>
      </c>
      <c r="O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130970.595076322</v>
      </c>
      <c r="P60" s="39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118258.868924735</v>
      </c>
      <c r="Q60" s="29">
        <v>3.5</v>
      </c>
      <c r="R60" s="40" t="s">
        <v>115</v>
      </c>
      <c r="S60" s="40" t="s">
        <v>91</v>
      </c>
      <c r="T60" s="40" t="s">
        <v>172</v>
      </c>
      <c r="U60" s="40" t="s">
        <v>106</v>
      </c>
      <c r="V60" s="40" t="s">
        <v>166</v>
      </c>
      <c r="W60" s="40" t="s">
        <v>100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82</v>
      </c>
      <c r="AD60" s="40" t="s">
        <v>80</v>
      </c>
      <c r="AE60" s="40" t="s">
        <v>80</v>
      </c>
      <c r="AF60" s="40" t="s">
        <v>80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83</v>
      </c>
      <c r="AL60" s="40" t="s">
        <v>80</v>
      </c>
      <c r="AM60" t="str">
        <f>VLOOKUP($R60,武学奇术!$A:$ZZ,25,FALSE)</f>
        <v>伞</v>
      </c>
      <c r="AN60" s="24">
        <f>VLOOKUP($R60,武学奇术!$A:$ZZ,26,FALSE)</f>
        <v>1.0217</v>
      </c>
      <c r="AO60" s="25">
        <f>VLOOKUP($R60,武学奇术!$A:$ZZ,27,FALSE)*(1+IF(OR($AM60=$F$4,$AM60=$F$5),$B$21,0))</f>
        <v>451.2</v>
      </c>
      <c r="AP60" s="24">
        <f>VLOOKUP($R60,武学奇术!$A:$ZZ,28,FALSE)</f>
        <v>1.5325</v>
      </c>
      <c r="AQ60" s="25">
        <f>VLOOKUP($R60,武学奇术!$A:$ZZ,29,FALSE)*(1+IF(OR($AM60=$F$4,$AM60=$F$5),$B$21,0))</f>
        <v>246.4</v>
      </c>
      <c r="AR60" s="24" cm="1">
        <f t="array" ref="AR60">$G$3+IFERROR(VLOOKUP($AM60,$F$4:$G$7,2,FALSE),0)+VLOOKUP($R60,武学奇术!$A:$ZZ,2,FALSE)+SUM(_xlfn.XLOOKUP($S60:$AL60,增益!$A:$A,增益!$B:$B,0))</f>
        <v>0.9043</v>
      </c>
      <c r="AS60" s="24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4530.825</v>
      </c>
      <c r="AU60" cm="1">
        <f t="array" ref="AU60">$E$10*(1+$AS60)+VLOOKUP($R60,武学奇术!$A:$ZZ,4,FALSE)+SUM(_xlfn.XLOOKUP($S60:$AL60,增益!$A:$A,增益!$D:$D,0))-$I$2</f>
        <v>4530.825</v>
      </c>
      <c r="AV60" s="33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0.4039</v>
      </c>
      <c r="AW60" s="33" cm="1">
        <f t="array" ref="AW60">$G$10+VLOOKUP($R60,武学奇术!$A:$ZZ,7,FALSE)+SUM(_xlfn.XLOOKUP($S60:$AL60,增益!$A:$A,增益!$G:$G,0))</f>
        <v>0.145</v>
      </c>
      <c r="AX60" s="24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3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3" cm="1">
        <f t="array" ref="BB60">$G$11+VLOOKUP($R60,武学奇术!$A:$ZZ,10,FALSE)+SUM(_xlfn.XLOOKUP($S60:$AL60,增益!$A:$A,增益!$J:$J,0))</f>
        <v>0.02</v>
      </c>
      <c r="BC60">
        <f t="shared" si="14"/>
        <v>0</v>
      </c>
      <c r="BD60">
        <f t="shared" si="15"/>
        <v>0</v>
      </c>
      <c r="BE60" s="33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3" cm="1">
        <f t="array" ref="BF60">$G$12+VLOOKUP($R60,武学奇术!$A:$ZZ,12,FALSE)+SUM(_xlfn.XLOOKUP($S60:$AL60,增益!$A:$A,增益!$L:$L,0))</f>
        <v>0.02</v>
      </c>
      <c r="BG60">
        <f t="shared" si="16"/>
        <v>618.2</v>
      </c>
      <c r="BH60">
        <f t="shared" si="17"/>
        <v>1567.4</v>
      </c>
      <c r="BI60" s="33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0.18</v>
      </c>
      <c r="BJ60" s="33" cm="1">
        <f t="array" ref="BJ60">$G$13+VLOOKUP($R60,武学奇术!$A:$ZZ,14,FALSE)+SUM(_xlfn.XLOOKUP($S60:$AL60,增益!$A:$A,增益!$N:$N,0))</f>
        <v>0.27</v>
      </c>
      <c r="BK60">
        <f t="shared" si="18"/>
        <v>0</v>
      </c>
      <c r="BL60">
        <f t="shared" si="19"/>
        <v>0</v>
      </c>
      <c r="BM60" s="33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3" cm="1">
        <f t="array" ref="BN60">$G$14+VLOOKUP($R60,武学奇术!$A:$ZZ,16,FALSE)+SUM(_xlfn.XLOOKUP($S60:$AL60,增益!$A:$A,增益!$P:$P,0))</f>
        <v>0.02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4" cm="1">
        <f t="array" ref="BQ60">1+$B$13+VLOOKUP($R60,武学奇术!$A:$ZZ,18,FALSE)+SUM(_xlfn.XLOOKUP($S60:$AL60,增益!$A:$A,增益!$R:$R,0))</f>
        <v>1.96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0"/>
        <v>0.8865</v>
      </c>
      <c r="BU60" s="24">
        <f t="shared" si="21"/>
        <v>0.0222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0.06</v>
      </c>
      <c r="BX60" s="24" cm="1">
        <f t="array" ref="BX60">VLOOKUP($R60,武学奇术!$A:$ZZ,32,FALSE)+SUM(_xlfn.XLOOKUP($S60:$AL60,增益!$A:$A,增益!$X:$X,0))</f>
        <v>0.25</v>
      </c>
    </row>
    <row r="61" spans="1:76">
      <c r="A61" s="4" t="s">
        <v>156</v>
      </c>
      <c r="B61" s="4">
        <v>1.1</v>
      </c>
      <c r="C61" s="29"/>
      <c r="F61" s="29"/>
      <c r="K61" s="39">
        <f>$L61*VLOOKUP($R61,武学奇术!$A:$ZY,31,FALSE)</f>
        <v>126573.685829914</v>
      </c>
      <c r="L61" s="39">
        <f t="shared" si="11"/>
        <v>120546.367457061</v>
      </c>
      <c r="M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124111.924127266</v>
      </c>
      <c r="N61" s="39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98924.4647175511</v>
      </c>
      <c r="O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67087.5265552787</v>
      </c>
      <c r="P61" s="39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60897.6718382973</v>
      </c>
      <c r="Q61" s="29">
        <v>1</v>
      </c>
      <c r="R61" s="40" t="s">
        <v>138</v>
      </c>
      <c r="S61" s="40" t="s">
        <v>91</v>
      </c>
      <c r="T61" s="40" t="s">
        <v>172</v>
      </c>
      <c r="U61" s="40" t="s">
        <v>80</v>
      </c>
      <c r="V61" s="40" t="s">
        <v>166</v>
      </c>
      <c r="W61" s="40" t="s">
        <v>100</v>
      </c>
      <c r="X61" s="40" t="s">
        <v>157</v>
      </c>
      <c r="Y61" s="40" t="s">
        <v>109</v>
      </c>
      <c r="Z61" s="40" t="s">
        <v>80</v>
      </c>
      <c r="AA61" s="40" t="s">
        <v>80</v>
      </c>
      <c r="AB61" s="40" t="s">
        <v>80</v>
      </c>
      <c r="AC61" s="40" t="s">
        <v>82</v>
      </c>
      <c r="AD61" s="40" t="s">
        <v>80</v>
      </c>
      <c r="AE61" s="40" t="s">
        <v>80</v>
      </c>
      <c r="AF61" s="40" t="s">
        <v>80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83</v>
      </c>
      <c r="AL61" s="40" t="s">
        <v>80</v>
      </c>
      <c r="AM61" t="str">
        <f>VLOOKUP($R61,武学奇术!$A:$ZZ,25,FALSE)</f>
        <v>扇</v>
      </c>
      <c r="AN61" s="24">
        <f>VLOOKUP($R61,武学奇术!$A:$ZZ,26,FALSE)</f>
        <v>1.9044</v>
      </c>
      <c r="AO61" s="25">
        <f>VLOOKUP($R61,武学奇术!$A:$ZZ,27,FALSE)*(1+IF(OR($AM61=$F$4,$AM61=$F$5),$B$21,0))</f>
        <v>843.2</v>
      </c>
      <c r="AP61" s="24">
        <f>VLOOKUP($R61,武学奇术!$A:$ZZ,28,FALSE)</f>
        <v>2.8566</v>
      </c>
      <c r="AQ61" s="25">
        <f>VLOOKUP($R61,武学奇术!$A:$ZZ,29,FALSE)*(1+IF(OR($AM61=$F$4,$AM61=$F$5),$B$21,0))</f>
        <v>459.2</v>
      </c>
      <c r="AR61" s="24" cm="1">
        <f t="array" ref="AR61">$G$3+IFERROR(VLOOKUP($AM61,$F$4:$G$7,2,FALSE),0)+VLOOKUP($R61,武学奇术!$A:$ZZ,2,FALSE)+SUM(_xlfn.XLOOKUP($S61:$AL61,增益!$A:$A,增益!$B:$B,0))</f>
        <v>0.8543</v>
      </c>
      <c r="AS61" s="24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4530.825</v>
      </c>
      <c r="AU61" cm="1">
        <f t="array" ref="AU61">$E$10*(1+$AS61)+VLOOKUP($R61,武学奇术!$A:$ZZ,4,FALSE)+SUM(_xlfn.XLOOKUP($S61:$AL61,增益!$A:$A,增益!$D:$D,0))-$I$2</f>
        <v>4530.825</v>
      </c>
      <c r="AV61" s="33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0.5039</v>
      </c>
      <c r="AW61" s="33" cm="1">
        <f t="array" ref="AW61">$G$10+VLOOKUP($R61,武学奇术!$A:$ZZ,7,FALSE)+SUM(_xlfn.XLOOKUP($S61:$AL61,增益!$A:$A,增益!$G:$G,0))</f>
        <v>0.145</v>
      </c>
      <c r="AX61" s="24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3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3" cm="1">
        <f t="array" ref="BB61">$G$11+VLOOKUP($R61,武学奇术!$A:$ZZ,10,FALSE)+SUM(_xlfn.XLOOKUP($S61:$AL61,增益!$A:$A,增益!$J:$J,0))</f>
        <v>0.02</v>
      </c>
      <c r="BC61">
        <f t="shared" si="14"/>
        <v>0</v>
      </c>
      <c r="BD61">
        <f t="shared" si="15"/>
        <v>0</v>
      </c>
      <c r="BE61" s="33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3" cm="1">
        <f t="array" ref="BF61">$G$12+VLOOKUP($R61,武学奇术!$A:$ZZ,12,FALSE)+SUM(_xlfn.XLOOKUP($S61:$AL61,增益!$A:$A,增益!$L:$L,0))</f>
        <v>0.02</v>
      </c>
      <c r="BG61">
        <f t="shared" si="16"/>
        <v>618.2</v>
      </c>
      <c r="BH61">
        <f t="shared" si="17"/>
        <v>1567.4</v>
      </c>
      <c r="BI61" s="33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0.18</v>
      </c>
      <c r="BJ61" s="33" cm="1">
        <f t="array" ref="BJ61">$G$13+VLOOKUP($R61,武学奇术!$A:$ZZ,14,FALSE)+SUM(_xlfn.XLOOKUP($S61:$AL61,增益!$A:$A,增益!$N:$N,0))</f>
        <v>0.27</v>
      </c>
      <c r="BK61">
        <f t="shared" si="18"/>
        <v>0</v>
      </c>
      <c r="BL61">
        <f t="shared" si="19"/>
        <v>0</v>
      </c>
      <c r="BM61" s="33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-0.14</v>
      </c>
      <c r="BN61" s="33" cm="1">
        <f t="array" ref="BN61">$G$14+VLOOKUP($R61,武学奇术!$A:$ZZ,16,FALSE)+SUM(_xlfn.XLOOKUP($S61:$AL61,增益!$A:$A,增益!$P:$P,0))</f>
        <v>0.02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4" cm="1">
        <f t="array" ref="BQ61">1+$B$13+VLOOKUP($R61,武学奇术!$A:$ZZ,18,FALSE)+SUM(_xlfn.XLOOKUP($S61:$AL61,增益!$A:$A,增益!$R:$R,0))</f>
        <v>1.85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0"/>
        <v>0.8865</v>
      </c>
      <c r="BU61" s="24">
        <f t="shared" si="21"/>
        <v>0.0222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0.06</v>
      </c>
      <c r="BX61" s="24" cm="1">
        <f t="array" ref="BX61">VLOOKUP($R61,武学奇术!$A:$ZZ,32,FALSE)+SUM(_xlfn.XLOOKUP($S61:$AL61,增益!$A:$A,增益!$X:$X,0))</f>
        <v>0.55</v>
      </c>
    </row>
    <row r="62" spans="1:76">
      <c r="A62" s="4" t="s">
        <v>181</v>
      </c>
      <c r="B62" s="4">
        <v>0.7</v>
      </c>
      <c r="C62" s="29"/>
      <c r="F62" s="29"/>
      <c r="K62" s="39">
        <f>$L62*VLOOKUP($R62,武学奇术!$A:$ZY,31,FALSE)</f>
        <v>257289.380868703</v>
      </c>
      <c r="L62" s="39">
        <f t="shared" si="11"/>
        <v>245037.505589241</v>
      </c>
      <c r="M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253427.260245354</v>
      </c>
      <c r="N62" s="39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191717.281057916</v>
      </c>
      <c r="O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129299.62257416</v>
      </c>
      <c r="P62" s="39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116586.444364679</v>
      </c>
      <c r="Q62" s="29">
        <v>1</v>
      </c>
      <c r="R62" s="40" t="s">
        <v>141</v>
      </c>
      <c r="S62" s="40" t="s">
        <v>91</v>
      </c>
      <c r="T62" s="40" t="s">
        <v>172</v>
      </c>
      <c r="U62" s="40" t="s">
        <v>80</v>
      </c>
      <c r="V62" s="40" t="s">
        <v>166</v>
      </c>
      <c r="W62" s="40" t="s">
        <v>142</v>
      </c>
      <c r="X62" s="40" t="s">
        <v>80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82</v>
      </c>
      <c r="AD62" s="40" t="s">
        <v>80</v>
      </c>
      <c r="AE62" s="40" t="s">
        <v>80</v>
      </c>
      <c r="AF62" s="40" t="s">
        <v>80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83</v>
      </c>
      <c r="AL62" s="40" t="s">
        <v>80</v>
      </c>
      <c r="AM62" t="str">
        <f>VLOOKUP($R62,武学奇术!$A:$ZZ,25,FALSE)</f>
        <v>扇</v>
      </c>
      <c r="AN62" s="24">
        <f>VLOOKUP($R62,武学奇术!$A:$ZZ,26,FALSE)</f>
        <v>7.5463</v>
      </c>
      <c r="AO62" s="25">
        <f>VLOOKUP($R62,武学奇术!$A:$ZZ,27,FALSE)*(1+IF(OR($AM62=$F$4,$AM62=$F$5),$B$21,0))</f>
        <v>3339.2</v>
      </c>
      <c r="AP62" s="24">
        <f>VLOOKUP($R62,武学奇术!$A:$ZZ,28,FALSE)</f>
        <v>11.3195</v>
      </c>
      <c r="AQ62" s="25">
        <f>VLOOKUP($R62,武学奇术!$A:$ZZ,29,FALSE)*(1+IF(OR($AM62=$F$4,$AM62=$F$5),$B$21,0))</f>
        <v>1819.2</v>
      </c>
      <c r="AR62" s="24" cm="1">
        <f t="array" ref="AR62">$G$3+IFERROR(VLOOKUP($AM62,$F$4:$G$7,2,FALSE),0)+VLOOKUP($R62,武学奇术!$A:$ZZ,2,FALSE)+SUM(_xlfn.XLOOKUP($S62:$AL62,增益!$A:$A,增益!$B:$B,0))</f>
        <v>0.3543</v>
      </c>
      <c r="AS62" s="24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4530.825</v>
      </c>
      <c r="AU62" cm="1">
        <f t="array" ref="AU62">$E$10*(1+$AS62)+VLOOKUP($R62,武学奇术!$A:$ZZ,4,FALSE)+SUM(_xlfn.XLOOKUP($S62:$AL62,增益!$A:$A,增益!$D:$D,0))-$I$2</f>
        <v>4530.825</v>
      </c>
      <c r="AV62" s="33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0.3789</v>
      </c>
      <c r="AW62" s="33" cm="1">
        <f t="array" ref="AW62">$G$10+VLOOKUP($R62,武学奇术!$A:$ZZ,7,FALSE)+SUM(_xlfn.XLOOKUP($S62:$AL62,增益!$A:$A,增益!$G:$G,0))</f>
        <v>0.145</v>
      </c>
      <c r="AX62" s="24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3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3" cm="1">
        <f t="array" ref="BB62">$G$11+VLOOKUP($R62,武学奇术!$A:$ZZ,10,FALSE)+SUM(_xlfn.XLOOKUP($S62:$AL62,增益!$A:$A,增益!$J:$J,0))</f>
        <v>0.02</v>
      </c>
      <c r="BC62">
        <f t="shared" si="14"/>
        <v>0</v>
      </c>
      <c r="BD62">
        <f t="shared" si="15"/>
        <v>0</v>
      </c>
      <c r="BE62" s="33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3" cm="1">
        <f t="array" ref="BF62">$G$12+VLOOKUP($R62,武学奇术!$A:$ZZ,12,FALSE)+SUM(_xlfn.XLOOKUP($S62:$AL62,增益!$A:$A,增益!$L:$L,0))</f>
        <v>0.02</v>
      </c>
      <c r="BG62">
        <f t="shared" si="16"/>
        <v>618.2</v>
      </c>
      <c r="BH62">
        <f t="shared" si="17"/>
        <v>1567.4</v>
      </c>
      <c r="BI62" s="33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0.18</v>
      </c>
      <c r="BJ62" s="33" cm="1">
        <f t="array" ref="BJ62">$G$13+VLOOKUP($R62,武学奇术!$A:$ZZ,14,FALSE)+SUM(_xlfn.XLOOKUP($S62:$AL62,增益!$A:$A,增益!$N:$N,0))</f>
        <v>0.27</v>
      </c>
      <c r="BK62">
        <f t="shared" si="18"/>
        <v>0</v>
      </c>
      <c r="BL62">
        <f t="shared" si="19"/>
        <v>0</v>
      </c>
      <c r="BM62" s="33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-0.14</v>
      </c>
      <c r="BN62" s="33" cm="1">
        <f t="array" ref="BN62">$G$14+VLOOKUP($R62,武学奇术!$A:$ZZ,16,FALSE)+SUM(_xlfn.XLOOKUP($S62:$AL62,增益!$A:$A,增益!$P:$P,0))</f>
        <v>0.02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4" cm="1">
        <f t="array" ref="BQ62">1+$B$13+VLOOKUP($R62,武学奇术!$A:$ZZ,18,FALSE)+SUM(_xlfn.XLOOKUP($S62:$AL62,增益!$A:$A,增益!$R:$R,0))</f>
        <v>1.96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0"/>
        <v>0.8865</v>
      </c>
      <c r="BU62" s="24">
        <f t="shared" si="21"/>
        <v>0.0222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0.06</v>
      </c>
      <c r="BX62" s="24" cm="1">
        <f t="array" ref="BX62">VLOOKUP($R62,武学奇术!$A:$ZZ,32,FALSE)+SUM(_xlfn.XLOOKUP($S62:$AL62,增益!$A:$A,增益!$X:$X,0))</f>
        <v>0.1</v>
      </c>
    </row>
    <row r="63" spans="1:76">
      <c r="A63" s="4" t="s">
        <v>170</v>
      </c>
      <c r="B63" s="4">
        <v>2.5</v>
      </c>
      <c r="C63" s="29"/>
      <c r="K63" s="39">
        <f>$L63*VLOOKUP($R63,武学奇术!$A:$ZY,31,FALSE)</f>
        <v>113647.730883084</v>
      </c>
      <c r="L63" s="39">
        <f t="shared" si="11"/>
        <v>108235.934174366</v>
      </c>
      <c r="M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111951.181628656</v>
      </c>
      <c r="N63" s="39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84591.3819799338</v>
      </c>
      <c r="O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57117.949810539</v>
      </c>
      <c r="P63" s="39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51575.616672979</v>
      </c>
      <c r="Q63" s="29">
        <v>1</v>
      </c>
      <c r="R63" s="40" t="s">
        <v>99</v>
      </c>
      <c r="S63" s="40" t="s">
        <v>91</v>
      </c>
      <c r="T63" s="40" t="s">
        <v>172</v>
      </c>
      <c r="U63" s="40" t="s">
        <v>106</v>
      </c>
      <c r="V63" s="40" t="s">
        <v>166</v>
      </c>
      <c r="W63" s="40" t="s">
        <v>100</v>
      </c>
      <c r="X63" s="40" t="s">
        <v>80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82</v>
      </c>
      <c r="AD63" s="40" t="s">
        <v>80</v>
      </c>
      <c r="AE63" s="40" t="s">
        <v>80</v>
      </c>
      <c r="AF63" s="40" t="s">
        <v>80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83</v>
      </c>
      <c r="AL63" s="40" t="s">
        <v>80</v>
      </c>
      <c r="AM63" t="str">
        <f>VLOOKUP($R63,武学奇术!$A:$ZZ,25,FALSE)</f>
        <v>伞</v>
      </c>
      <c r="AN63" s="24">
        <f>VLOOKUP($R63,武学奇术!$A:$ZZ,26,FALSE)</f>
        <v>2.3397</v>
      </c>
      <c r="AO63" s="25">
        <f>VLOOKUP($R63,武学奇术!$A:$ZZ,27,FALSE)*(1+IF(OR($AM63=$F$4,$AM63=$F$5),$B$21,0))</f>
        <v>1036.8</v>
      </c>
      <c r="AP63" s="24">
        <f>VLOOKUP($R63,武学奇术!$A:$ZZ,28,FALSE)</f>
        <v>3.5095</v>
      </c>
      <c r="AQ63" s="25">
        <f>VLOOKUP($R63,武学奇术!$A:$ZZ,29,FALSE)*(1+IF(OR($AM63=$F$4,$AM63=$F$5),$B$21,0))</f>
        <v>564.8</v>
      </c>
      <c r="AR63" s="24" cm="1">
        <f t="array" ref="AR63">$G$3+IFERROR(VLOOKUP($AM63,$F$4:$G$7,2,FALSE),0)+VLOOKUP($R63,武学奇术!$A:$ZZ,2,FALSE)+SUM(_xlfn.XLOOKUP($S63:$AL63,增益!$A:$A,增益!$B:$B,0))</f>
        <v>0.9043</v>
      </c>
      <c r="AS63" s="24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4530.825</v>
      </c>
      <c r="AU63" cm="1">
        <f t="array" ref="AU63">$E$10*(1+$AS63)+VLOOKUP($R63,武学奇术!$A:$ZZ,4,FALSE)+SUM(_xlfn.XLOOKUP($S63:$AL63,增益!$A:$A,增益!$D:$D,0))-$I$2</f>
        <v>4530.825</v>
      </c>
      <c r="AV63" s="33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0.4039</v>
      </c>
      <c r="AW63" s="33" cm="1">
        <f t="array" ref="AW63">$G$10+VLOOKUP($R63,武学奇术!$A:$ZZ,7,FALSE)+SUM(_xlfn.XLOOKUP($S63:$AL63,增益!$A:$A,增益!$G:$G,0))</f>
        <v>0.145</v>
      </c>
      <c r="AX63" s="24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3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3" cm="1">
        <f t="array" ref="BB63">$G$11+VLOOKUP($R63,武学奇术!$A:$ZZ,10,FALSE)+SUM(_xlfn.XLOOKUP($S63:$AL63,增益!$A:$A,增益!$J:$J,0))</f>
        <v>0.02</v>
      </c>
      <c r="BC63">
        <f t="shared" si="14"/>
        <v>0</v>
      </c>
      <c r="BD63">
        <f t="shared" si="15"/>
        <v>0</v>
      </c>
      <c r="BE63" s="33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3" cm="1">
        <f t="array" ref="BF63">$G$12+VLOOKUP($R63,武学奇术!$A:$ZZ,12,FALSE)+SUM(_xlfn.XLOOKUP($S63:$AL63,增益!$A:$A,增益!$L:$L,0))</f>
        <v>0.02</v>
      </c>
      <c r="BG63">
        <f t="shared" si="16"/>
        <v>618.2</v>
      </c>
      <c r="BH63">
        <f t="shared" si="17"/>
        <v>1567.4</v>
      </c>
      <c r="BI63" s="33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0.18</v>
      </c>
      <c r="BJ63" s="33" cm="1">
        <f t="array" ref="BJ63">$G$13+VLOOKUP($R63,武学奇术!$A:$ZZ,14,FALSE)+SUM(_xlfn.XLOOKUP($S63:$AL63,增益!$A:$A,增益!$N:$N,0))</f>
        <v>0.27</v>
      </c>
      <c r="BK63">
        <f t="shared" si="18"/>
        <v>0</v>
      </c>
      <c r="BL63">
        <f t="shared" si="19"/>
        <v>0</v>
      </c>
      <c r="BM63" s="33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3" cm="1">
        <f t="array" ref="BN63">$G$14+VLOOKUP($R63,武学奇术!$A:$ZZ,16,FALSE)+SUM(_xlfn.XLOOKUP($S63:$AL63,增益!$A:$A,增益!$P:$P,0))</f>
        <v>0.02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4" cm="1">
        <f t="array" ref="BQ63">1+$B$13+VLOOKUP($R63,武学奇术!$A:$ZZ,18,FALSE)+SUM(_xlfn.XLOOKUP($S63:$AL63,增益!$A:$A,增益!$R:$R,0))</f>
        <v>1.96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0"/>
        <v>0.8865</v>
      </c>
      <c r="BU63" s="24">
        <f t="shared" si="21"/>
        <v>0.0222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0.06</v>
      </c>
      <c r="BX63" s="24" cm="1">
        <f t="array" ref="BX63">VLOOKUP($R63,武学奇术!$A:$ZZ,32,FALSE)+SUM(_xlfn.XLOOKUP($S63:$AL63,增益!$A:$A,增益!$X:$X,0))</f>
        <v>0.1</v>
      </c>
    </row>
    <row r="64" spans="1:76">
      <c r="A64" s="4" t="s">
        <v>182</v>
      </c>
      <c r="B64" s="4">
        <v>0.5</v>
      </c>
      <c r="D64" s="29" t="s">
        <v>164</v>
      </c>
      <c r="K64" s="39">
        <f>$L64*VLOOKUP($R64,武学奇术!$A:$ZY,31,FALSE)</f>
        <v>43824.8421072701</v>
      </c>
      <c r="L64" s="39">
        <f t="shared" si="11"/>
        <v>41737.9448640667</v>
      </c>
      <c r="M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42374.2742243449</v>
      </c>
      <c r="N64" s="39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39268.4305511747</v>
      </c>
      <c r="O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26483.9213902155</v>
      </c>
      <c r="P64" s="39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23880.1164462276</v>
      </c>
      <c r="Q64" s="29">
        <v>1</v>
      </c>
      <c r="R64" s="40" t="s">
        <v>108</v>
      </c>
      <c r="S64" s="40" t="s">
        <v>91</v>
      </c>
      <c r="T64" s="40" t="s">
        <v>172</v>
      </c>
      <c r="U64" s="40" t="s">
        <v>80</v>
      </c>
      <c r="V64" s="40" t="s">
        <v>166</v>
      </c>
      <c r="W64" s="40" t="s">
        <v>80</v>
      </c>
      <c r="X64" s="40" t="s">
        <v>80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82</v>
      </c>
      <c r="AD64" s="40" t="s">
        <v>80</v>
      </c>
      <c r="AE64" s="40" t="s">
        <v>80</v>
      </c>
      <c r="AF64" s="40" t="s">
        <v>80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83</v>
      </c>
      <c r="AL64" s="40" t="s">
        <v>80</v>
      </c>
      <c r="AM64" t="str">
        <f>VLOOKUP($R64,武学奇术!$A:$ZZ,25,FALSE)</f>
        <v>伞</v>
      </c>
      <c r="AN64" s="24">
        <f>VLOOKUP($R64,武学奇术!$A:$ZZ,26,FALSE)</f>
        <v>1.7001</v>
      </c>
      <c r="AO64" s="25">
        <f>VLOOKUP($R64,武学奇术!$A:$ZZ,27,FALSE)*(1+IF(OR($AM64=$F$4,$AM64=$F$5),$B$21,0))</f>
        <v>753.6</v>
      </c>
      <c r="AP64" s="24">
        <f>VLOOKUP($R64,武学奇术!$A:$ZZ,28,FALSE)</f>
        <v>2.5502</v>
      </c>
      <c r="AQ64" s="25">
        <f>VLOOKUP($R64,武学奇术!$A:$ZZ,29,FALSE)*(1+IF(OR($AM64=$F$4,$AM64=$F$5),$B$21,0))</f>
        <v>409.6</v>
      </c>
      <c r="AR64" s="24" cm="1">
        <f t="array" ref="AR64">$G$3+IFERROR(VLOOKUP($AM64,$F$4:$G$7,2,FALSE),0)+VLOOKUP($R64,武学奇术!$A:$ZZ,2,FALSE)+SUM(_xlfn.XLOOKUP($S64:$AL64,增益!$A:$A,增益!$B:$B,0))</f>
        <v>0.3543</v>
      </c>
      <c r="AS64" s="24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4530.825</v>
      </c>
      <c r="AU64" cm="1">
        <f t="array" ref="AU64">$E$10*(1+$AS64)+VLOOKUP($R64,武学奇术!$A:$ZZ,4,FALSE)+SUM(_xlfn.XLOOKUP($S64:$AL64,增益!$A:$A,增益!$D:$D,0))-$I$2</f>
        <v>4530.825</v>
      </c>
      <c r="AV64" s="33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0.3789</v>
      </c>
      <c r="AW64" s="33" cm="1">
        <f t="array" ref="AW64">$G$10+VLOOKUP($R64,武学奇术!$A:$ZZ,7,FALSE)+SUM(_xlfn.XLOOKUP($S64:$AL64,增益!$A:$A,增益!$G:$G,0))</f>
        <v>0.145</v>
      </c>
      <c r="AX64" s="24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3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3" cm="1">
        <f t="array" ref="BB64">$G$11+VLOOKUP($R64,武学奇术!$A:$ZZ,10,FALSE)+SUM(_xlfn.XLOOKUP($S64:$AL64,增益!$A:$A,增益!$J:$J,0))</f>
        <v>0.02</v>
      </c>
      <c r="BC64">
        <f t="shared" si="14"/>
        <v>0</v>
      </c>
      <c r="BD64">
        <f t="shared" si="15"/>
        <v>0</v>
      </c>
      <c r="BE64" s="33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3" cm="1">
        <f t="array" ref="BF64">$G$12+VLOOKUP($R64,武学奇术!$A:$ZZ,12,FALSE)+SUM(_xlfn.XLOOKUP($S64:$AL64,增益!$A:$A,增益!$L:$L,0))</f>
        <v>0.02</v>
      </c>
      <c r="BG64">
        <f t="shared" si="16"/>
        <v>618.2</v>
      </c>
      <c r="BH64">
        <f t="shared" si="17"/>
        <v>1567.4</v>
      </c>
      <c r="BI64" s="33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0.18</v>
      </c>
      <c r="BJ64" s="33" cm="1">
        <f t="array" ref="BJ64">$G$13+VLOOKUP($R64,武学奇术!$A:$ZZ,14,FALSE)+SUM(_xlfn.XLOOKUP($S64:$AL64,增益!$A:$A,增益!$N:$N,0))</f>
        <v>0.27</v>
      </c>
      <c r="BK64">
        <f t="shared" si="18"/>
        <v>0</v>
      </c>
      <c r="BL64">
        <f t="shared" si="19"/>
        <v>0</v>
      </c>
      <c r="BM64" s="33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3" cm="1">
        <f t="array" ref="BN64">$G$14+VLOOKUP($R64,武学奇术!$A:$ZZ,16,FALSE)+SUM(_xlfn.XLOOKUP($S64:$AL64,增益!$A:$A,增益!$P:$P,0))</f>
        <v>0.02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4" cm="1">
        <f t="array" ref="BQ64">1+$B$13+VLOOKUP($R64,武学奇术!$A:$ZZ,18,FALSE)+SUM(_xlfn.XLOOKUP($S64:$AL64,增益!$A:$A,增益!$R:$R,0))</f>
        <v>1.6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0"/>
        <v>0.8865</v>
      </c>
      <c r="BU64" s="24">
        <f t="shared" si="21"/>
        <v>0.0222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0.06</v>
      </c>
      <c r="BX64" s="24" cm="1">
        <f t="array" ref="BX64">VLOOKUP($R64,武学奇术!$A:$ZZ,32,FALSE)+SUM(_xlfn.XLOOKUP($S64:$AL64,增益!$A:$A,增益!$X:$X,0))</f>
        <v>0</v>
      </c>
    </row>
    <row r="65" spans="1:76">
      <c r="A65" s="4" t="s">
        <v>167</v>
      </c>
      <c r="B65" s="4">
        <v>0.1</v>
      </c>
      <c r="D65" s="29"/>
      <c r="K65" s="39">
        <f>$L65*VLOOKUP($R65,武学奇术!$A:$ZY,31,FALSE)</f>
        <v>17480.9109853087</v>
      </c>
      <c r="L65" s="39">
        <f t="shared" si="11"/>
        <v>16648.4866526749</v>
      </c>
      <c r="M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16895.552238997</v>
      </c>
      <c r="N65" s="39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15730.0526340413</v>
      </c>
      <c r="O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10559.7201493731</v>
      </c>
      <c r="P65" s="39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9467.54945871567</v>
      </c>
      <c r="Q65" s="29">
        <v>1</v>
      </c>
      <c r="R65" s="40" t="s">
        <v>113</v>
      </c>
      <c r="S65" s="40" t="s">
        <v>91</v>
      </c>
      <c r="T65" s="40" t="s">
        <v>172</v>
      </c>
      <c r="U65" s="40" t="s">
        <v>80</v>
      </c>
      <c r="V65" s="40" t="s">
        <v>81</v>
      </c>
      <c r="W65" s="40" t="s">
        <v>80</v>
      </c>
      <c r="X65" s="40" t="s">
        <v>80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82</v>
      </c>
      <c r="AD65" s="40" t="s">
        <v>80</v>
      </c>
      <c r="AE65" s="40" t="s">
        <v>80</v>
      </c>
      <c r="AF65" s="40" t="s">
        <v>80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83</v>
      </c>
      <c r="AL65" s="40" t="s">
        <v>80</v>
      </c>
      <c r="AM65" t="str">
        <f>VLOOKUP($R65,武学奇术!$A:$ZZ,25,FALSE)</f>
        <v>伞</v>
      </c>
      <c r="AN65" s="24">
        <f>VLOOKUP($R65,武学奇术!$A:$ZZ,26,FALSE)</f>
        <v>0.54</v>
      </c>
      <c r="AO65" s="25">
        <f>VLOOKUP($R65,武学奇术!$A:$ZZ,27,FALSE)*(1+IF(OR($AM65=$F$4,$AM65=$F$5),$B$21,0))</f>
        <v>236.8</v>
      </c>
      <c r="AP65" s="24">
        <f>VLOOKUP($R65,武学奇术!$A:$ZZ,28,FALSE)</f>
        <v>0.81</v>
      </c>
      <c r="AQ65" s="25">
        <f>VLOOKUP($R65,武学奇术!$A:$ZZ,29,FALSE)*(1+IF(OR($AM65=$F$4,$AM65=$F$5),$B$21,0))</f>
        <v>130.4</v>
      </c>
      <c r="AR65" s="24" cm="1">
        <f t="array" ref="AR65">$G$3+IFERROR(VLOOKUP($AM65,$F$4:$G$7,2,FALSE),0)+VLOOKUP($R65,武学奇术!$A:$ZZ,2,FALSE)+SUM(_xlfn.XLOOKUP($S65:$AL65,增益!$A:$A,增益!$B:$B,0))</f>
        <v>0.3543</v>
      </c>
      <c r="AS65" s="24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4195.0125</v>
      </c>
      <c r="AU65" cm="1">
        <f t="array" ref="AU65">$E$10*(1+$AS65)+VLOOKUP($R65,武学奇术!$A:$ZZ,4,FALSE)+SUM(_xlfn.XLOOKUP($S65:$AL65,增益!$A:$A,增益!$D:$D,0))-$I$2</f>
        <v>4195.0125</v>
      </c>
      <c r="AV65" s="33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0.3789</v>
      </c>
      <c r="AW65" s="33" cm="1">
        <f t="array" ref="AW65">$G$10+VLOOKUP($R65,武学奇术!$A:$ZZ,7,FALSE)+SUM(_xlfn.XLOOKUP($S65:$AL65,增益!$A:$A,增益!$G:$G,0))</f>
        <v>0.145</v>
      </c>
      <c r="AX65" s="24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3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3" cm="1">
        <f t="array" ref="BB65">$G$11+VLOOKUP($R65,武学奇术!$A:$ZZ,10,FALSE)+SUM(_xlfn.XLOOKUP($S65:$AL65,增益!$A:$A,增益!$J:$J,0))</f>
        <v>0.02</v>
      </c>
      <c r="BC65">
        <f t="shared" si="14"/>
        <v>0</v>
      </c>
      <c r="BD65">
        <f t="shared" si="15"/>
        <v>0</v>
      </c>
      <c r="BE65" s="33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3" cm="1">
        <f t="array" ref="BF65">$G$12+VLOOKUP($R65,武学奇术!$A:$ZZ,12,FALSE)+SUM(_xlfn.XLOOKUP($S65:$AL65,增益!$A:$A,增益!$L:$L,0))</f>
        <v>0.02</v>
      </c>
      <c r="BG65">
        <f t="shared" si="16"/>
        <v>618.2</v>
      </c>
      <c r="BH65">
        <f t="shared" si="17"/>
        <v>1567.4</v>
      </c>
      <c r="BI65" s="33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0.18</v>
      </c>
      <c r="BJ65" s="33" cm="1">
        <f t="array" ref="BJ65">$G$13+VLOOKUP($R65,武学奇术!$A:$ZZ,14,FALSE)+SUM(_xlfn.XLOOKUP($S65:$AL65,增益!$A:$A,增益!$N:$N,0))</f>
        <v>0.27</v>
      </c>
      <c r="BK65">
        <f t="shared" si="18"/>
        <v>0</v>
      </c>
      <c r="BL65">
        <f t="shared" si="19"/>
        <v>0</v>
      </c>
      <c r="BM65" s="33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3" cm="1">
        <f t="array" ref="BN65">$G$14+VLOOKUP($R65,武学奇术!$A:$ZZ,16,FALSE)+SUM(_xlfn.XLOOKUP($S65:$AL65,增益!$A:$A,增益!$P:$P,0))</f>
        <v>0.02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4" cm="1">
        <f t="array" ref="BQ65">1+$B$13+VLOOKUP($R65,武学奇术!$A:$ZZ,18,FALSE)+SUM(_xlfn.XLOOKUP($S65:$AL65,增益!$A:$A,增益!$R:$R,0))</f>
        <v>1.6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0"/>
        <v>0.8865</v>
      </c>
      <c r="BU65" s="24">
        <f t="shared" si="21"/>
        <v>0.0222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0.06</v>
      </c>
      <c r="BX65" s="24" cm="1">
        <f t="array" ref="BX65">VLOOKUP($R65,武学奇术!$A:$ZZ,32,FALSE)+SUM(_xlfn.XLOOKUP($S65:$AL65,增益!$A:$A,增益!$X:$X,0))</f>
        <v>0</v>
      </c>
    </row>
    <row r="66" spans="1:76">
      <c r="A66" s="4" t="s">
        <v>99</v>
      </c>
      <c r="B66" s="4">
        <v>1.25</v>
      </c>
      <c r="D66" s="29"/>
      <c r="K66" s="39">
        <f>$L66*VLOOKUP($R66,武学奇术!$A:$ZY,31,FALSE)</f>
        <v>26545.2461672676</v>
      </c>
      <c r="L66" s="39">
        <f t="shared" si="11"/>
        <v>25281.1868259692</v>
      </c>
      <c r="M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25657.0942873065</v>
      </c>
      <c r="N66" s="39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23879.3051153956</v>
      </c>
      <c r="O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16035.6839295665</v>
      </c>
      <c r="P66" s="39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14382.9936995808</v>
      </c>
      <c r="Q66" s="29">
        <v>1</v>
      </c>
      <c r="R66" s="40" t="s">
        <v>134</v>
      </c>
      <c r="S66" s="40" t="s">
        <v>91</v>
      </c>
      <c r="T66" s="40" t="s">
        <v>172</v>
      </c>
      <c r="U66" s="40" t="s">
        <v>80</v>
      </c>
      <c r="V66" s="40" t="s">
        <v>81</v>
      </c>
      <c r="W66" s="40" t="s">
        <v>80</v>
      </c>
      <c r="X66" s="40" t="s">
        <v>80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82</v>
      </c>
      <c r="AD66" s="40" t="s">
        <v>80</v>
      </c>
      <c r="AE66" s="40" t="s">
        <v>80</v>
      </c>
      <c r="AF66" s="40" t="s">
        <v>80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83</v>
      </c>
      <c r="AL66" s="40" t="s">
        <v>80</v>
      </c>
      <c r="AM66" t="str">
        <f>VLOOKUP($R66,武学奇术!$A:$ZZ,25,FALSE)</f>
        <v>扇</v>
      </c>
      <c r="AN66" s="24">
        <f>VLOOKUP($R66,武学奇术!$A:$ZZ,26,FALSE)</f>
        <v>1.2798</v>
      </c>
      <c r="AO66" s="25">
        <f>VLOOKUP($R66,武学奇术!$A:$ZZ,27,FALSE)*(1+IF(OR($AM66=$F$4,$AM66=$F$5),$B$21,0))</f>
        <v>568</v>
      </c>
      <c r="AP66" s="24">
        <f>VLOOKUP($R66,武学奇术!$A:$ZZ,28,FALSE)</f>
        <v>1.9197</v>
      </c>
      <c r="AQ66" s="25">
        <f>VLOOKUP($R66,武学奇术!$A:$ZZ,29,FALSE)*(1+IF(OR($AM66=$F$4,$AM66=$F$5),$B$21,0))</f>
        <v>308.8</v>
      </c>
      <c r="AR66" s="24" cm="1">
        <f t="array" ref="AR66">$G$3+IFERROR(VLOOKUP($AM66,$F$4:$G$7,2,FALSE),0)+VLOOKUP($R66,武学奇术!$A:$ZZ,2,FALSE)+SUM(_xlfn.XLOOKUP($S66:$AL66,增益!$A:$A,增益!$B:$B,0))</f>
        <v>0.3543</v>
      </c>
      <c r="AS66" s="24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4195.0125</v>
      </c>
      <c r="AU66" cm="1">
        <f t="array" ref="AU66">$E$10*(1+$AS66)+VLOOKUP($R66,武学奇术!$A:$ZZ,4,FALSE)+SUM(_xlfn.XLOOKUP($S66:$AL66,增益!$A:$A,增益!$D:$D,0))-$I$2</f>
        <v>4195.0125</v>
      </c>
      <c r="AV66" s="33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0.2789</v>
      </c>
      <c r="AW66" s="33" cm="1">
        <f t="array" ref="AW66">$G$10+VLOOKUP($R66,武学奇术!$A:$ZZ,7,FALSE)+SUM(_xlfn.XLOOKUP($S66:$AL66,增益!$A:$A,增益!$G:$G,0))</f>
        <v>0.045</v>
      </c>
      <c r="AX66" s="24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3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3" cm="1">
        <f t="array" ref="BB66">$G$11+VLOOKUP($R66,武学奇术!$A:$ZZ,10,FALSE)+SUM(_xlfn.XLOOKUP($S66:$AL66,增益!$A:$A,增益!$J:$J,0))</f>
        <v>0.02</v>
      </c>
      <c r="BC66">
        <f t="shared" si="14"/>
        <v>0</v>
      </c>
      <c r="BD66">
        <f t="shared" si="15"/>
        <v>0</v>
      </c>
      <c r="BE66" s="33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3" cm="1">
        <f t="array" ref="BF66">$G$12+VLOOKUP($R66,武学奇术!$A:$ZZ,12,FALSE)+SUM(_xlfn.XLOOKUP($S66:$AL66,增益!$A:$A,增益!$L:$L,0))</f>
        <v>0.02</v>
      </c>
      <c r="BG66">
        <f t="shared" si="16"/>
        <v>618.2</v>
      </c>
      <c r="BH66">
        <f t="shared" si="17"/>
        <v>1567.4</v>
      </c>
      <c r="BI66" s="33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0.08</v>
      </c>
      <c r="BJ66" s="33" cm="1">
        <f t="array" ref="BJ66">$G$13+VLOOKUP($R66,武学奇术!$A:$ZZ,14,FALSE)+SUM(_xlfn.XLOOKUP($S66:$AL66,增益!$A:$A,增益!$N:$N,0))</f>
        <v>0.17</v>
      </c>
      <c r="BK66">
        <f t="shared" si="18"/>
        <v>0</v>
      </c>
      <c r="BL66">
        <f t="shared" si="19"/>
        <v>0</v>
      </c>
      <c r="BM66" s="33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3" cm="1">
        <f t="array" ref="BN66">$G$14+VLOOKUP($R66,武学奇术!$A:$ZZ,16,FALSE)+SUM(_xlfn.XLOOKUP($S66:$AL66,增益!$A:$A,增益!$P:$P,0))</f>
        <v>0.02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4" cm="1">
        <f t="array" ref="BQ66">1+$B$13+VLOOKUP($R66,武学奇术!$A:$ZZ,18,FALSE)+SUM(_xlfn.XLOOKUP($S66:$AL66,增益!$A:$A,增益!$R:$R,0))</f>
        <v>1.6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0"/>
        <v>0.8865</v>
      </c>
      <c r="BU66" s="24">
        <f t="shared" si="21"/>
        <v>0.0222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0.06</v>
      </c>
      <c r="BX66" s="24" cm="1">
        <f t="array" ref="BX66">VLOOKUP($R66,武学奇术!$A:$ZZ,32,FALSE)+SUM(_xlfn.XLOOKUP($S66:$AL66,增益!$A:$A,增益!$X:$X,0))</f>
        <v>0</v>
      </c>
    </row>
    <row r="67" spans="1:76">
      <c r="A67" s="4" t="s">
        <v>162</v>
      </c>
      <c r="B67" s="91">
        <v>1.3</v>
      </c>
      <c r="C67" t="s">
        <v>173</v>
      </c>
      <c r="D67" s="29"/>
      <c r="K67" s="39">
        <f>$L67*VLOOKUP($R67,武学奇术!$A:$ZY,31,FALSE)</f>
        <v>0</v>
      </c>
      <c r="L67" s="39">
        <f t="shared" ref="L67:L98" si="22">($M67*$BT67+$N67*$BR67+$O67*$BU67+$P67*$BV67)</f>
        <v>0</v>
      </c>
      <c r="M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0</v>
      </c>
      <c r="N67" s="39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0</v>
      </c>
      <c r="O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0</v>
      </c>
      <c r="P67" s="39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0</v>
      </c>
      <c r="Q67" s="86">
        <f>IF($E$24="龙卷",1,0)</f>
        <v>0</v>
      </c>
      <c r="R67" s="40" t="s">
        <v>138</v>
      </c>
      <c r="S67" s="40" t="s">
        <v>91</v>
      </c>
      <c r="T67" s="40" t="s">
        <v>172</v>
      </c>
      <c r="U67" s="40" t="s">
        <v>80</v>
      </c>
      <c r="V67" s="40" t="s">
        <v>81</v>
      </c>
      <c r="W67" s="40" t="s">
        <v>100</v>
      </c>
      <c r="X67" s="40" t="s">
        <v>157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82</v>
      </c>
      <c r="AD67" s="40" t="s">
        <v>80</v>
      </c>
      <c r="AE67" s="40" t="s">
        <v>80</v>
      </c>
      <c r="AF67" s="40" t="s">
        <v>80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83</v>
      </c>
      <c r="AL67" s="40" t="s">
        <v>80</v>
      </c>
      <c r="AM67" t="str">
        <f>VLOOKUP($R67,武学奇术!$A:$ZZ,25,FALSE)</f>
        <v>扇</v>
      </c>
      <c r="AN67" s="24">
        <f>VLOOKUP($R67,武学奇术!$A:$ZZ,26,FALSE)</f>
        <v>1.9044</v>
      </c>
      <c r="AO67" s="25">
        <f>VLOOKUP($R67,武学奇术!$A:$ZZ,27,FALSE)*(1+IF(OR($AM67=$F$4,$AM67=$F$5),$B$21,0))</f>
        <v>843.2</v>
      </c>
      <c r="AP67" s="24">
        <f>VLOOKUP($R67,武学奇术!$A:$ZZ,28,FALSE)</f>
        <v>2.8566</v>
      </c>
      <c r="AQ67" s="25">
        <f>VLOOKUP($R67,武学奇术!$A:$ZZ,29,FALSE)*(1+IF(OR($AM67=$F$4,$AM67=$F$5),$B$21,0))</f>
        <v>459.2</v>
      </c>
      <c r="AR67" s="24" cm="1">
        <f t="array" ref="AR67">$G$3+IFERROR(VLOOKUP($AM67,$F$4:$G$7,2,FALSE),0)+VLOOKUP($R67,武学奇术!$A:$ZZ,2,FALSE)+SUM(_xlfn.XLOOKUP($S67:$AL67,增益!$A:$A,增益!$B:$B,0))</f>
        <v>0.8543</v>
      </c>
      <c r="AS67" s="24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4195.0125</v>
      </c>
      <c r="AU67" cm="1">
        <f t="array" ref="AU67">$E$10*(1+$AS67)+VLOOKUP($R67,武学奇术!$A:$ZZ,4,FALSE)+SUM(_xlfn.XLOOKUP($S67:$AL67,增益!$A:$A,增益!$D:$D,0))-$I$2</f>
        <v>4195.0125</v>
      </c>
      <c r="AV67" s="33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0.3789</v>
      </c>
      <c r="AW67" s="33" cm="1">
        <f t="array" ref="AW67">$G$10+VLOOKUP($R67,武学奇术!$A:$ZZ,7,FALSE)+SUM(_xlfn.XLOOKUP($S67:$AL67,增益!$A:$A,增益!$G:$G,0))</f>
        <v>0.145</v>
      </c>
      <c r="AX67" s="24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3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3" cm="1">
        <f t="array" ref="BB67">$G$11+VLOOKUP($R67,武学奇术!$A:$ZZ,10,FALSE)+SUM(_xlfn.XLOOKUP($S67:$AL67,增益!$A:$A,增益!$J:$J,0))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33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3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618.2</v>
      </c>
      <c r="BH67">
        <f t="shared" ref="BH67:BH98" si="28">$E$13*(1+$AX67)</f>
        <v>1567.4</v>
      </c>
      <c r="BI67" s="33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0.18</v>
      </c>
      <c r="BJ67" s="33" cm="1">
        <f t="array" ref="BJ67">$G$13+VLOOKUP($R67,武学奇术!$A:$ZZ,14,FALSE)+SUM(_xlfn.XLOOKUP($S67:$AL67,增益!$A:$A,增益!$N:$N,0))</f>
        <v>0.27</v>
      </c>
      <c r="BK67">
        <f t="shared" ref="BK67:BK98" si="29">$D$14*(1+$AX67)</f>
        <v>0</v>
      </c>
      <c r="BL67">
        <f t="shared" ref="BL67:BL98" si="30">$E$14*(1+$AX67)</f>
        <v>0</v>
      </c>
      <c r="BM67" s="33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3" cm="1">
        <f t="array" ref="BN67">$G$14+VLOOKUP($R67,武学奇术!$A:$ZZ,16,FALSE)+SUM(_xlfn.XLOOKUP($S67:$AL67,增益!$A:$A,增益!$P:$P,0))</f>
        <v>0.02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4" cm="1">
        <f t="array" ref="BQ67">1+$B$13+VLOOKUP($R67,武学奇术!$A:$ZZ,18,FALSE)+SUM(_xlfn.XLOOKUP($S67:$AL67,增益!$A:$A,增益!$R:$R,0))</f>
        <v>1.6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1">MIN((1-BR67)*BO67,BO67*BP67)</f>
        <v>0.8865</v>
      </c>
      <c r="BU67" s="24">
        <f t="shared" ref="BU67:BU98" si="32">1-BR67-BT67-BV67</f>
        <v>0.0222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0.06</v>
      </c>
      <c r="BX67" s="24" cm="1">
        <f t="array" ref="BX67">VLOOKUP($R67,武学奇术!$A:$ZZ,32,FALSE)+SUM(_xlfn.XLOOKUP($S67:$AL67,增益!$A:$A,增益!$X:$X,0))</f>
        <v>0.55</v>
      </c>
    </row>
    <row r="68" spans="1:76">
      <c r="A68" s="4" t="s">
        <v>113</v>
      </c>
      <c r="B68" s="91">
        <v>1.16</v>
      </c>
      <c r="D68" s="29"/>
      <c r="F68" s="29" t="s">
        <v>165</v>
      </c>
      <c r="K68" s="39">
        <f>$L68*VLOOKUP($R68,武学奇术!$A:$ZY,31,FALSE)</f>
        <v>244797.694339229</v>
      </c>
      <c r="L68" s="39">
        <f t="shared" si="22"/>
        <v>233140.661275456</v>
      </c>
      <c r="M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241043.894992118</v>
      </c>
      <c r="N68" s="39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183187.922337575</v>
      </c>
      <c r="O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122981.579077611</v>
      </c>
      <c r="P68" s="39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110268.40086813</v>
      </c>
      <c r="Q68" s="29">
        <v>1</v>
      </c>
      <c r="R68" s="40" t="s">
        <v>141</v>
      </c>
      <c r="S68" s="40" t="s">
        <v>91</v>
      </c>
      <c r="T68" s="40" t="s">
        <v>172</v>
      </c>
      <c r="U68" s="40" t="s">
        <v>80</v>
      </c>
      <c r="V68" s="40" t="s">
        <v>81</v>
      </c>
      <c r="W68" s="40" t="s">
        <v>142</v>
      </c>
      <c r="X68" s="40" t="s">
        <v>80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82</v>
      </c>
      <c r="AD68" s="40" t="s">
        <v>80</v>
      </c>
      <c r="AE68" s="40" t="s">
        <v>80</v>
      </c>
      <c r="AF68" s="40" t="s">
        <v>80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83</v>
      </c>
      <c r="AL68" s="40" t="s">
        <v>80</v>
      </c>
      <c r="AM68" t="str">
        <f>VLOOKUP($R68,武学奇术!$A:$ZZ,25,FALSE)</f>
        <v>扇</v>
      </c>
      <c r="AN68" s="24">
        <f>VLOOKUP($R68,武学奇术!$A:$ZZ,26,FALSE)</f>
        <v>7.5463</v>
      </c>
      <c r="AO68" s="25">
        <f>VLOOKUP($R68,武学奇术!$A:$ZZ,27,FALSE)*(1+IF(OR($AM68=$F$4,$AM68=$F$5),$B$21,0))</f>
        <v>3339.2</v>
      </c>
      <c r="AP68" s="24">
        <f>VLOOKUP($R68,武学奇术!$A:$ZZ,28,FALSE)</f>
        <v>11.3195</v>
      </c>
      <c r="AQ68" s="25">
        <f>VLOOKUP($R68,武学奇术!$A:$ZZ,29,FALSE)*(1+IF(OR($AM68=$F$4,$AM68=$F$5),$B$21,0))</f>
        <v>1819.2</v>
      </c>
      <c r="AR68" s="24" cm="1">
        <f t="array" ref="AR68">$G$3+IFERROR(VLOOKUP($AM68,$F$4:$G$7,2,FALSE),0)+VLOOKUP($R68,武学奇术!$A:$ZZ,2,FALSE)+SUM(_xlfn.XLOOKUP($S68:$AL68,增益!$A:$A,增益!$B:$B,0))</f>
        <v>0.3543</v>
      </c>
      <c r="AS68" s="24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4195.0125</v>
      </c>
      <c r="AU68" cm="1">
        <f t="array" ref="AU68">$E$10*(1+$AS68)+VLOOKUP($R68,武学奇术!$A:$ZZ,4,FALSE)+SUM(_xlfn.XLOOKUP($S68:$AL68,增益!$A:$A,增益!$D:$D,0))-$I$2</f>
        <v>4195.0125</v>
      </c>
      <c r="AV68" s="33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0.3789</v>
      </c>
      <c r="AW68" s="33" cm="1">
        <f t="array" ref="AW68">$G$10+VLOOKUP($R68,武学奇术!$A:$ZZ,7,FALSE)+SUM(_xlfn.XLOOKUP($S68:$AL68,增益!$A:$A,增益!$G:$G,0))</f>
        <v>0.145</v>
      </c>
      <c r="AX68" s="24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3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3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3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3" cm="1">
        <f t="array" ref="BF68">$G$12+VLOOKUP($R68,武学奇术!$A:$ZZ,12,FALSE)+SUM(_xlfn.XLOOKUP($S68:$AL68,增益!$A:$A,增益!$L:$L,0))</f>
        <v>0.02</v>
      </c>
      <c r="BG68">
        <f t="shared" si="27"/>
        <v>618.2</v>
      </c>
      <c r="BH68">
        <f t="shared" si="28"/>
        <v>1567.4</v>
      </c>
      <c r="BI68" s="33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0.18</v>
      </c>
      <c r="BJ68" s="33" cm="1">
        <f t="array" ref="BJ68">$G$13+VLOOKUP($R68,武学奇术!$A:$ZZ,14,FALSE)+SUM(_xlfn.XLOOKUP($S68:$AL68,增益!$A:$A,增益!$N:$N,0))</f>
        <v>0.27</v>
      </c>
      <c r="BK68">
        <f t="shared" si="29"/>
        <v>0</v>
      </c>
      <c r="BL68">
        <f t="shared" si="30"/>
        <v>0</v>
      </c>
      <c r="BM68" s="33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3" cm="1">
        <f t="array" ref="BN68">$G$14+VLOOKUP($R68,武学奇术!$A:$ZZ,16,FALSE)+SUM(_xlfn.XLOOKUP($S68:$AL68,增益!$A:$A,增益!$P:$P,0))</f>
        <v>0.02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4" cm="1">
        <f t="array" ref="BQ68">1+$B$13+VLOOKUP($R68,武学奇术!$A:$ZZ,18,FALSE)+SUM(_xlfn.XLOOKUP($S68:$AL68,增益!$A:$A,增益!$R:$R,0))</f>
        <v>1.96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1"/>
        <v>0.8865</v>
      </c>
      <c r="BU68" s="24">
        <f t="shared" si="32"/>
        <v>0.0222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0.06</v>
      </c>
      <c r="BX68" s="24" cm="1">
        <f t="array" ref="BX68">VLOOKUP($R68,武学奇术!$A:$ZZ,32,FALSE)+SUM(_xlfn.XLOOKUP($S68:$AL68,增益!$A:$A,增益!$X:$X,0))</f>
        <v>0.1</v>
      </c>
    </row>
    <row r="69" spans="1:76">
      <c r="A69" s="4" t="s">
        <v>167</v>
      </c>
      <c r="B69" s="4">
        <v>0.1</v>
      </c>
      <c r="D69" s="29"/>
      <c r="F69" s="29"/>
      <c r="K69" s="39">
        <f>$L69*VLOOKUP($R69,武学奇术!$A:$ZY,31,FALSE)</f>
        <v>708216.466526128</v>
      </c>
      <c r="L69" s="39">
        <f t="shared" si="22"/>
        <v>674491.872882026</v>
      </c>
      <c r="M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697415.596711948</v>
      </c>
      <c r="N69" s="39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529393.727177106</v>
      </c>
      <c r="O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355824.284036708</v>
      </c>
      <c r="P69" s="39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319505.066460745</v>
      </c>
      <c r="Q69" s="29">
        <v>10</v>
      </c>
      <c r="R69" s="40" t="s">
        <v>115</v>
      </c>
      <c r="S69" s="40" t="s">
        <v>91</v>
      </c>
      <c r="T69" s="40" t="s">
        <v>172</v>
      </c>
      <c r="U69" s="40" t="s">
        <v>106</v>
      </c>
      <c r="V69" s="40" t="s">
        <v>81</v>
      </c>
      <c r="W69" s="40" t="s">
        <v>100</v>
      </c>
      <c r="X69" s="40" t="s">
        <v>80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82</v>
      </c>
      <c r="AD69" s="40" t="s">
        <v>80</v>
      </c>
      <c r="AE69" s="40" t="s">
        <v>80</v>
      </c>
      <c r="AF69" s="40" t="s">
        <v>80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83</v>
      </c>
      <c r="AL69" s="40" t="s">
        <v>80</v>
      </c>
      <c r="AM69" t="str">
        <f>VLOOKUP($R69,武学奇术!$A:$ZZ,25,FALSE)</f>
        <v>伞</v>
      </c>
      <c r="AN69" s="24">
        <f>VLOOKUP($R69,武学奇术!$A:$ZZ,26,FALSE)</f>
        <v>1.0217</v>
      </c>
      <c r="AO69" s="25">
        <f>VLOOKUP($R69,武学奇术!$A:$ZZ,27,FALSE)*(1+IF(OR($AM69=$F$4,$AM69=$F$5),$B$21,0))</f>
        <v>451.2</v>
      </c>
      <c r="AP69" s="24">
        <f>VLOOKUP($R69,武学奇术!$A:$ZZ,28,FALSE)</f>
        <v>1.5325</v>
      </c>
      <c r="AQ69" s="25">
        <f>VLOOKUP($R69,武学奇术!$A:$ZZ,29,FALSE)*(1+IF(OR($AM69=$F$4,$AM69=$F$5),$B$21,0))</f>
        <v>246.4</v>
      </c>
      <c r="AR69" s="24" cm="1">
        <f t="array" ref="AR69">$G$3+IFERROR(VLOOKUP($AM69,$F$4:$G$7,2,FALSE),0)+VLOOKUP($R69,武学奇术!$A:$ZZ,2,FALSE)+SUM(_xlfn.XLOOKUP($S69:$AL69,增益!$A:$A,增益!$B:$B,0))</f>
        <v>0.9043</v>
      </c>
      <c r="AS69" s="24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4195.0125</v>
      </c>
      <c r="AU69" cm="1">
        <f t="array" ref="AU69">$E$10*(1+$AS69)+VLOOKUP($R69,武学奇术!$A:$ZZ,4,FALSE)+SUM(_xlfn.XLOOKUP($S69:$AL69,增益!$A:$A,增益!$D:$D,0))-$I$2</f>
        <v>4195.0125</v>
      </c>
      <c r="AV69" s="33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0.4039</v>
      </c>
      <c r="AW69" s="33" cm="1">
        <f t="array" ref="AW69">$G$10+VLOOKUP($R69,武学奇术!$A:$ZZ,7,FALSE)+SUM(_xlfn.XLOOKUP($S69:$AL69,增益!$A:$A,增益!$G:$G,0))</f>
        <v>0.145</v>
      </c>
      <c r="AX69" s="24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3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3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3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3" cm="1">
        <f t="array" ref="BF69">$G$12+VLOOKUP($R69,武学奇术!$A:$ZZ,12,FALSE)+SUM(_xlfn.XLOOKUP($S69:$AL69,增益!$A:$A,增益!$L:$L,0))</f>
        <v>0.02</v>
      </c>
      <c r="BG69">
        <f t="shared" si="27"/>
        <v>618.2</v>
      </c>
      <c r="BH69">
        <f t="shared" si="28"/>
        <v>1567.4</v>
      </c>
      <c r="BI69" s="33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0.18</v>
      </c>
      <c r="BJ69" s="33" cm="1">
        <f t="array" ref="BJ69">$G$13+VLOOKUP($R69,武学奇术!$A:$ZZ,14,FALSE)+SUM(_xlfn.XLOOKUP($S69:$AL69,增益!$A:$A,增益!$N:$N,0))</f>
        <v>0.27</v>
      </c>
      <c r="BK69">
        <f t="shared" si="29"/>
        <v>0</v>
      </c>
      <c r="BL69">
        <f t="shared" si="30"/>
        <v>0</v>
      </c>
      <c r="BM69" s="33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3" cm="1">
        <f t="array" ref="BN69">$G$14+VLOOKUP($R69,武学奇术!$A:$ZZ,16,FALSE)+SUM(_xlfn.XLOOKUP($S69:$AL69,增益!$A:$A,增益!$P:$P,0))</f>
        <v>0.02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4" cm="1">
        <f t="array" ref="BQ69">1+$B$13+VLOOKUP($R69,武学奇术!$A:$ZZ,18,FALSE)+SUM(_xlfn.XLOOKUP($S69:$AL69,增益!$A:$A,增益!$R:$R,0))</f>
        <v>1.96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1"/>
        <v>0.8865</v>
      </c>
      <c r="BU69" s="24">
        <f t="shared" si="32"/>
        <v>0.0222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0.06</v>
      </c>
      <c r="BX69" s="24" cm="1">
        <f t="array" ref="BX69">VLOOKUP($R69,武学奇术!$A:$ZZ,32,FALSE)+SUM(_xlfn.XLOOKUP($S69:$AL69,增益!$A:$A,增益!$X:$X,0))</f>
        <v>0.25</v>
      </c>
    </row>
    <row r="70" spans="1:76">
      <c r="A70" t="s">
        <v>177</v>
      </c>
      <c r="B70">
        <v>1</v>
      </c>
      <c r="D70" s="29"/>
      <c r="F70" s="29"/>
      <c r="K70" s="39">
        <f>$L70*VLOOKUP($R70,武学奇术!$A:$ZY,31,FALSE)</f>
        <v>107078.911525958</v>
      </c>
      <c r="L70" s="39">
        <f t="shared" si="22"/>
        <v>101979.915739008</v>
      </c>
      <c r="M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105480.569198449</v>
      </c>
      <c r="N70" s="39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79700.572273375</v>
      </c>
      <c r="O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53816.6169379843</v>
      </c>
      <c r="P70" s="39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48595.7729327279</v>
      </c>
      <c r="Q70" s="29">
        <v>1</v>
      </c>
      <c r="R70" s="40" t="s">
        <v>99</v>
      </c>
      <c r="S70" s="40" t="s">
        <v>91</v>
      </c>
      <c r="T70" s="40" t="s">
        <v>172</v>
      </c>
      <c r="U70" s="40" t="s">
        <v>106</v>
      </c>
      <c r="V70" s="40" t="s">
        <v>81</v>
      </c>
      <c r="W70" s="40" t="s">
        <v>100</v>
      </c>
      <c r="X70" s="40" t="s">
        <v>80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183</v>
      </c>
      <c r="AE70" s="40" t="s">
        <v>80</v>
      </c>
      <c r="AF70" s="40" t="s">
        <v>80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83</v>
      </c>
      <c r="AL70" s="40" t="s">
        <v>80</v>
      </c>
      <c r="AM70" t="str">
        <f>VLOOKUP($R70,武学奇术!$A:$ZZ,25,FALSE)</f>
        <v>伞</v>
      </c>
      <c r="AN70" s="24">
        <f>VLOOKUP($R70,武学奇术!$A:$ZZ,26,FALSE)</f>
        <v>2.3397</v>
      </c>
      <c r="AO70" s="25">
        <f>VLOOKUP($R70,武学奇术!$A:$ZZ,27,FALSE)*(1+IF(OR($AM70=$F$4,$AM70=$F$5),$B$21,0))</f>
        <v>1036.8</v>
      </c>
      <c r="AP70" s="24">
        <f>VLOOKUP($R70,武学奇术!$A:$ZZ,28,FALSE)</f>
        <v>3.5095</v>
      </c>
      <c r="AQ70" s="25">
        <f>VLOOKUP($R70,武学奇术!$A:$ZZ,29,FALSE)*(1+IF(OR($AM70=$F$4,$AM70=$F$5),$B$21,0))</f>
        <v>564.8</v>
      </c>
      <c r="AR70" s="24" cm="1">
        <f t="array" ref="AR70">$G$3+IFERROR(VLOOKUP($AM70,$F$4:$G$7,2,FALSE),0)+VLOOKUP($R70,武学奇术!$A:$ZZ,2,FALSE)+SUM(_xlfn.XLOOKUP($S70:$AL70,增益!$A:$A,增益!$B:$B,0))</f>
        <v>0.9243</v>
      </c>
      <c r="AS70" s="24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4195.0125</v>
      </c>
      <c r="AU70" cm="1">
        <f t="array" ref="AU70">$E$10*(1+$AS70)+VLOOKUP($R70,武学奇术!$A:$ZZ,4,FALSE)+SUM(_xlfn.XLOOKUP($S70:$AL70,增益!$A:$A,增益!$D:$D,0))-$I$2</f>
        <v>4195.0125</v>
      </c>
      <c r="AV70" s="33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0.4039</v>
      </c>
      <c r="AW70" s="33" cm="1">
        <f t="array" ref="AW70">$G$10+VLOOKUP($R70,武学奇术!$A:$ZZ,7,FALSE)+SUM(_xlfn.XLOOKUP($S70:$AL70,增益!$A:$A,增益!$G:$G,0))</f>
        <v>0.145</v>
      </c>
      <c r="AX70" s="24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3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3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3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3" cm="1">
        <f t="array" ref="BF70">$G$12+VLOOKUP($R70,武学奇术!$A:$ZZ,12,FALSE)+SUM(_xlfn.XLOOKUP($S70:$AL70,增益!$A:$A,增益!$L:$L,0))</f>
        <v>0.02</v>
      </c>
      <c r="BG70">
        <f t="shared" si="27"/>
        <v>618.2</v>
      </c>
      <c r="BH70">
        <f t="shared" si="28"/>
        <v>1567.4</v>
      </c>
      <c r="BI70" s="33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3" cm="1">
        <f t="array" ref="BJ70">$G$13+VLOOKUP($R70,武学奇术!$A:$ZZ,14,FALSE)+SUM(_xlfn.XLOOKUP($S70:$AL70,增益!$A:$A,增益!$N:$N,0))</f>
        <v>0.27</v>
      </c>
      <c r="BK70">
        <f t="shared" si="29"/>
        <v>0</v>
      </c>
      <c r="BL70">
        <f t="shared" si="30"/>
        <v>0</v>
      </c>
      <c r="BM70" s="33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3" cm="1">
        <f t="array" ref="BN70">$G$14+VLOOKUP($R70,武学奇术!$A:$ZZ,16,FALSE)+SUM(_xlfn.XLOOKUP($S70:$AL70,增益!$A:$A,增益!$P:$P,0))</f>
        <v>0.02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4" cm="1">
        <f t="array" ref="BQ70">1+$B$13+VLOOKUP($R70,武学奇术!$A:$ZZ,18,FALSE)+SUM(_xlfn.XLOOKUP($S70:$AL70,增益!$A:$A,增益!$R:$R,0))</f>
        <v>1.96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1"/>
        <v>0.8865</v>
      </c>
      <c r="BU70" s="24">
        <f t="shared" si="32"/>
        <v>0.0222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0.06</v>
      </c>
      <c r="BX70" s="24" cm="1">
        <f t="array" ref="BX70">VLOOKUP($R70,武学奇术!$A:$ZZ,32,FALSE)+SUM(_xlfn.XLOOKUP($S70:$AL70,增益!$A:$A,增益!$X:$X,0))</f>
        <v>0.1</v>
      </c>
    </row>
    <row r="71" spans="1:76">
      <c r="A71" s="4" t="s">
        <v>169</v>
      </c>
      <c r="B71" s="4">
        <v>1.4</v>
      </c>
      <c r="D71" s="29"/>
      <c r="F71" s="29"/>
      <c r="K71" s="39">
        <f>$L71*VLOOKUP($R71,武学奇术!$A:$ZY,31,FALSE)</f>
        <v>17382.4677203412</v>
      </c>
      <c r="L71" s="39">
        <f t="shared" si="22"/>
        <v>16554.7311622297</v>
      </c>
      <c r="M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16807.0711868704</v>
      </c>
      <c r="N71" s="39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15575.7332130475</v>
      </c>
      <c r="O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10504.419491794</v>
      </c>
      <c r="P71" s="39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9471.25882577502</v>
      </c>
      <c r="Q71" s="29">
        <v>1</v>
      </c>
      <c r="R71" s="40" t="s">
        <v>113</v>
      </c>
      <c r="S71" s="40" t="s">
        <v>91</v>
      </c>
      <c r="T71" s="40" t="s">
        <v>172</v>
      </c>
      <c r="U71" s="40" t="s">
        <v>80</v>
      </c>
      <c r="V71" s="40" t="s">
        <v>81</v>
      </c>
      <c r="W71" s="40" t="s">
        <v>80</v>
      </c>
      <c r="X71" s="40" t="s">
        <v>80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183</v>
      </c>
      <c r="AE71" s="40" t="s">
        <v>80</v>
      </c>
      <c r="AF71" s="40" t="s">
        <v>80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83</v>
      </c>
      <c r="AL71" s="40" t="s">
        <v>80</v>
      </c>
      <c r="AM71" t="str">
        <f>VLOOKUP($R71,武学奇术!$A:$ZZ,25,FALSE)</f>
        <v>伞</v>
      </c>
      <c r="AN71" s="24">
        <f>VLOOKUP($R71,武学奇术!$A:$ZZ,26,FALSE)</f>
        <v>0.54</v>
      </c>
      <c r="AO71" s="25">
        <f>VLOOKUP($R71,武学奇术!$A:$ZZ,27,FALSE)*(1+IF(OR($AM71=$F$4,$AM71=$F$5),$B$21,0))</f>
        <v>236.8</v>
      </c>
      <c r="AP71" s="24">
        <f>VLOOKUP($R71,武学奇术!$A:$ZZ,28,FALSE)</f>
        <v>0.81</v>
      </c>
      <c r="AQ71" s="25">
        <f>VLOOKUP($R71,武学奇术!$A:$ZZ,29,FALSE)*(1+IF(OR($AM71=$F$4,$AM71=$F$5),$B$21,0))</f>
        <v>130.4</v>
      </c>
      <c r="AR71" s="24" cm="1">
        <f t="array" ref="AR71">$G$3+IFERROR(VLOOKUP($AM71,$F$4:$G$7,2,FALSE),0)+VLOOKUP($R71,武学奇术!$A:$ZZ,2,FALSE)+SUM(_xlfn.XLOOKUP($S71:$AL71,增益!$A:$A,增益!$B:$B,0))</f>
        <v>0.3743</v>
      </c>
      <c r="AS71" s="24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4195.0125</v>
      </c>
      <c r="AU71" cm="1">
        <f t="array" ref="AU71">$E$10*(1+$AS71)+VLOOKUP($R71,武学奇术!$A:$ZZ,4,FALSE)+SUM(_xlfn.XLOOKUP($S71:$AL71,增益!$A:$A,增益!$D:$D,0))-$I$2</f>
        <v>4195.0125</v>
      </c>
      <c r="AV71" s="33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0.3789</v>
      </c>
      <c r="AW71" s="33" cm="1">
        <f t="array" ref="AW71">$G$10+VLOOKUP($R71,武学奇术!$A:$ZZ,7,FALSE)+SUM(_xlfn.XLOOKUP($S71:$AL71,增益!$A:$A,增益!$G:$G,0))</f>
        <v>0.145</v>
      </c>
      <c r="AX71" s="24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3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3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3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3" cm="1">
        <f t="array" ref="BF71">$G$12+VLOOKUP($R71,武学奇术!$A:$ZZ,12,FALSE)+SUM(_xlfn.XLOOKUP($S71:$AL71,增益!$A:$A,增益!$L:$L,0))</f>
        <v>0.02</v>
      </c>
      <c r="BG71">
        <f t="shared" si="27"/>
        <v>618.2</v>
      </c>
      <c r="BH71">
        <f t="shared" si="28"/>
        <v>1567.4</v>
      </c>
      <c r="BI71" s="33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3" cm="1">
        <f t="array" ref="BJ71">$G$13+VLOOKUP($R71,武学奇术!$A:$ZZ,14,FALSE)+SUM(_xlfn.XLOOKUP($S71:$AL71,增益!$A:$A,增益!$N:$N,0))</f>
        <v>0.27</v>
      </c>
      <c r="BK71">
        <f t="shared" si="29"/>
        <v>0</v>
      </c>
      <c r="BL71">
        <f t="shared" si="30"/>
        <v>0</v>
      </c>
      <c r="BM71" s="33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3" cm="1">
        <f t="array" ref="BN71">$G$14+VLOOKUP($R71,武学奇术!$A:$ZZ,16,FALSE)+SUM(_xlfn.XLOOKUP($S71:$AL71,增益!$A:$A,增益!$P:$P,0))</f>
        <v>0.02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4" cm="1">
        <f t="array" ref="BQ71">1+$B$13+VLOOKUP($R71,武学奇术!$A:$ZZ,18,FALSE)+SUM(_xlfn.XLOOKUP($S71:$AL71,增益!$A:$A,增益!$R:$R,0))</f>
        <v>1.6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1"/>
        <v>0.8865</v>
      </c>
      <c r="BU71" s="24">
        <f t="shared" si="32"/>
        <v>0.0222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0.06</v>
      </c>
      <c r="BX71" s="24" cm="1">
        <f t="array" ref="BX71">VLOOKUP($R71,武学奇术!$A:$ZZ,32,FALSE)+SUM(_xlfn.XLOOKUP($S71:$AL71,增益!$A:$A,增益!$X:$X,0))</f>
        <v>0</v>
      </c>
    </row>
    <row r="72" spans="1:76">
      <c r="A72" s="4" t="s">
        <v>170</v>
      </c>
      <c r="B72" s="4">
        <v>2.5</v>
      </c>
      <c r="F72" s="29"/>
      <c r="K72" s="39">
        <f>$L72*VLOOKUP($R72,武学奇术!$A:$ZY,31,FALSE)</f>
        <v>190669.046107323</v>
      </c>
      <c r="L72" s="39">
        <f t="shared" si="22"/>
        <v>181589.56772126</v>
      </c>
      <c r="M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187822.651819847</v>
      </c>
      <c r="N72" s="39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141921.225273326</v>
      </c>
      <c r="O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95827.8835815548</v>
      </c>
      <c r="P72" s="39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86528.9336273124</v>
      </c>
      <c r="Q72" s="29">
        <v>3.5</v>
      </c>
      <c r="R72" s="40" t="s">
        <v>115</v>
      </c>
      <c r="S72" s="40" t="s">
        <v>91</v>
      </c>
      <c r="T72" s="40" t="s">
        <v>172</v>
      </c>
      <c r="U72" s="40" t="s">
        <v>106</v>
      </c>
      <c r="V72" s="40" t="s">
        <v>81</v>
      </c>
      <c r="W72" s="40" t="s">
        <v>80</v>
      </c>
      <c r="X72" s="40" t="s">
        <v>80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183</v>
      </c>
      <c r="AE72" s="40" t="s">
        <v>80</v>
      </c>
      <c r="AF72" s="40" t="s">
        <v>80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83</v>
      </c>
      <c r="AL72" s="40" t="s">
        <v>80</v>
      </c>
      <c r="AM72" t="str">
        <f>VLOOKUP($R72,武学奇术!$A:$ZZ,25,FALSE)</f>
        <v>伞</v>
      </c>
      <c r="AN72" s="24">
        <f>VLOOKUP($R72,武学奇术!$A:$ZZ,26,FALSE)</f>
        <v>1.0217</v>
      </c>
      <c r="AO72" s="25">
        <f>VLOOKUP($R72,武学奇术!$A:$ZZ,27,FALSE)*(1+IF(OR($AM72=$F$4,$AM72=$F$5),$B$21,0))</f>
        <v>451.2</v>
      </c>
      <c r="AP72" s="24">
        <f>VLOOKUP($R72,武学奇术!$A:$ZZ,28,FALSE)</f>
        <v>1.5325</v>
      </c>
      <c r="AQ72" s="25">
        <f>VLOOKUP($R72,武学奇术!$A:$ZZ,29,FALSE)*(1+IF(OR($AM72=$F$4,$AM72=$F$5),$B$21,0))</f>
        <v>246.4</v>
      </c>
      <c r="AR72" s="24" cm="1">
        <f t="array" ref="AR72">$G$3+IFERROR(VLOOKUP($AM72,$F$4:$G$7,2,FALSE),0)+VLOOKUP($R72,武学奇术!$A:$ZZ,2,FALSE)+SUM(_xlfn.XLOOKUP($S72:$AL72,增益!$A:$A,增益!$B:$B,0))</f>
        <v>0.6243</v>
      </c>
      <c r="AS72" s="24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4195.0125</v>
      </c>
      <c r="AU72" cm="1">
        <f t="array" ref="AU72">$E$10*(1+$AS72)+VLOOKUP($R72,武学奇术!$A:$ZZ,4,FALSE)+SUM(_xlfn.XLOOKUP($S72:$AL72,增益!$A:$A,增益!$D:$D,0))-$I$2</f>
        <v>4195.0125</v>
      </c>
      <c r="AV72" s="33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0.4039</v>
      </c>
      <c r="AW72" s="33" cm="1">
        <f t="array" ref="AW72">$G$10+VLOOKUP($R72,武学奇术!$A:$ZZ,7,FALSE)+SUM(_xlfn.XLOOKUP($S72:$AL72,增益!$A:$A,增益!$G:$G,0))</f>
        <v>0.145</v>
      </c>
      <c r="AX72" s="24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3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3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3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3" cm="1">
        <f t="array" ref="BF72">$G$12+VLOOKUP($R72,武学奇术!$A:$ZZ,12,FALSE)+SUM(_xlfn.XLOOKUP($S72:$AL72,增益!$A:$A,增益!$L:$L,0))</f>
        <v>0.02</v>
      </c>
      <c r="BG72">
        <f t="shared" si="27"/>
        <v>618.2</v>
      </c>
      <c r="BH72">
        <f t="shared" si="28"/>
        <v>1567.4</v>
      </c>
      <c r="BI72" s="33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3" cm="1">
        <f t="array" ref="BJ72">$G$13+VLOOKUP($R72,武学奇术!$A:$ZZ,14,FALSE)+SUM(_xlfn.XLOOKUP($S72:$AL72,增益!$A:$A,增益!$N:$N,0))</f>
        <v>0.27</v>
      </c>
      <c r="BK72">
        <f t="shared" si="29"/>
        <v>0</v>
      </c>
      <c r="BL72">
        <f t="shared" si="30"/>
        <v>0</v>
      </c>
      <c r="BM72" s="33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3" cm="1">
        <f t="array" ref="BN72">$G$14+VLOOKUP($R72,武学奇术!$A:$ZZ,16,FALSE)+SUM(_xlfn.XLOOKUP($S72:$AL72,增益!$A:$A,增益!$P:$P,0))</f>
        <v>0.02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4" cm="1">
        <f t="array" ref="BQ72">1+$B$13+VLOOKUP($R72,武学奇术!$A:$ZZ,18,FALSE)+SUM(_xlfn.XLOOKUP($S72:$AL72,增益!$A:$A,增益!$R:$R,0))</f>
        <v>1.96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1"/>
        <v>0.8865</v>
      </c>
      <c r="BU72" s="24">
        <f t="shared" si="32"/>
        <v>0.0222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0.06</v>
      </c>
      <c r="BX72" s="24" cm="1">
        <f t="array" ref="BX72">VLOOKUP($R72,武学奇术!$A:$ZZ,32,FALSE)+SUM(_xlfn.XLOOKUP($S72:$AL72,增益!$A:$A,增益!$X:$X,0))</f>
        <v>0.15</v>
      </c>
    </row>
    <row r="73" spans="1:76">
      <c r="A73" s="4" t="s">
        <v>167</v>
      </c>
      <c r="B73" s="4">
        <v>0.1</v>
      </c>
      <c r="F73" s="29"/>
      <c r="K73" s="39">
        <f>$L73*VLOOKUP($R73,武学奇术!$A:$ZY,31,FALSE)</f>
        <v>175376.285085023</v>
      </c>
      <c r="L73" s="39">
        <f t="shared" si="22"/>
        <v>167025.033414308</v>
      </c>
      <c r="M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172758.188093319</v>
      </c>
      <c r="N73" s="39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130538.321616929</v>
      </c>
      <c r="O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88141.9327006731</v>
      </c>
      <c r="P73" s="39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79588.8123517695</v>
      </c>
      <c r="Q73" s="29">
        <v>2.5</v>
      </c>
      <c r="R73" s="40" t="s">
        <v>115</v>
      </c>
      <c r="S73" s="40" t="s">
        <v>91</v>
      </c>
      <c r="T73" s="40" t="s">
        <v>172</v>
      </c>
      <c r="U73" s="40" t="s">
        <v>106</v>
      </c>
      <c r="V73" s="40" t="s">
        <v>81</v>
      </c>
      <c r="W73" s="40" t="s">
        <v>100</v>
      </c>
      <c r="X73" s="40" t="s">
        <v>80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183</v>
      </c>
      <c r="AE73" s="40" t="s">
        <v>80</v>
      </c>
      <c r="AF73" s="40" t="s">
        <v>80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83</v>
      </c>
      <c r="AL73" s="40" t="s">
        <v>80</v>
      </c>
      <c r="AM73" t="str">
        <f>VLOOKUP($R73,武学奇术!$A:$ZZ,25,FALSE)</f>
        <v>伞</v>
      </c>
      <c r="AN73" s="24">
        <f>VLOOKUP($R73,武学奇术!$A:$ZZ,26,FALSE)</f>
        <v>1.0217</v>
      </c>
      <c r="AO73" s="25">
        <f>VLOOKUP($R73,武学奇术!$A:$ZZ,27,FALSE)*(1+IF(OR($AM73=$F$4,$AM73=$F$5),$B$21,0))</f>
        <v>451.2</v>
      </c>
      <c r="AP73" s="24">
        <f>VLOOKUP($R73,武学奇术!$A:$ZZ,28,FALSE)</f>
        <v>1.5325</v>
      </c>
      <c r="AQ73" s="25">
        <f>VLOOKUP($R73,武学奇术!$A:$ZZ,29,FALSE)*(1+IF(OR($AM73=$F$4,$AM73=$F$5),$B$21,0))</f>
        <v>246.4</v>
      </c>
      <c r="AR73" s="24" cm="1">
        <f t="array" ref="AR73">$G$3+IFERROR(VLOOKUP($AM73,$F$4:$G$7,2,FALSE),0)+VLOOKUP($R73,武学奇术!$A:$ZZ,2,FALSE)+SUM(_xlfn.XLOOKUP($S73:$AL73,增益!$A:$A,增益!$B:$B,0))</f>
        <v>0.9243</v>
      </c>
      <c r="AS73" s="24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4195.0125</v>
      </c>
      <c r="AU73" cm="1">
        <f t="array" ref="AU73">$E$10*(1+$AS73)+VLOOKUP($R73,武学奇术!$A:$ZZ,4,FALSE)+SUM(_xlfn.XLOOKUP($S73:$AL73,增益!$A:$A,增益!$D:$D,0))-$I$2</f>
        <v>4195.0125</v>
      </c>
      <c r="AV73" s="33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0.4039</v>
      </c>
      <c r="AW73" s="33" cm="1">
        <f t="array" ref="AW73">$G$10+VLOOKUP($R73,武学奇术!$A:$ZZ,7,FALSE)+SUM(_xlfn.XLOOKUP($S73:$AL73,增益!$A:$A,增益!$G:$G,0))</f>
        <v>0.145</v>
      </c>
      <c r="AX73" s="24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3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3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3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3" cm="1">
        <f t="array" ref="BF73">$G$12+VLOOKUP($R73,武学奇术!$A:$ZZ,12,FALSE)+SUM(_xlfn.XLOOKUP($S73:$AL73,增益!$A:$A,增益!$L:$L,0))</f>
        <v>0.02</v>
      </c>
      <c r="BG73">
        <f t="shared" si="27"/>
        <v>618.2</v>
      </c>
      <c r="BH73">
        <f t="shared" si="28"/>
        <v>1567.4</v>
      </c>
      <c r="BI73" s="33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3" cm="1">
        <f t="array" ref="BJ73">$G$13+VLOOKUP($R73,武学奇术!$A:$ZZ,14,FALSE)+SUM(_xlfn.XLOOKUP($S73:$AL73,增益!$A:$A,增益!$N:$N,0))</f>
        <v>0.27</v>
      </c>
      <c r="BK73">
        <f t="shared" si="29"/>
        <v>0</v>
      </c>
      <c r="BL73">
        <f t="shared" si="30"/>
        <v>0</v>
      </c>
      <c r="BM73" s="33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3" cm="1">
        <f t="array" ref="BN73">$G$14+VLOOKUP($R73,武学奇术!$A:$ZZ,16,FALSE)+SUM(_xlfn.XLOOKUP($S73:$AL73,增益!$A:$A,增益!$P:$P,0))</f>
        <v>0.02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4" cm="1">
        <f t="array" ref="BQ73">1+$B$13+VLOOKUP($R73,武学奇术!$A:$ZZ,18,FALSE)+SUM(_xlfn.XLOOKUP($S73:$AL73,增益!$A:$A,增益!$R:$R,0))</f>
        <v>1.96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1"/>
        <v>0.8865</v>
      </c>
      <c r="BU73" s="24">
        <f t="shared" si="32"/>
        <v>0.0222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0.06</v>
      </c>
      <c r="BX73" s="24" cm="1">
        <f t="array" ref="BX73">VLOOKUP($R73,武学奇术!$A:$ZZ,32,FALSE)+SUM(_xlfn.XLOOKUP($S73:$AL73,增益!$A:$A,增益!$X:$X,0))</f>
        <v>0.25</v>
      </c>
    </row>
    <row r="74" spans="1:76">
      <c r="A74" s="4" t="s">
        <v>99</v>
      </c>
      <c r="B74" s="4">
        <v>1.25</v>
      </c>
      <c r="F74" s="29"/>
      <c r="K74" s="39">
        <f>$L74*VLOOKUP($R74,武学奇术!$A:$ZY,31,FALSE)</f>
        <v>19087.1702226562</v>
      </c>
      <c r="L74" s="39">
        <f t="shared" si="22"/>
        <v>18178.2573549107</v>
      </c>
      <c r="M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18456.546159209</v>
      </c>
      <c r="N74" s="39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17091.3976649822</v>
      </c>
      <c r="O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11535.3413495056</v>
      </c>
      <c r="P74" s="39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10410.3881323578</v>
      </c>
      <c r="Q74" s="29">
        <v>1</v>
      </c>
      <c r="R74" s="40" t="s">
        <v>155</v>
      </c>
      <c r="S74" s="40" t="s">
        <v>91</v>
      </c>
      <c r="T74" s="40" t="s">
        <v>172</v>
      </c>
      <c r="U74" s="40" t="s">
        <v>80</v>
      </c>
      <c r="V74" s="40" t="s">
        <v>81</v>
      </c>
      <c r="W74" s="40" t="s">
        <v>80</v>
      </c>
      <c r="X74" s="40" t="s">
        <v>80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183</v>
      </c>
      <c r="AE74" s="40" t="s">
        <v>80</v>
      </c>
      <c r="AF74" s="40" t="s">
        <v>80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83</v>
      </c>
      <c r="AL74" s="40" t="s">
        <v>80</v>
      </c>
      <c r="AM74" t="str">
        <f>VLOOKUP($R74,武学奇术!$A:$ZZ,25,FALSE)</f>
        <v>扇</v>
      </c>
      <c r="AN74" s="24">
        <f>VLOOKUP($R74,武学奇术!$A:$ZZ,26,FALSE)</f>
        <v>0.9271</v>
      </c>
      <c r="AO74" s="25">
        <f>VLOOKUP($R74,武学奇术!$A:$ZZ,27,FALSE)*(1+IF(OR($AM74=$F$4,$AM74=$F$5),$B$21,0))</f>
        <v>411.2</v>
      </c>
      <c r="AP74" s="24">
        <f>VLOOKUP($R74,武学奇术!$A:$ZZ,28,FALSE)</f>
        <v>1.3907</v>
      </c>
      <c r="AQ74" s="25">
        <f>VLOOKUP($R74,武学奇术!$A:$ZZ,29,FALSE)*(1+IF(OR($AM74=$F$4,$AM74=$F$5),$B$21,0))</f>
        <v>224</v>
      </c>
      <c r="AR74" s="24" cm="1">
        <f t="array" ref="AR74">$G$3+IFERROR(VLOOKUP($AM74,$F$4:$G$7,2,FALSE),0)+VLOOKUP($R74,武学奇术!$A:$ZZ,2,FALSE)+SUM(_xlfn.XLOOKUP($S74:$AL74,增益!$A:$A,增益!$B:$B,0))</f>
        <v>0.3743</v>
      </c>
      <c r="AS74" s="24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4195.0125</v>
      </c>
      <c r="AU74" cm="1">
        <f t="array" ref="AU74">$E$10*(1+$AS74)+VLOOKUP($R74,武学奇术!$A:$ZZ,4,FALSE)+SUM(_xlfn.XLOOKUP($S74:$AL74,增益!$A:$A,增益!$D:$D,0))-$I$2</f>
        <v>4195.0125</v>
      </c>
      <c r="AV74" s="33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0.2789</v>
      </c>
      <c r="AW74" s="33" cm="1">
        <f t="array" ref="AW74">$G$10+VLOOKUP($R74,武学奇术!$A:$ZZ,7,FALSE)+SUM(_xlfn.XLOOKUP($S74:$AL74,增益!$A:$A,增益!$G:$G,0))</f>
        <v>0.045</v>
      </c>
      <c r="AX74" s="24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3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3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3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3" cm="1">
        <f t="array" ref="BF74">$G$12+VLOOKUP($R74,武学奇术!$A:$ZZ,12,FALSE)+SUM(_xlfn.XLOOKUP($S74:$AL74,增益!$A:$A,增益!$L:$L,0))</f>
        <v>0.02</v>
      </c>
      <c r="BG74">
        <f t="shared" si="27"/>
        <v>618.2</v>
      </c>
      <c r="BH74">
        <f t="shared" si="28"/>
        <v>1567.4</v>
      </c>
      <c r="BI74" s="33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3" cm="1">
        <f t="array" ref="BJ74">$G$13+VLOOKUP($R74,武学奇术!$A:$ZZ,14,FALSE)+SUM(_xlfn.XLOOKUP($S74:$AL74,增益!$A:$A,增益!$N:$N,0))</f>
        <v>0.17</v>
      </c>
      <c r="BK74">
        <f t="shared" si="29"/>
        <v>0</v>
      </c>
      <c r="BL74">
        <f t="shared" si="30"/>
        <v>0</v>
      </c>
      <c r="BM74" s="33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3" cm="1">
        <f t="array" ref="BN74">$G$14+VLOOKUP($R74,武学奇术!$A:$ZZ,16,FALSE)+SUM(_xlfn.XLOOKUP($S74:$AL74,增益!$A:$A,增益!$P:$P,0))</f>
        <v>0.02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4" cm="1">
        <f t="array" ref="BQ74">1+$B$13+VLOOKUP($R74,武学奇术!$A:$ZZ,18,FALSE)+SUM(_xlfn.XLOOKUP($S74:$AL74,增益!$A:$A,增益!$R:$R,0))</f>
        <v>1.6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1"/>
        <v>0.8865</v>
      </c>
      <c r="BU74" s="24">
        <f t="shared" si="32"/>
        <v>0.0222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0.06</v>
      </c>
      <c r="BX74" s="24" cm="1">
        <f t="array" ref="BX74">VLOOKUP($R74,武学奇术!$A:$ZZ,32,FALSE)+SUM(_xlfn.XLOOKUP($S74:$AL74,增益!$A:$A,增益!$X:$X,0))</f>
        <v>0</v>
      </c>
    </row>
    <row r="75" spans="1:76">
      <c r="A75" s="4" t="s">
        <v>162</v>
      </c>
      <c r="B75" s="91">
        <v>1.3</v>
      </c>
      <c r="F75" s="29"/>
      <c r="K75" s="39">
        <f>$L75*VLOOKUP($R75,武学奇术!$A:$ZY,31,FALSE)</f>
        <v>44472.0375899146</v>
      </c>
      <c r="L75" s="39">
        <f t="shared" si="22"/>
        <v>42354.3215142043</v>
      </c>
      <c r="M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43000.0480443898</v>
      </c>
      <c r="N75" s="39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39848.3379653543</v>
      </c>
      <c r="O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26875.0300277436</v>
      </c>
      <c r="P75" s="39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24232.7726737433</v>
      </c>
      <c r="Q75" s="29">
        <v>1</v>
      </c>
      <c r="R75" s="40" t="s">
        <v>108</v>
      </c>
      <c r="S75" s="40" t="s">
        <v>91</v>
      </c>
      <c r="T75" s="40" t="s">
        <v>172</v>
      </c>
      <c r="U75" s="40" t="s">
        <v>80</v>
      </c>
      <c r="V75" s="40" t="s">
        <v>166</v>
      </c>
      <c r="W75" s="40" t="s">
        <v>80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82</v>
      </c>
      <c r="AD75" s="40" t="s">
        <v>183</v>
      </c>
      <c r="AE75" s="40" t="s">
        <v>80</v>
      </c>
      <c r="AF75" s="40" t="s">
        <v>80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83</v>
      </c>
      <c r="AL75" s="40" t="s">
        <v>80</v>
      </c>
      <c r="AM75" t="str">
        <f>VLOOKUP($R75,武学奇术!$A:$ZZ,25,FALSE)</f>
        <v>伞</v>
      </c>
      <c r="AN75" s="24">
        <f>VLOOKUP($R75,武学奇术!$A:$ZZ,26,FALSE)</f>
        <v>1.7001</v>
      </c>
      <c r="AO75" s="25">
        <f>VLOOKUP($R75,武学奇术!$A:$ZZ,27,FALSE)*(1+IF(OR($AM75=$F$4,$AM75=$F$5),$B$21,0))</f>
        <v>753.6</v>
      </c>
      <c r="AP75" s="24">
        <f>VLOOKUP($R75,武学奇术!$A:$ZZ,28,FALSE)</f>
        <v>2.5502</v>
      </c>
      <c r="AQ75" s="25">
        <f>VLOOKUP($R75,武学奇术!$A:$ZZ,29,FALSE)*(1+IF(OR($AM75=$F$4,$AM75=$F$5),$B$21,0))</f>
        <v>409.6</v>
      </c>
      <c r="AR75" s="24" cm="1">
        <f t="array" ref="AR75">$G$3+IFERROR(VLOOKUP($AM75,$F$4:$G$7,2,FALSE),0)+VLOOKUP($R75,武学奇术!$A:$ZZ,2,FALSE)+SUM(_xlfn.XLOOKUP($S75:$AL75,增益!$A:$A,增益!$B:$B,0))</f>
        <v>0.3743</v>
      </c>
      <c r="AS75" s="24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4530.825</v>
      </c>
      <c r="AU75" cm="1">
        <f t="array" ref="AU75">$E$10*(1+$AS75)+VLOOKUP($R75,武学奇术!$A:$ZZ,4,FALSE)+SUM(_xlfn.XLOOKUP($S75:$AL75,增益!$A:$A,增益!$D:$D,0))-$I$2</f>
        <v>4530.825</v>
      </c>
      <c r="AV75" s="33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0.3789</v>
      </c>
      <c r="AW75" s="33" cm="1">
        <f t="array" ref="AW75">$G$10+VLOOKUP($R75,武学奇术!$A:$ZZ,7,FALSE)+SUM(_xlfn.XLOOKUP($S75:$AL75,增益!$A:$A,增益!$G:$G,0))</f>
        <v>0.145</v>
      </c>
      <c r="AX75" s="24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3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3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3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3" cm="1">
        <f t="array" ref="BF75">$G$12+VLOOKUP($R75,武学奇术!$A:$ZZ,12,FALSE)+SUM(_xlfn.XLOOKUP($S75:$AL75,增益!$A:$A,增益!$L:$L,0))</f>
        <v>0.02</v>
      </c>
      <c r="BG75">
        <f t="shared" si="27"/>
        <v>618.2</v>
      </c>
      <c r="BH75">
        <f t="shared" si="28"/>
        <v>1567.4</v>
      </c>
      <c r="BI75" s="33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0.18</v>
      </c>
      <c r="BJ75" s="33" cm="1">
        <f t="array" ref="BJ75">$G$13+VLOOKUP($R75,武学奇术!$A:$ZZ,14,FALSE)+SUM(_xlfn.XLOOKUP($S75:$AL75,增益!$A:$A,增益!$N:$N,0))</f>
        <v>0.27</v>
      </c>
      <c r="BK75">
        <f t="shared" si="29"/>
        <v>0</v>
      </c>
      <c r="BL75">
        <f t="shared" si="30"/>
        <v>0</v>
      </c>
      <c r="BM75" s="33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3" cm="1">
        <f t="array" ref="BN75">$G$14+VLOOKUP($R75,武学奇术!$A:$ZZ,16,FALSE)+SUM(_xlfn.XLOOKUP($S75:$AL75,增益!$A:$A,增益!$P:$P,0))</f>
        <v>0.02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4" cm="1">
        <f t="array" ref="BQ75">1+$B$13+VLOOKUP($R75,武学奇术!$A:$ZZ,18,FALSE)+SUM(_xlfn.XLOOKUP($S75:$AL75,增益!$A:$A,增益!$R:$R,0))</f>
        <v>1.6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1"/>
        <v>0.8865</v>
      </c>
      <c r="BU75" s="24">
        <f t="shared" si="32"/>
        <v>0.0222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0.06</v>
      </c>
      <c r="BX75" s="24" cm="1">
        <f t="array" ref="BX75">VLOOKUP($R75,武学奇术!$A:$ZZ,32,FALSE)+SUM(_xlfn.XLOOKUP($S75:$AL75,增益!$A:$A,增益!$X:$X,0))</f>
        <v>0</v>
      </c>
    </row>
    <row r="76" spans="1:76">
      <c r="A76" s="4" t="s">
        <v>113</v>
      </c>
      <c r="B76" s="91">
        <v>1.16</v>
      </c>
      <c r="F76" s="29"/>
      <c r="K76" s="39">
        <f>$L76*VLOOKUP($R76,武学奇术!$A:$ZY,31,FALSE)</f>
        <v>114841.321503082</v>
      </c>
      <c r="L76" s="39">
        <f t="shared" si="22"/>
        <v>109372.687145792</v>
      </c>
      <c r="M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113126.954160596</v>
      </c>
      <c r="N76" s="39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85479.8069337744</v>
      </c>
      <c r="O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57717.8337554063</v>
      </c>
      <c r="P76" s="39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52117.2920043131</v>
      </c>
      <c r="Q76" s="29">
        <v>1</v>
      </c>
      <c r="R76" s="40" t="s">
        <v>99</v>
      </c>
      <c r="S76" s="40" t="s">
        <v>91</v>
      </c>
      <c r="T76" s="40" t="s">
        <v>172</v>
      </c>
      <c r="U76" s="40" t="s">
        <v>106</v>
      </c>
      <c r="V76" s="40" t="s">
        <v>166</v>
      </c>
      <c r="W76" s="40" t="s">
        <v>100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82</v>
      </c>
      <c r="AD76" s="40" t="s">
        <v>183</v>
      </c>
      <c r="AE76" s="40" t="s">
        <v>80</v>
      </c>
      <c r="AF76" s="40" t="s">
        <v>80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83</v>
      </c>
      <c r="AL76" s="40" t="s">
        <v>80</v>
      </c>
      <c r="AM76" t="str">
        <f>VLOOKUP($R76,武学奇术!$A:$ZZ,25,FALSE)</f>
        <v>伞</v>
      </c>
      <c r="AN76" s="24">
        <f>VLOOKUP($R76,武学奇术!$A:$ZZ,26,FALSE)</f>
        <v>2.3397</v>
      </c>
      <c r="AO76" s="25">
        <f>VLOOKUP($R76,武学奇术!$A:$ZZ,27,FALSE)*(1+IF(OR($AM76=$F$4,$AM76=$F$5),$B$21,0))</f>
        <v>1036.8</v>
      </c>
      <c r="AP76" s="24">
        <f>VLOOKUP($R76,武学奇术!$A:$ZZ,28,FALSE)</f>
        <v>3.5095</v>
      </c>
      <c r="AQ76" s="25">
        <f>VLOOKUP($R76,武学奇术!$A:$ZZ,29,FALSE)*(1+IF(OR($AM76=$F$4,$AM76=$F$5),$B$21,0))</f>
        <v>564.8</v>
      </c>
      <c r="AR76" s="24" cm="1">
        <f t="array" ref="AR76">$G$3+IFERROR(VLOOKUP($AM76,$F$4:$G$7,2,FALSE),0)+VLOOKUP($R76,武学奇术!$A:$ZZ,2,FALSE)+SUM(_xlfn.XLOOKUP($S76:$AL76,增益!$A:$A,增益!$B:$B,0))</f>
        <v>0.9243</v>
      </c>
      <c r="AS76" s="24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4530.825</v>
      </c>
      <c r="AU76" cm="1">
        <f t="array" ref="AU76">$E$10*(1+$AS76)+VLOOKUP($R76,武学奇术!$A:$ZZ,4,FALSE)+SUM(_xlfn.XLOOKUP($S76:$AL76,增益!$A:$A,增益!$D:$D,0))-$I$2</f>
        <v>4530.825</v>
      </c>
      <c r="AV76" s="33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0.4039</v>
      </c>
      <c r="AW76" s="33" cm="1">
        <f t="array" ref="AW76">$G$10+VLOOKUP($R76,武学奇术!$A:$ZZ,7,FALSE)+SUM(_xlfn.XLOOKUP($S76:$AL76,增益!$A:$A,增益!$G:$G,0))</f>
        <v>0.145</v>
      </c>
      <c r="AX76" s="24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3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3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3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3" cm="1">
        <f t="array" ref="BF76">$G$12+VLOOKUP($R76,武学奇术!$A:$ZZ,12,FALSE)+SUM(_xlfn.XLOOKUP($S76:$AL76,增益!$A:$A,增益!$L:$L,0))</f>
        <v>0.02</v>
      </c>
      <c r="BG76">
        <f t="shared" si="27"/>
        <v>618.2</v>
      </c>
      <c r="BH76">
        <f t="shared" si="28"/>
        <v>1567.4</v>
      </c>
      <c r="BI76" s="33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0.18</v>
      </c>
      <c r="BJ76" s="33" cm="1">
        <f t="array" ref="BJ76">$G$13+VLOOKUP($R76,武学奇术!$A:$ZZ,14,FALSE)+SUM(_xlfn.XLOOKUP($S76:$AL76,增益!$A:$A,增益!$N:$N,0))</f>
        <v>0.27</v>
      </c>
      <c r="BK76">
        <f t="shared" si="29"/>
        <v>0</v>
      </c>
      <c r="BL76">
        <f t="shared" si="30"/>
        <v>0</v>
      </c>
      <c r="BM76" s="33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3" cm="1">
        <f t="array" ref="BN76">$G$14+VLOOKUP($R76,武学奇术!$A:$ZZ,16,FALSE)+SUM(_xlfn.XLOOKUP($S76:$AL76,增益!$A:$A,增益!$P:$P,0))</f>
        <v>0.02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4" cm="1">
        <f t="array" ref="BQ76">1+$B$13+VLOOKUP($R76,武学奇术!$A:$ZZ,18,FALSE)+SUM(_xlfn.XLOOKUP($S76:$AL76,增益!$A:$A,增益!$R:$R,0))</f>
        <v>1.96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1"/>
        <v>0.8865</v>
      </c>
      <c r="BU76" s="24">
        <f t="shared" si="32"/>
        <v>0.0222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0.06</v>
      </c>
      <c r="BX76" s="24" cm="1">
        <f t="array" ref="BX76">VLOOKUP($R76,武学奇术!$A:$ZZ,32,FALSE)+SUM(_xlfn.XLOOKUP($S76:$AL76,增益!$A:$A,增益!$X:$X,0))</f>
        <v>0.1</v>
      </c>
    </row>
    <row r="77" spans="1:76">
      <c r="A77" s="4" t="s">
        <v>167</v>
      </c>
      <c r="B77" s="4">
        <v>0.1</v>
      </c>
      <c r="F77" s="29"/>
      <c r="K77" s="39">
        <f>$L77*VLOOKUP($R77,武学奇术!$A:$ZY,31,FALSE)</f>
        <v>18643.4918502256</v>
      </c>
      <c r="L77" s="39">
        <f t="shared" si="22"/>
        <v>17755.7065240243</v>
      </c>
      <c r="M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18026.3290946273</v>
      </c>
      <c r="N77" s="39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16705.9196653811</v>
      </c>
      <c r="O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11266.4556841421</v>
      </c>
      <c r="P77" s="39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10158.1560605944</v>
      </c>
      <c r="Q77" s="29">
        <v>1</v>
      </c>
      <c r="R77" s="40" t="s">
        <v>113</v>
      </c>
      <c r="S77" s="40" t="s">
        <v>91</v>
      </c>
      <c r="T77" s="40" t="s">
        <v>172</v>
      </c>
      <c r="U77" s="40" t="s">
        <v>80</v>
      </c>
      <c r="V77" s="40" t="s">
        <v>166</v>
      </c>
      <c r="W77" s="40" t="s">
        <v>80</v>
      </c>
      <c r="X77" s="40" t="s">
        <v>80</v>
      </c>
      <c r="Y77" s="40" t="s">
        <v>80</v>
      </c>
      <c r="Z77" s="40" t="s">
        <v>80</v>
      </c>
      <c r="AA77" s="40" t="s">
        <v>80</v>
      </c>
      <c r="AB77" s="40" t="s">
        <v>80</v>
      </c>
      <c r="AC77" s="40" t="s">
        <v>82</v>
      </c>
      <c r="AD77" s="40" t="s">
        <v>183</v>
      </c>
      <c r="AE77" s="40" t="s">
        <v>80</v>
      </c>
      <c r="AF77" s="40" t="s">
        <v>80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83</v>
      </c>
      <c r="AL77" s="40" t="s">
        <v>80</v>
      </c>
      <c r="AM77" t="str">
        <f>VLOOKUP($R77,武学奇术!$A:$ZZ,25,FALSE)</f>
        <v>伞</v>
      </c>
      <c r="AN77" s="24">
        <f>VLOOKUP($R77,武学奇术!$A:$ZZ,26,FALSE)</f>
        <v>0.54</v>
      </c>
      <c r="AO77" s="25">
        <f>VLOOKUP($R77,武学奇术!$A:$ZZ,27,FALSE)*(1+IF(OR($AM77=$F$4,$AM77=$F$5),$B$21,0))</f>
        <v>236.8</v>
      </c>
      <c r="AP77" s="24">
        <f>VLOOKUP($R77,武学奇术!$A:$ZZ,28,FALSE)</f>
        <v>0.81</v>
      </c>
      <c r="AQ77" s="25">
        <f>VLOOKUP($R77,武学奇术!$A:$ZZ,29,FALSE)*(1+IF(OR($AM77=$F$4,$AM77=$F$5),$B$21,0))</f>
        <v>130.4</v>
      </c>
      <c r="AR77" s="24" cm="1">
        <f t="array" ref="AR77">$G$3+IFERROR(VLOOKUP($AM77,$F$4:$G$7,2,FALSE),0)+VLOOKUP($R77,武学奇术!$A:$ZZ,2,FALSE)+SUM(_xlfn.XLOOKUP($S77:$AL77,增益!$A:$A,增益!$B:$B,0))</f>
        <v>0.3743</v>
      </c>
      <c r="AS77" s="24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4530.825</v>
      </c>
      <c r="AU77" cm="1">
        <f t="array" ref="AU77">$E$10*(1+$AS77)+VLOOKUP($R77,武学奇术!$A:$ZZ,4,FALSE)+SUM(_xlfn.XLOOKUP($S77:$AL77,增益!$A:$A,增益!$D:$D,0))-$I$2</f>
        <v>4530.825</v>
      </c>
      <c r="AV77" s="33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0.3789</v>
      </c>
      <c r="AW77" s="33" cm="1">
        <f t="array" ref="AW77">$G$10+VLOOKUP($R77,武学奇术!$A:$ZZ,7,FALSE)+SUM(_xlfn.XLOOKUP($S77:$AL77,增益!$A:$A,增益!$G:$G,0))</f>
        <v>0.145</v>
      </c>
      <c r="AX77" s="24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3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3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3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3" cm="1">
        <f t="array" ref="BF77">$G$12+VLOOKUP($R77,武学奇术!$A:$ZZ,12,FALSE)+SUM(_xlfn.XLOOKUP($S77:$AL77,增益!$A:$A,增益!$L:$L,0))</f>
        <v>0.02</v>
      </c>
      <c r="BG77">
        <f t="shared" si="27"/>
        <v>618.2</v>
      </c>
      <c r="BH77">
        <f t="shared" si="28"/>
        <v>1567.4</v>
      </c>
      <c r="BI77" s="33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0.18</v>
      </c>
      <c r="BJ77" s="33" cm="1">
        <f t="array" ref="BJ77">$G$13+VLOOKUP($R77,武学奇术!$A:$ZZ,14,FALSE)+SUM(_xlfn.XLOOKUP($S77:$AL77,增益!$A:$A,增益!$N:$N,0))</f>
        <v>0.27</v>
      </c>
      <c r="BK77">
        <f t="shared" si="29"/>
        <v>0</v>
      </c>
      <c r="BL77">
        <f t="shared" si="30"/>
        <v>0</v>
      </c>
      <c r="BM77" s="33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-0.14</v>
      </c>
      <c r="BN77" s="33" cm="1">
        <f t="array" ref="BN77">$G$14+VLOOKUP($R77,武学奇术!$A:$ZZ,16,FALSE)+SUM(_xlfn.XLOOKUP($S77:$AL77,增益!$A:$A,增益!$P:$P,0))</f>
        <v>0.02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4" cm="1">
        <f t="array" ref="BQ77">1+$B$13+VLOOKUP($R77,武学奇术!$A:$ZZ,18,FALSE)+SUM(_xlfn.XLOOKUP($S77:$AL77,增益!$A:$A,增益!$R:$R,0))</f>
        <v>1.6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1"/>
        <v>0.8865</v>
      </c>
      <c r="BU77" s="24">
        <f t="shared" si="32"/>
        <v>0.0222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0.06</v>
      </c>
      <c r="BX77" s="24" cm="1">
        <f t="array" ref="BX77">VLOOKUP($R77,武学奇术!$A:$ZZ,32,FALSE)+SUM(_xlfn.XLOOKUP($S77:$AL77,增益!$A:$A,增益!$X:$X,0))</f>
        <v>0</v>
      </c>
    </row>
    <row r="78" spans="1:76">
      <c r="A78" s="4" t="s">
        <v>134</v>
      </c>
      <c r="B78" s="4">
        <v>0.8</v>
      </c>
      <c r="F78" s="29"/>
      <c r="K78" s="39">
        <f>$L78*VLOOKUP($R78,武学奇术!$A:$ZY,31,FALSE)</f>
        <v>28311.1917920899</v>
      </c>
      <c r="L78" s="39">
        <f t="shared" si="22"/>
        <v>26963.0398019904</v>
      </c>
      <c r="M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27374.7417627389</v>
      </c>
      <c r="N78" s="39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25361.5190291823</v>
      </c>
      <c r="O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17109.2136017118</v>
      </c>
      <c r="P78" s="39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15432.1168114368</v>
      </c>
      <c r="Q78" s="29">
        <v>1</v>
      </c>
      <c r="R78" s="40" t="s">
        <v>134</v>
      </c>
      <c r="S78" s="40" t="s">
        <v>91</v>
      </c>
      <c r="T78" s="40" t="s">
        <v>172</v>
      </c>
      <c r="U78" s="40" t="s">
        <v>80</v>
      </c>
      <c r="V78" s="40" t="s">
        <v>166</v>
      </c>
      <c r="W78" s="40" t="s">
        <v>80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82</v>
      </c>
      <c r="AD78" s="40" t="s">
        <v>183</v>
      </c>
      <c r="AE78" s="40" t="s">
        <v>80</v>
      </c>
      <c r="AF78" s="40" t="s">
        <v>80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83</v>
      </c>
      <c r="AL78" s="40" t="s">
        <v>80</v>
      </c>
      <c r="AM78" t="str">
        <f>VLOOKUP($R78,武学奇术!$A:$ZZ,25,FALSE)</f>
        <v>扇</v>
      </c>
      <c r="AN78" s="24">
        <f>VLOOKUP($R78,武学奇术!$A:$ZZ,26,FALSE)</f>
        <v>1.2798</v>
      </c>
      <c r="AO78" s="25">
        <f>VLOOKUP($R78,武学奇术!$A:$ZZ,27,FALSE)*(1+IF(OR($AM78=$F$4,$AM78=$F$5),$B$21,0))</f>
        <v>568</v>
      </c>
      <c r="AP78" s="24">
        <f>VLOOKUP($R78,武学奇术!$A:$ZZ,28,FALSE)</f>
        <v>1.9197</v>
      </c>
      <c r="AQ78" s="25">
        <f>VLOOKUP($R78,武学奇术!$A:$ZZ,29,FALSE)*(1+IF(OR($AM78=$F$4,$AM78=$F$5),$B$21,0))</f>
        <v>308.8</v>
      </c>
      <c r="AR78" s="24" cm="1">
        <f t="array" ref="AR78">$G$3+IFERROR(VLOOKUP($AM78,$F$4:$G$7,2,FALSE),0)+VLOOKUP($R78,武学奇术!$A:$ZZ,2,FALSE)+SUM(_xlfn.XLOOKUP($S78:$AL78,增益!$A:$A,增益!$B:$B,0))</f>
        <v>0.3743</v>
      </c>
      <c r="AS78" s="24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4530.825</v>
      </c>
      <c r="AU78" cm="1">
        <f t="array" ref="AU78">$E$10*(1+$AS78)+VLOOKUP($R78,武学奇术!$A:$ZZ,4,FALSE)+SUM(_xlfn.XLOOKUP($S78:$AL78,增益!$A:$A,增益!$D:$D,0))-$I$2</f>
        <v>4530.825</v>
      </c>
      <c r="AV78" s="33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0.2789</v>
      </c>
      <c r="AW78" s="33" cm="1">
        <f t="array" ref="AW78">$G$10+VLOOKUP($R78,武学奇术!$A:$ZZ,7,FALSE)+SUM(_xlfn.XLOOKUP($S78:$AL78,增益!$A:$A,增益!$G:$G,0))</f>
        <v>0.045</v>
      </c>
      <c r="AX78" s="24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3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3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3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3" cm="1">
        <f t="array" ref="BF78">$G$12+VLOOKUP($R78,武学奇术!$A:$ZZ,12,FALSE)+SUM(_xlfn.XLOOKUP($S78:$AL78,增益!$A:$A,增益!$L:$L,0))</f>
        <v>0.02</v>
      </c>
      <c r="BG78">
        <f t="shared" si="27"/>
        <v>618.2</v>
      </c>
      <c r="BH78">
        <f t="shared" si="28"/>
        <v>1567.4</v>
      </c>
      <c r="BI78" s="33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0.08</v>
      </c>
      <c r="BJ78" s="33" cm="1">
        <f t="array" ref="BJ78">$G$13+VLOOKUP($R78,武学奇术!$A:$ZZ,14,FALSE)+SUM(_xlfn.XLOOKUP($S78:$AL78,增益!$A:$A,增益!$N:$N,0))</f>
        <v>0.17</v>
      </c>
      <c r="BK78">
        <f t="shared" si="29"/>
        <v>0</v>
      </c>
      <c r="BL78">
        <f t="shared" si="30"/>
        <v>0</v>
      </c>
      <c r="BM78" s="33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-0.14</v>
      </c>
      <c r="BN78" s="33" cm="1">
        <f t="array" ref="BN78">$G$14+VLOOKUP($R78,武学奇术!$A:$ZZ,16,FALSE)+SUM(_xlfn.XLOOKUP($S78:$AL78,增益!$A:$A,增益!$P:$P,0))</f>
        <v>0.02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4" cm="1">
        <f t="array" ref="BQ78">1+$B$13+VLOOKUP($R78,武学奇术!$A:$ZZ,18,FALSE)+SUM(_xlfn.XLOOKUP($S78:$AL78,增益!$A:$A,增益!$R:$R,0))</f>
        <v>1.6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31"/>
        <v>0.8865</v>
      </c>
      <c r="BU78" s="24">
        <f t="shared" si="32"/>
        <v>0.0222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0.06</v>
      </c>
      <c r="BX78" s="24" cm="1">
        <f t="array" ref="BX78">VLOOKUP($R78,武学奇术!$A:$ZZ,32,FALSE)+SUM(_xlfn.XLOOKUP($S78:$AL78,增益!$A:$A,增益!$X:$X,0))</f>
        <v>0</v>
      </c>
    </row>
    <row r="79" spans="1:76">
      <c r="A79" s="4" t="s">
        <v>169</v>
      </c>
      <c r="B79" s="4">
        <v>1.4</v>
      </c>
      <c r="F79" s="29"/>
      <c r="K79" s="39">
        <f>$L79*VLOOKUP($R79,武学奇术!$A:$ZY,31,FALSE)</f>
        <v>291607.475858975</v>
      </c>
      <c r="L79" s="39">
        <f t="shared" si="22"/>
        <v>277721.405579976</v>
      </c>
      <c r="M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288938.113171845</v>
      </c>
      <c r="N79" s="39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203042.233051295</v>
      </c>
      <c r="O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136937.494394239</v>
      </c>
      <c r="P79" s="39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123473.334676408</v>
      </c>
      <c r="Q79" s="29">
        <v>1</v>
      </c>
      <c r="R79" s="40" t="s">
        <v>141</v>
      </c>
      <c r="S79" s="40" t="s">
        <v>91</v>
      </c>
      <c r="T79" s="40" t="s">
        <v>172</v>
      </c>
      <c r="U79" s="40" t="s">
        <v>80</v>
      </c>
      <c r="V79" s="40" t="s">
        <v>166</v>
      </c>
      <c r="W79" s="40" t="s">
        <v>142</v>
      </c>
      <c r="X79" s="40" t="s">
        <v>171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82</v>
      </c>
      <c r="AD79" s="40" t="s">
        <v>80</v>
      </c>
      <c r="AE79" s="40" t="s">
        <v>80</v>
      </c>
      <c r="AF79" s="40" t="s">
        <v>80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83</v>
      </c>
      <c r="AL79" s="40" t="s">
        <v>80</v>
      </c>
      <c r="AM79" t="str">
        <f>VLOOKUP($R79,武学奇术!$A:$ZZ,25,FALSE)</f>
        <v>扇</v>
      </c>
      <c r="AN79" s="24">
        <f>VLOOKUP($R79,武学奇术!$A:$ZZ,26,FALSE)</f>
        <v>7.5463</v>
      </c>
      <c r="AO79" s="25">
        <f>VLOOKUP($R79,武学奇术!$A:$ZZ,27,FALSE)*(1+IF(OR($AM79=$F$4,$AM79=$F$5),$B$21,0))</f>
        <v>3339.2</v>
      </c>
      <c r="AP79" s="24">
        <f>VLOOKUP($R79,武学奇术!$A:$ZZ,28,FALSE)</f>
        <v>11.3195</v>
      </c>
      <c r="AQ79" s="25">
        <f>VLOOKUP($R79,武学奇术!$A:$ZZ,29,FALSE)*(1+IF(OR($AM79=$F$4,$AM79=$F$5),$B$21,0))</f>
        <v>1819.2</v>
      </c>
      <c r="AR79" s="24" cm="1">
        <f t="array" ref="AR79">$G$3+IFERROR(VLOOKUP($AM79,$F$4:$G$7,2,FALSE),0)+VLOOKUP($R79,武学奇术!$A:$ZZ,2,FALSE)+SUM(_xlfn.XLOOKUP($S79:$AL79,增益!$A:$A,增益!$B:$B,0))</f>
        <v>0.4343</v>
      </c>
      <c r="AS79" s="24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4530.825</v>
      </c>
      <c r="AU79" cm="1">
        <f t="array" ref="AU79">$E$10*(1+$AS79)+VLOOKUP($R79,武学奇术!$A:$ZZ,4,FALSE)+SUM(_xlfn.XLOOKUP($S79:$AL79,增益!$A:$A,增益!$D:$D,0))-$I$2</f>
        <v>4530.825</v>
      </c>
      <c r="AV79" s="33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0.3789</v>
      </c>
      <c r="AW79" s="33" cm="1">
        <f t="array" ref="AW79">$G$10+VLOOKUP($R79,武学奇术!$A:$ZZ,7,FALSE)+SUM(_xlfn.XLOOKUP($S79:$AL79,增益!$A:$A,增益!$G:$G,0))</f>
        <v>0.145</v>
      </c>
      <c r="AX79" s="24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3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3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3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3" cm="1">
        <f t="array" ref="BF79">$G$12+VLOOKUP($R79,武学奇术!$A:$ZZ,12,FALSE)+SUM(_xlfn.XLOOKUP($S79:$AL79,增益!$A:$A,增益!$L:$L,0))</f>
        <v>0.02</v>
      </c>
      <c r="BG79">
        <f t="shared" si="27"/>
        <v>618.2</v>
      </c>
      <c r="BH79">
        <f t="shared" si="28"/>
        <v>1567.4</v>
      </c>
      <c r="BI79" s="33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0.18</v>
      </c>
      <c r="BJ79" s="33" cm="1">
        <f t="array" ref="BJ79">$G$13+VLOOKUP($R79,武学奇术!$A:$ZZ,14,FALSE)+SUM(_xlfn.XLOOKUP($S79:$AL79,增益!$A:$A,增益!$N:$N,0))</f>
        <v>0.27</v>
      </c>
      <c r="BK79">
        <f t="shared" si="29"/>
        <v>0</v>
      </c>
      <c r="BL79">
        <f t="shared" si="30"/>
        <v>0</v>
      </c>
      <c r="BM79" s="33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-0.14</v>
      </c>
      <c r="BN79" s="33" cm="1">
        <f t="array" ref="BN79">$G$14+VLOOKUP($R79,武学奇术!$A:$ZZ,16,FALSE)+SUM(_xlfn.XLOOKUP($S79:$AL79,增益!$A:$A,增益!$P:$P,0))</f>
        <v>0.02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4" cm="1">
        <f t="array" ref="BQ79">1+$B$13+VLOOKUP($R79,武学奇术!$A:$ZZ,18,FALSE)+SUM(_xlfn.XLOOKUP($S79:$AL79,增益!$A:$A,增益!$R:$R,0))</f>
        <v>2.11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1"/>
        <v>0.8865</v>
      </c>
      <c r="BU79" s="24">
        <f t="shared" si="32"/>
        <v>0.0222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0.06</v>
      </c>
      <c r="BX79" s="24" cm="1">
        <f t="array" ref="BX79">VLOOKUP($R79,武学奇术!$A:$ZZ,32,FALSE)+SUM(_xlfn.XLOOKUP($S79:$AL79,增益!$A:$A,增益!$X:$X,0))</f>
        <v>0.1</v>
      </c>
    </row>
    <row r="80" spans="1:76">
      <c r="A80" s="4" t="s">
        <v>170</v>
      </c>
      <c r="B80" s="4">
        <v>2.5</v>
      </c>
      <c r="F80" s="29"/>
      <c r="K80" s="39">
        <f>$L80*VLOOKUP($R80,武学奇术!$A:$ZY,31,FALSE)</f>
        <v>376185.481572449</v>
      </c>
      <c r="L80" s="39">
        <f t="shared" si="22"/>
        <v>358271.887211856</v>
      </c>
      <c r="M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370569.135690294</v>
      </c>
      <c r="N80" s="39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280011.892256974</v>
      </c>
      <c r="O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189065.885556272</v>
      </c>
      <c r="P80" s="39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170715.554625897</v>
      </c>
      <c r="Q80" s="29">
        <v>5</v>
      </c>
      <c r="R80" s="40" t="s">
        <v>115</v>
      </c>
      <c r="S80" s="40" t="s">
        <v>91</v>
      </c>
      <c r="T80" s="40" t="s">
        <v>172</v>
      </c>
      <c r="U80" s="40" t="s">
        <v>106</v>
      </c>
      <c r="V80" s="40" t="s">
        <v>166</v>
      </c>
      <c r="W80" s="40" t="s">
        <v>100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82</v>
      </c>
      <c r="AD80" s="40" t="s">
        <v>183</v>
      </c>
      <c r="AE80" s="40" t="s">
        <v>80</v>
      </c>
      <c r="AF80" s="40" t="s">
        <v>80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83</v>
      </c>
      <c r="AL80" s="40" t="s">
        <v>80</v>
      </c>
      <c r="AM80" t="str">
        <f>VLOOKUP($R80,武学奇术!$A:$ZZ,25,FALSE)</f>
        <v>伞</v>
      </c>
      <c r="AN80" s="24">
        <f>VLOOKUP($R80,武学奇术!$A:$ZZ,26,FALSE)</f>
        <v>1.0217</v>
      </c>
      <c r="AO80" s="25">
        <f>VLOOKUP($R80,武学奇术!$A:$ZZ,27,FALSE)*(1+IF(OR($AM80=$F$4,$AM80=$F$5),$B$21,0))</f>
        <v>451.2</v>
      </c>
      <c r="AP80" s="24">
        <f>VLOOKUP($R80,武学奇术!$A:$ZZ,28,FALSE)</f>
        <v>1.5325</v>
      </c>
      <c r="AQ80" s="25">
        <f>VLOOKUP($R80,武学奇术!$A:$ZZ,29,FALSE)*(1+IF(OR($AM80=$F$4,$AM80=$F$5),$B$21,0))</f>
        <v>246.4</v>
      </c>
      <c r="AR80" s="24" cm="1">
        <f t="array" ref="AR80">$G$3+IFERROR(VLOOKUP($AM80,$F$4:$G$7,2,FALSE),0)+VLOOKUP($R80,武学奇术!$A:$ZZ,2,FALSE)+SUM(_xlfn.XLOOKUP($S80:$AL80,增益!$A:$A,增益!$B:$B,0))</f>
        <v>0.9243</v>
      </c>
      <c r="AS80" s="24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4530.825</v>
      </c>
      <c r="AU80" cm="1">
        <f t="array" ref="AU80">$E$10*(1+$AS80)+VLOOKUP($R80,武学奇术!$A:$ZZ,4,FALSE)+SUM(_xlfn.XLOOKUP($S80:$AL80,增益!$A:$A,增益!$D:$D,0))-$I$2</f>
        <v>4530.825</v>
      </c>
      <c r="AV80" s="33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0.4039</v>
      </c>
      <c r="AW80" s="33" cm="1">
        <f t="array" ref="AW80">$G$10+VLOOKUP($R80,武学奇术!$A:$ZZ,7,FALSE)+SUM(_xlfn.XLOOKUP($S80:$AL80,增益!$A:$A,增益!$G:$G,0))</f>
        <v>0.145</v>
      </c>
      <c r="AX80" s="24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3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3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3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3" cm="1">
        <f t="array" ref="BF80">$G$12+VLOOKUP($R80,武学奇术!$A:$ZZ,12,FALSE)+SUM(_xlfn.XLOOKUP($S80:$AL80,增益!$A:$A,增益!$L:$L,0))</f>
        <v>0.02</v>
      </c>
      <c r="BG80">
        <f t="shared" si="27"/>
        <v>618.2</v>
      </c>
      <c r="BH80">
        <f t="shared" si="28"/>
        <v>1567.4</v>
      </c>
      <c r="BI80" s="33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0.18</v>
      </c>
      <c r="BJ80" s="33" cm="1">
        <f t="array" ref="BJ80">$G$13+VLOOKUP($R80,武学奇术!$A:$ZZ,14,FALSE)+SUM(_xlfn.XLOOKUP($S80:$AL80,增益!$A:$A,增益!$N:$N,0))</f>
        <v>0.27</v>
      </c>
      <c r="BK80">
        <f t="shared" si="29"/>
        <v>0</v>
      </c>
      <c r="BL80">
        <f t="shared" si="30"/>
        <v>0</v>
      </c>
      <c r="BM80" s="33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-0.14</v>
      </c>
      <c r="BN80" s="33" cm="1">
        <f t="array" ref="BN80">$G$14+VLOOKUP($R80,武学奇术!$A:$ZZ,16,FALSE)+SUM(_xlfn.XLOOKUP($S80:$AL80,增益!$A:$A,增益!$P:$P,0))</f>
        <v>0.02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4" cm="1">
        <f t="array" ref="BQ80">1+$B$13+VLOOKUP($R80,武学奇术!$A:$ZZ,18,FALSE)+SUM(_xlfn.XLOOKUP($S80:$AL80,增益!$A:$A,增益!$R:$R,0))</f>
        <v>1.96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1"/>
        <v>0.8865</v>
      </c>
      <c r="BU80" s="24">
        <f t="shared" si="32"/>
        <v>0.0222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0.06</v>
      </c>
      <c r="BX80" s="24" cm="1">
        <f t="array" ref="BX80">VLOOKUP($R80,武学奇术!$A:$ZZ,32,FALSE)+SUM(_xlfn.XLOOKUP($S80:$AL80,增益!$A:$A,增益!$X:$X,0))</f>
        <v>0.25</v>
      </c>
    </row>
    <row r="81" spans="1:76">
      <c r="A81" s="4" t="s">
        <v>167</v>
      </c>
      <c r="B81" s="4">
        <v>0.1</v>
      </c>
      <c r="D81" s="29" t="s">
        <v>184</v>
      </c>
      <c r="K81" s="39">
        <f>$L81*VLOOKUP($R81,武学奇术!$A:$ZY,31,FALSE)</f>
        <v>372275.639223829</v>
      </c>
      <c r="L81" s="39">
        <f t="shared" si="22"/>
        <v>354548.227832218</v>
      </c>
      <c r="M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366717.666213702</v>
      </c>
      <c r="N81" s="39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277101.619510968</v>
      </c>
      <c r="O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187100.850109031</v>
      </c>
      <c r="P81" s="39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168941.24132105</v>
      </c>
      <c r="Q81" s="29">
        <v>5</v>
      </c>
      <c r="R81" s="40" t="s">
        <v>115</v>
      </c>
      <c r="S81" s="40" t="s">
        <v>91</v>
      </c>
      <c r="T81" s="40" t="s">
        <v>172</v>
      </c>
      <c r="U81" s="40" t="s">
        <v>106</v>
      </c>
      <c r="V81" s="40" t="s">
        <v>166</v>
      </c>
      <c r="W81" s="40" t="s">
        <v>100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82</v>
      </c>
      <c r="AD81" s="40" t="s">
        <v>80</v>
      </c>
      <c r="AE81" s="40" t="s">
        <v>80</v>
      </c>
      <c r="AF81" s="40" t="s">
        <v>80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83</v>
      </c>
      <c r="AL81" s="40" t="s">
        <v>80</v>
      </c>
      <c r="AM81" t="str">
        <f>VLOOKUP($R81,武学奇术!$A:$ZZ,25,FALSE)</f>
        <v>伞</v>
      </c>
      <c r="AN81" s="24">
        <f>VLOOKUP($R81,武学奇术!$A:$ZZ,26,FALSE)</f>
        <v>1.0217</v>
      </c>
      <c r="AO81" s="25">
        <f>VLOOKUP($R81,武学奇术!$A:$ZZ,27,FALSE)*(1+IF(OR($AM81=$F$4,$AM81=$F$5),$B$21,0))</f>
        <v>451.2</v>
      </c>
      <c r="AP81" s="24">
        <f>VLOOKUP($R81,武学奇术!$A:$ZZ,28,FALSE)</f>
        <v>1.5325</v>
      </c>
      <c r="AQ81" s="25">
        <f>VLOOKUP($R81,武学奇术!$A:$ZZ,29,FALSE)*(1+IF(OR($AM81=$F$4,$AM81=$F$5),$B$21,0))</f>
        <v>246.4</v>
      </c>
      <c r="AR81" s="24" cm="1">
        <f t="array" ref="AR81">$G$3+IFERROR(VLOOKUP($AM81,$F$4:$G$7,2,FALSE),0)+VLOOKUP($R81,武学奇术!$A:$ZZ,2,FALSE)+SUM(_xlfn.XLOOKUP($S81:$AL81,增益!$A:$A,增益!$B:$B,0))</f>
        <v>0.9043</v>
      </c>
      <c r="AS81" s="24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4530.825</v>
      </c>
      <c r="AU81" cm="1">
        <f t="array" ref="AU81">$E$10*(1+$AS81)+VLOOKUP($R81,武学奇术!$A:$ZZ,4,FALSE)+SUM(_xlfn.XLOOKUP($S81:$AL81,增益!$A:$A,增益!$D:$D,0))-$I$2</f>
        <v>4530.825</v>
      </c>
      <c r="AV81" s="33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0.4039</v>
      </c>
      <c r="AW81" s="33" cm="1">
        <f t="array" ref="AW81">$G$10+VLOOKUP($R81,武学奇术!$A:$ZZ,7,FALSE)+SUM(_xlfn.XLOOKUP($S81:$AL81,增益!$A:$A,增益!$G:$G,0))</f>
        <v>0.145</v>
      </c>
      <c r="AX81" s="24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3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3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3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3" cm="1">
        <f t="array" ref="BF81">$G$12+VLOOKUP($R81,武学奇术!$A:$ZZ,12,FALSE)+SUM(_xlfn.XLOOKUP($S81:$AL81,增益!$A:$A,增益!$L:$L,0))</f>
        <v>0.02</v>
      </c>
      <c r="BG81">
        <f t="shared" si="27"/>
        <v>618.2</v>
      </c>
      <c r="BH81">
        <f t="shared" si="28"/>
        <v>1567.4</v>
      </c>
      <c r="BI81" s="33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0.18</v>
      </c>
      <c r="BJ81" s="33" cm="1">
        <f t="array" ref="BJ81">$G$13+VLOOKUP($R81,武学奇术!$A:$ZZ,14,FALSE)+SUM(_xlfn.XLOOKUP($S81:$AL81,增益!$A:$A,增益!$N:$N,0))</f>
        <v>0.27</v>
      </c>
      <c r="BK81">
        <f t="shared" si="29"/>
        <v>0</v>
      </c>
      <c r="BL81">
        <f t="shared" si="30"/>
        <v>0</v>
      </c>
      <c r="BM81" s="33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-0.14</v>
      </c>
      <c r="BN81" s="33" cm="1">
        <f t="array" ref="BN81">$G$14+VLOOKUP($R81,武学奇术!$A:$ZZ,16,FALSE)+SUM(_xlfn.XLOOKUP($S81:$AL81,增益!$A:$A,增益!$P:$P,0))</f>
        <v>0.02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4" cm="1">
        <f t="array" ref="BQ81">1+$B$13+VLOOKUP($R81,武学奇术!$A:$ZZ,18,FALSE)+SUM(_xlfn.XLOOKUP($S81:$AL81,增益!$A:$A,增益!$R:$R,0))</f>
        <v>1.96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1"/>
        <v>0.8865</v>
      </c>
      <c r="BU81" s="24">
        <f t="shared" si="32"/>
        <v>0.0222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0.06</v>
      </c>
      <c r="BX81" s="24" cm="1">
        <f t="array" ref="BX81">VLOOKUP($R81,武学奇术!$A:$ZZ,32,FALSE)+SUM(_xlfn.XLOOKUP($S81:$AL81,增益!$A:$A,增益!$X:$X,0))</f>
        <v>0.25</v>
      </c>
    </row>
    <row r="82" spans="1:76">
      <c r="A82" s="4" t="s">
        <v>99</v>
      </c>
      <c r="B82" s="4">
        <v>1.25</v>
      </c>
      <c r="D82" s="29"/>
      <c r="K82" s="39">
        <f>$L82*VLOOKUP($R82,武学奇术!$A:$ZY,31,FALSE)</f>
        <v>124487.848133494</v>
      </c>
      <c r="L82" s="39">
        <f t="shared" si="22"/>
        <v>118559.855365232</v>
      </c>
      <c r="M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122003.458914933</v>
      </c>
      <c r="N82" s="39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97916.1832438719</v>
      </c>
      <c r="O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65947.8156296932</v>
      </c>
      <c r="P82" s="39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59365.1251528147</v>
      </c>
      <c r="Q82" s="29">
        <v>2</v>
      </c>
      <c r="R82" s="40" t="s">
        <v>77</v>
      </c>
      <c r="S82" s="40" t="s">
        <v>91</v>
      </c>
      <c r="T82" s="40" t="s">
        <v>172</v>
      </c>
      <c r="U82" s="40" t="s">
        <v>80</v>
      </c>
      <c r="V82" s="40" t="s">
        <v>166</v>
      </c>
      <c r="W82" s="40" t="s">
        <v>80</v>
      </c>
      <c r="X82" s="40" t="s">
        <v>80</v>
      </c>
      <c r="Y82" s="40" t="s">
        <v>109</v>
      </c>
      <c r="Z82" s="40" t="s">
        <v>80</v>
      </c>
      <c r="AA82" s="40" t="s">
        <v>80</v>
      </c>
      <c r="AB82" s="40" t="s">
        <v>80</v>
      </c>
      <c r="AC82" s="40" t="s">
        <v>82</v>
      </c>
      <c r="AD82" s="40" t="s">
        <v>80</v>
      </c>
      <c r="AE82" s="40" t="s">
        <v>80</v>
      </c>
      <c r="AF82" s="40" t="s">
        <v>80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83</v>
      </c>
      <c r="AL82" s="40" t="s">
        <v>80</v>
      </c>
      <c r="AM82" t="str">
        <f>VLOOKUP($R82,武学奇术!$A:$ZZ,25,FALSE)</f>
        <v>群体奇术</v>
      </c>
      <c r="AN82" s="24">
        <f>VLOOKUP($R82,武学奇术!$A:$ZZ,26,FALSE)</f>
        <v>2.3774</v>
      </c>
      <c r="AO82" s="25">
        <f>VLOOKUP($R82,武学奇术!$A:$ZZ,27,FALSE)*(1+IF(OR($AM82=$F$4,$AM82=$F$5),$B$21,0))</f>
        <v>476</v>
      </c>
      <c r="AP82" s="24">
        <f>VLOOKUP($R82,武学奇术!$A:$ZZ,28,FALSE)</f>
        <v>3.5661</v>
      </c>
      <c r="AQ82" s="25">
        <f>VLOOKUP($R82,武学奇术!$A:$ZZ,29,FALSE)*(1+IF(OR($AM82=$F$4,$AM82=$F$5),$B$21,0))</f>
        <v>0</v>
      </c>
      <c r="AR82" s="24" cm="1">
        <f t="array" ref="AR82">$G$3+IFERROR(VLOOKUP($AM82,$F$4:$G$7,2,FALSE),0)+VLOOKUP($R82,武学奇术!$A:$ZZ,2,FALSE)+SUM(_xlfn.XLOOKUP($S82:$AL82,增益!$A:$A,增益!$B:$B,0))</f>
        <v>0.4519</v>
      </c>
      <c r="AS82" s="24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4530.825</v>
      </c>
      <c r="AU82" cm="1">
        <f t="array" ref="AU82">$E$10*(1+$AS82)+VLOOKUP($R82,武学奇术!$A:$ZZ,4,FALSE)+SUM(_xlfn.XLOOKUP($S82:$AL82,增益!$A:$A,增益!$D:$D,0))-$I$2</f>
        <v>4530.825</v>
      </c>
      <c r="AV82" s="33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0.4039</v>
      </c>
      <c r="AW82" s="33" cm="1">
        <f t="array" ref="AW82">$G$10+VLOOKUP($R82,武学奇术!$A:$ZZ,7,FALSE)+SUM(_xlfn.XLOOKUP($S82:$AL82,增益!$A:$A,增益!$G:$G,0))</f>
        <v>0.045</v>
      </c>
      <c r="AX82" s="24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3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3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3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3" cm="1">
        <f t="array" ref="BF82">$G$12+VLOOKUP($R82,武学奇术!$A:$ZZ,12,FALSE)+SUM(_xlfn.XLOOKUP($S82:$AL82,增益!$A:$A,增益!$L:$L,0))</f>
        <v>0.02</v>
      </c>
      <c r="BG82">
        <f t="shared" si="27"/>
        <v>618.2</v>
      </c>
      <c r="BH82">
        <f t="shared" si="28"/>
        <v>1567.4</v>
      </c>
      <c r="BI82" s="33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0.08</v>
      </c>
      <c r="BJ82" s="33" cm="1">
        <f t="array" ref="BJ82">$G$13+VLOOKUP($R82,武学奇术!$A:$ZZ,14,FALSE)+SUM(_xlfn.XLOOKUP($S82:$AL82,增益!$A:$A,增益!$N:$N,0))</f>
        <v>0.17</v>
      </c>
      <c r="BK82">
        <f t="shared" si="29"/>
        <v>0</v>
      </c>
      <c r="BL82">
        <f t="shared" si="30"/>
        <v>0</v>
      </c>
      <c r="BM82" s="33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-0.14</v>
      </c>
      <c r="BN82" s="33" cm="1">
        <f t="array" ref="BN82">$G$14+VLOOKUP($R82,武学奇术!$A:$ZZ,16,FALSE)+SUM(_xlfn.XLOOKUP($S82:$AL82,增益!$A:$A,增益!$P:$P,0))</f>
        <v>0.02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4" cm="1">
        <f t="array" ref="BQ82">1+$B$13+VLOOKUP($R82,武学奇术!$A:$ZZ,18,FALSE)+SUM(_xlfn.XLOOKUP($S82:$AL82,增益!$A:$A,增益!$R:$R,0))</f>
        <v>1.85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1"/>
        <v>0.8865</v>
      </c>
      <c r="BU82" s="24">
        <f t="shared" si="32"/>
        <v>0.0222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0.06</v>
      </c>
      <c r="BX82" s="24" cm="1">
        <f t="array" ref="BX82">VLOOKUP($R82,武学奇术!$A:$ZZ,32,FALSE)+SUM(_xlfn.XLOOKUP($S82:$AL82,增益!$A:$A,增益!$X:$X,0))</f>
        <v>0</v>
      </c>
    </row>
    <row r="83" spans="1:76">
      <c r="A83" s="4" t="s">
        <v>113</v>
      </c>
      <c r="B83" s="91">
        <v>1.16</v>
      </c>
      <c r="D83" s="29"/>
      <c r="K83" s="39">
        <f>$L83*VLOOKUP($R83,武学奇术!$A:$ZY,31,FALSE)</f>
        <v>122319.865274788</v>
      </c>
      <c r="L83" s="39">
        <f t="shared" si="22"/>
        <v>116495.109785512</v>
      </c>
      <c r="M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119926.373543501</v>
      </c>
      <c r="N83" s="39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95742.2032494641</v>
      </c>
      <c r="O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64825.0667802711</v>
      </c>
      <c r="P83" s="39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58729.9830053835</v>
      </c>
      <c r="Q83" s="29">
        <v>2</v>
      </c>
      <c r="R83" s="40" t="s">
        <v>77</v>
      </c>
      <c r="S83" s="40" t="s">
        <v>91</v>
      </c>
      <c r="T83" s="40" t="s">
        <v>172</v>
      </c>
      <c r="U83" s="40" t="s">
        <v>80</v>
      </c>
      <c r="V83" s="40" t="s">
        <v>166</v>
      </c>
      <c r="W83" s="40" t="s">
        <v>80</v>
      </c>
      <c r="X83" s="40" t="s">
        <v>80</v>
      </c>
      <c r="Y83" s="40" t="s">
        <v>109</v>
      </c>
      <c r="Z83" s="40" t="s">
        <v>80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80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83</v>
      </c>
      <c r="AL83" s="40" t="s">
        <v>80</v>
      </c>
      <c r="AM83" t="str">
        <f>VLOOKUP($R83,武学奇术!$A:$ZZ,25,FALSE)</f>
        <v>群体奇术</v>
      </c>
      <c r="AN83" s="24">
        <f>VLOOKUP($R83,武学奇术!$A:$ZZ,26,FALSE)</f>
        <v>2.3774</v>
      </c>
      <c r="AO83" s="25">
        <f>VLOOKUP($R83,武学奇术!$A:$ZZ,27,FALSE)*(1+IF(OR($AM83=$F$4,$AM83=$F$5),$B$21,0))</f>
        <v>476</v>
      </c>
      <c r="AP83" s="24">
        <f>VLOOKUP($R83,武学奇术!$A:$ZZ,28,FALSE)</f>
        <v>3.5661</v>
      </c>
      <c r="AQ83" s="25">
        <f>VLOOKUP($R83,武学奇术!$A:$ZZ,29,FALSE)*(1+IF(OR($AM83=$F$4,$AM83=$F$5),$B$21,0))</f>
        <v>0</v>
      </c>
      <c r="AR83" s="24" cm="1">
        <f t="array" ref="AR83">$G$3+IFERROR(VLOOKUP($AM83,$F$4:$G$7,2,FALSE),0)+VLOOKUP($R83,武学奇术!$A:$ZZ,2,FALSE)+SUM(_xlfn.XLOOKUP($S83:$AL83,增益!$A:$A,增益!$B:$B,0))</f>
        <v>0.4519</v>
      </c>
      <c r="AS83" s="24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4530.825</v>
      </c>
      <c r="AU83" cm="1">
        <f t="array" ref="AU83">$E$10*(1+$AS83)+VLOOKUP($R83,武学奇术!$A:$ZZ,4,FALSE)+SUM(_xlfn.XLOOKUP($S83:$AL83,增益!$A:$A,增益!$D:$D,0))-$I$2</f>
        <v>4530.825</v>
      </c>
      <c r="AV83" s="33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0.4039</v>
      </c>
      <c r="AW83" s="33" cm="1">
        <f t="array" ref="AW83">$G$10+VLOOKUP($R83,武学奇术!$A:$ZZ,7,FALSE)+SUM(_xlfn.XLOOKUP($S83:$AL83,增益!$A:$A,增益!$G:$G,0))</f>
        <v>0.045</v>
      </c>
      <c r="AX83" s="24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3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3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3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3" cm="1">
        <f t="array" ref="BF83">$G$12+VLOOKUP($R83,武学奇术!$A:$ZZ,12,FALSE)+SUM(_xlfn.XLOOKUP($S83:$AL83,增益!$A:$A,增益!$L:$L,0))</f>
        <v>0.02</v>
      </c>
      <c r="BG83">
        <f t="shared" si="27"/>
        <v>618.2</v>
      </c>
      <c r="BH83">
        <f t="shared" si="28"/>
        <v>1567.4</v>
      </c>
      <c r="BI83" s="33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3" cm="1">
        <f t="array" ref="BJ83">$G$13+VLOOKUP($R83,武学奇术!$A:$ZZ,14,FALSE)+SUM(_xlfn.XLOOKUP($S83:$AL83,增益!$A:$A,增益!$N:$N,0))</f>
        <v>0.17</v>
      </c>
      <c r="BK83">
        <f t="shared" si="29"/>
        <v>0</v>
      </c>
      <c r="BL83">
        <f t="shared" si="30"/>
        <v>0</v>
      </c>
      <c r="BM83" s="33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3" cm="1">
        <f t="array" ref="BN83">$G$14+VLOOKUP($R83,武学奇术!$A:$ZZ,16,FALSE)+SUM(_xlfn.XLOOKUP($S83:$AL83,增益!$A:$A,增益!$P:$P,0))</f>
        <v>0.02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4" cm="1">
        <f t="array" ref="BQ83">1+$B$13+VLOOKUP($R83,武学奇术!$A:$ZZ,18,FALSE)+SUM(_xlfn.XLOOKUP($S83:$AL83,增益!$A:$A,增益!$R:$R,0))</f>
        <v>1.85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1"/>
        <v>0.8865</v>
      </c>
      <c r="BU83" s="24">
        <f t="shared" si="32"/>
        <v>0.0222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0.06</v>
      </c>
      <c r="BX83" s="24" cm="1">
        <f t="array" ref="BX83">VLOOKUP($R83,武学奇术!$A:$ZZ,32,FALSE)+SUM(_xlfn.XLOOKUP($S83:$AL83,增益!$A:$A,增益!$X:$X,0))</f>
        <v>0</v>
      </c>
    </row>
    <row r="84" spans="1:76">
      <c r="A84" s="4" t="s">
        <v>185</v>
      </c>
      <c r="B84" s="91">
        <v>1.57</v>
      </c>
      <c r="D84" s="29"/>
      <c r="K84" s="39">
        <f>$L84*VLOOKUP($R84,武学奇术!$A:$ZY,31,FALSE)</f>
        <v>49904.4282051493</v>
      </c>
      <c r="L84" s="39">
        <f t="shared" si="22"/>
        <v>47528.0268620469</v>
      </c>
      <c r="M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48242.2240800688</v>
      </c>
      <c r="N84" s="39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44818.5581156072</v>
      </c>
      <c r="O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30151.390050043</v>
      </c>
      <c r="P84" s="39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27103.8481625993</v>
      </c>
      <c r="Q84" s="29">
        <v>1</v>
      </c>
      <c r="R84" s="40" t="s">
        <v>77</v>
      </c>
      <c r="S84" s="40" t="s">
        <v>91</v>
      </c>
      <c r="T84" s="40" t="s">
        <v>172</v>
      </c>
      <c r="U84" s="40" t="s">
        <v>80</v>
      </c>
      <c r="V84" s="40" t="s">
        <v>166</v>
      </c>
      <c r="W84" s="40" t="s">
        <v>80</v>
      </c>
      <c r="X84" s="40" t="s">
        <v>80</v>
      </c>
      <c r="Y84" s="40" t="s">
        <v>80</v>
      </c>
      <c r="Z84" s="40" t="s">
        <v>80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80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83</v>
      </c>
      <c r="AL84" s="40" t="s">
        <v>80</v>
      </c>
      <c r="AM84" t="str">
        <f>VLOOKUP($R84,武学奇术!$A:$ZZ,25,FALSE)</f>
        <v>群体奇术</v>
      </c>
      <c r="AN84" s="24">
        <f>VLOOKUP($R84,武学奇术!$A:$ZZ,26,FALSE)</f>
        <v>2.3774</v>
      </c>
      <c r="AO84" s="25">
        <f>VLOOKUP($R84,武学奇术!$A:$ZZ,27,FALSE)*(1+IF(OR($AM84=$F$4,$AM84=$F$5),$B$21,0))</f>
        <v>476</v>
      </c>
      <c r="AP84" s="24">
        <f>VLOOKUP($R84,武学奇术!$A:$ZZ,28,FALSE)</f>
        <v>3.5661</v>
      </c>
      <c r="AQ84" s="25">
        <f>VLOOKUP($R84,武学奇术!$A:$ZZ,29,FALSE)*(1+IF(OR($AM84=$F$4,$AM84=$F$5),$B$21,0))</f>
        <v>0</v>
      </c>
      <c r="AR84" s="24" cm="1">
        <f t="array" ref="AR84">$G$3+IFERROR(VLOOKUP($AM84,$F$4:$G$7,2,FALSE),0)+VLOOKUP($R84,武学奇术!$A:$ZZ,2,FALSE)+SUM(_xlfn.XLOOKUP($S84:$AL84,增益!$A:$A,增益!$B:$B,0))</f>
        <v>0.4519</v>
      </c>
      <c r="AS84" s="24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4530.825</v>
      </c>
      <c r="AU84" cm="1">
        <f t="array" ref="AU84">$E$10*(1+$AS84)+VLOOKUP($R84,武学奇术!$A:$ZZ,4,FALSE)+SUM(_xlfn.XLOOKUP($S84:$AL84,增益!$A:$A,增益!$D:$D,0))-$I$2</f>
        <v>4530.825</v>
      </c>
      <c r="AV84" s="33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0.2789</v>
      </c>
      <c r="AW84" s="33" cm="1">
        <f t="array" ref="AW84">$G$10+VLOOKUP($R84,武学奇术!$A:$ZZ,7,FALSE)+SUM(_xlfn.XLOOKUP($S84:$AL84,增益!$A:$A,增益!$G:$G,0))</f>
        <v>0.045</v>
      </c>
      <c r="AX84" s="24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3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3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3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3" cm="1">
        <f t="array" ref="BF84">$G$12+VLOOKUP($R84,武学奇术!$A:$ZZ,12,FALSE)+SUM(_xlfn.XLOOKUP($S84:$AL84,增益!$A:$A,增益!$L:$L,0))</f>
        <v>0.02</v>
      </c>
      <c r="BG84">
        <f t="shared" si="27"/>
        <v>618.2</v>
      </c>
      <c r="BH84">
        <f t="shared" si="28"/>
        <v>1567.4</v>
      </c>
      <c r="BI84" s="33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3" cm="1">
        <f t="array" ref="BJ84">$G$13+VLOOKUP($R84,武学奇术!$A:$ZZ,14,FALSE)+SUM(_xlfn.XLOOKUP($S84:$AL84,增益!$A:$A,增益!$N:$N,0))</f>
        <v>0.17</v>
      </c>
      <c r="BK84">
        <f t="shared" si="29"/>
        <v>0</v>
      </c>
      <c r="BL84">
        <f t="shared" si="30"/>
        <v>0</v>
      </c>
      <c r="BM84" s="33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3" cm="1">
        <f t="array" ref="BN84">$G$14+VLOOKUP($R84,武学奇术!$A:$ZZ,16,FALSE)+SUM(_xlfn.XLOOKUP($S84:$AL84,增益!$A:$A,增益!$P:$P,0))</f>
        <v>0.02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4" cm="1">
        <f t="array" ref="BQ84">1+$B$13+VLOOKUP($R84,武学奇术!$A:$ZZ,18,FALSE)+SUM(_xlfn.XLOOKUP($S84:$AL84,增益!$A:$A,增益!$R:$R,0))</f>
        <v>1.6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1"/>
        <v>0.8865</v>
      </c>
      <c r="BU84" s="24">
        <f t="shared" si="32"/>
        <v>0.0222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0.06</v>
      </c>
      <c r="BX84" s="24" cm="1">
        <f t="array" ref="BX84">VLOOKUP($R84,武学奇术!$A:$ZZ,32,FALSE)+SUM(_xlfn.XLOOKUP($S84:$AL84,增益!$A:$A,增益!$X:$X,0))</f>
        <v>0</v>
      </c>
    </row>
    <row r="85" spans="1:76">
      <c r="A85" s="4" t="s">
        <v>167</v>
      </c>
      <c r="B85" s="4">
        <v>0.1</v>
      </c>
      <c r="D85" s="29"/>
      <c r="K85" s="39">
        <f>$L85*VLOOKUP($R85,武学奇术!$A:$ZY,31,FALSE)</f>
        <v>43824.8421072701</v>
      </c>
      <c r="L85" s="39">
        <f t="shared" si="22"/>
        <v>41737.9448640667</v>
      </c>
      <c r="M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42374.2742243449</v>
      </c>
      <c r="N85" s="39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39268.4305511747</v>
      </c>
      <c r="O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26483.9213902155</v>
      </c>
      <c r="P85" s="39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23880.1164462276</v>
      </c>
      <c r="Q85" s="29">
        <v>1</v>
      </c>
      <c r="R85" s="40" t="s">
        <v>108</v>
      </c>
      <c r="S85" s="40" t="s">
        <v>91</v>
      </c>
      <c r="T85" s="40" t="s">
        <v>172</v>
      </c>
      <c r="U85" s="40" t="s">
        <v>80</v>
      </c>
      <c r="V85" s="40" t="s">
        <v>166</v>
      </c>
      <c r="W85" s="40" t="s">
        <v>80</v>
      </c>
      <c r="X85" s="40" t="s">
        <v>80</v>
      </c>
      <c r="Y85" s="40" t="s">
        <v>80</v>
      </c>
      <c r="Z85" s="40" t="s">
        <v>80</v>
      </c>
      <c r="AA85" s="40" t="s">
        <v>80</v>
      </c>
      <c r="AB85" s="40" t="s">
        <v>80</v>
      </c>
      <c r="AC85" s="40" t="s">
        <v>82</v>
      </c>
      <c r="AD85" s="40" t="s">
        <v>80</v>
      </c>
      <c r="AE85" s="40" t="s">
        <v>80</v>
      </c>
      <c r="AF85" s="40" t="s">
        <v>80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83</v>
      </c>
      <c r="AL85" s="40" t="s">
        <v>80</v>
      </c>
      <c r="AM85" t="str">
        <f>VLOOKUP($R85,武学奇术!$A:$ZZ,25,FALSE)</f>
        <v>伞</v>
      </c>
      <c r="AN85" s="24">
        <f>VLOOKUP($R85,武学奇术!$A:$ZZ,26,FALSE)</f>
        <v>1.7001</v>
      </c>
      <c r="AO85" s="25">
        <f>VLOOKUP($R85,武学奇术!$A:$ZZ,27,FALSE)*(1+IF(OR($AM85=$F$4,$AM85=$F$5),$B$21,0))</f>
        <v>753.6</v>
      </c>
      <c r="AP85" s="24">
        <f>VLOOKUP($R85,武学奇术!$A:$ZZ,28,FALSE)</f>
        <v>2.5502</v>
      </c>
      <c r="AQ85" s="25">
        <f>VLOOKUP($R85,武学奇术!$A:$ZZ,29,FALSE)*(1+IF(OR($AM85=$F$4,$AM85=$F$5),$B$21,0))</f>
        <v>409.6</v>
      </c>
      <c r="AR85" s="24" cm="1">
        <f t="array" ref="AR85">$G$3+IFERROR(VLOOKUP($AM85,$F$4:$G$7,2,FALSE),0)+VLOOKUP($R85,武学奇术!$A:$ZZ,2,FALSE)+SUM(_xlfn.XLOOKUP($S85:$AL85,增益!$A:$A,增益!$B:$B,0))</f>
        <v>0.3543</v>
      </c>
      <c r="AS85" s="24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4530.825</v>
      </c>
      <c r="AU85" cm="1">
        <f t="array" ref="AU85">$E$10*(1+$AS85)+VLOOKUP($R85,武学奇术!$A:$ZZ,4,FALSE)+SUM(_xlfn.XLOOKUP($S85:$AL85,增益!$A:$A,增益!$D:$D,0))-$I$2</f>
        <v>4530.825</v>
      </c>
      <c r="AV85" s="33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0.3789</v>
      </c>
      <c r="AW85" s="33" cm="1">
        <f t="array" ref="AW85">$G$10+VLOOKUP($R85,武学奇术!$A:$ZZ,7,FALSE)+SUM(_xlfn.XLOOKUP($S85:$AL85,增益!$A:$A,增益!$G:$G,0))</f>
        <v>0.145</v>
      </c>
      <c r="AX85" s="24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3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3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3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3" cm="1">
        <f t="array" ref="BF85">$G$12+VLOOKUP($R85,武学奇术!$A:$ZZ,12,FALSE)+SUM(_xlfn.XLOOKUP($S85:$AL85,增益!$A:$A,增益!$L:$L,0))</f>
        <v>0.02</v>
      </c>
      <c r="BG85">
        <f t="shared" si="27"/>
        <v>618.2</v>
      </c>
      <c r="BH85">
        <f t="shared" si="28"/>
        <v>1567.4</v>
      </c>
      <c r="BI85" s="33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0.18</v>
      </c>
      <c r="BJ85" s="33" cm="1">
        <f t="array" ref="BJ85">$G$13+VLOOKUP($R85,武学奇术!$A:$ZZ,14,FALSE)+SUM(_xlfn.XLOOKUP($S85:$AL85,增益!$A:$A,增益!$N:$N,0))</f>
        <v>0.27</v>
      </c>
      <c r="BK85">
        <f t="shared" si="29"/>
        <v>0</v>
      </c>
      <c r="BL85">
        <f t="shared" si="30"/>
        <v>0</v>
      </c>
      <c r="BM85" s="33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3" cm="1">
        <f t="array" ref="BN85">$G$14+VLOOKUP($R85,武学奇术!$A:$ZZ,16,FALSE)+SUM(_xlfn.XLOOKUP($S85:$AL85,增益!$A:$A,增益!$P:$P,0))</f>
        <v>0.02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4" cm="1">
        <f t="array" ref="BQ85">1+$B$13+VLOOKUP($R85,武学奇术!$A:$ZZ,18,FALSE)+SUM(_xlfn.XLOOKUP($S85:$AL85,增益!$A:$A,增益!$R:$R,0))</f>
        <v>1.6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1"/>
        <v>0.8865</v>
      </c>
      <c r="BU85" s="24">
        <f t="shared" si="32"/>
        <v>0.0222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0.06</v>
      </c>
      <c r="BX85" s="24" cm="1">
        <f t="array" ref="BX85">VLOOKUP($R85,武学奇术!$A:$ZZ,32,FALSE)+SUM(_xlfn.XLOOKUP($S85:$AL85,增益!$A:$A,增益!$X:$X,0))</f>
        <v>0</v>
      </c>
    </row>
    <row r="86" spans="1:76">
      <c r="A86" t="s">
        <v>177</v>
      </c>
      <c r="B86">
        <v>1</v>
      </c>
      <c r="D86" s="29"/>
      <c r="K86" s="39">
        <f>$L86*VLOOKUP($R86,武学奇术!$A:$ZY,31,FALSE)</f>
        <v>18372.1756623448</v>
      </c>
      <c r="L86" s="39">
        <f t="shared" si="22"/>
        <v>17497.3101546141</v>
      </c>
      <c r="M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17763.9943919477</v>
      </c>
      <c r="N86" s="39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16462.8007005935</v>
      </c>
      <c r="O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11102.4964949673</v>
      </c>
      <c r="P86" s="39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10010.3258043099</v>
      </c>
      <c r="Q86" s="29">
        <v>1</v>
      </c>
      <c r="R86" s="40" t="s">
        <v>113</v>
      </c>
      <c r="S86" s="40" t="s">
        <v>91</v>
      </c>
      <c r="T86" s="40" t="s">
        <v>172</v>
      </c>
      <c r="U86" s="40" t="s">
        <v>80</v>
      </c>
      <c r="V86" s="40" t="s">
        <v>166</v>
      </c>
      <c r="W86" s="40" t="s">
        <v>80</v>
      </c>
      <c r="X86" s="40" t="s">
        <v>80</v>
      </c>
      <c r="Y86" s="40" t="s">
        <v>80</v>
      </c>
      <c r="Z86" s="40" t="s">
        <v>80</v>
      </c>
      <c r="AA86" s="40" t="s">
        <v>80</v>
      </c>
      <c r="AB86" s="40" t="s">
        <v>80</v>
      </c>
      <c r="AC86" s="40" t="s">
        <v>82</v>
      </c>
      <c r="AD86" s="40" t="s">
        <v>80</v>
      </c>
      <c r="AE86" s="40" t="s">
        <v>80</v>
      </c>
      <c r="AF86" s="40" t="s">
        <v>80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83</v>
      </c>
      <c r="AL86" s="40" t="s">
        <v>80</v>
      </c>
      <c r="AM86" t="str">
        <f>VLOOKUP($R86,武学奇术!$A:$ZZ,25,FALSE)</f>
        <v>伞</v>
      </c>
      <c r="AN86" s="24">
        <f>VLOOKUP($R86,武学奇术!$A:$ZZ,26,FALSE)</f>
        <v>0.54</v>
      </c>
      <c r="AO86" s="25">
        <f>VLOOKUP($R86,武学奇术!$A:$ZZ,27,FALSE)*(1+IF(OR($AM86=$F$4,$AM86=$F$5),$B$21,0))</f>
        <v>236.8</v>
      </c>
      <c r="AP86" s="24">
        <f>VLOOKUP($R86,武学奇术!$A:$ZZ,28,FALSE)</f>
        <v>0.81</v>
      </c>
      <c r="AQ86" s="25">
        <f>VLOOKUP($R86,武学奇术!$A:$ZZ,29,FALSE)*(1+IF(OR($AM86=$F$4,$AM86=$F$5),$B$21,0))</f>
        <v>130.4</v>
      </c>
      <c r="AR86" s="24" cm="1">
        <f t="array" ref="AR86">$G$3+IFERROR(VLOOKUP($AM86,$F$4:$G$7,2,FALSE),0)+VLOOKUP($R86,武学奇术!$A:$ZZ,2,FALSE)+SUM(_xlfn.XLOOKUP($S86:$AL86,增益!$A:$A,增益!$B:$B,0))</f>
        <v>0.3543</v>
      </c>
      <c r="AS86" s="24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4530.825</v>
      </c>
      <c r="AU86" cm="1">
        <f t="array" ref="AU86">$E$10*(1+$AS86)+VLOOKUP($R86,武学奇术!$A:$ZZ,4,FALSE)+SUM(_xlfn.XLOOKUP($S86:$AL86,增益!$A:$A,增益!$D:$D,0))-$I$2</f>
        <v>4530.825</v>
      </c>
      <c r="AV86" s="33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0.3789</v>
      </c>
      <c r="AW86" s="33" cm="1">
        <f t="array" ref="AW86">$G$10+VLOOKUP($R86,武学奇术!$A:$ZZ,7,FALSE)+SUM(_xlfn.XLOOKUP($S86:$AL86,增益!$A:$A,增益!$G:$G,0))</f>
        <v>0.145</v>
      </c>
      <c r="AX86" s="24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3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3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3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3" cm="1">
        <f t="array" ref="BF86">$G$12+VLOOKUP($R86,武学奇术!$A:$ZZ,12,FALSE)+SUM(_xlfn.XLOOKUP($S86:$AL86,增益!$A:$A,增益!$L:$L,0))</f>
        <v>0.02</v>
      </c>
      <c r="BG86">
        <f t="shared" si="27"/>
        <v>618.2</v>
      </c>
      <c r="BH86">
        <f t="shared" si="28"/>
        <v>1567.4</v>
      </c>
      <c r="BI86" s="33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0.18</v>
      </c>
      <c r="BJ86" s="33" cm="1">
        <f t="array" ref="BJ86">$G$13+VLOOKUP($R86,武学奇术!$A:$ZZ,14,FALSE)+SUM(_xlfn.XLOOKUP($S86:$AL86,增益!$A:$A,增益!$N:$N,0))</f>
        <v>0.27</v>
      </c>
      <c r="BK86">
        <f t="shared" si="29"/>
        <v>0</v>
      </c>
      <c r="BL86">
        <f t="shared" si="30"/>
        <v>0</v>
      </c>
      <c r="BM86" s="33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3" cm="1">
        <f t="array" ref="BN86">$G$14+VLOOKUP($R86,武学奇术!$A:$ZZ,16,FALSE)+SUM(_xlfn.XLOOKUP($S86:$AL86,增益!$A:$A,增益!$P:$P,0))</f>
        <v>0.02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4" cm="1">
        <f t="array" ref="BQ86">1+$B$13+VLOOKUP($R86,武学奇术!$A:$ZZ,18,FALSE)+SUM(_xlfn.XLOOKUP($S86:$AL86,增益!$A:$A,增益!$R:$R,0))</f>
        <v>1.6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1"/>
        <v>0.8865</v>
      </c>
      <c r="BU86" s="24">
        <f t="shared" si="32"/>
        <v>0.0222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0.06</v>
      </c>
      <c r="BX86" s="24" cm="1">
        <f t="array" ref="BX86">VLOOKUP($R86,武学奇术!$A:$ZZ,32,FALSE)+SUM(_xlfn.XLOOKUP($S86:$AL86,增益!$A:$A,增益!$X:$X,0))</f>
        <v>0</v>
      </c>
    </row>
    <row r="87" spans="1:76">
      <c r="A87" s="4" t="s">
        <v>167</v>
      </c>
      <c r="B87" s="4">
        <v>0.1</v>
      </c>
      <c r="D87" s="29"/>
      <c r="F87" s="29" t="s">
        <v>165</v>
      </c>
      <c r="K87" s="39">
        <f>$L87*VLOOKUP($R87,武学奇术!$A:$ZY,31,FALSE)</f>
        <v>27407.6349453459</v>
      </c>
      <c r="L87" s="39">
        <f t="shared" si="22"/>
        <v>26102.509471758</v>
      </c>
      <c r="M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26875.911175292</v>
      </c>
      <c r="N87" s="39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21407.4839075377</v>
      </c>
      <c r="O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14527.5195542119</v>
      </c>
      <c r="P87" s="39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13197.6436213588</v>
      </c>
      <c r="Q87" s="29">
        <v>1</v>
      </c>
      <c r="R87" s="40" t="s">
        <v>155</v>
      </c>
      <c r="S87" s="40" t="s">
        <v>91</v>
      </c>
      <c r="T87" s="40" t="s">
        <v>172</v>
      </c>
      <c r="U87" s="40" t="s">
        <v>80</v>
      </c>
      <c r="V87" s="40" t="s">
        <v>166</v>
      </c>
      <c r="W87" s="40" t="s">
        <v>80</v>
      </c>
      <c r="X87" s="40" t="s">
        <v>80</v>
      </c>
      <c r="Y87" s="40" t="s">
        <v>109</v>
      </c>
      <c r="Z87" s="40" t="s">
        <v>110</v>
      </c>
      <c r="AA87" s="40" t="s">
        <v>80</v>
      </c>
      <c r="AB87" s="40" t="s">
        <v>80</v>
      </c>
      <c r="AC87" s="40" t="s">
        <v>82</v>
      </c>
      <c r="AD87" s="40" t="s">
        <v>80</v>
      </c>
      <c r="AE87" s="40" t="s">
        <v>80</v>
      </c>
      <c r="AF87" s="40" t="s">
        <v>80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83</v>
      </c>
      <c r="AL87" s="40" t="s">
        <v>80</v>
      </c>
      <c r="AM87" t="str">
        <f>VLOOKUP($R87,武学奇术!$A:$ZZ,25,FALSE)</f>
        <v>扇</v>
      </c>
      <c r="AN87" s="24">
        <f>VLOOKUP($R87,武学奇术!$A:$ZZ,26,FALSE)</f>
        <v>0.9271</v>
      </c>
      <c r="AO87" s="25">
        <f>VLOOKUP($R87,武学奇术!$A:$ZZ,27,FALSE)*(1+IF(OR($AM87=$F$4,$AM87=$F$5),$B$21,0))</f>
        <v>411.2</v>
      </c>
      <c r="AP87" s="24">
        <f>VLOOKUP($R87,武学奇术!$A:$ZZ,28,FALSE)</f>
        <v>1.3907</v>
      </c>
      <c r="AQ87" s="25">
        <f>VLOOKUP($R87,武学奇术!$A:$ZZ,29,FALSE)*(1+IF(OR($AM87=$F$4,$AM87=$F$5),$B$21,0))</f>
        <v>224</v>
      </c>
      <c r="AR87" s="24" cm="1">
        <f t="array" ref="AR87">$G$3+IFERROR(VLOOKUP($AM87,$F$4:$G$7,2,FALSE),0)+VLOOKUP($R87,武学奇术!$A:$ZZ,2,FALSE)+SUM(_xlfn.XLOOKUP($S87:$AL87,增益!$A:$A,增益!$B:$B,0))</f>
        <v>0.5043</v>
      </c>
      <c r="AS87" s="24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4530.825</v>
      </c>
      <c r="AU87" cm="1">
        <f t="array" ref="AU87">$E$10*(1+$AS87)+VLOOKUP($R87,武学奇术!$A:$ZZ,4,FALSE)+SUM(_xlfn.XLOOKUP($S87:$AL87,增益!$A:$A,增益!$D:$D,0))-$I$2</f>
        <v>4530.825</v>
      </c>
      <c r="AV87" s="33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0.4039</v>
      </c>
      <c r="AW87" s="33" cm="1">
        <f t="array" ref="AW87">$G$10+VLOOKUP($R87,武学奇术!$A:$ZZ,7,FALSE)+SUM(_xlfn.XLOOKUP($S87:$AL87,增益!$A:$A,增益!$G:$G,0))</f>
        <v>0.045</v>
      </c>
      <c r="AX87" s="24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3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3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3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3" cm="1">
        <f t="array" ref="BF87">$G$12+VLOOKUP($R87,武学奇术!$A:$ZZ,12,FALSE)+SUM(_xlfn.XLOOKUP($S87:$AL87,增益!$A:$A,增益!$L:$L,0))</f>
        <v>0.02</v>
      </c>
      <c r="BG87">
        <f t="shared" si="27"/>
        <v>618.2</v>
      </c>
      <c r="BH87">
        <f t="shared" si="28"/>
        <v>1567.4</v>
      </c>
      <c r="BI87" s="33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0.08</v>
      </c>
      <c r="BJ87" s="33" cm="1">
        <f t="array" ref="BJ87">$G$13+VLOOKUP($R87,武学奇术!$A:$ZZ,14,FALSE)+SUM(_xlfn.XLOOKUP($S87:$AL87,增益!$A:$A,增益!$N:$N,0))</f>
        <v>0.17</v>
      </c>
      <c r="BK87">
        <f t="shared" si="29"/>
        <v>0</v>
      </c>
      <c r="BL87">
        <f t="shared" si="30"/>
        <v>0</v>
      </c>
      <c r="BM87" s="33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3" cm="1">
        <f t="array" ref="BN87">$G$14+VLOOKUP($R87,武学奇术!$A:$ZZ,16,FALSE)+SUM(_xlfn.XLOOKUP($S87:$AL87,增益!$A:$A,增益!$P:$P,0))</f>
        <v>0.02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4" cm="1">
        <f t="array" ref="BQ87">1+$B$13+VLOOKUP($R87,武学奇术!$A:$ZZ,18,FALSE)+SUM(_xlfn.XLOOKUP($S87:$AL87,增益!$A:$A,增益!$R:$R,0))</f>
        <v>1.85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1"/>
        <v>0.8865</v>
      </c>
      <c r="BU87" s="24">
        <f t="shared" si="32"/>
        <v>0.0222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0.06</v>
      </c>
      <c r="BX87" s="24" cm="1">
        <f t="array" ref="BX87">VLOOKUP($R87,武学奇术!$A:$ZZ,32,FALSE)+SUM(_xlfn.XLOOKUP($S87:$AL87,增益!$A:$A,增益!$X:$X,0))</f>
        <v>0</v>
      </c>
    </row>
    <row r="88" spans="1:76">
      <c r="A88" s="4" t="s">
        <v>186</v>
      </c>
      <c r="B88" s="4">
        <v>0.3</v>
      </c>
      <c r="D88" s="29"/>
      <c r="F88" s="29"/>
      <c r="K88" s="39">
        <f>$L88*VLOOKUP($R88,武学奇术!$A:$ZY,31,FALSE)</f>
        <v>380616.01397382</v>
      </c>
      <c r="L88" s="39">
        <f t="shared" si="22"/>
        <v>362491.441879829</v>
      </c>
      <c r="M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380387.753803959</v>
      </c>
      <c r="N88" s="39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237672.227238076</v>
      </c>
      <c r="O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161181.251611847</v>
      </c>
      <c r="P88" s="39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146309.001565859</v>
      </c>
      <c r="Q88" s="29">
        <v>1</v>
      </c>
      <c r="R88" s="40" t="s">
        <v>141</v>
      </c>
      <c r="S88" s="40" t="s">
        <v>91</v>
      </c>
      <c r="T88" s="40" t="s">
        <v>172</v>
      </c>
      <c r="U88" s="40" t="s">
        <v>80</v>
      </c>
      <c r="V88" s="40" t="s">
        <v>166</v>
      </c>
      <c r="W88" s="40" t="s">
        <v>142</v>
      </c>
      <c r="X88" s="40" t="s">
        <v>171</v>
      </c>
      <c r="Y88" s="40" t="s">
        <v>109</v>
      </c>
      <c r="Z88" s="40" t="s">
        <v>110</v>
      </c>
      <c r="AA88" s="40" t="s">
        <v>80</v>
      </c>
      <c r="AB88" s="40" t="s">
        <v>80</v>
      </c>
      <c r="AC88" s="40" t="s">
        <v>82</v>
      </c>
      <c r="AD88" s="40" t="s">
        <v>80</v>
      </c>
      <c r="AE88" s="40" t="s">
        <v>80</v>
      </c>
      <c r="AF88" s="40" t="s">
        <v>80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83</v>
      </c>
      <c r="AL88" s="40" t="s">
        <v>80</v>
      </c>
      <c r="AM88" t="str">
        <f>VLOOKUP($R88,武学奇术!$A:$ZZ,25,FALSE)</f>
        <v>扇</v>
      </c>
      <c r="AN88" s="24">
        <f>VLOOKUP($R88,武学奇术!$A:$ZZ,26,FALSE)</f>
        <v>7.5463</v>
      </c>
      <c r="AO88" s="25">
        <f>VLOOKUP($R88,武学奇术!$A:$ZZ,27,FALSE)*(1+IF(OR($AM88=$F$4,$AM88=$F$5),$B$21,0))</f>
        <v>3339.2</v>
      </c>
      <c r="AP88" s="24">
        <f>VLOOKUP($R88,武学奇术!$A:$ZZ,28,FALSE)</f>
        <v>11.3195</v>
      </c>
      <c r="AQ88" s="25">
        <f>VLOOKUP($R88,武学奇术!$A:$ZZ,29,FALSE)*(1+IF(OR($AM88=$F$4,$AM88=$F$5),$B$21,0))</f>
        <v>1819.2</v>
      </c>
      <c r="AR88" s="24" cm="1">
        <f t="array" ref="AR88">$G$3+IFERROR(VLOOKUP($AM88,$F$4:$G$7,2,FALSE),0)+VLOOKUP($R88,武学奇术!$A:$ZZ,2,FALSE)+SUM(_xlfn.XLOOKUP($S88:$AL88,增益!$A:$A,增益!$B:$B,0))</f>
        <v>0.5843</v>
      </c>
      <c r="AS88" s="24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4530.825</v>
      </c>
      <c r="AU88" cm="1">
        <f t="array" ref="AU88">$E$10*(1+$AS88)+VLOOKUP($R88,武学奇术!$A:$ZZ,4,FALSE)+SUM(_xlfn.XLOOKUP($S88:$AL88,增益!$A:$A,增益!$D:$D,0))-$I$2</f>
        <v>4530.825</v>
      </c>
      <c r="AV88" s="33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0.5039</v>
      </c>
      <c r="AW88" s="33" cm="1">
        <f t="array" ref="AW88">$G$10+VLOOKUP($R88,武学奇术!$A:$ZZ,7,FALSE)+SUM(_xlfn.XLOOKUP($S88:$AL88,增益!$A:$A,增益!$G:$G,0))</f>
        <v>0.145</v>
      </c>
      <c r="AX88" s="24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3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3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3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3" cm="1">
        <f t="array" ref="BF88">$G$12+VLOOKUP($R88,武学奇术!$A:$ZZ,12,FALSE)+SUM(_xlfn.XLOOKUP($S88:$AL88,增益!$A:$A,增益!$L:$L,0))</f>
        <v>0.02</v>
      </c>
      <c r="BG88">
        <f t="shared" si="27"/>
        <v>618.2</v>
      </c>
      <c r="BH88">
        <f t="shared" si="28"/>
        <v>1567.4</v>
      </c>
      <c r="BI88" s="33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0.18</v>
      </c>
      <c r="BJ88" s="33" cm="1">
        <f t="array" ref="BJ88">$G$13+VLOOKUP($R88,武学奇术!$A:$ZZ,14,FALSE)+SUM(_xlfn.XLOOKUP($S88:$AL88,增益!$A:$A,增益!$N:$N,0))</f>
        <v>0.27</v>
      </c>
      <c r="BK88">
        <f t="shared" si="29"/>
        <v>0</v>
      </c>
      <c r="BL88">
        <f t="shared" si="30"/>
        <v>0</v>
      </c>
      <c r="BM88" s="33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3" cm="1">
        <f t="array" ref="BN88">$G$14+VLOOKUP($R88,武学奇术!$A:$ZZ,16,FALSE)+SUM(_xlfn.XLOOKUP($S88:$AL88,增益!$A:$A,增益!$P:$P,0))</f>
        <v>0.02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4" cm="1">
        <f t="array" ref="BQ88">1+$B$13+VLOOKUP($R88,武学奇术!$A:$ZZ,18,FALSE)+SUM(_xlfn.XLOOKUP($S88:$AL88,增益!$A:$A,增益!$R:$R,0))</f>
        <v>2.36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1"/>
        <v>0.8865</v>
      </c>
      <c r="BU88" s="24">
        <f t="shared" si="32"/>
        <v>0.0222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0.06</v>
      </c>
      <c r="BX88" s="24" cm="1">
        <f t="array" ref="BX88">VLOOKUP($R88,武学奇术!$A:$ZZ,32,FALSE)+SUM(_xlfn.XLOOKUP($S88:$AL88,增益!$A:$A,增益!$X:$X,0))</f>
        <v>0.1</v>
      </c>
    </row>
    <row r="89" spans="1:76">
      <c r="A89" s="4" t="s">
        <v>162</v>
      </c>
      <c r="B89" s="91">
        <v>1.3</v>
      </c>
      <c r="C89" s="27">
        <v>0.3</v>
      </c>
      <c r="D89" s="29"/>
      <c r="F89" s="29"/>
      <c r="K89" s="39">
        <f>$L89*VLOOKUP($R89,武学奇术!$A:$ZY,31,FALSE)</f>
        <v>47744.8262133697</v>
      </c>
      <c r="L89" s="39">
        <f t="shared" si="22"/>
        <v>45471.2630603521</v>
      </c>
      <c r="M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47494.4986372213</v>
      </c>
      <c r="N89" s="39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31657.1298986498</v>
      </c>
      <c r="O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21490.7233652585</v>
      </c>
      <c r="P89" s="39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19531.7208796653</v>
      </c>
      <c r="Q89" s="29">
        <v>0.5</v>
      </c>
      <c r="R89" s="40" t="s">
        <v>115</v>
      </c>
      <c r="S89" s="40" t="s">
        <v>91</v>
      </c>
      <c r="T89" s="40" t="s">
        <v>172</v>
      </c>
      <c r="U89" s="40" t="s">
        <v>106</v>
      </c>
      <c r="V89" s="40" t="s">
        <v>166</v>
      </c>
      <c r="W89" s="40" t="s">
        <v>100</v>
      </c>
      <c r="X89" s="40" t="s">
        <v>80</v>
      </c>
      <c r="Y89" s="40" t="s">
        <v>109</v>
      </c>
      <c r="Z89" s="40" t="s">
        <v>110</v>
      </c>
      <c r="AA89" s="40" t="s">
        <v>80</v>
      </c>
      <c r="AB89" s="40" t="s">
        <v>80</v>
      </c>
      <c r="AC89" s="40" t="s">
        <v>82</v>
      </c>
      <c r="AD89" s="40" t="s">
        <v>80</v>
      </c>
      <c r="AE89" s="40" t="s">
        <v>80</v>
      </c>
      <c r="AF89" s="40" t="s">
        <v>80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83</v>
      </c>
      <c r="AL89" s="40" t="s">
        <v>80</v>
      </c>
      <c r="AM89" t="str">
        <f>VLOOKUP($R89,武学奇术!$A:$ZZ,25,FALSE)</f>
        <v>伞</v>
      </c>
      <c r="AN89" s="24">
        <f>VLOOKUP($R89,武学奇术!$A:$ZZ,26,FALSE)</f>
        <v>1.0217</v>
      </c>
      <c r="AO89" s="25">
        <f>VLOOKUP($R89,武学奇术!$A:$ZZ,27,FALSE)*(1+IF(OR($AM89=$F$4,$AM89=$F$5),$B$21,0))</f>
        <v>451.2</v>
      </c>
      <c r="AP89" s="24">
        <f>VLOOKUP($R89,武学奇术!$A:$ZZ,28,FALSE)</f>
        <v>1.5325</v>
      </c>
      <c r="AQ89" s="25">
        <f>VLOOKUP($R89,武学奇术!$A:$ZZ,29,FALSE)*(1+IF(OR($AM89=$F$4,$AM89=$F$5),$B$21,0))</f>
        <v>246.4</v>
      </c>
      <c r="AR89" s="24" cm="1">
        <f t="array" ref="AR89">$G$3+IFERROR(VLOOKUP($AM89,$F$4:$G$7,2,FALSE),0)+VLOOKUP($R89,武学奇术!$A:$ZZ,2,FALSE)+SUM(_xlfn.XLOOKUP($S89:$AL89,增益!$A:$A,增益!$B:$B,0))</f>
        <v>1.0543</v>
      </c>
      <c r="AS89" s="24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4530.825</v>
      </c>
      <c r="AU89" cm="1">
        <f t="array" ref="AU89">$E$10*(1+$AS89)+VLOOKUP($R89,武学奇术!$A:$ZZ,4,FALSE)+SUM(_xlfn.XLOOKUP($S89:$AL89,增益!$A:$A,增益!$D:$D,0))-$I$2</f>
        <v>4530.825</v>
      </c>
      <c r="AV89" s="33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0.5289</v>
      </c>
      <c r="AW89" s="33" cm="1">
        <f t="array" ref="AW89">$G$10+VLOOKUP($R89,武学奇术!$A:$ZZ,7,FALSE)+SUM(_xlfn.XLOOKUP($S89:$AL89,增益!$A:$A,增益!$G:$G,0))</f>
        <v>0.145</v>
      </c>
      <c r="AX89" s="24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3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3" cm="1">
        <f t="array" ref="BB89">$G$11+VLOOKUP($R89,武学奇术!$A:$ZZ,10,FALSE)+SUM(_xlfn.XLOOKUP($S89:$AL89,增益!$A:$A,增益!$J:$J,0))</f>
        <v>0.02</v>
      </c>
      <c r="BC89">
        <f t="shared" si="25"/>
        <v>0</v>
      </c>
      <c r="BD89">
        <f t="shared" si="26"/>
        <v>0</v>
      </c>
      <c r="BE89" s="33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3" cm="1">
        <f t="array" ref="BF89">$G$12+VLOOKUP($R89,武学奇术!$A:$ZZ,12,FALSE)+SUM(_xlfn.XLOOKUP($S89:$AL89,增益!$A:$A,增益!$L:$L,0))</f>
        <v>0.02</v>
      </c>
      <c r="BG89">
        <f t="shared" si="27"/>
        <v>618.2</v>
      </c>
      <c r="BH89">
        <f t="shared" si="28"/>
        <v>1567.4</v>
      </c>
      <c r="BI89" s="33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0.18</v>
      </c>
      <c r="BJ89" s="33" cm="1">
        <f t="array" ref="BJ89">$G$13+VLOOKUP($R89,武学奇术!$A:$ZZ,14,FALSE)+SUM(_xlfn.XLOOKUP($S89:$AL89,增益!$A:$A,增益!$N:$N,0))</f>
        <v>0.27</v>
      </c>
      <c r="BK89">
        <f t="shared" si="29"/>
        <v>0</v>
      </c>
      <c r="BL89">
        <f t="shared" si="30"/>
        <v>0</v>
      </c>
      <c r="BM89" s="33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3" cm="1">
        <f t="array" ref="BN89">$G$14+VLOOKUP($R89,武学奇术!$A:$ZZ,16,FALSE)+SUM(_xlfn.XLOOKUP($S89:$AL89,增益!$A:$A,增益!$P:$P,0))</f>
        <v>0.02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4" cm="1">
        <f t="array" ref="BQ89">1+$B$13+VLOOKUP($R89,武学奇术!$A:$ZZ,18,FALSE)+SUM(_xlfn.XLOOKUP($S89:$AL89,增益!$A:$A,增益!$R:$R,0))</f>
        <v>2.21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1"/>
        <v>0.8865</v>
      </c>
      <c r="BU89" s="24">
        <f t="shared" si="32"/>
        <v>0.0222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0.06</v>
      </c>
      <c r="BX89" s="24" cm="1">
        <f t="array" ref="BX89">VLOOKUP($R89,武学奇术!$A:$ZZ,32,FALSE)+SUM(_xlfn.XLOOKUP($S89:$AL89,增益!$A:$A,增益!$X:$X,0))</f>
        <v>0.25</v>
      </c>
    </row>
    <row r="90" spans="1:76">
      <c r="A90" s="4" t="s">
        <v>99</v>
      </c>
      <c r="B90" s="4">
        <v>1.25</v>
      </c>
      <c r="C90" s="27"/>
      <c r="D90" s="29"/>
      <c r="F90" s="29"/>
      <c r="K90" s="39">
        <f>$L90*VLOOKUP($R90,武学奇术!$A:$ZY,31,FALSE)</f>
        <v>525193.088347067</v>
      </c>
      <c r="L90" s="39">
        <f t="shared" si="22"/>
        <v>500183.893663873</v>
      </c>
      <c r="M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522439.485009434</v>
      </c>
      <c r="N90" s="39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348228.428885147</v>
      </c>
      <c r="O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236397.957017843</v>
      </c>
      <c r="P90" s="39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214848.929676319</v>
      </c>
      <c r="Q90" s="29">
        <v>5.5</v>
      </c>
      <c r="R90" s="40" t="s">
        <v>115</v>
      </c>
      <c r="S90" s="40" t="s">
        <v>91</v>
      </c>
      <c r="T90" s="40" t="s">
        <v>172</v>
      </c>
      <c r="U90" s="40" t="s">
        <v>106</v>
      </c>
      <c r="V90" s="40" t="s">
        <v>166</v>
      </c>
      <c r="W90" s="40" t="s">
        <v>100</v>
      </c>
      <c r="X90" s="40" t="s">
        <v>80</v>
      </c>
      <c r="Y90" s="40" t="s">
        <v>109</v>
      </c>
      <c r="Z90" s="40" t="s">
        <v>110</v>
      </c>
      <c r="AA90" s="40" t="s">
        <v>80</v>
      </c>
      <c r="AB90" s="40" t="s">
        <v>80</v>
      </c>
      <c r="AC90" s="40" t="s">
        <v>82</v>
      </c>
      <c r="AD90" s="40" t="s">
        <v>80</v>
      </c>
      <c r="AE90" s="40" t="s">
        <v>80</v>
      </c>
      <c r="AF90" s="40" t="s">
        <v>80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83</v>
      </c>
      <c r="AL90" s="40" t="s">
        <v>80</v>
      </c>
      <c r="AM90" t="str">
        <f>VLOOKUP($R90,武学奇术!$A:$ZZ,25,FALSE)</f>
        <v>伞</v>
      </c>
      <c r="AN90" s="24">
        <f>VLOOKUP($R90,武学奇术!$A:$ZZ,26,FALSE)</f>
        <v>1.0217</v>
      </c>
      <c r="AO90" s="25">
        <f>VLOOKUP($R90,武学奇术!$A:$ZZ,27,FALSE)*(1+IF(OR($AM90=$F$4,$AM90=$F$5),$B$21,0))</f>
        <v>451.2</v>
      </c>
      <c r="AP90" s="24">
        <f>VLOOKUP($R90,武学奇术!$A:$ZZ,28,FALSE)</f>
        <v>1.5325</v>
      </c>
      <c r="AQ90" s="25">
        <f>VLOOKUP($R90,武学奇术!$A:$ZZ,29,FALSE)*(1+IF(OR($AM90=$F$4,$AM90=$F$5),$B$21,0))</f>
        <v>246.4</v>
      </c>
      <c r="AR90" s="24" cm="1">
        <f t="array" ref="AR90">$G$3+IFERROR(VLOOKUP($AM90,$F$4:$G$7,2,FALSE),0)+VLOOKUP($R90,武学奇术!$A:$ZZ,2,FALSE)+SUM(_xlfn.XLOOKUP($S90:$AL90,增益!$A:$A,增益!$B:$B,0))</f>
        <v>1.0543</v>
      </c>
      <c r="AS90" s="24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4530.825</v>
      </c>
      <c r="AU90" cm="1">
        <f t="array" ref="AU90">$E$10*(1+$AS90)+VLOOKUP($R90,武学奇术!$A:$ZZ,4,FALSE)+SUM(_xlfn.XLOOKUP($S90:$AL90,增益!$A:$A,增益!$D:$D,0))-$I$2</f>
        <v>4530.825</v>
      </c>
      <c r="AV90" s="33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0.5289</v>
      </c>
      <c r="AW90" s="33" cm="1">
        <f t="array" ref="AW90">$G$10+VLOOKUP($R90,武学奇术!$A:$ZZ,7,FALSE)+SUM(_xlfn.XLOOKUP($S90:$AL90,增益!$A:$A,增益!$G:$G,0))</f>
        <v>0.145</v>
      </c>
      <c r="AX90" s="24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3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3" cm="1">
        <f t="array" ref="BB90">$G$11+VLOOKUP($R90,武学奇术!$A:$ZZ,10,FALSE)+SUM(_xlfn.XLOOKUP($S90:$AL90,增益!$A:$A,增益!$J:$J,0))</f>
        <v>0.02</v>
      </c>
      <c r="BC90">
        <f t="shared" si="25"/>
        <v>0</v>
      </c>
      <c r="BD90">
        <f t="shared" si="26"/>
        <v>0</v>
      </c>
      <c r="BE90" s="33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3" cm="1">
        <f t="array" ref="BF90">$G$12+VLOOKUP($R90,武学奇术!$A:$ZZ,12,FALSE)+SUM(_xlfn.XLOOKUP($S90:$AL90,增益!$A:$A,增益!$L:$L,0))</f>
        <v>0.02</v>
      </c>
      <c r="BG90">
        <f t="shared" si="27"/>
        <v>618.2</v>
      </c>
      <c r="BH90">
        <f t="shared" si="28"/>
        <v>1567.4</v>
      </c>
      <c r="BI90" s="33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0.18</v>
      </c>
      <c r="BJ90" s="33" cm="1">
        <f t="array" ref="BJ90">$G$13+VLOOKUP($R90,武学奇术!$A:$ZZ,14,FALSE)+SUM(_xlfn.XLOOKUP($S90:$AL90,增益!$A:$A,增益!$N:$N,0))</f>
        <v>0.27</v>
      </c>
      <c r="BK90">
        <f t="shared" si="29"/>
        <v>0</v>
      </c>
      <c r="BL90">
        <f t="shared" si="30"/>
        <v>0</v>
      </c>
      <c r="BM90" s="33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3" cm="1">
        <f t="array" ref="BN90">$G$14+VLOOKUP($R90,武学奇术!$A:$ZZ,16,FALSE)+SUM(_xlfn.XLOOKUP($S90:$AL90,增益!$A:$A,增益!$P:$P,0))</f>
        <v>0.02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4" cm="1">
        <f t="array" ref="BQ90">1+$B$13+VLOOKUP($R90,武学奇术!$A:$ZZ,18,FALSE)+SUM(_xlfn.XLOOKUP($S90:$AL90,增益!$A:$A,增益!$R:$R,0))</f>
        <v>2.21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1"/>
        <v>0.8865</v>
      </c>
      <c r="BU90" s="24">
        <f t="shared" si="32"/>
        <v>0.0222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0.06</v>
      </c>
      <c r="BX90" s="24" cm="1">
        <f t="array" ref="BX90">VLOOKUP($R90,武学奇术!$A:$ZZ,32,FALSE)+SUM(_xlfn.XLOOKUP($S90:$AL90,增益!$A:$A,增益!$X:$X,0))</f>
        <v>0.25</v>
      </c>
    </row>
    <row r="91" spans="1:76">
      <c r="A91" s="4" t="s">
        <v>113</v>
      </c>
      <c r="B91" s="91">
        <v>1.16</v>
      </c>
      <c r="D91" s="29"/>
      <c r="F91" s="29"/>
      <c r="K91" s="39">
        <f>$L91*VLOOKUP($R91,武学奇术!$A:$ZY,31,FALSE)</f>
        <v>47748.6175306594</v>
      </c>
      <c r="L91" s="39">
        <f t="shared" si="22"/>
        <v>45474.8738387232</v>
      </c>
      <c r="M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46185.9330568154</v>
      </c>
      <c r="N91" s="39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42609.138693243</v>
      </c>
      <c r="O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28866.2081605096</v>
      </c>
      <c r="P91" s="39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26170.0913630614</v>
      </c>
      <c r="Q91" s="29">
        <v>1</v>
      </c>
      <c r="R91" s="40" t="s">
        <v>108</v>
      </c>
      <c r="S91" s="40" t="s">
        <v>91</v>
      </c>
      <c r="T91" s="40" t="s">
        <v>172</v>
      </c>
      <c r="U91" s="40" t="s">
        <v>80</v>
      </c>
      <c r="V91" s="40" t="s">
        <v>166</v>
      </c>
      <c r="W91" s="40" t="s">
        <v>80</v>
      </c>
      <c r="X91" s="40" t="s">
        <v>80</v>
      </c>
      <c r="Y91" s="40" t="s">
        <v>80</v>
      </c>
      <c r="Z91" s="40" t="s">
        <v>110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80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83</v>
      </c>
      <c r="AL91" s="40" t="s">
        <v>80</v>
      </c>
      <c r="AM91" t="str">
        <f>VLOOKUP($R91,武学奇术!$A:$ZZ,25,FALSE)</f>
        <v>伞</v>
      </c>
      <c r="AN91" s="24">
        <f>VLOOKUP($R91,武学奇术!$A:$ZZ,26,FALSE)</f>
        <v>1.7001</v>
      </c>
      <c r="AO91" s="25">
        <f>VLOOKUP($R91,武学奇术!$A:$ZZ,27,FALSE)*(1+IF(OR($AM91=$F$4,$AM91=$F$5),$B$21,0))</f>
        <v>753.6</v>
      </c>
      <c r="AP91" s="24">
        <f>VLOOKUP($R91,武学奇术!$A:$ZZ,28,FALSE)</f>
        <v>2.5502</v>
      </c>
      <c r="AQ91" s="25">
        <f>VLOOKUP($R91,武学奇术!$A:$ZZ,29,FALSE)*(1+IF(OR($AM91=$F$4,$AM91=$F$5),$B$21,0))</f>
        <v>409.6</v>
      </c>
      <c r="AR91" s="24" cm="1">
        <f t="array" ref="AR91">$G$3+IFERROR(VLOOKUP($AM91,$F$4:$G$7,2,FALSE),0)+VLOOKUP($R91,武学奇术!$A:$ZZ,2,FALSE)+SUM(_xlfn.XLOOKUP($S91:$AL91,增益!$A:$A,增益!$B:$B,0))</f>
        <v>0.5043</v>
      </c>
      <c r="AS91" s="24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4530.825</v>
      </c>
      <c r="AU91" cm="1">
        <f t="array" ref="AU91">$E$10*(1+$AS91)+VLOOKUP($R91,武学奇术!$A:$ZZ,4,FALSE)+SUM(_xlfn.XLOOKUP($S91:$AL91,增益!$A:$A,增益!$D:$D,0))-$I$2</f>
        <v>4530.825</v>
      </c>
      <c r="AV91" s="33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0.3789</v>
      </c>
      <c r="AW91" s="33" cm="1">
        <f t="array" ref="AW91">$G$10+VLOOKUP($R91,武学奇术!$A:$ZZ,7,FALSE)+SUM(_xlfn.XLOOKUP($S91:$AL91,增益!$A:$A,增益!$G:$G,0))</f>
        <v>0.145</v>
      </c>
      <c r="AX91" s="24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3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3" cm="1">
        <f t="array" ref="BB91">$G$11+VLOOKUP($R91,武学奇术!$A:$ZZ,10,FALSE)+SUM(_xlfn.XLOOKUP($S91:$AL91,增益!$A:$A,增益!$J:$J,0))</f>
        <v>0.02</v>
      </c>
      <c r="BC91">
        <f t="shared" si="25"/>
        <v>0</v>
      </c>
      <c r="BD91">
        <f t="shared" si="26"/>
        <v>0</v>
      </c>
      <c r="BE91" s="33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3" cm="1">
        <f t="array" ref="BF91">$G$12+VLOOKUP($R91,武学奇术!$A:$ZZ,12,FALSE)+SUM(_xlfn.XLOOKUP($S91:$AL91,增益!$A:$A,增益!$L:$L,0))</f>
        <v>0.02</v>
      </c>
      <c r="BG91">
        <f t="shared" si="27"/>
        <v>618.2</v>
      </c>
      <c r="BH91">
        <f t="shared" si="28"/>
        <v>1567.4</v>
      </c>
      <c r="BI91" s="33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3" cm="1">
        <f t="array" ref="BJ91">$G$13+VLOOKUP($R91,武学奇术!$A:$ZZ,14,FALSE)+SUM(_xlfn.XLOOKUP($S91:$AL91,增益!$A:$A,增益!$N:$N,0))</f>
        <v>0.27</v>
      </c>
      <c r="BK91">
        <f t="shared" si="29"/>
        <v>0</v>
      </c>
      <c r="BL91">
        <f t="shared" si="30"/>
        <v>0</v>
      </c>
      <c r="BM91" s="33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3" cm="1">
        <f t="array" ref="BN91">$G$14+VLOOKUP($R91,武学奇术!$A:$ZZ,16,FALSE)+SUM(_xlfn.XLOOKUP($S91:$AL91,增益!$A:$A,增益!$P:$P,0))</f>
        <v>0.02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4" cm="1">
        <f t="array" ref="BQ91">1+$B$13+VLOOKUP($R91,武学奇术!$A:$ZZ,18,FALSE)+SUM(_xlfn.XLOOKUP($S91:$AL91,增益!$A:$A,增益!$R:$R,0))</f>
        <v>1.6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1"/>
        <v>0.8865</v>
      </c>
      <c r="BU91" s="24">
        <f t="shared" si="32"/>
        <v>0.0222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0.06</v>
      </c>
      <c r="BX91" s="24" cm="1">
        <f t="array" ref="BX91">VLOOKUP($R91,武学奇术!$A:$ZZ,32,FALSE)+SUM(_xlfn.XLOOKUP($S91:$AL91,增益!$A:$A,增益!$X:$X,0))</f>
        <v>0</v>
      </c>
    </row>
    <row r="92" spans="1:76">
      <c r="A92" s="4" t="s">
        <v>167</v>
      </c>
      <c r="B92" s="4">
        <v>0.1</v>
      </c>
      <c r="D92" s="29"/>
      <c r="F92" s="29"/>
      <c r="K92" s="39">
        <f>$L92*VLOOKUP($R92,武学奇术!$A:$ZY,31,FALSE)</f>
        <v>120294.200123577</v>
      </c>
      <c r="L92" s="39">
        <f t="shared" si="22"/>
        <v>114565.904879597</v>
      </c>
      <c r="M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118536.011393636</v>
      </c>
      <c r="N92" s="39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89168.9925239392</v>
      </c>
      <c r="O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60477.5568334877</v>
      </c>
      <c r="P92" s="39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54904.0080936872</v>
      </c>
      <c r="Q92" s="29">
        <v>1</v>
      </c>
      <c r="R92" s="40" t="s">
        <v>99</v>
      </c>
      <c r="S92" s="40" t="s">
        <v>91</v>
      </c>
      <c r="T92" s="40" t="s">
        <v>172</v>
      </c>
      <c r="U92" s="40" t="s">
        <v>106</v>
      </c>
      <c r="V92" s="40" t="s">
        <v>166</v>
      </c>
      <c r="W92" s="40" t="s">
        <v>100</v>
      </c>
      <c r="X92" s="40" t="s">
        <v>80</v>
      </c>
      <c r="Y92" s="40" t="s">
        <v>80</v>
      </c>
      <c r="Z92" s="40" t="s">
        <v>110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80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83</v>
      </c>
      <c r="AL92" s="40" t="s">
        <v>80</v>
      </c>
      <c r="AM92" t="str">
        <f>VLOOKUP($R92,武学奇术!$A:$ZZ,25,FALSE)</f>
        <v>伞</v>
      </c>
      <c r="AN92" s="24">
        <f>VLOOKUP($R92,武学奇术!$A:$ZZ,26,FALSE)</f>
        <v>2.3397</v>
      </c>
      <c r="AO92" s="25">
        <f>VLOOKUP($R92,武学奇术!$A:$ZZ,27,FALSE)*(1+IF(OR($AM92=$F$4,$AM92=$F$5),$B$21,0))</f>
        <v>1036.8</v>
      </c>
      <c r="AP92" s="24">
        <f>VLOOKUP($R92,武学奇术!$A:$ZZ,28,FALSE)</f>
        <v>3.5095</v>
      </c>
      <c r="AQ92" s="25">
        <f>VLOOKUP($R92,武学奇术!$A:$ZZ,29,FALSE)*(1+IF(OR($AM92=$F$4,$AM92=$F$5),$B$21,0))</f>
        <v>564.8</v>
      </c>
      <c r="AR92" s="24" cm="1">
        <f t="array" ref="AR92">$G$3+IFERROR(VLOOKUP($AM92,$F$4:$G$7,2,FALSE),0)+VLOOKUP($R92,武学奇术!$A:$ZZ,2,FALSE)+SUM(_xlfn.XLOOKUP($S92:$AL92,增益!$A:$A,增益!$B:$B,0))</f>
        <v>1.0543</v>
      </c>
      <c r="AS92" s="24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4530.825</v>
      </c>
      <c r="AU92" cm="1">
        <f t="array" ref="AU92">$E$10*(1+$AS92)+VLOOKUP($R92,武学奇术!$A:$ZZ,4,FALSE)+SUM(_xlfn.XLOOKUP($S92:$AL92,增益!$A:$A,增益!$D:$D,0))-$I$2</f>
        <v>4530.825</v>
      </c>
      <c r="AV92" s="33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0.4039</v>
      </c>
      <c r="AW92" s="33" cm="1">
        <f t="array" ref="AW92">$G$10+VLOOKUP($R92,武学奇术!$A:$ZZ,7,FALSE)+SUM(_xlfn.XLOOKUP($S92:$AL92,增益!$A:$A,增益!$G:$G,0))</f>
        <v>0.145</v>
      </c>
      <c r="AX92" s="24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3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3" cm="1">
        <f t="array" ref="BB92">$G$11+VLOOKUP($R92,武学奇术!$A:$ZZ,10,FALSE)+SUM(_xlfn.XLOOKUP($S92:$AL92,增益!$A:$A,增益!$J:$J,0))</f>
        <v>0.02</v>
      </c>
      <c r="BC92">
        <f t="shared" si="25"/>
        <v>0</v>
      </c>
      <c r="BD92">
        <f t="shared" si="26"/>
        <v>0</v>
      </c>
      <c r="BE92" s="33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3" cm="1">
        <f t="array" ref="BF92">$G$12+VLOOKUP($R92,武学奇术!$A:$ZZ,12,FALSE)+SUM(_xlfn.XLOOKUP($S92:$AL92,增益!$A:$A,增益!$L:$L,0))</f>
        <v>0.02</v>
      </c>
      <c r="BG92">
        <f t="shared" si="27"/>
        <v>618.2</v>
      </c>
      <c r="BH92">
        <f t="shared" si="28"/>
        <v>1567.4</v>
      </c>
      <c r="BI92" s="33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0.1</v>
      </c>
      <c r="BJ92" s="33" cm="1">
        <f t="array" ref="BJ92">$G$13+VLOOKUP($R92,武学奇术!$A:$ZZ,14,FALSE)+SUM(_xlfn.XLOOKUP($S92:$AL92,增益!$A:$A,增益!$N:$N,0))</f>
        <v>0.27</v>
      </c>
      <c r="BK92">
        <f t="shared" si="29"/>
        <v>0</v>
      </c>
      <c r="BL92">
        <f t="shared" si="30"/>
        <v>0</v>
      </c>
      <c r="BM92" s="33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3" cm="1">
        <f t="array" ref="BN92">$G$14+VLOOKUP($R92,武学奇术!$A:$ZZ,16,FALSE)+SUM(_xlfn.XLOOKUP($S92:$AL92,增益!$A:$A,增益!$P:$P,0))</f>
        <v>0.02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4" cm="1">
        <f t="array" ref="BQ92">1+$B$13+VLOOKUP($R92,武学奇术!$A:$ZZ,18,FALSE)+SUM(_xlfn.XLOOKUP($S92:$AL92,增益!$A:$A,增益!$R:$R,0))</f>
        <v>1.96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1"/>
        <v>0.8865</v>
      </c>
      <c r="BU92" s="24">
        <f t="shared" si="32"/>
        <v>0.0222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0.06</v>
      </c>
      <c r="BX92" s="24" cm="1">
        <f t="array" ref="BX92">VLOOKUP($R92,武学奇术!$A:$ZZ,32,FALSE)+SUM(_xlfn.XLOOKUP($S92:$AL92,增益!$A:$A,增益!$X:$X,0))</f>
        <v>0.1</v>
      </c>
    </row>
    <row r="93" spans="1:76">
      <c r="A93" s="4" t="s">
        <v>156</v>
      </c>
      <c r="B93" s="4">
        <v>1.1</v>
      </c>
      <c r="D93" s="29"/>
      <c r="F93" s="29"/>
      <c r="K93" s="39">
        <f>$L93*VLOOKUP($R93,武学奇术!$A:$ZY,31,FALSE)</f>
        <v>44099.0094850687</v>
      </c>
      <c r="L93" s="39">
        <f t="shared" si="22"/>
        <v>41999.0566524464</v>
      </c>
      <c r="M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43258.7002790043</v>
      </c>
      <c r="N93" s="39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34294.7913664952</v>
      </c>
      <c r="O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23383.0812318942</v>
      </c>
      <c r="P93" s="39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21362.6133034217</v>
      </c>
      <c r="Q93" s="29">
        <v>1</v>
      </c>
      <c r="R93" s="40" t="s">
        <v>134</v>
      </c>
      <c r="S93" s="40" t="s">
        <v>91</v>
      </c>
      <c r="T93" s="40" t="s">
        <v>172</v>
      </c>
      <c r="U93" s="40" t="s">
        <v>80</v>
      </c>
      <c r="V93" s="40" t="s">
        <v>166</v>
      </c>
      <c r="W93" s="40" t="s">
        <v>80</v>
      </c>
      <c r="X93" s="40" t="s">
        <v>80</v>
      </c>
      <c r="Y93" s="40" t="s">
        <v>109</v>
      </c>
      <c r="Z93" s="40" t="s">
        <v>110</v>
      </c>
      <c r="AA93" s="40" t="s">
        <v>175</v>
      </c>
      <c r="AB93" s="40" t="s">
        <v>176</v>
      </c>
      <c r="AC93" s="40" t="s">
        <v>80</v>
      </c>
      <c r="AD93" s="40" t="s">
        <v>80</v>
      </c>
      <c r="AE93" s="40" t="s">
        <v>80</v>
      </c>
      <c r="AF93" s="40" t="s">
        <v>80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83</v>
      </c>
      <c r="AL93" s="40" t="s">
        <v>80</v>
      </c>
      <c r="AM93" t="str">
        <f>VLOOKUP($R93,武学奇术!$A:$ZZ,25,FALSE)</f>
        <v>扇</v>
      </c>
      <c r="AN93" s="24">
        <f>VLOOKUP($R93,武学奇术!$A:$ZZ,26,FALSE)</f>
        <v>1.2798</v>
      </c>
      <c r="AO93" s="25">
        <f>VLOOKUP($R93,武学奇术!$A:$ZZ,27,FALSE)*(1+IF(OR($AM93=$F$4,$AM93=$F$5),$B$21,0))</f>
        <v>568</v>
      </c>
      <c r="AP93" s="24">
        <f>VLOOKUP($R93,武学奇术!$A:$ZZ,28,FALSE)</f>
        <v>1.9197</v>
      </c>
      <c r="AQ93" s="25">
        <f>VLOOKUP($R93,武学奇术!$A:$ZZ,29,FALSE)*(1+IF(OR($AM93=$F$4,$AM93=$F$5),$B$21,0))</f>
        <v>308.8</v>
      </c>
      <c r="AR93" s="24" cm="1">
        <f t="array" ref="AR93">$G$3+IFERROR(VLOOKUP($AM93,$F$4:$G$7,2,FALSE),0)+VLOOKUP($R93,武学奇术!$A:$ZZ,2,FALSE)+SUM(_xlfn.XLOOKUP($S93:$AL93,增益!$A:$A,增益!$B:$B,0))</f>
        <v>0.5043</v>
      </c>
      <c r="AS93" s="24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4530.825</v>
      </c>
      <c r="AU93" cm="1">
        <f t="array" ref="AU93">$E$10*(1+$AS93)+VLOOKUP($R93,武学奇术!$A:$ZZ,4,FALSE)+SUM(_xlfn.XLOOKUP($S93:$AL93,增益!$A:$A,增益!$D:$D,0))-$I$2</f>
        <v>4530.825</v>
      </c>
      <c r="AV93" s="33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0.4039</v>
      </c>
      <c r="AW93" s="33" cm="1">
        <f t="array" ref="AW93">$G$10+VLOOKUP($R93,武学奇术!$A:$ZZ,7,FALSE)+SUM(_xlfn.XLOOKUP($S93:$AL93,增益!$A:$A,增益!$G:$G,0))</f>
        <v>0.045</v>
      </c>
      <c r="AX93" s="24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3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3" cm="1">
        <f t="array" ref="BB93">$G$11+VLOOKUP($R93,武学奇术!$A:$ZZ,10,FALSE)+SUM(_xlfn.XLOOKUP($S93:$AL93,增益!$A:$A,增益!$J:$J,0))</f>
        <v>0.12</v>
      </c>
      <c r="BC93">
        <f t="shared" si="25"/>
        <v>0</v>
      </c>
      <c r="BD93">
        <f t="shared" si="26"/>
        <v>0</v>
      </c>
      <c r="BE93" s="33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3" cm="1">
        <f t="array" ref="BF93">$G$12+VLOOKUP($R93,武学奇术!$A:$ZZ,12,FALSE)+SUM(_xlfn.XLOOKUP($S93:$AL93,增益!$A:$A,增益!$L:$L,0))</f>
        <v>0.02</v>
      </c>
      <c r="BG93">
        <f t="shared" si="27"/>
        <v>618.2</v>
      </c>
      <c r="BH93">
        <f t="shared" si="28"/>
        <v>1567.4</v>
      </c>
      <c r="BI93" s="33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3" cm="1">
        <f t="array" ref="BJ93">$G$13+VLOOKUP($R93,武学奇术!$A:$ZZ,14,FALSE)+SUM(_xlfn.XLOOKUP($S93:$AL93,增益!$A:$A,增益!$N:$N,0))</f>
        <v>0.17</v>
      </c>
      <c r="BK93">
        <f t="shared" si="29"/>
        <v>0</v>
      </c>
      <c r="BL93">
        <f t="shared" si="30"/>
        <v>0</v>
      </c>
      <c r="BM93" s="33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3" cm="1">
        <f t="array" ref="BN93">$G$14+VLOOKUP($R93,武学奇术!$A:$ZZ,16,FALSE)+SUM(_xlfn.XLOOKUP($S93:$AL93,增益!$A:$A,增益!$P:$P,0))</f>
        <v>0.02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4" cm="1">
        <f t="array" ref="BQ93">1+$B$13+VLOOKUP($R93,武学奇术!$A:$ZZ,18,FALSE)+SUM(_xlfn.XLOOKUP($S93:$AL93,增益!$A:$A,增益!$R:$R,0))</f>
        <v>1.85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31"/>
        <v>0.8865</v>
      </c>
      <c r="BU93" s="24">
        <f t="shared" si="32"/>
        <v>0.0222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0.26</v>
      </c>
      <c r="BX93" s="24" cm="1">
        <f t="array" ref="BX93">VLOOKUP($R93,武学奇术!$A:$ZZ,32,FALSE)+SUM(_xlfn.XLOOKUP($S93:$AL93,增益!$A:$A,增益!$X:$X,0))</f>
        <v>0</v>
      </c>
    </row>
    <row r="94" spans="1:76">
      <c r="A94" s="4" t="s">
        <v>134</v>
      </c>
      <c r="B94" s="4">
        <v>0.8</v>
      </c>
      <c r="D94" s="29"/>
      <c r="F94" s="29"/>
      <c r="K94" s="39">
        <f>$L94*VLOOKUP($R94,武学奇术!$A:$ZY,31,FALSE)</f>
        <v>452430.356233031</v>
      </c>
      <c r="L94" s="39">
        <f t="shared" si="22"/>
        <v>430886.053555268</v>
      </c>
      <c r="M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452159.028106592</v>
      </c>
      <c r="N94" s="39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282516.043698091</v>
      </c>
      <c r="O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191592.808519743</v>
      </c>
      <c r="P94" s="39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173914.473559418</v>
      </c>
      <c r="Q94" s="29">
        <v>1</v>
      </c>
      <c r="R94" s="40" t="s">
        <v>141</v>
      </c>
      <c r="S94" s="40" t="s">
        <v>91</v>
      </c>
      <c r="T94" s="40" t="s">
        <v>172</v>
      </c>
      <c r="U94" s="40" t="s">
        <v>80</v>
      </c>
      <c r="V94" s="40" t="s">
        <v>166</v>
      </c>
      <c r="W94" s="40" t="s">
        <v>142</v>
      </c>
      <c r="X94" s="40" t="s">
        <v>171</v>
      </c>
      <c r="Y94" s="40" t="s">
        <v>109</v>
      </c>
      <c r="Z94" s="40" t="s">
        <v>110</v>
      </c>
      <c r="AA94" s="40" t="s">
        <v>175</v>
      </c>
      <c r="AB94" s="40" t="s">
        <v>176</v>
      </c>
      <c r="AC94" s="40" t="s">
        <v>82</v>
      </c>
      <c r="AD94" s="40" t="s">
        <v>80</v>
      </c>
      <c r="AE94" s="40" t="s">
        <v>80</v>
      </c>
      <c r="AF94" s="40" t="s">
        <v>80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83</v>
      </c>
      <c r="AL94" s="40" t="s">
        <v>80</v>
      </c>
      <c r="AM94" t="str">
        <f>VLOOKUP($R94,武学奇术!$A:$ZZ,25,FALSE)</f>
        <v>扇</v>
      </c>
      <c r="AN94" s="24">
        <f>VLOOKUP($R94,武学奇术!$A:$ZZ,26,FALSE)</f>
        <v>7.5463</v>
      </c>
      <c r="AO94" s="25">
        <f>VLOOKUP($R94,武学奇术!$A:$ZZ,27,FALSE)*(1+IF(OR($AM94=$F$4,$AM94=$F$5),$B$21,0))</f>
        <v>3339.2</v>
      </c>
      <c r="AP94" s="24">
        <f>VLOOKUP($R94,武学奇术!$A:$ZZ,28,FALSE)</f>
        <v>11.3195</v>
      </c>
      <c r="AQ94" s="25">
        <f>VLOOKUP($R94,武学奇术!$A:$ZZ,29,FALSE)*(1+IF(OR($AM94=$F$4,$AM94=$F$5),$B$21,0))</f>
        <v>1819.2</v>
      </c>
      <c r="AR94" s="24" cm="1">
        <f t="array" ref="AR94">$G$3+IFERROR(VLOOKUP($AM94,$F$4:$G$7,2,FALSE),0)+VLOOKUP($R94,武学奇术!$A:$ZZ,2,FALSE)+SUM(_xlfn.XLOOKUP($S94:$AL94,增益!$A:$A,增益!$B:$B,0))</f>
        <v>0.5843</v>
      </c>
      <c r="AS94" s="24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4530.825</v>
      </c>
      <c r="AU94" cm="1">
        <f t="array" ref="AU94">$E$10*(1+$AS94)+VLOOKUP($R94,武学奇术!$A:$ZZ,4,FALSE)+SUM(_xlfn.XLOOKUP($S94:$AL94,增益!$A:$A,增益!$D:$D,0))-$I$2</f>
        <v>4530.825</v>
      </c>
      <c r="AV94" s="33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0.5039</v>
      </c>
      <c r="AW94" s="33" cm="1">
        <f t="array" ref="AW94">$G$10+VLOOKUP($R94,武学奇术!$A:$ZZ,7,FALSE)+SUM(_xlfn.XLOOKUP($S94:$AL94,增益!$A:$A,增益!$G:$G,0))</f>
        <v>0.145</v>
      </c>
      <c r="AX94" s="24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3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3" cm="1">
        <f t="array" ref="BB94">$G$11+VLOOKUP($R94,武学奇术!$A:$ZZ,10,FALSE)+SUM(_xlfn.XLOOKUP($S94:$AL94,增益!$A:$A,增益!$J:$J,0))</f>
        <v>0.12</v>
      </c>
      <c r="BC94">
        <f t="shared" si="25"/>
        <v>0</v>
      </c>
      <c r="BD94">
        <f t="shared" si="26"/>
        <v>0</v>
      </c>
      <c r="BE94" s="33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3" cm="1">
        <f t="array" ref="BF94">$G$12+VLOOKUP($R94,武学奇术!$A:$ZZ,12,FALSE)+SUM(_xlfn.XLOOKUP($S94:$AL94,增益!$A:$A,增益!$L:$L,0))</f>
        <v>0.02</v>
      </c>
      <c r="BG94">
        <f t="shared" si="27"/>
        <v>618.2</v>
      </c>
      <c r="BH94">
        <f t="shared" si="28"/>
        <v>1567.4</v>
      </c>
      <c r="BI94" s="33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0.18</v>
      </c>
      <c r="BJ94" s="33" cm="1">
        <f t="array" ref="BJ94">$G$13+VLOOKUP($R94,武学奇术!$A:$ZZ,14,FALSE)+SUM(_xlfn.XLOOKUP($S94:$AL94,增益!$A:$A,增益!$N:$N,0))</f>
        <v>0.27</v>
      </c>
      <c r="BK94">
        <f t="shared" si="29"/>
        <v>0</v>
      </c>
      <c r="BL94">
        <f t="shared" si="30"/>
        <v>0</v>
      </c>
      <c r="BM94" s="33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3" cm="1">
        <f t="array" ref="BN94">$G$14+VLOOKUP($R94,武学奇术!$A:$ZZ,16,FALSE)+SUM(_xlfn.XLOOKUP($S94:$AL94,增益!$A:$A,增益!$P:$P,0))</f>
        <v>0.02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4" cm="1">
        <f t="array" ref="BQ94">1+$B$13+VLOOKUP($R94,武学奇术!$A:$ZZ,18,FALSE)+SUM(_xlfn.XLOOKUP($S94:$AL94,增益!$A:$A,增益!$R:$R,0))</f>
        <v>2.36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1"/>
        <v>0.8865</v>
      </c>
      <c r="BU94" s="24">
        <f t="shared" si="32"/>
        <v>0.0222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0.26</v>
      </c>
      <c r="BX94" s="24" cm="1">
        <f t="array" ref="BX94">VLOOKUP($R94,武学奇术!$A:$ZZ,32,FALSE)+SUM(_xlfn.XLOOKUP($S94:$AL94,增益!$A:$A,增益!$X:$X,0))</f>
        <v>0.1</v>
      </c>
    </row>
    <row r="95" spans="1:76">
      <c r="A95" s="4" t="s">
        <v>170</v>
      </c>
      <c r="B95" s="4">
        <v>2.5</v>
      </c>
      <c r="F95" s="29"/>
      <c r="K95" s="39">
        <f>$L95*VLOOKUP($R95,武学奇术!$A:$ZY,31,FALSE)</f>
        <v>48757.8504217572</v>
      </c>
      <c r="L95" s="39">
        <f t="shared" si="22"/>
        <v>46436.0480207212</v>
      </c>
      <c r="M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47800.6237656673</v>
      </c>
      <c r="N95" s="39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38194.8254903521</v>
      </c>
      <c r="O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25838.1750084688</v>
      </c>
      <c r="P95" s="39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23383.8866907508</v>
      </c>
      <c r="Q95" s="29">
        <v>1</v>
      </c>
      <c r="R95" s="40" t="s">
        <v>179</v>
      </c>
      <c r="S95" s="40" t="s">
        <v>91</v>
      </c>
      <c r="T95" s="40" t="s">
        <v>172</v>
      </c>
      <c r="U95" s="40" t="s">
        <v>80</v>
      </c>
      <c r="V95" s="40" t="s">
        <v>166</v>
      </c>
      <c r="W95" s="40" t="s">
        <v>80</v>
      </c>
      <c r="X95" s="40" t="s">
        <v>80</v>
      </c>
      <c r="Y95" s="40" t="s">
        <v>109</v>
      </c>
      <c r="Z95" s="40" t="s">
        <v>110</v>
      </c>
      <c r="AA95" s="40" t="s">
        <v>175</v>
      </c>
      <c r="AB95" s="40" t="s">
        <v>176</v>
      </c>
      <c r="AC95" s="40" t="s">
        <v>82</v>
      </c>
      <c r="AD95" s="40" t="s">
        <v>80</v>
      </c>
      <c r="AE95" s="40" t="s">
        <v>80</v>
      </c>
      <c r="AF95" s="40" t="s">
        <v>80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83</v>
      </c>
      <c r="AL95" s="40" t="s">
        <v>80</v>
      </c>
      <c r="AM95" t="str">
        <f>VLOOKUP($R95,武学奇术!$A:$ZZ,25,FALSE)</f>
        <v>单体奇术</v>
      </c>
      <c r="AN95" s="24">
        <f>VLOOKUP($R95,武学奇术!$A:$ZZ,26,FALSE)</f>
        <v>1.3517</v>
      </c>
      <c r="AO95" s="25">
        <f>VLOOKUP($R95,武学奇术!$A:$ZZ,27,FALSE)*(1+IF(OR($AM95=$F$4,$AM95=$F$5),$B$21,0))</f>
        <v>693</v>
      </c>
      <c r="AP95" s="24">
        <f>VLOOKUP($R95,武学奇术!$A:$ZZ,28,FALSE)</f>
        <v>2.0276</v>
      </c>
      <c r="AQ95" s="25">
        <f>VLOOKUP($R95,武学奇术!$A:$ZZ,29,FALSE)*(1+IF(OR($AM95=$F$4,$AM95=$F$5),$B$21,0))</f>
        <v>0</v>
      </c>
      <c r="AR95" s="24" cm="1">
        <f t="array" ref="AR95">$G$3+IFERROR(VLOOKUP($AM95,$F$4:$G$7,2,FALSE),0)+VLOOKUP($R95,武学奇术!$A:$ZZ,2,FALSE)+SUM(_xlfn.XLOOKUP($S95:$AL95,增益!$A:$A,增益!$B:$B,0))</f>
        <v>0.6019</v>
      </c>
      <c r="AS95" s="24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4530.825</v>
      </c>
      <c r="AU95" cm="1">
        <f t="array" ref="AU95">$E$10*(1+$AS95)+VLOOKUP($R95,武学奇术!$A:$ZZ,4,FALSE)+SUM(_xlfn.XLOOKUP($S95:$AL95,增益!$A:$A,增益!$D:$D,0))-$I$2</f>
        <v>4530.825</v>
      </c>
      <c r="AV95" s="33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0.4039</v>
      </c>
      <c r="AW95" s="33" cm="1">
        <f t="array" ref="AW95">$G$10+VLOOKUP($R95,武学奇术!$A:$ZZ,7,FALSE)+SUM(_xlfn.XLOOKUP($S95:$AL95,增益!$A:$A,增益!$G:$G,0))</f>
        <v>0.045</v>
      </c>
      <c r="AX95" s="24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3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3" cm="1">
        <f t="array" ref="BB95">$G$11+VLOOKUP($R95,武学奇术!$A:$ZZ,10,FALSE)+SUM(_xlfn.XLOOKUP($S95:$AL95,增益!$A:$A,增益!$J:$J,0))</f>
        <v>0.12</v>
      </c>
      <c r="BC95">
        <f t="shared" si="25"/>
        <v>0</v>
      </c>
      <c r="BD95">
        <f t="shared" si="26"/>
        <v>0</v>
      </c>
      <c r="BE95" s="33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3" cm="1">
        <f t="array" ref="BF95">$G$12+VLOOKUP($R95,武学奇术!$A:$ZZ,12,FALSE)+SUM(_xlfn.XLOOKUP($S95:$AL95,增益!$A:$A,增益!$L:$L,0))</f>
        <v>0.02</v>
      </c>
      <c r="BG95">
        <f t="shared" si="27"/>
        <v>618.2</v>
      </c>
      <c r="BH95">
        <f t="shared" si="28"/>
        <v>1567.4</v>
      </c>
      <c r="BI95" s="33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0.08</v>
      </c>
      <c r="BJ95" s="33" cm="1">
        <f t="array" ref="BJ95">$G$13+VLOOKUP($R95,武学奇术!$A:$ZZ,14,FALSE)+SUM(_xlfn.XLOOKUP($S95:$AL95,增益!$A:$A,增益!$N:$N,0))</f>
        <v>0.17</v>
      </c>
      <c r="BK95">
        <f t="shared" si="29"/>
        <v>0</v>
      </c>
      <c r="BL95">
        <f t="shared" si="30"/>
        <v>0</v>
      </c>
      <c r="BM95" s="33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3" cm="1">
        <f t="array" ref="BN95">$G$14+VLOOKUP($R95,武学奇术!$A:$ZZ,16,FALSE)+SUM(_xlfn.XLOOKUP($S95:$AL95,增益!$A:$A,增益!$P:$P,0))</f>
        <v>0.02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4" cm="1">
        <f t="array" ref="BQ95">1+$B$13+VLOOKUP($R95,武学奇术!$A:$ZZ,18,FALSE)+SUM(_xlfn.XLOOKUP($S95:$AL95,增益!$A:$A,增益!$R:$R,0))</f>
        <v>1.85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1"/>
        <v>0.8865</v>
      </c>
      <c r="BU95" s="24">
        <f t="shared" si="32"/>
        <v>0.0222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0.26</v>
      </c>
      <c r="BX95" s="24" cm="1">
        <f t="array" ref="BX95">VLOOKUP($R95,武学奇术!$A:$ZZ,32,FALSE)+SUM(_xlfn.XLOOKUP($S95:$AL95,增益!$A:$A,增益!$X:$X,0))</f>
        <v>0</v>
      </c>
    </row>
    <row r="96" spans="1:76">
      <c r="A96" s="4" t="s">
        <v>167</v>
      </c>
      <c r="B96" s="4">
        <v>0.1</v>
      </c>
      <c r="F96" s="29"/>
      <c r="K96" s="39">
        <f>$L96*VLOOKUP($R96,武学奇术!$A:$ZY,31,FALSE)</f>
        <v>321073.970321013</v>
      </c>
      <c r="L96" s="39">
        <f t="shared" si="22"/>
        <v>305784.73363906</v>
      </c>
      <c r="M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314666.473186587</v>
      </c>
      <c r="N96" s="39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252540.06003189</v>
      </c>
      <c r="O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170089.985506263</v>
      </c>
      <c r="P96" s="39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153113.259877793</v>
      </c>
      <c r="Q96" s="29">
        <v>1</v>
      </c>
      <c r="R96" s="40" t="s">
        <v>178</v>
      </c>
      <c r="S96" s="40" t="s">
        <v>91</v>
      </c>
      <c r="T96" s="40" t="s">
        <v>172</v>
      </c>
      <c r="U96" s="40" t="s">
        <v>80</v>
      </c>
      <c r="V96" s="40" t="s">
        <v>166</v>
      </c>
      <c r="W96" s="40" t="s">
        <v>80</v>
      </c>
      <c r="X96" s="40" t="s">
        <v>80</v>
      </c>
      <c r="Y96" s="40" t="s">
        <v>109</v>
      </c>
      <c r="Z96" s="40" t="s">
        <v>80</v>
      </c>
      <c r="AA96" s="40" t="s">
        <v>175</v>
      </c>
      <c r="AB96" s="40" t="s">
        <v>176</v>
      </c>
      <c r="AC96" s="40" t="s">
        <v>82</v>
      </c>
      <c r="AD96" s="40" t="s">
        <v>80</v>
      </c>
      <c r="AE96" s="40" t="s">
        <v>80</v>
      </c>
      <c r="AF96" s="40" t="s">
        <v>80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83</v>
      </c>
      <c r="AL96" s="40" t="s">
        <v>80</v>
      </c>
      <c r="AM96" t="str">
        <f>VLOOKUP($R96,武学奇术!$A:$ZZ,25,FALSE)</f>
        <v>群体奇术</v>
      </c>
      <c r="AN96" s="24">
        <f>VLOOKUP($R96,武学奇术!$A:$ZZ,26,FALSE)</f>
        <v>10.31616</v>
      </c>
      <c r="AO96" s="25">
        <f>VLOOKUP($R96,武学奇术!$A:$ZZ,27,FALSE)*(1+IF(OR($AM96=$F$4,$AM96=$F$5),$B$21,0))</f>
        <v>2069.55</v>
      </c>
      <c r="AP96" s="24">
        <f>VLOOKUP($R96,武学奇术!$A:$ZZ,28,FALSE)</f>
        <v>15.47424</v>
      </c>
      <c r="AQ96" s="25">
        <f>VLOOKUP($R96,武学奇术!$A:$ZZ,29,FALSE)*(1+IF(OR($AM96=$F$4,$AM96=$F$5),$B$21,0))</f>
        <v>0</v>
      </c>
      <c r="AR96" s="24" cm="1">
        <f t="array" ref="AR96">$G$3+IFERROR(VLOOKUP($AM96,$F$4:$G$7,2,FALSE),0)+VLOOKUP($R96,武学奇术!$A:$ZZ,2,FALSE)+SUM(_xlfn.XLOOKUP($S96:$AL96,增益!$A:$A,增益!$B:$B,0))</f>
        <v>0.4519</v>
      </c>
      <c r="AS96" s="24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4530.825</v>
      </c>
      <c r="AU96" cm="1">
        <f t="array" ref="AU96">$E$10*(1+$AS96)+VLOOKUP($R96,武学奇术!$A:$ZZ,4,FALSE)+SUM(_xlfn.XLOOKUP($S96:$AL96,增益!$A:$A,增益!$D:$D,0))-$I$2</f>
        <v>4530.825</v>
      </c>
      <c r="AV96" s="33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0.4039</v>
      </c>
      <c r="AW96" s="33" cm="1">
        <f t="array" ref="AW96">$G$10+VLOOKUP($R96,武学奇术!$A:$ZZ,7,FALSE)+SUM(_xlfn.XLOOKUP($S96:$AL96,增益!$A:$A,增益!$G:$G,0))</f>
        <v>0.045</v>
      </c>
      <c r="AX96" s="24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3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3" cm="1">
        <f t="array" ref="BB96">$G$11+VLOOKUP($R96,武学奇术!$A:$ZZ,10,FALSE)+SUM(_xlfn.XLOOKUP($S96:$AL96,增益!$A:$A,增益!$J:$J,0))</f>
        <v>0.12</v>
      </c>
      <c r="BC96">
        <f t="shared" si="25"/>
        <v>0</v>
      </c>
      <c r="BD96">
        <f t="shared" si="26"/>
        <v>0</v>
      </c>
      <c r="BE96" s="33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3" cm="1">
        <f t="array" ref="BF96">$G$12+VLOOKUP($R96,武学奇术!$A:$ZZ,12,FALSE)+SUM(_xlfn.XLOOKUP($S96:$AL96,增益!$A:$A,增益!$L:$L,0))</f>
        <v>0.02</v>
      </c>
      <c r="BG96">
        <f t="shared" si="27"/>
        <v>618.2</v>
      </c>
      <c r="BH96">
        <f t="shared" si="28"/>
        <v>1567.4</v>
      </c>
      <c r="BI96" s="33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0.08</v>
      </c>
      <c r="BJ96" s="33" cm="1">
        <f t="array" ref="BJ96">$G$13+VLOOKUP($R96,武学奇术!$A:$ZZ,14,FALSE)+SUM(_xlfn.XLOOKUP($S96:$AL96,增益!$A:$A,增益!$N:$N,0))</f>
        <v>0.17</v>
      </c>
      <c r="BK96">
        <f t="shared" si="29"/>
        <v>0</v>
      </c>
      <c r="BL96">
        <f t="shared" si="30"/>
        <v>0</v>
      </c>
      <c r="BM96" s="33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3" cm="1">
        <f t="array" ref="BN96">$G$14+VLOOKUP($R96,武学奇术!$A:$ZZ,16,FALSE)+SUM(_xlfn.XLOOKUP($S96:$AL96,增益!$A:$A,增益!$P:$P,0))</f>
        <v>0.02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4" cm="1">
        <f t="array" ref="BQ96">1+$B$13+VLOOKUP($R96,武学奇术!$A:$ZZ,18,FALSE)+SUM(_xlfn.XLOOKUP($S96:$AL96,增益!$A:$A,增益!$R:$R,0))</f>
        <v>1.85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1"/>
        <v>0.8865</v>
      </c>
      <c r="BU96" s="24">
        <f t="shared" si="32"/>
        <v>0.0222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0.26</v>
      </c>
      <c r="BX96" s="24" cm="1">
        <f t="array" ref="BX96">VLOOKUP($R96,武学奇术!$A:$ZZ,32,FALSE)+SUM(_xlfn.XLOOKUP($S96:$AL96,增益!$A:$A,增益!$X:$X,0))</f>
        <v>0</v>
      </c>
    </row>
    <row r="97" spans="1:76">
      <c r="A97" s="4" t="s">
        <v>162</v>
      </c>
      <c r="B97" s="91">
        <v>1.3</v>
      </c>
      <c r="F97" s="29"/>
      <c r="K97" s="39">
        <f>$L97*VLOOKUP($R97,武学奇术!$A:$ZY,31,FALSE)</f>
        <v>29330.3107244561</v>
      </c>
      <c r="L97" s="39">
        <f t="shared" si="22"/>
        <v>27933.6292613868</v>
      </c>
      <c r="M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28761.2859462744</v>
      </c>
      <c r="N97" s="39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22909.2424825768</v>
      </c>
      <c r="O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15546.6410520402</v>
      </c>
      <c r="P97" s="39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14123.4728577272</v>
      </c>
      <c r="Q97" s="29">
        <v>1</v>
      </c>
      <c r="R97" s="40" t="s">
        <v>155</v>
      </c>
      <c r="S97" s="40" t="s">
        <v>91</v>
      </c>
      <c r="T97" s="40" t="s">
        <v>172</v>
      </c>
      <c r="U97" s="40" t="s">
        <v>80</v>
      </c>
      <c r="V97" s="40" t="s">
        <v>166</v>
      </c>
      <c r="W97" s="40" t="s">
        <v>80</v>
      </c>
      <c r="X97" s="40" t="s">
        <v>80</v>
      </c>
      <c r="Y97" s="40" t="s">
        <v>109</v>
      </c>
      <c r="Z97" s="40" t="s">
        <v>80</v>
      </c>
      <c r="AA97" s="40" t="s">
        <v>175</v>
      </c>
      <c r="AB97" s="40" t="s">
        <v>176</v>
      </c>
      <c r="AC97" s="40" t="s">
        <v>82</v>
      </c>
      <c r="AD97" s="40" t="s">
        <v>80</v>
      </c>
      <c r="AE97" s="40" t="s">
        <v>80</v>
      </c>
      <c r="AF97" s="40" t="s">
        <v>80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83</v>
      </c>
      <c r="AL97" s="40" t="s">
        <v>80</v>
      </c>
      <c r="AM97" t="str">
        <f>VLOOKUP($R97,武学奇术!$A:$ZZ,25,FALSE)</f>
        <v>扇</v>
      </c>
      <c r="AN97" s="24">
        <f>VLOOKUP($R97,武学奇术!$A:$ZZ,26,FALSE)</f>
        <v>0.9271</v>
      </c>
      <c r="AO97" s="25">
        <f>VLOOKUP($R97,武学奇术!$A:$ZZ,27,FALSE)*(1+IF(OR($AM97=$F$4,$AM97=$F$5),$B$21,0))</f>
        <v>411.2</v>
      </c>
      <c r="AP97" s="24">
        <f>VLOOKUP($R97,武学奇术!$A:$ZZ,28,FALSE)</f>
        <v>1.3907</v>
      </c>
      <c r="AQ97" s="25">
        <f>VLOOKUP($R97,武学奇术!$A:$ZZ,29,FALSE)*(1+IF(OR($AM97=$F$4,$AM97=$F$5),$B$21,0))</f>
        <v>224</v>
      </c>
      <c r="AR97" s="24" cm="1">
        <f t="array" ref="AR97">$G$3+IFERROR(VLOOKUP($AM97,$F$4:$G$7,2,FALSE),0)+VLOOKUP($R97,武学奇术!$A:$ZZ,2,FALSE)+SUM(_xlfn.XLOOKUP($S97:$AL97,增益!$A:$A,增益!$B:$B,0))</f>
        <v>0.3543</v>
      </c>
      <c r="AS97" s="24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4530.825</v>
      </c>
      <c r="AU97" cm="1">
        <f t="array" ref="AU97">$E$10*(1+$AS97)+VLOOKUP($R97,武学奇术!$A:$ZZ,4,FALSE)+SUM(_xlfn.XLOOKUP($S97:$AL97,增益!$A:$A,增益!$D:$D,0))-$I$2</f>
        <v>4530.825</v>
      </c>
      <c r="AV97" s="33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0.4039</v>
      </c>
      <c r="AW97" s="33" cm="1">
        <f t="array" ref="AW97">$G$10+VLOOKUP($R97,武学奇术!$A:$ZZ,7,FALSE)+SUM(_xlfn.XLOOKUP($S97:$AL97,增益!$A:$A,增益!$G:$G,0))</f>
        <v>0.045</v>
      </c>
      <c r="AX97" s="24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3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3" cm="1">
        <f t="array" ref="BB97">$G$11+VLOOKUP($R97,武学奇术!$A:$ZZ,10,FALSE)+SUM(_xlfn.XLOOKUP($S97:$AL97,增益!$A:$A,增益!$J:$J,0))</f>
        <v>0.12</v>
      </c>
      <c r="BC97">
        <f t="shared" si="25"/>
        <v>0</v>
      </c>
      <c r="BD97">
        <f t="shared" si="26"/>
        <v>0</v>
      </c>
      <c r="BE97" s="33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3" cm="1">
        <f t="array" ref="BF97">$G$12+VLOOKUP($R97,武学奇术!$A:$ZZ,12,FALSE)+SUM(_xlfn.XLOOKUP($S97:$AL97,增益!$A:$A,增益!$L:$L,0))</f>
        <v>0.02</v>
      </c>
      <c r="BG97">
        <f t="shared" si="27"/>
        <v>618.2</v>
      </c>
      <c r="BH97">
        <f t="shared" si="28"/>
        <v>1567.4</v>
      </c>
      <c r="BI97" s="33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0.08</v>
      </c>
      <c r="BJ97" s="33" cm="1">
        <f t="array" ref="BJ97">$G$13+VLOOKUP($R97,武学奇术!$A:$ZZ,14,FALSE)+SUM(_xlfn.XLOOKUP($S97:$AL97,增益!$A:$A,增益!$N:$N,0))</f>
        <v>0.17</v>
      </c>
      <c r="BK97">
        <f t="shared" si="29"/>
        <v>0</v>
      </c>
      <c r="BL97">
        <f t="shared" si="30"/>
        <v>0</v>
      </c>
      <c r="BM97" s="33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-0.14</v>
      </c>
      <c r="BN97" s="33" cm="1">
        <f t="array" ref="BN97">$G$14+VLOOKUP($R97,武学奇术!$A:$ZZ,16,FALSE)+SUM(_xlfn.XLOOKUP($S97:$AL97,增益!$A:$A,增益!$P:$P,0))</f>
        <v>0.02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4" cm="1">
        <f t="array" ref="BQ97">1+$B$13+VLOOKUP($R97,武学奇术!$A:$ZZ,18,FALSE)+SUM(_xlfn.XLOOKUP($S97:$AL97,增益!$A:$A,增益!$R:$R,0))</f>
        <v>1.85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1"/>
        <v>0.8865</v>
      </c>
      <c r="BU97" s="24">
        <f t="shared" si="32"/>
        <v>0.0222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0.26</v>
      </c>
      <c r="BX97" s="24" cm="1">
        <f t="array" ref="BX97">VLOOKUP($R97,武学奇术!$A:$ZZ,32,FALSE)+SUM(_xlfn.XLOOKUP($S97:$AL97,增益!$A:$A,增益!$X:$X,0))</f>
        <v>0</v>
      </c>
    </row>
    <row r="98" spans="1:76">
      <c r="A98" s="4" t="s">
        <v>113</v>
      </c>
      <c r="B98" s="91">
        <v>1.16</v>
      </c>
      <c r="F98" s="29"/>
      <c r="K98" s="39">
        <f>$L98*VLOOKUP($R98,武学奇术!$A:$ZY,31,FALSE)</f>
        <v>409594.685315305</v>
      </c>
      <c r="L98" s="39">
        <f t="shared" si="22"/>
        <v>390090.176490766</v>
      </c>
      <c r="M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409349.046274876</v>
      </c>
      <c r="N98" s="39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255767.696443964</v>
      </c>
      <c r="O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173452.985709693</v>
      </c>
      <c r="P98" s="39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157448.418497932</v>
      </c>
      <c r="Q98" s="29">
        <v>1</v>
      </c>
      <c r="R98" s="40" t="s">
        <v>141</v>
      </c>
      <c r="S98" s="40" t="s">
        <v>91</v>
      </c>
      <c r="T98" s="40" t="s">
        <v>172</v>
      </c>
      <c r="U98" s="40" t="s">
        <v>80</v>
      </c>
      <c r="V98" s="40" t="s">
        <v>166</v>
      </c>
      <c r="W98" s="40" t="s">
        <v>142</v>
      </c>
      <c r="X98" s="40" t="s">
        <v>171</v>
      </c>
      <c r="Y98" s="40" t="s">
        <v>109</v>
      </c>
      <c r="Z98" s="40" t="s">
        <v>80</v>
      </c>
      <c r="AA98" s="40" t="s">
        <v>175</v>
      </c>
      <c r="AB98" s="40" t="s">
        <v>176</v>
      </c>
      <c r="AC98" s="40" t="s">
        <v>82</v>
      </c>
      <c r="AD98" s="40" t="s">
        <v>80</v>
      </c>
      <c r="AE98" s="40" t="s">
        <v>80</v>
      </c>
      <c r="AF98" s="40" t="s">
        <v>80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83</v>
      </c>
      <c r="AL98" s="40" t="s">
        <v>80</v>
      </c>
      <c r="AM98" t="str">
        <f>VLOOKUP($R98,武学奇术!$A:$ZZ,25,FALSE)</f>
        <v>扇</v>
      </c>
      <c r="AN98" s="24">
        <f>VLOOKUP($R98,武学奇术!$A:$ZZ,26,FALSE)</f>
        <v>7.5463</v>
      </c>
      <c r="AO98" s="25">
        <f>VLOOKUP($R98,武学奇术!$A:$ZZ,27,FALSE)*(1+IF(OR($AM98=$F$4,$AM98=$F$5),$B$21,0))</f>
        <v>3339.2</v>
      </c>
      <c r="AP98" s="24">
        <f>VLOOKUP($R98,武学奇术!$A:$ZZ,28,FALSE)</f>
        <v>11.3195</v>
      </c>
      <c r="AQ98" s="25">
        <f>VLOOKUP($R98,武学奇术!$A:$ZZ,29,FALSE)*(1+IF(OR($AM98=$F$4,$AM98=$F$5),$B$21,0))</f>
        <v>1819.2</v>
      </c>
      <c r="AR98" s="24" cm="1">
        <f t="array" ref="AR98">$G$3+IFERROR(VLOOKUP($AM98,$F$4:$G$7,2,FALSE),0)+VLOOKUP($R98,武学奇术!$A:$ZZ,2,FALSE)+SUM(_xlfn.XLOOKUP($S98:$AL98,增益!$A:$A,增益!$B:$B,0))</f>
        <v>0.4343</v>
      </c>
      <c r="AS98" s="24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4530.825</v>
      </c>
      <c r="AU98" cm="1">
        <f t="array" ref="AU98">$E$10*(1+$AS98)+VLOOKUP($R98,武学奇术!$A:$ZZ,4,FALSE)+SUM(_xlfn.XLOOKUP($S98:$AL98,增益!$A:$A,增益!$D:$D,0))-$I$2</f>
        <v>4530.825</v>
      </c>
      <c r="AV98" s="33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0.5039</v>
      </c>
      <c r="AW98" s="33" cm="1">
        <f t="array" ref="AW98">$G$10+VLOOKUP($R98,武学奇术!$A:$ZZ,7,FALSE)+SUM(_xlfn.XLOOKUP($S98:$AL98,增益!$A:$A,增益!$G:$G,0))</f>
        <v>0.145</v>
      </c>
      <c r="AX98" s="24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3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3" cm="1">
        <f t="array" ref="BB98">$G$11+VLOOKUP($R98,武学奇术!$A:$ZZ,10,FALSE)+SUM(_xlfn.XLOOKUP($S98:$AL98,增益!$A:$A,增益!$J:$J,0))</f>
        <v>0.12</v>
      </c>
      <c r="BC98">
        <f t="shared" si="25"/>
        <v>0</v>
      </c>
      <c r="BD98">
        <f t="shared" si="26"/>
        <v>0</v>
      </c>
      <c r="BE98" s="33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3" cm="1">
        <f t="array" ref="BF98">$G$12+VLOOKUP($R98,武学奇术!$A:$ZZ,12,FALSE)+SUM(_xlfn.XLOOKUP($S98:$AL98,增益!$A:$A,增益!$L:$L,0))</f>
        <v>0.02</v>
      </c>
      <c r="BG98">
        <f t="shared" si="27"/>
        <v>618.2</v>
      </c>
      <c r="BH98">
        <f t="shared" si="28"/>
        <v>1567.4</v>
      </c>
      <c r="BI98" s="33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0.18</v>
      </c>
      <c r="BJ98" s="33" cm="1">
        <f t="array" ref="BJ98">$G$13+VLOOKUP($R98,武学奇术!$A:$ZZ,14,FALSE)+SUM(_xlfn.XLOOKUP($S98:$AL98,增益!$A:$A,增益!$N:$N,0))</f>
        <v>0.27</v>
      </c>
      <c r="BK98">
        <f t="shared" si="29"/>
        <v>0</v>
      </c>
      <c r="BL98">
        <f t="shared" si="30"/>
        <v>0</v>
      </c>
      <c r="BM98" s="33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-0.14</v>
      </c>
      <c r="BN98" s="33" cm="1">
        <f t="array" ref="BN98">$G$14+VLOOKUP($R98,武学奇术!$A:$ZZ,16,FALSE)+SUM(_xlfn.XLOOKUP($S98:$AL98,增益!$A:$A,增益!$P:$P,0))</f>
        <v>0.02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4" cm="1">
        <f t="array" ref="BQ98">1+$B$13+VLOOKUP($R98,武学奇术!$A:$ZZ,18,FALSE)+SUM(_xlfn.XLOOKUP($S98:$AL98,增益!$A:$A,增益!$R:$R,0))</f>
        <v>2.36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1"/>
        <v>0.8865</v>
      </c>
      <c r="BU98" s="24">
        <f t="shared" si="32"/>
        <v>0.0222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0.26</v>
      </c>
      <c r="BX98" s="24" cm="1">
        <f t="array" ref="BX98">VLOOKUP($R98,武学奇术!$A:$ZZ,32,FALSE)+SUM(_xlfn.XLOOKUP($S98:$AL98,增益!$A:$A,增益!$X:$X,0))</f>
        <v>0.1</v>
      </c>
    </row>
    <row r="99" spans="1:76">
      <c r="A99" s="4" t="s">
        <v>167</v>
      </c>
      <c r="B99" s="4">
        <v>0.1</v>
      </c>
      <c r="E99" s="27"/>
      <c r="F99" s="29"/>
      <c r="K99" s="39">
        <f>$L99*VLOOKUP($R99,武学奇术!$A:$ZY,31,FALSE)</f>
        <v>1046423.03411528</v>
      </c>
      <c r="L99" s="39">
        <f t="shared" ref="L99:L136" si="33">($M99*$BT99+$N99*$BR99+$O99*$BU99+$P99*$BV99)</f>
        <v>996593.365824078</v>
      </c>
      <c r="M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1040936.60631711</v>
      </c>
      <c r="N99" s="39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693829.102485044</v>
      </c>
      <c r="O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471012.039057515</v>
      </c>
      <c r="P99" s="39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428076.594792776</v>
      </c>
      <c r="Q99" s="29">
        <v>9</v>
      </c>
      <c r="R99" s="40" t="s">
        <v>115</v>
      </c>
      <c r="S99" s="40" t="s">
        <v>91</v>
      </c>
      <c r="T99" s="40" t="s">
        <v>172</v>
      </c>
      <c r="U99" s="40" t="s">
        <v>174</v>
      </c>
      <c r="V99" s="40" t="s">
        <v>166</v>
      </c>
      <c r="W99" s="40" t="s">
        <v>100</v>
      </c>
      <c r="X99" s="40" t="s">
        <v>80</v>
      </c>
      <c r="Y99" s="40" t="s">
        <v>109</v>
      </c>
      <c r="Z99" s="40" t="s">
        <v>110</v>
      </c>
      <c r="AA99" s="40" t="s">
        <v>175</v>
      </c>
      <c r="AB99" s="40" t="s">
        <v>176</v>
      </c>
      <c r="AC99" s="40" t="s">
        <v>82</v>
      </c>
      <c r="AD99" s="40" t="s">
        <v>80</v>
      </c>
      <c r="AE99" s="40" t="s">
        <v>80</v>
      </c>
      <c r="AF99" s="40" t="s">
        <v>80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83</v>
      </c>
      <c r="AL99" s="40" t="s">
        <v>80</v>
      </c>
      <c r="AM99" t="str">
        <f>VLOOKUP($R99,武学奇术!$A:$ZZ,25,FALSE)</f>
        <v>伞</v>
      </c>
      <c r="AN99" s="24">
        <f>VLOOKUP($R99,武学奇术!$A:$ZZ,26,FALSE)</f>
        <v>1.0217</v>
      </c>
      <c r="AO99" s="25">
        <f>VLOOKUP($R99,武学奇术!$A:$ZZ,27,FALSE)*(1+IF(OR($AM99=$F$4,$AM99=$F$5),$B$21,0))</f>
        <v>451.2</v>
      </c>
      <c r="AP99" s="24">
        <f>VLOOKUP($R99,武学奇术!$A:$ZZ,28,FALSE)</f>
        <v>1.5325</v>
      </c>
      <c r="AQ99" s="25">
        <f>VLOOKUP($R99,武学奇术!$A:$ZZ,29,FALSE)*(1+IF(OR($AM99=$F$4,$AM99=$F$5),$B$21,0))</f>
        <v>246.4</v>
      </c>
      <c r="AR99" s="24" cm="1">
        <f t="array" ref="AR99">$G$3+IFERROR(VLOOKUP($AM99,$F$4:$G$7,2,FALSE),0)+VLOOKUP($R99,武学奇术!$A:$ZZ,2,FALSE)+SUM(_xlfn.XLOOKUP($S99:$AL99,增益!$A:$A,增益!$B:$B,0))</f>
        <v>1.1043</v>
      </c>
      <c r="AS99" s="24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4530.825</v>
      </c>
      <c r="AU99" cm="1">
        <f t="array" ref="AU99">$E$10*(1+$AS99)+VLOOKUP($R99,武学奇术!$A:$ZZ,4,FALSE)+SUM(_xlfn.XLOOKUP($S99:$AL99,增益!$A:$A,增益!$D:$D,0))-$I$2</f>
        <v>4530.825</v>
      </c>
      <c r="AV99" s="33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0.5289</v>
      </c>
      <c r="AW99" s="33" cm="1">
        <f t="array" ref="AW99">$G$10+VLOOKUP($R99,武学奇术!$A:$ZZ,7,FALSE)+SUM(_xlfn.XLOOKUP($S99:$AL99,增益!$A:$A,增益!$G:$G,0))</f>
        <v>0.145</v>
      </c>
      <c r="AX99" s="24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3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3" cm="1">
        <f t="array" ref="BB99">$G$11+VLOOKUP($R99,武学奇术!$A:$ZZ,10,FALSE)+SUM(_xlfn.XLOOKUP($S99:$AL99,增益!$A:$A,增益!$J:$J,0))</f>
        <v>0.12</v>
      </c>
      <c r="BC99">
        <f t="shared" ref="BC99:BC136" si="36">$D$12*(1+$AX99)</f>
        <v>0</v>
      </c>
      <c r="BD99">
        <f t="shared" ref="BD99:BD136" si="37">$E$12*(1+$AX99)</f>
        <v>0</v>
      </c>
      <c r="BE99" s="33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3" cm="1">
        <f t="array" ref="BF99">$G$12+VLOOKUP($R99,武学奇术!$A:$ZZ,12,FALSE)+SUM(_xlfn.XLOOKUP($S99:$AL99,增益!$A:$A,增益!$L:$L,0))</f>
        <v>0.02</v>
      </c>
      <c r="BG99">
        <f t="shared" ref="BG99:BG136" si="38">$D$13*(1+$AX99)</f>
        <v>618.2</v>
      </c>
      <c r="BH99">
        <f t="shared" ref="BH99:BH136" si="39">$E$13*(1+$AX99)</f>
        <v>1567.4</v>
      </c>
      <c r="BI99" s="33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0.18</v>
      </c>
      <c r="BJ99" s="33" cm="1">
        <f t="array" ref="BJ99">$G$13+VLOOKUP($R99,武学奇术!$A:$ZZ,14,FALSE)+SUM(_xlfn.XLOOKUP($S99:$AL99,增益!$A:$A,增益!$N:$N,0))</f>
        <v>0.27</v>
      </c>
      <c r="BK99">
        <f t="shared" ref="BK99:BK136" si="40">$D$14*(1+$AX99)</f>
        <v>0</v>
      </c>
      <c r="BL99">
        <f t="shared" ref="BL99:BL136" si="41">$E$14*(1+$AX99)</f>
        <v>0</v>
      </c>
      <c r="BM99" s="33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-0.14</v>
      </c>
      <c r="BN99" s="33" cm="1">
        <f t="array" ref="BN99">$G$14+VLOOKUP($R99,武学奇术!$A:$ZZ,16,FALSE)+SUM(_xlfn.XLOOKUP($S99:$AL99,增益!$A:$A,增益!$P:$P,0))</f>
        <v>0.02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4" cm="1">
        <f t="array" ref="BQ99">1+$B$13+VLOOKUP($R99,武学奇术!$A:$ZZ,18,FALSE)+SUM(_xlfn.XLOOKUP($S99:$AL99,增益!$A:$A,增益!$R:$R,0))</f>
        <v>2.21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2">MIN((1-BR99)*BO99,BO99*BP99)</f>
        <v>0.8865</v>
      </c>
      <c r="BU99" s="24">
        <f t="shared" ref="BU99:BU136" si="43">1-BR99-BT99-BV99</f>
        <v>0.0222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0.26</v>
      </c>
      <c r="BX99" s="24" cm="1">
        <f t="array" ref="BX99">VLOOKUP($R99,武学奇术!$A:$ZZ,32,FALSE)+SUM(_xlfn.XLOOKUP($S99:$AL99,增益!$A:$A,增益!$X:$X,0))</f>
        <v>0.25</v>
      </c>
    </row>
    <row r="100" spans="1:76">
      <c r="A100" t="s">
        <v>177</v>
      </c>
      <c r="B100">
        <v>1</v>
      </c>
      <c r="C100" t="s">
        <v>173</v>
      </c>
      <c r="D100" s="29" t="s">
        <v>164</v>
      </c>
      <c r="E100" s="96" t="s">
        <v>110</v>
      </c>
      <c r="F100" s="29"/>
      <c r="K100" s="39">
        <f>$L100*VLOOKUP($R100,武学奇术!$A:$ZY,31,FALSE)</f>
        <v>1079812.51911245</v>
      </c>
      <c r="L100" s="39">
        <f t="shared" si="33"/>
        <v>1028392.87534519</v>
      </c>
      <c r="M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1074151.02922879</v>
      </c>
      <c r="N100" s="39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715967.946578445</v>
      </c>
      <c r="O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486041.189696284</v>
      </c>
      <c r="P100" s="39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441735.752297424</v>
      </c>
      <c r="Q100" s="29">
        <v>10</v>
      </c>
      <c r="R100" s="40" t="s">
        <v>115</v>
      </c>
      <c r="S100" s="40" t="s">
        <v>91</v>
      </c>
      <c r="T100" s="40" t="s">
        <v>172</v>
      </c>
      <c r="U100" s="40" t="s">
        <v>174</v>
      </c>
      <c r="V100" s="40" t="s">
        <v>166</v>
      </c>
      <c r="W100" s="40" t="s">
        <v>100</v>
      </c>
      <c r="X100" s="40" t="s">
        <v>80</v>
      </c>
      <c r="Y100" s="40" t="s">
        <v>109</v>
      </c>
      <c r="Z100" s="40" t="s">
        <v>80</v>
      </c>
      <c r="AA100" s="40" t="s">
        <v>175</v>
      </c>
      <c r="AB100" s="40" t="s">
        <v>176</v>
      </c>
      <c r="AC100" s="40" t="s">
        <v>82</v>
      </c>
      <c r="AD100" s="40" t="s">
        <v>80</v>
      </c>
      <c r="AE100" s="40" t="s">
        <v>80</v>
      </c>
      <c r="AF100" s="40" t="s">
        <v>80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83</v>
      </c>
      <c r="AL100" s="40" t="s">
        <v>80</v>
      </c>
      <c r="AM100" t="str">
        <f>VLOOKUP($R100,武学奇术!$A:$ZZ,25,FALSE)</f>
        <v>伞</v>
      </c>
      <c r="AN100" s="24">
        <f>VLOOKUP($R100,武学奇术!$A:$ZZ,26,FALSE)</f>
        <v>1.0217</v>
      </c>
      <c r="AO100" s="25">
        <f>VLOOKUP($R100,武学奇术!$A:$ZZ,27,FALSE)*(1+IF(OR($AM100=$F$4,$AM100=$F$5),$B$21,0))</f>
        <v>451.2</v>
      </c>
      <c r="AP100" s="24">
        <f>VLOOKUP($R100,武学奇术!$A:$ZZ,28,FALSE)</f>
        <v>1.5325</v>
      </c>
      <c r="AQ100" s="25">
        <f>VLOOKUP($R100,武学奇术!$A:$ZZ,29,FALSE)*(1+IF(OR($AM100=$F$4,$AM100=$F$5),$B$21,0))</f>
        <v>246.4</v>
      </c>
      <c r="AR100" s="24" cm="1">
        <f t="array" ref="AR100">$G$3+IFERROR(VLOOKUP($AM100,$F$4:$G$7,2,FALSE),0)+VLOOKUP($R100,武学奇术!$A:$ZZ,2,FALSE)+SUM(_xlfn.XLOOKUP($S100:$AL100,增益!$A:$A,增益!$B:$B,0))</f>
        <v>0.9543</v>
      </c>
      <c r="AS100" s="24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4530.825</v>
      </c>
      <c r="AU100" cm="1">
        <f t="array" ref="AU100">$E$10*(1+$AS100)+VLOOKUP($R100,武学奇术!$A:$ZZ,4,FALSE)+SUM(_xlfn.XLOOKUP($S100:$AL100,增益!$A:$A,增益!$D:$D,0))-$I$2</f>
        <v>4530.825</v>
      </c>
      <c r="AV100" s="33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0.5289</v>
      </c>
      <c r="AW100" s="33" cm="1">
        <f t="array" ref="AW100">$G$10+VLOOKUP($R100,武学奇术!$A:$ZZ,7,FALSE)+SUM(_xlfn.XLOOKUP($S100:$AL100,增益!$A:$A,增益!$G:$G,0))</f>
        <v>0.145</v>
      </c>
      <c r="AX100" s="24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3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-0.14</v>
      </c>
      <c r="BB100" s="33" cm="1">
        <f t="array" ref="BB100">$G$11+VLOOKUP($R100,武学奇术!$A:$ZZ,10,FALSE)+SUM(_xlfn.XLOOKUP($S100:$AL100,增益!$A:$A,增益!$J:$J,0))</f>
        <v>0.12</v>
      </c>
      <c r="BC100">
        <f t="shared" si="36"/>
        <v>0</v>
      </c>
      <c r="BD100">
        <f t="shared" si="37"/>
        <v>0</v>
      </c>
      <c r="BE100" s="33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-0.14</v>
      </c>
      <c r="BF100" s="33" cm="1">
        <f t="array" ref="BF100">$G$12+VLOOKUP($R100,武学奇术!$A:$ZZ,12,FALSE)+SUM(_xlfn.XLOOKUP($S100:$AL100,增益!$A:$A,增益!$L:$L,0))</f>
        <v>0.02</v>
      </c>
      <c r="BG100">
        <f t="shared" si="38"/>
        <v>618.2</v>
      </c>
      <c r="BH100">
        <f t="shared" si="39"/>
        <v>1567.4</v>
      </c>
      <c r="BI100" s="33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0.18</v>
      </c>
      <c r="BJ100" s="33" cm="1">
        <f t="array" ref="BJ100">$G$13+VLOOKUP($R100,武学奇术!$A:$ZZ,14,FALSE)+SUM(_xlfn.XLOOKUP($S100:$AL100,增益!$A:$A,增益!$N:$N,0))</f>
        <v>0.27</v>
      </c>
      <c r="BK100">
        <f t="shared" si="40"/>
        <v>0</v>
      </c>
      <c r="BL100">
        <f t="shared" si="41"/>
        <v>0</v>
      </c>
      <c r="BM100" s="33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-0.14</v>
      </c>
      <c r="BN100" s="33" cm="1">
        <f t="array" ref="BN100">$G$14+VLOOKUP($R100,武学奇术!$A:$ZZ,16,FALSE)+SUM(_xlfn.XLOOKUP($S100:$AL100,增益!$A:$A,增益!$P:$P,0))</f>
        <v>0.02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4" cm="1">
        <f t="array" ref="BQ100">1+$B$13+VLOOKUP($R100,武学奇术!$A:$ZZ,18,FALSE)+SUM(_xlfn.XLOOKUP($S100:$AL100,增益!$A:$A,增益!$R:$R,0))</f>
        <v>2.21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2"/>
        <v>0.8865</v>
      </c>
      <c r="BU100" s="24">
        <f t="shared" si="43"/>
        <v>0.0222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0.26</v>
      </c>
      <c r="BX100" s="24" cm="1">
        <f t="array" ref="BX100">VLOOKUP($R100,武学奇术!$A:$ZZ,32,FALSE)+SUM(_xlfn.XLOOKUP($S100:$AL100,增益!$A:$A,增益!$X:$X,0))</f>
        <v>0.25</v>
      </c>
    </row>
    <row r="101" spans="1:76">
      <c r="A101" s="4" t="s">
        <v>170</v>
      </c>
      <c r="B101" s="4">
        <v>2.5</v>
      </c>
      <c r="D101" s="29"/>
      <c r="E101" s="96"/>
      <c r="F101" s="29"/>
      <c r="K101" s="39">
        <f>$L101*VLOOKUP($R101,武学奇术!$A:$ZY,31,FALSE)</f>
        <v>0</v>
      </c>
      <c r="L101" s="39">
        <f t="shared" si="33"/>
        <v>0</v>
      </c>
      <c r="M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39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39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29">
        <v>1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80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83</v>
      </c>
      <c r="AL101" s="40" t="s">
        <v>80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VLOOKUP($R101,武学奇术!$A:$ZZ,27,FALSE)*(1+IF(OR($AM101=$F$4,$AM101=$F$5),$B$21,0))</f>
        <v>0</v>
      </c>
      <c r="AP101" s="24">
        <f>VLOOKUP($R101,武学奇术!$A:$ZZ,28,FALSE)</f>
        <v>0</v>
      </c>
      <c r="AQ101" s="25">
        <f>VLOOKUP($R101,武学奇术!$A:$ZZ,29,FALSE)*(1+IF(OR($AM101=$F$4,$AM101=$F$5),$B$21,0))</f>
        <v>0</v>
      </c>
      <c r="AR101" s="24" cm="1">
        <f t="array" ref="AR101">$G$3+IFERROR(VLOOKUP($AM101,$F$4:$G$7,2,FALSE),0)+VLOOKUP($R101,武学奇术!$A:$ZZ,2,FALSE)+SUM(_xlfn.XLOOKUP($S101:$AL101,增益!$A:$A,增益!$B:$B,0))</f>
        <v>0.1842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3859.2</v>
      </c>
      <c r="AU101" cm="1">
        <f t="array" ref="AU101">$E$10*(1+$AS101)+VLOOKUP($R101,武学奇术!$A:$ZZ,4,FALSE)+SUM(_xlfn.XLOOKUP($S101:$AL101,增益!$A:$A,增益!$D:$D,0))-$I$2</f>
        <v>3859.2</v>
      </c>
      <c r="AV101" s="33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0.2789</v>
      </c>
      <c r="AW101" s="33" cm="1">
        <f t="array" ref="AW101">$G$10+VLOOKUP($R101,武学奇术!$A:$ZZ,7,FALSE)+SUM(_xlfn.XLOOKUP($S101:$AL101,增益!$A:$A,增益!$G:$G,0))</f>
        <v>0.045</v>
      </c>
      <c r="AX101" s="24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3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3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3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3" cm="1">
        <f t="array" ref="BF101">$G$12+VLOOKUP($R101,武学奇术!$A:$ZZ,12,FALSE)+SUM(_xlfn.XLOOKUP($S101:$AL101,增益!$A:$A,增益!$L:$L,0))</f>
        <v>0.02</v>
      </c>
      <c r="BG101">
        <f t="shared" si="38"/>
        <v>618.2</v>
      </c>
      <c r="BH101">
        <f t="shared" si="39"/>
        <v>1567.4</v>
      </c>
      <c r="BI101" s="33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3" cm="1">
        <f t="array" ref="BJ101">$G$13+VLOOKUP($R101,武学奇术!$A:$ZZ,14,FALSE)+SUM(_xlfn.XLOOKUP($S101:$AL101,增益!$A:$A,增益!$N:$N,0))</f>
        <v>0.17</v>
      </c>
      <c r="BK101">
        <f t="shared" si="40"/>
        <v>0</v>
      </c>
      <c r="BL101">
        <f t="shared" si="41"/>
        <v>0</v>
      </c>
      <c r="BM101" s="33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3" cm="1">
        <f t="array" ref="BN101">$G$14+VLOOKUP($R101,武学奇术!$A:$ZZ,16,FALSE)+SUM(_xlfn.XLOOKUP($S101:$AL101,增益!$A:$A,增益!$P:$P,0))</f>
        <v>0.02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4" cm="1">
        <f t="array" ref="BQ101">1+$B$13+VLOOKUP($R101,武学奇术!$A:$ZZ,18,FALSE)+SUM(_xlfn.XLOOKUP($S101:$AL101,增益!$A:$A,增益!$R:$R,0))</f>
        <v>1.5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2"/>
        <v>0.8865</v>
      </c>
      <c r="BU101" s="24">
        <f t="shared" si="43"/>
        <v>0.0222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0.06</v>
      </c>
      <c r="BX101" s="24" cm="1">
        <f t="array" ref="BX101">VLOOKUP($R101,武学奇术!$A:$ZZ,32,FALSE)+SUM(_xlfn.XLOOKUP($S101:$AL101,增益!$A:$A,增益!$X:$X,0))</f>
        <v>0</v>
      </c>
    </row>
    <row r="102" spans="1:76">
      <c r="A102" s="4" t="s">
        <v>167</v>
      </c>
      <c r="B102" s="4">
        <v>0.1</v>
      </c>
      <c r="D102" s="29"/>
      <c r="E102" s="96"/>
      <c r="K102" s="39">
        <f>$L102*VLOOKUP($R102,武学奇术!$A:$ZY,31,FALSE)</f>
        <v>0</v>
      </c>
      <c r="L102" s="39">
        <f t="shared" si="33"/>
        <v>0</v>
      </c>
      <c r="M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39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39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29">
        <v>1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80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83</v>
      </c>
      <c r="AL102" s="40" t="s">
        <v>80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VLOOKUP($R102,武学奇术!$A:$ZZ,27,FALSE)*(1+IF(OR($AM102=$F$4,$AM102=$F$5),$B$21,0))</f>
        <v>0</v>
      </c>
      <c r="AP102" s="24">
        <f>VLOOKUP($R102,武学奇术!$A:$ZZ,28,FALSE)</f>
        <v>0</v>
      </c>
      <c r="AQ102" s="25">
        <f>VLOOKUP($R102,武学奇术!$A:$ZZ,29,FALSE)*(1+IF(OR($AM102=$F$4,$AM102=$F$5),$B$21,0))</f>
        <v>0</v>
      </c>
      <c r="AR102" s="24" cm="1">
        <f t="array" ref="AR102">$G$3+IFERROR(VLOOKUP($AM102,$F$4:$G$7,2,FALSE),0)+VLOOKUP($R102,武学奇术!$A:$ZZ,2,FALSE)+SUM(_xlfn.XLOOKUP($S102:$AL102,增益!$A:$A,增益!$B:$B,0))</f>
        <v>0.1842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3859.2</v>
      </c>
      <c r="AU102" cm="1">
        <f t="array" ref="AU102">$E$10*(1+$AS102)+VLOOKUP($R102,武学奇术!$A:$ZZ,4,FALSE)+SUM(_xlfn.XLOOKUP($S102:$AL102,增益!$A:$A,增益!$D:$D,0))-$I$2</f>
        <v>3859.2</v>
      </c>
      <c r="AV102" s="33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0.2789</v>
      </c>
      <c r="AW102" s="33" cm="1">
        <f t="array" ref="AW102">$G$10+VLOOKUP($R102,武学奇术!$A:$ZZ,7,FALSE)+SUM(_xlfn.XLOOKUP($S102:$AL102,增益!$A:$A,增益!$G:$G,0))</f>
        <v>0.045</v>
      </c>
      <c r="AX102" s="24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3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3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3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3" cm="1">
        <f t="array" ref="BF102">$G$12+VLOOKUP($R102,武学奇术!$A:$ZZ,12,FALSE)+SUM(_xlfn.XLOOKUP($S102:$AL102,增益!$A:$A,增益!$L:$L,0))</f>
        <v>0.02</v>
      </c>
      <c r="BG102">
        <f t="shared" si="38"/>
        <v>618.2</v>
      </c>
      <c r="BH102">
        <f t="shared" si="39"/>
        <v>1567.4</v>
      </c>
      <c r="BI102" s="33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3" cm="1">
        <f t="array" ref="BJ102">$G$13+VLOOKUP($R102,武学奇术!$A:$ZZ,14,FALSE)+SUM(_xlfn.XLOOKUP($S102:$AL102,增益!$A:$A,增益!$N:$N,0))</f>
        <v>0.17</v>
      </c>
      <c r="BK102">
        <f t="shared" si="40"/>
        <v>0</v>
      </c>
      <c r="BL102">
        <f t="shared" si="41"/>
        <v>0</v>
      </c>
      <c r="BM102" s="33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3" cm="1">
        <f t="array" ref="BN102">$G$14+VLOOKUP($R102,武学奇术!$A:$ZZ,16,FALSE)+SUM(_xlfn.XLOOKUP($S102:$AL102,增益!$A:$A,增益!$P:$P,0))</f>
        <v>0.02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4" cm="1">
        <f t="array" ref="BQ102">1+$B$13+VLOOKUP($R102,武学奇术!$A:$ZZ,18,FALSE)+SUM(_xlfn.XLOOKUP($S102:$AL102,增益!$A:$A,增益!$R:$R,0))</f>
        <v>1.5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2"/>
        <v>0.8865</v>
      </c>
      <c r="BU102" s="24">
        <f t="shared" si="43"/>
        <v>0.0222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0.06</v>
      </c>
      <c r="BX102" s="24" cm="1">
        <f t="array" ref="BX102">VLOOKUP($R102,武学奇术!$A:$ZZ,32,FALSE)+SUM(_xlfn.XLOOKUP($S102:$AL102,增益!$A:$A,增益!$X:$X,0))</f>
        <v>0</v>
      </c>
    </row>
    <row r="103" spans="1:76">
      <c r="A103" s="4" t="s">
        <v>162</v>
      </c>
      <c r="B103" s="91">
        <v>1.3</v>
      </c>
      <c r="C103" t="s">
        <v>173</v>
      </c>
      <c r="D103" s="29"/>
      <c r="E103" s="96"/>
      <c r="K103" s="39">
        <f>$L103*VLOOKUP($R103,武学奇术!$A:$ZY,31,FALSE)</f>
        <v>0</v>
      </c>
      <c r="L103" s="39">
        <f t="shared" si="33"/>
        <v>0</v>
      </c>
      <c r="M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39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39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29">
        <v>1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80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83</v>
      </c>
      <c r="AL103" s="40" t="s">
        <v>80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VLOOKUP($R103,武学奇术!$A:$ZZ,27,FALSE)*(1+IF(OR($AM103=$F$4,$AM103=$F$5),$B$21,0))</f>
        <v>0</v>
      </c>
      <c r="AP103" s="24">
        <f>VLOOKUP($R103,武学奇术!$A:$ZZ,28,FALSE)</f>
        <v>0</v>
      </c>
      <c r="AQ103" s="25">
        <f>VLOOKUP($R103,武学奇术!$A:$ZZ,29,FALSE)*(1+IF(OR($AM103=$F$4,$AM103=$F$5),$B$21,0))</f>
        <v>0</v>
      </c>
      <c r="AR103" s="24" cm="1">
        <f t="array" ref="AR103">$G$3+IFERROR(VLOOKUP($AM103,$F$4:$G$7,2,FALSE),0)+VLOOKUP($R103,武学奇术!$A:$ZZ,2,FALSE)+SUM(_xlfn.XLOOKUP($S103:$AL103,增益!$A:$A,增益!$B:$B,0))</f>
        <v>0.1842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3859.2</v>
      </c>
      <c r="AU103" cm="1">
        <f t="array" ref="AU103">$E$10*(1+$AS103)+VLOOKUP($R103,武学奇术!$A:$ZZ,4,FALSE)+SUM(_xlfn.XLOOKUP($S103:$AL103,增益!$A:$A,增益!$D:$D,0))-$I$2</f>
        <v>3859.2</v>
      </c>
      <c r="AV103" s="33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0.2789</v>
      </c>
      <c r="AW103" s="33" cm="1">
        <f t="array" ref="AW103">$G$10+VLOOKUP($R103,武学奇术!$A:$ZZ,7,FALSE)+SUM(_xlfn.XLOOKUP($S103:$AL103,增益!$A:$A,增益!$G:$G,0))</f>
        <v>0.045</v>
      </c>
      <c r="AX103" s="24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3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3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3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3" cm="1">
        <f t="array" ref="BF103">$G$12+VLOOKUP($R103,武学奇术!$A:$ZZ,12,FALSE)+SUM(_xlfn.XLOOKUP($S103:$AL103,增益!$A:$A,增益!$L:$L,0))</f>
        <v>0.02</v>
      </c>
      <c r="BG103">
        <f t="shared" si="38"/>
        <v>618.2</v>
      </c>
      <c r="BH103">
        <f t="shared" si="39"/>
        <v>1567.4</v>
      </c>
      <c r="BI103" s="33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3" cm="1">
        <f t="array" ref="BJ103">$G$13+VLOOKUP($R103,武学奇术!$A:$ZZ,14,FALSE)+SUM(_xlfn.XLOOKUP($S103:$AL103,增益!$A:$A,增益!$N:$N,0))</f>
        <v>0.17</v>
      </c>
      <c r="BK103">
        <f t="shared" si="40"/>
        <v>0</v>
      </c>
      <c r="BL103">
        <f t="shared" si="41"/>
        <v>0</v>
      </c>
      <c r="BM103" s="33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3" cm="1">
        <f t="array" ref="BN103">$G$14+VLOOKUP($R103,武学奇术!$A:$ZZ,16,FALSE)+SUM(_xlfn.XLOOKUP($S103:$AL103,增益!$A:$A,增益!$P:$P,0))</f>
        <v>0.02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4" cm="1">
        <f t="array" ref="BQ103">1+$B$13+VLOOKUP($R103,武学奇术!$A:$ZZ,18,FALSE)+SUM(_xlfn.XLOOKUP($S103:$AL103,增益!$A:$A,增益!$R:$R,0))</f>
        <v>1.5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2"/>
        <v>0.8865</v>
      </c>
      <c r="BU103" s="24">
        <f t="shared" si="43"/>
        <v>0.0222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0.06</v>
      </c>
      <c r="BX103" s="24" cm="1">
        <f t="array" ref="BX103">VLOOKUP($R103,武学奇术!$A:$ZZ,32,FALSE)+SUM(_xlfn.XLOOKUP($S103:$AL103,增益!$A:$A,增益!$X:$X,0))</f>
        <v>0</v>
      </c>
    </row>
    <row r="104" spans="1:76">
      <c r="A104" s="4" t="s">
        <v>99</v>
      </c>
      <c r="B104" s="4">
        <v>1.25</v>
      </c>
      <c r="E104" s="96"/>
      <c r="K104" s="39">
        <f>$L104*VLOOKUP($R104,武学奇术!$A:$ZY,31,FALSE)</f>
        <v>105198.458731641</v>
      </c>
      <c r="L104" s="39">
        <f t="shared" si="33"/>
        <v>100189.008315849</v>
      </c>
      <c r="M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102702.658706905</v>
      </c>
      <c r="N104" s="39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86113.9435321422</v>
      </c>
      <c r="O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57698.1228690478</v>
      </c>
      <c r="P104" s="39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51608.1394179902</v>
      </c>
      <c r="Q104" s="86">
        <f>IF($E$24="奇术",1,0)</f>
        <v>1</v>
      </c>
      <c r="R104" s="40" t="s">
        <v>187</v>
      </c>
      <c r="S104" s="40" t="s">
        <v>121</v>
      </c>
      <c r="T104" s="40" t="s">
        <v>87</v>
      </c>
      <c r="U104" s="40" t="s">
        <v>80</v>
      </c>
      <c r="V104" s="40" t="s">
        <v>81</v>
      </c>
      <c r="W104" s="40" t="s">
        <v>80</v>
      </c>
      <c r="X104" s="40" t="s">
        <v>80</v>
      </c>
      <c r="Y104" s="40" t="s">
        <v>109</v>
      </c>
      <c r="Z104" s="40" t="s">
        <v>110</v>
      </c>
      <c r="AA104" s="40" t="s">
        <v>80</v>
      </c>
      <c r="AB104" s="40" t="s">
        <v>80</v>
      </c>
      <c r="AC104" s="40" t="s">
        <v>82</v>
      </c>
      <c r="AD104" s="40" t="s">
        <v>80</v>
      </c>
      <c r="AE104" s="40" t="s">
        <v>80</v>
      </c>
      <c r="AF104" s="40" t="s">
        <v>80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83</v>
      </c>
      <c r="AL104" s="40" t="s">
        <v>80</v>
      </c>
      <c r="AM104" t="str">
        <f>VLOOKUP($R104,武学奇术!$A:$ZZ,25,FALSE)</f>
        <v>单体奇术</v>
      </c>
      <c r="AN104" s="24">
        <f>VLOOKUP($R104,武学奇术!$A:$ZZ,26,FALSE)</f>
        <v>3.987</v>
      </c>
      <c r="AO104" s="25">
        <f>VLOOKUP($R104,武学奇术!$A:$ZZ,27,FALSE)*(1+IF(OR($AM104=$F$4,$AM104=$F$5),$B$21,0))</f>
        <v>807</v>
      </c>
      <c r="AP104" s="24">
        <f>VLOOKUP($R104,武学奇术!$A:$ZZ,28,FALSE)</f>
        <v>5.9805</v>
      </c>
      <c r="AQ104" s="25">
        <f>VLOOKUP($R104,武学奇术!$A:$ZZ,29,FALSE)*(1+IF(OR($AM104=$F$4,$AM104=$F$5),$B$21,0))</f>
        <v>0</v>
      </c>
      <c r="AR104" s="24" cm="1">
        <f t="array" ref="AR104">$G$3+IFERROR(VLOOKUP($AM104,$F$4:$G$7,2,FALSE),0)+VLOOKUP($R104,武学奇术!$A:$ZZ,2,FALSE)+SUM(_xlfn.XLOOKUP($S104:$AL104,增益!$A:$A,增益!$B:$B,0))</f>
        <v>0.6019</v>
      </c>
      <c r="AS104" s="24" cm="1">
        <f t="array" ref="AS104">VLOOKUP($R104,武学奇术!$A:$ZZ,5,FALSE)+SUM(_xlfn.XLOOKUP($S104:$AL104,增益!$A:$A,增益!$E:$E,0))</f>
        <v>0.075</v>
      </c>
      <c r="AT104" cm="1">
        <f t="array" ref="AT104">$D$10*(1+$AS104)+VLOOKUP($R104,武学奇术!$A:$ZZ,3,FALSE)+SUM(_xlfn.XLOOKUP($S104:$AL104,增益!$A:$A,增益!$C:$C,0))-$I$2</f>
        <v>4195.0125</v>
      </c>
      <c r="AU104" cm="1">
        <f t="array" ref="AU104">$E$10*(1+$AS104)+VLOOKUP($R104,武学奇术!$A:$ZZ,4,FALSE)+SUM(_xlfn.XLOOKUP($S104:$AL104,增益!$A:$A,增益!$D:$D,0))-$I$2</f>
        <v>4195.0125</v>
      </c>
      <c r="AV104" s="33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0.4039</v>
      </c>
      <c r="AW104" s="33" cm="1">
        <f t="array" ref="AW104">$G$10+VLOOKUP($R104,武学奇术!$A:$ZZ,7,FALSE)+SUM(_xlfn.XLOOKUP($S104:$AL104,增益!$A:$A,增益!$G:$G,0))</f>
        <v>0.045</v>
      </c>
      <c r="AX104" s="24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3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3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3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3" cm="1">
        <f t="array" ref="BF104">$G$12+VLOOKUP($R104,武学奇术!$A:$ZZ,12,FALSE)+SUM(_xlfn.XLOOKUP($S104:$AL104,增益!$A:$A,增益!$L:$L,0))</f>
        <v>0.02</v>
      </c>
      <c r="BG104">
        <f t="shared" si="38"/>
        <v>618.2</v>
      </c>
      <c r="BH104">
        <f t="shared" si="39"/>
        <v>1567.4</v>
      </c>
      <c r="BI104" s="33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0.08</v>
      </c>
      <c r="BJ104" s="33" cm="1">
        <f t="array" ref="BJ104">$G$13+VLOOKUP($R104,武学奇术!$A:$ZZ,14,FALSE)+SUM(_xlfn.XLOOKUP($S104:$AL104,增益!$A:$A,增益!$N:$N,0))</f>
        <v>0.17</v>
      </c>
      <c r="BK104">
        <f t="shared" si="40"/>
        <v>0</v>
      </c>
      <c r="BL104">
        <f t="shared" si="41"/>
        <v>0</v>
      </c>
      <c r="BM104" s="33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3" cm="1">
        <f t="array" ref="BN104">$G$14+VLOOKUP($R104,武学奇术!$A:$ZZ,16,FALSE)+SUM(_xlfn.XLOOKUP($S104:$AL104,增益!$A:$A,增益!$P:$P,0))</f>
        <v>0.02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4" cm="1">
        <f t="array" ref="BQ104">1+$B$13+VLOOKUP($R104,武学奇术!$A:$ZZ,18,FALSE)+SUM(_xlfn.XLOOKUP($S104:$AL104,增益!$A:$A,增益!$R:$R,0))</f>
        <v>1.78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2"/>
        <v>0.8865</v>
      </c>
      <c r="BU104" s="24">
        <f t="shared" si="43"/>
        <v>0.0222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0.06</v>
      </c>
      <c r="BX104" s="24" cm="1">
        <f t="array" ref="BX104">VLOOKUP($R104,武学奇术!$A:$ZZ,32,FALSE)+SUM(_xlfn.XLOOKUP($S104:$AL104,增益!$A:$A,增益!$X:$X,0))</f>
        <v>0</v>
      </c>
    </row>
    <row r="105" spans="1:76">
      <c r="A105" s="4" t="s">
        <v>113</v>
      </c>
      <c r="B105" s="91">
        <v>1.16</v>
      </c>
      <c r="E105" s="96"/>
      <c r="K105" s="39">
        <f>$L105*VLOOKUP($R105,武学奇术!$A:$ZY,31,FALSE)</f>
        <v>7471.23689509021</v>
      </c>
      <c r="L105" s="39">
        <f t="shared" si="33"/>
        <v>11859.1061826829</v>
      </c>
      <c r="M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12156.5878985326</v>
      </c>
      <c r="N105" s="39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10193.5940754683</v>
      </c>
      <c r="O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6829.54376322054</v>
      </c>
      <c r="P105" s="39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6108.27710016828</v>
      </c>
      <c r="Q105" s="86">
        <f t="shared" ref="Q105:Q108" si="44">IF($E$24="奇术",2,0)</f>
        <v>2</v>
      </c>
      <c r="R105" s="40" t="s">
        <v>188</v>
      </c>
      <c r="S105" s="40" t="s">
        <v>121</v>
      </c>
      <c r="T105" s="40" t="s">
        <v>87</v>
      </c>
      <c r="U105" s="40" t="s">
        <v>80</v>
      </c>
      <c r="V105" s="40" t="s">
        <v>81</v>
      </c>
      <c r="W105" s="40" t="s">
        <v>80</v>
      </c>
      <c r="X105" s="40" t="s">
        <v>80</v>
      </c>
      <c r="Y105" s="40" t="s">
        <v>109</v>
      </c>
      <c r="Z105" s="40" t="s">
        <v>110</v>
      </c>
      <c r="AA105" s="40" t="s">
        <v>80</v>
      </c>
      <c r="AB105" s="40" t="s">
        <v>80</v>
      </c>
      <c r="AC105" s="40" t="s">
        <v>82</v>
      </c>
      <c r="AD105" s="40" t="s">
        <v>80</v>
      </c>
      <c r="AE105" s="40" t="s">
        <v>80</v>
      </c>
      <c r="AF105" s="40" t="s">
        <v>80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83</v>
      </c>
      <c r="AL105" s="40" t="s">
        <v>80</v>
      </c>
      <c r="AM105" t="str">
        <f>VLOOKUP($R105,武学奇术!$A:$ZZ,25,FALSE)</f>
        <v>单体奇术</v>
      </c>
      <c r="AN105" s="24">
        <f>VLOOKUP($R105,武学奇术!$A:$ZZ,26,FALSE)</f>
        <v>0.2361</v>
      </c>
      <c r="AO105" s="25">
        <f>VLOOKUP($R105,武学奇术!$A:$ZZ,27,FALSE)*(1+IF(OR($AM105=$F$4,$AM105=$F$5),$B$21,0))</f>
        <v>47</v>
      </c>
      <c r="AP105" s="24">
        <f>VLOOKUP($R105,武学奇术!$A:$ZZ,28,FALSE)</f>
        <v>0.35415</v>
      </c>
      <c r="AQ105" s="25">
        <f>VLOOKUP($R105,武学奇术!$A:$ZZ,29,FALSE)*(1+IF(OR($AM105=$F$4,$AM105=$F$5),$B$21,0))</f>
        <v>0</v>
      </c>
      <c r="AR105" s="24" cm="1">
        <f t="array" ref="AR105">$G$3+IFERROR(VLOOKUP($AM105,$F$4:$G$7,2,FALSE),0)+VLOOKUP($R105,武学奇术!$A:$ZZ,2,FALSE)+SUM(_xlfn.XLOOKUP($S105:$AL105,增益!$A:$A,增益!$B:$B,0))</f>
        <v>0.6019</v>
      </c>
      <c r="AS105" s="24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4195.0125</v>
      </c>
      <c r="AU105" cm="1">
        <f t="array" ref="AU105">$E$10*(1+$AS105)+VLOOKUP($R105,武学奇术!$A:$ZZ,4,FALSE)+SUM(_xlfn.XLOOKUP($S105:$AL105,增益!$A:$A,增益!$D:$D,0))-$I$2</f>
        <v>4195.0125</v>
      </c>
      <c r="AV105" s="33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0.4039</v>
      </c>
      <c r="AW105" s="33" cm="1">
        <f t="array" ref="AW105">$G$10+VLOOKUP($R105,武学奇术!$A:$ZZ,7,FALSE)+SUM(_xlfn.XLOOKUP($S105:$AL105,增益!$A:$A,增益!$G:$G,0))</f>
        <v>0.045</v>
      </c>
      <c r="AX105" s="24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3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3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3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-0.14</v>
      </c>
      <c r="BF105" s="33" cm="1">
        <f t="array" ref="BF105">$G$12+VLOOKUP($R105,武学奇术!$A:$ZZ,12,FALSE)+SUM(_xlfn.XLOOKUP($S105:$AL105,增益!$A:$A,增益!$L:$L,0))</f>
        <v>0.02</v>
      </c>
      <c r="BG105">
        <f t="shared" si="38"/>
        <v>618.2</v>
      </c>
      <c r="BH105">
        <f t="shared" si="39"/>
        <v>1567.4</v>
      </c>
      <c r="BI105" s="33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0.08</v>
      </c>
      <c r="BJ105" s="33" cm="1">
        <f t="array" ref="BJ105">$G$13+VLOOKUP($R105,武学奇术!$A:$ZZ,14,FALSE)+SUM(_xlfn.XLOOKUP($S105:$AL105,增益!$A:$A,增益!$N:$N,0))</f>
        <v>0.17</v>
      </c>
      <c r="BK105">
        <f t="shared" si="40"/>
        <v>0</v>
      </c>
      <c r="BL105">
        <f t="shared" si="41"/>
        <v>0</v>
      </c>
      <c r="BM105" s="33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3" cm="1">
        <f t="array" ref="BN105">$G$14+VLOOKUP($R105,武学奇术!$A:$ZZ,16,FALSE)+SUM(_xlfn.XLOOKUP($S105:$AL105,增益!$A:$A,增益!$P:$P,0))</f>
        <v>0.02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4" cm="1">
        <f t="array" ref="BQ105">1+$B$13+VLOOKUP($R105,武学奇术!$A:$ZZ,18,FALSE)+SUM(_xlfn.XLOOKUP($S105:$AL105,增益!$A:$A,增益!$R:$R,0))</f>
        <v>1.78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2"/>
        <v>0.8865</v>
      </c>
      <c r="BU105" s="24">
        <f t="shared" si="43"/>
        <v>0.0222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0.06</v>
      </c>
      <c r="BX105" s="24" cm="1">
        <f t="array" ref="BX105">VLOOKUP($R105,武学奇术!$A:$ZZ,32,FALSE)+SUM(_xlfn.XLOOKUP($S105:$AL105,增益!$A:$A,增益!$X:$X,0))</f>
        <v>0</v>
      </c>
    </row>
    <row r="106" spans="1:76">
      <c r="A106" s="4" t="s">
        <v>167</v>
      </c>
      <c r="B106" s="4">
        <v>0.1</v>
      </c>
      <c r="C106" s="29" t="s">
        <v>175</v>
      </c>
      <c r="E106" s="96"/>
      <c r="K106" s="39">
        <f>$L106*VLOOKUP($R106,武学奇术!$A:$ZY,31,FALSE)</f>
        <v>6082.24451213771</v>
      </c>
      <c r="L106" s="39">
        <f t="shared" si="33"/>
        <v>9654.35636847256</v>
      </c>
      <c r="M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9745.07169280505</v>
      </c>
      <c r="N106" s="39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9572.30266524265</v>
      </c>
      <c r="O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6369.32790379415</v>
      </c>
      <c r="P106" s="39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5648.06124074189</v>
      </c>
      <c r="Q106" s="86">
        <f t="shared" si="44"/>
        <v>2</v>
      </c>
      <c r="R106" s="40" t="s">
        <v>188</v>
      </c>
      <c r="S106" s="40" t="s">
        <v>121</v>
      </c>
      <c r="T106" s="40" t="s">
        <v>87</v>
      </c>
      <c r="U106" s="40" t="s">
        <v>80</v>
      </c>
      <c r="V106" s="40" t="s">
        <v>81</v>
      </c>
      <c r="W106" s="40" t="s">
        <v>80</v>
      </c>
      <c r="X106" s="40" t="s">
        <v>80</v>
      </c>
      <c r="Y106" s="40" t="s">
        <v>80</v>
      </c>
      <c r="Z106" s="40" t="s">
        <v>110</v>
      </c>
      <c r="AA106" s="40" t="s">
        <v>80</v>
      </c>
      <c r="AB106" s="40" t="s">
        <v>80</v>
      </c>
      <c r="AC106" s="40" t="s">
        <v>82</v>
      </c>
      <c r="AD106" s="40" t="s">
        <v>80</v>
      </c>
      <c r="AE106" s="40" t="s">
        <v>80</v>
      </c>
      <c r="AF106" s="40" t="s">
        <v>80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83</v>
      </c>
      <c r="AL106" s="40" t="s">
        <v>80</v>
      </c>
      <c r="AM106" t="str">
        <f>VLOOKUP($R106,武学奇术!$A:$ZZ,25,FALSE)</f>
        <v>单体奇术</v>
      </c>
      <c r="AN106" s="24">
        <f>VLOOKUP($R106,武学奇术!$A:$ZZ,26,FALSE)</f>
        <v>0.2361</v>
      </c>
      <c r="AO106" s="25">
        <f>VLOOKUP($R106,武学奇术!$A:$ZZ,27,FALSE)*(1+IF(OR($AM106=$F$4,$AM106=$F$5),$B$21,0))</f>
        <v>47</v>
      </c>
      <c r="AP106" s="24">
        <f>VLOOKUP($R106,武学奇术!$A:$ZZ,28,FALSE)</f>
        <v>0.35415</v>
      </c>
      <c r="AQ106" s="25">
        <f>VLOOKUP($R106,武学奇术!$A:$ZZ,29,FALSE)*(1+IF(OR($AM106=$F$4,$AM106=$F$5),$B$21,0))</f>
        <v>0</v>
      </c>
      <c r="AR106" s="24" cm="1">
        <f t="array" ref="AR106">$G$3+IFERROR(VLOOKUP($AM106,$F$4:$G$7,2,FALSE),0)+VLOOKUP($R106,武学奇术!$A:$ZZ,2,FALSE)+SUM(_xlfn.XLOOKUP($S106:$AL106,增益!$A:$A,增益!$B:$B,0))</f>
        <v>0.6019</v>
      </c>
      <c r="AS106" s="24" cm="1">
        <f t="array" ref="AS106">VLOOKUP($R106,武学奇术!$A:$ZZ,5,FALSE)+SUM(_xlfn.XLOOKUP($S106:$AL106,增益!$A:$A,增益!$E:$E,0))</f>
        <v>0.075</v>
      </c>
      <c r="AT106" cm="1">
        <f t="array" ref="AT106">$D$10*(1+$AS106)+VLOOKUP($R106,武学奇术!$A:$ZZ,3,FALSE)+SUM(_xlfn.XLOOKUP($S106:$AL106,增益!$A:$A,增益!$C:$C,0))-$I$2</f>
        <v>4195.0125</v>
      </c>
      <c r="AU106" cm="1">
        <f t="array" ref="AU106">$E$10*(1+$AS106)+VLOOKUP($R106,武学奇术!$A:$ZZ,4,FALSE)+SUM(_xlfn.XLOOKUP($S106:$AL106,增益!$A:$A,增益!$D:$D,0))-$I$2</f>
        <v>4195.0125</v>
      </c>
      <c r="AV106" s="33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0.2789</v>
      </c>
      <c r="AW106" s="33" cm="1">
        <f t="array" ref="AW106">$G$10+VLOOKUP($R106,武学奇术!$A:$ZZ,7,FALSE)+SUM(_xlfn.XLOOKUP($S106:$AL106,增益!$A:$A,增益!$G:$G,0))</f>
        <v>0.045</v>
      </c>
      <c r="AX106" s="24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3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3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3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-0.14</v>
      </c>
      <c r="BF106" s="33" cm="1">
        <f t="array" ref="BF106">$G$12+VLOOKUP($R106,武学奇术!$A:$ZZ,12,FALSE)+SUM(_xlfn.XLOOKUP($S106:$AL106,增益!$A:$A,增益!$L:$L,0))</f>
        <v>0.02</v>
      </c>
      <c r="BG106">
        <f t="shared" si="38"/>
        <v>618.2</v>
      </c>
      <c r="BH106">
        <f t="shared" si="39"/>
        <v>1567.4</v>
      </c>
      <c r="BI106" s="33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0.08</v>
      </c>
      <c r="BJ106" s="33" cm="1">
        <f t="array" ref="BJ106">$G$13+VLOOKUP($R106,武学奇术!$A:$ZZ,14,FALSE)+SUM(_xlfn.XLOOKUP($S106:$AL106,增益!$A:$A,增益!$N:$N,0))</f>
        <v>0.17</v>
      </c>
      <c r="BK106">
        <f t="shared" si="40"/>
        <v>0</v>
      </c>
      <c r="BL106">
        <f t="shared" si="41"/>
        <v>0</v>
      </c>
      <c r="BM106" s="33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3" cm="1">
        <f t="array" ref="BN106">$G$14+VLOOKUP($R106,武学奇术!$A:$ZZ,16,FALSE)+SUM(_xlfn.XLOOKUP($S106:$AL106,增益!$A:$A,增益!$P:$P,0))</f>
        <v>0.02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4" cm="1">
        <f t="array" ref="BQ106">1+$B$13+VLOOKUP($R106,武学奇术!$A:$ZZ,18,FALSE)+SUM(_xlfn.XLOOKUP($S106:$AL106,增益!$A:$A,增益!$R:$R,0))</f>
        <v>1.53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2"/>
        <v>0.8865</v>
      </c>
      <c r="BU106" s="24">
        <f t="shared" si="43"/>
        <v>0.0222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0.06</v>
      </c>
      <c r="BX106" s="24" cm="1">
        <f t="array" ref="BX106">VLOOKUP($R106,武学奇术!$A:$ZZ,32,FALSE)+SUM(_xlfn.XLOOKUP($S106:$AL106,增益!$A:$A,增益!$X:$X,0))</f>
        <v>0</v>
      </c>
    </row>
    <row r="107" spans="1:76">
      <c r="A107" s="4" t="s">
        <v>134</v>
      </c>
      <c r="B107" s="4">
        <v>0.8</v>
      </c>
      <c r="C107" s="29"/>
      <c r="E107" s="96"/>
      <c r="K107" s="39">
        <f>$L107*VLOOKUP($R107,武学奇术!$A:$ZY,31,FALSE)</f>
        <v>6082.24451213771</v>
      </c>
      <c r="L107" s="39">
        <f t="shared" si="33"/>
        <v>9654.35636847256</v>
      </c>
      <c r="M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9745.07169280505</v>
      </c>
      <c r="N107" s="39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9572.30266524265</v>
      </c>
      <c r="O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6369.32790379415</v>
      </c>
      <c r="P107" s="39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5648.06124074189</v>
      </c>
      <c r="Q107" s="86">
        <f t="shared" si="44"/>
        <v>2</v>
      </c>
      <c r="R107" s="40" t="s">
        <v>188</v>
      </c>
      <c r="S107" s="40" t="s">
        <v>91</v>
      </c>
      <c r="T107" s="40" t="s">
        <v>87</v>
      </c>
      <c r="U107" s="40" t="s">
        <v>80</v>
      </c>
      <c r="V107" s="40" t="s">
        <v>81</v>
      </c>
      <c r="W107" s="40" t="s">
        <v>80</v>
      </c>
      <c r="X107" s="40" t="s">
        <v>80</v>
      </c>
      <c r="Y107" s="40" t="s">
        <v>80</v>
      </c>
      <c r="Z107" s="40" t="s">
        <v>110</v>
      </c>
      <c r="AA107" s="40" t="s">
        <v>80</v>
      </c>
      <c r="AB107" s="40" t="s">
        <v>80</v>
      </c>
      <c r="AC107" s="40" t="s">
        <v>82</v>
      </c>
      <c r="AD107" s="40" t="s">
        <v>80</v>
      </c>
      <c r="AE107" s="40" t="s">
        <v>80</v>
      </c>
      <c r="AF107" s="40" t="s">
        <v>80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83</v>
      </c>
      <c r="AL107" s="40" t="s">
        <v>80</v>
      </c>
      <c r="AM107" t="str">
        <f>VLOOKUP($R107,武学奇术!$A:$ZZ,25,FALSE)</f>
        <v>单体奇术</v>
      </c>
      <c r="AN107" s="24">
        <f>VLOOKUP($R107,武学奇术!$A:$ZZ,26,FALSE)</f>
        <v>0.2361</v>
      </c>
      <c r="AO107" s="25">
        <f>VLOOKUP($R107,武学奇术!$A:$ZZ,27,FALSE)*(1+IF(OR($AM107=$F$4,$AM107=$F$5),$B$21,0))</f>
        <v>47</v>
      </c>
      <c r="AP107" s="24">
        <f>VLOOKUP($R107,武学奇术!$A:$ZZ,28,FALSE)</f>
        <v>0.35415</v>
      </c>
      <c r="AQ107" s="25">
        <f>VLOOKUP($R107,武学奇术!$A:$ZZ,29,FALSE)*(1+IF(OR($AM107=$F$4,$AM107=$F$5),$B$21,0))</f>
        <v>0</v>
      </c>
      <c r="AR107" s="24" cm="1">
        <f t="array" ref="AR107">$G$3+IFERROR(VLOOKUP($AM107,$F$4:$G$7,2,FALSE),0)+VLOOKUP($R107,武学奇术!$A:$ZZ,2,FALSE)+SUM(_xlfn.XLOOKUP($S107:$AL107,增益!$A:$A,增益!$B:$B,0))</f>
        <v>0.6019</v>
      </c>
      <c r="AS107" s="24" cm="1">
        <f t="array" ref="AS107">VLOOKUP($R107,武学奇术!$A:$ZZ,5,FALSE)+SUM(_xlfn.XLOOKUP($S107:$AL107,增益!$A:$A,增益!$E:$E,0))</f>
        <v>0.075</v>
      </c>
      <c r="AT107" cm="1">
        <f t="array" ref="AT107">$D$10*(1+$AS107)+VLOOKUP($R107,武学奇术!$A:$ZZ,3,FALSE)+SUM(_xlfn.XLOOKUP($S107:$AL107,增益!$A:$A,增益!$C:$C,0))-$I$2</f>
        <v>4195.0125</v>
      </c>
      <c r="AU107" cm="1">
        <f t="array" ref="AU107">$E$10*(1+$AS107)+VLOOKUP($R107,武学奇术!$A:$ZZ,4,FALSE)+SUM(_xlfn.XLOOKUP($S107:$AL107,增益!$A:$A,增益!$D:$D,0))-$I$2</f>
        <v>4195.0125</v>
      </c>
      <c r="AV107" s="33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0.2789</v>
      </c>
      <c r="AW107" s="33" cm="1">
        <f t="array" ref="AW107">$G$10+VLOOKUP($R107,武学奇术!$A:$ZZ,7,FALSE)+SUM(_xlfn.XLOOKUP($S107:$AL107,增益!$A:$A,增益!$G:$G,0))</f>
        <v>0.045</v>
      </c>
      <c r="AX107" s="24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3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3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3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3" cm="1">
        <f t="array" ref="BF107">$G$12+VLOOKUP($R107,武学奇术!$A:$ZZ,12,FALSE)+SUM(_xlfn.XLOOKUP($S107:$AL107,增益!$A:$A,增益!$L:$L,0))</f>
        <v>0.02</v>
      </c>
      <c r="BG107">
        <f t="shared" si="38"/>
        <v>618.2</v>
      </c>
      <c r="BH107">
        <f t="shared" si="39"/>
        <v>1567.4</v>
      </c>
      <c r="BI107" s="33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0.08</v>
      </c>
      <c r="BJ107" s="33" cm="1">
        <f t="array" ref="BJ107">$G$13+VLOOKUP($R107,武学奇术!$A:$ZZ,14,FALSE)+SUM(_xlfn.XLOOKUP($S107:$AL107,增益!$A:$A,增益!$N:$N,0))</f>
        <v>0.17</v>
      </c>
      <c r="BK107">
        <f t="shared" si="40"/>
        <v>0</v>
      </c>
      <c r="BL107">
        <f t="shared" si="41"/>
        <v>0</v>
      </c>
      <c r="BM107" s="33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3" cm="1">
        <f t="array" ref="BN107">$G$14+VLOOKUP($R107,武学奇术!$A:$ZZ,16,FALSE)+SUM(_xlfn.XLOOKUP($S107:$AL107,增益!$A:$A,增益!$P:$P,0))</f>
        <v>0.02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4" cm="1">
        <f t="array" ref="BQ107">1+$B$13+VLOOKUP($R107,武学奇术!$A:$ZZ,18,FALSE)+SUM(_xlfn.XLOOKUP($S107:$AL107,增益!$A:$A,增益!$R:$R,0))</f>
        <v>1.53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2"/>
        <v>0.8865</v>
      </c>
      <c r="BU107" s="24">
        <f t="shared" si="43"/>
        <v>0.0222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0.06</v>
      </c>
      <c r="BX107" s="24" cm="1">
        <f t="array" ref="BX107">VLOOKUP($R107,武学奇术!$A:$ZZ,32,FALSE)+SUM(_xlfn.XLOOKUP($S107:$AL107,增益!$A:$A,增益!$X:$X,0))</f>
        <v>0</v>
      </c>
    </row>
    <row r="108" spans="1:76">
      <c r="A108" s="4" t="s">
        <v>170</v>
      </c>
      <c r="B108" s="4">
        <v>2.5</v>
      </c>
      <c r="C108" s="29"/>
      <c r="E108" s="96"/>
      <c r="F108" s="29" t="s">
        <v>165</v>
      </c>
      <c r="K108" s="39">
        <f>$L108*VLOOKUP($R108,武学奇术!$A:$ZY,31,FALSE)</f>
        <v>18353.450670042</v>
      </c>
      <c r="L108" s="39">
        <f t="shared" si="33"/>
        <v>29132.4613810191</v>
      </c>
      <c r="M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29426.294915529</v>
      </c>
      <c r="N108" s="39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28716.907995728</v>
      </c>
      <c r="O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19107.9837113824</v>
      </c>
      <c r="P108" s="39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16944.1837222257</v>
      </c>
      <c r="Q108" s="86">
        <f t="shared" ref="Q108:Q110" si="45">IF($E$24="奇术",6,0)</f>
        <v>6</v>
      </c>
      <c r="R108" s="40" t="s">
        <v>188</v>
      </c>
      <c r="S108" s="40" t="s">
        <v>91</v>
      </c>
      <c r="T108" s="40" t="s">
        <v>94</v>
      </c>
      <c r="U108" s="40" t="s">
        <v>80</v>
      </c>
      <c r="V108" s="40" t="s">
        <v>81</v>
      </c>
      <c r="W108" s="40" t="s">
        <v>80</v>
      </c>
      <c r="X108" s="40" t="s">
        <v>80</v>
      </c>
      <c r="Y108" s="40" t="s">
        <v>80</v>
      </c>
      <c r="Z108" s="40" t="s">
        <v>110</v>
      </c>
      <c r="AA108" s="40" t="s">
        <v>80</v>
      </c>
      <c r="AB108" s="40" t="s">
        <v>80</v>
      </c>
      <c r="AC108" s="40" t="s">
        <v>82</v>
      </c>
      <c r="AD108" s="40" t="s">
        <v>80</v>
      </c>
      <c r="AE108" s="40" t="s">
        <v>80</v>
      </c>
      <c r="AF108" s="40" t="s">
        <v>80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83</v>
      </c>
      <c r="AL108" s="40" t="s">
        <v>80</v>
      </c>
      <c r="AM108" t="str">
        <f>VLOOKUP($R108,武学奇术!$A:$ZZ,25,FALSE)</f>
        <v>单体奇术</v>
      </c>
      <c r="AN108" s="24">
        <f>VLOOKUP($R108,武学奇术!$A:$ZZ,26,FALSE)</f>
        <v>0.2361</v>
      </c>
      <c r="AO108" s="25">
        <f>VLOOKUP($R108,武学奇术!$A:$ZZ,27,FALSE)*(1+IF(OR($AM108=$F$4,$AM108=$F$5),$B$21,0))</f>
        <v>47</v>
      </c>
      <c r="AP108" s="24">
        <f>VLOOKUP($R108,武学奇术!$A:$ZZ,28,FALSE)</f>
        <v>0.35415</v>
      </c>
      <c r="AQ108" s="25">
        <f>VLOOKUP($R108,武学奇术!$A:$ZZ,29,FALSE)*(1+IF(OR($AM108=$F$4,$AM108=$F$5),$B$21,0))</f>
        <v>0</v>
      </c>
      <c r="AR108" s="24" cm="1">
        <f t="array" ref="AR108">$G$3+IFERROR(VLOOKUP($AM108,$F$4:$G$7,2,FALSE),0)+VLOOKUP($R108,武学奇术!$A:$ZZ,2,FALSE)+SUM(_xlfn.XLOOKUP($S108:$AL108,增益!$A:$A,增益!$B:$B,0))</f>
        <v>0.6019</v>
      </c>
      <c r="AS108" s="24" cm="1">
        <f t="array" ref="AS108">VLOOKUP($R108,武学奇术!$A:$ZZ,5,FALSE)+SUM(_xlfn.XLOOKUP($S108:$AL108,增益!$A:$A,增益!$E:$E,0))</f>
        <v>0.075</v>
      </c>
      <c r="AT108" cm="1">
        <f t="array" ref="AT108">$D$10*(1+$AS108)+VLOOKUP($R108,武学奇术!$A:$ZZ,3,FALSE)+SUM(_xlfn.XLOOKUP($S108:$AL108,增益!$A:$A,增益!$C:$C,0))-$I$2</f>
        <v>4195.0125</v>
      </c>
      <c r="AU108" cm="1">
        <f t="array" ref="AU108">$E$10*(1+$AS108)+VLOOKUP($R108,武学奇术!$A:$ZZ,4,FALSE)+SUM(_xlfn.XLOOKUP($S108:$AL108,增益!$A:$A,增益!$D:$D,0))-$I$2</f>
        <v>4195.0125</v>
      </c>
      <c r="AV108" s="33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0.2789</v>
      </c>
      <c r="AW108" s="33" cm="1">
        <f t="array" ref="AW108">$G$10+VLOOKUP($R108,武学奇术!$A:$ZZ,7,FALSE)+SUM(_xlfn.XLOOKUP($S108:$AL108,增益!$A:$A,增益!$G:$G,0))</f>
        <v>0.045</v>
      </c>
      <c r="AX108" s="24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3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3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3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-0.14</v>
      </c>
      <c r="BF108" s="33" cm="1">
        <f t="array" ref="BF108">$G$12+VLOOKUP($R108,武学奇术!$A:$ZZ,12,FALSE)+SUM(_xlfn.XLOOKUP($S108:$AL108,增益!$A:$A,增益!$L:$L,0))</f>
        <v>0.02</v>
      </c>
      <c r="BG108">
        <f t="shared" si="38"/>
        <v>618.2</v>
      </c>
      <c r="BH108">
        <f t="shared" si="39"/>
        <v>1567.4</v>
      </c>
      <c r="BI108" s="33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0.08</v>
      </c>
      <c r="BJ108" s="33" cm="1">
        <f t="array" ref="BJ108">$G$13+VLOOKUP($R108,武学奇术!$A:$ZZ,14,FALSE)+SUM(_xlfn.XLOOKUP($S108:$AL108,增益!$A:$A,增益!$N:$N,0))</f>
        <v>0.17</v>
      </c>
      <c r="BK108">
        <f t="shared" si="40"/>
        <v>0</v>
      </c>
      <c r="BL108">
        <f t="shared" si="41"/>
        <v>0</v>
      </c>
      <c r="BM108" s="33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3" cm="1">
        <f t="array" ref="BN108">$G$14+VLOOKUP($R108,武学奇术!$A:$ZZ,16,FALSE)+SUM(_xlfn.XLOOKUP($S108:$AL108,增益!$A:$A,增益!$P:$P,0))</f>
        <v>0.02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2"/>
        <v>0.8865</v>
      </c>
      <c r="BU108" s="24">
        <f t="shared" si="43"/>
        <v>0.0222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0.06</v>
      </c>
      <c r="BX108" s="24" cm="1">
        <f t="array" ref="BX108">VLOOKUP($R108,武学奇术!$A:$ZZ,32,FALSE)+SUM(_xlfn.XLOOKUP($S108:$AL108,增益!$A:$A,增益!$X:$X,0))</f>
        <v>0</v>
      </c>
    </row>
    <row r="109" spans="1:76">
      <c r="A109" s="4" t="s">
        <v>182</v>
      </c>
      <c r="B109" s="4">
        <v>0.8</v>
      </c>
      <c r="C109" s="29"/>
      <c r="E109" s="96"/>
      <c r="F109" s="29"/>
      <c r="K109" s="39">
        <f>$L109*VLOOKUP($R109,武学奇术!$A:$ZY,31,FALSE)</f>
        <v>18460.1678036709</v>
      </c>
      <c r="L109" s="39">
        <f t="shared" si="33"/>
        <v>29301.8536566205</v>
      </c>
      <c r="M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29617.3747526428</v>
      </c>
      <c r="N109" s="39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28716.907995728</v>
      </c>
      <c r="O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19107.9837113824</v>
      </c>
      <c r="P109" s="39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16944.1837222257</v>
      </c>
      <c r="Q109" s="86">
        <f t="shared" si="45"/>
        <v>6</v>
      </c>
      <c r="R109" s="40" t="s">
        <v>188</v>
      </c>
      <c r="S109" s="40" t="s">
        <v>91</v>
      </c>
      <c r="T109" s="40" t="s">
        <v>152</v>
      </c>
      <c r="U109" s="40" t="s">
        <v>80</v>
      </c>
      <c r="V109" s="40" t="s">
        <v>81</v>
      </c>
      <c r="W109" s="40" t="s">
        <v>80</v>
      </c>
      <c r="X109" s="40" t="s">
        <v>80</v>
      </c>
      <c r="Y109" s="40" t="s">
        <v>80</v>
      </c>
      <c r="Z109" s="40" t="s">
        <v>110</v>
      </c>
      <c r="AA109" s="40" t="s">
        <v>80</v>
      </c>
      <c r="AB109" s="40" t="s">
        <v>80</v>
      </c>
      <c r="AC109" s="40" t="s">
        <v>82</v>
      </c>
      <c r="AD109" s="40" t="s">
        <v>80</v>
      </c>
      <c r="AE109" s="40" t="s">
        <v>80</v>
      </c>
      <c r="AF109" s="40" t="s">
        <v>80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83</v>
      </c>
      <c r="AL109" s="40" t="s">
        <v>80</v>
      </c>
      <c r="AM109" t="str">
        <f>VLOOKUP($R109,武学奇术!$A:$ZZ,25,FALSE)</f>
        <v>单体奇术</v>
      </c>
      <c r="AN109" s="24">
        <f>VLOOKUP($R109,武学奇术!$A:$ZZ,26,FALSE)</f>
        <v>0.2361</v>
      </c>
      <c r="AO109" s="25">
        <f>VLOOKUP($R109,武学奇术!$A:$ZZ,27,FALSE)*(1+IF(OR($AM109=$F$4,$AM109=$F$5),$B$21,0))</f>
        <v>47</v>
      </c>
      <c r="AP109" s="24">
        <f>VLOOKUP($R109,武学奇术!$A:$ZZ,28,FALSE)</f>
        <v>0.35415</v>
      </c>
      <c r="AQ109" s="25">
        <f>VLOOKUP($R109,武学奇术!$A:$ZZ,29,FALSE)*(1+IF(OR($AM109=$F$4,$AM109=$F$5),$B$21,0))</f>
        <v>0</v>
      </c>
      <c r="AR109" s="24" cm="1">
        <f t="array" ref="AR109">$G$3+IFERROR(VLOOKUP($AM109,$F$4:$G$7,2,FALSE),0)+VLOOKUP($R109,武学奇术!$A:$ZZ,2,FALSE)+SUM(_xlfn.XLOOKUP($S109:$AL109,增益!$A:$A,增益!$B:$B,0))</f>
        <v>0.6019</v>
      </c>
      <c r="AS109" s="24" cm="1">
        <f t="array" ref="AS109">VLOOKUP($R109,武学奇术!$A:$ZZ,5,FALSE)+SUM(_xlfn.XLOOKUP($S109:$AL109,增益!$A:$A,增益!$E:$E,0))</f>
        <v>0.075</v>
      </c>
      <c r="AT109" cm="1">
        <f t="array" ref="AT109">$D$10*(1+$AS109)+VLOOKUP($R109,武学奇术!$A:$ZZ,3,FALSE)+SUM(_xlfn.XLOOKUP($S109:$AL109,增益!$A:$A,增益!$C:$C,0))-$I$2</f>
        <v>4195.0125</v>
      </c>
      <c r="AU109" cm="1">
        <f t="array" ref="AU109">$E$10*(1+$AS109)+VLOOKUP($R109,武学奇术!$A:$ZZ,4,FALSE)+SUM(_xlfn.XLOOKUP($S109:$AL109,增益!$A:$A,增益!$D:$D,0))-$I$2</f>
        <v>4195.0125</v>
      </c>
      <c r="AV109" s="33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0.2789</v>
      </c>
      <c r="AW109" s="33" cm="1">
        <f t="array" ref="AW109">$G$10+VLOOKUP($R109,武学奇术!$A:$ZZ,7,FALSE)+SUM(_xlfn.XLOOKUP($S109:$AL109,增益!$A:$A,增益!$G:$G,0))</f>
        <v>0.045</v>
      </c>
      <c r="AX109" s="24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3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3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3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-0.14</v>
      </c>
      <c r="BF109" s="33" cm="1">
        <f t="array" ref="BF109">$G$12+VLOOKUP($R109,武学奇术!$A:$ZZ,12,FALSE)+SUM(_xlfn.XLOOKUP($S109:$AL109,增益!$A:$A,增益!$L:$L,0))</f>
        <v>0.02</v>
      </c>
      <c r="BG109">
        <f t="shared" si="38"/>
        <v>618.2</v>
      </c>
      <c r="BH109">
        <f t="shared" si="39"/>
        <v>1567.4</v>
      </c>
      <c r="BI109" s="33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0.08</v>
      </c>
      <c r="BJ109" s="33" cm="1">
        <f t="array" ref="BJ109">$G$13+VLOOKUP($R109,武学奇术!$A:$ZZ,14,FALSE)+SUM(_xlfn.XLOOKUP($S109:$AL109,增益!$A:$A,增益!$N:$N,0))</f>
        <v>0.17</v>
      </c>
      <c r="BK109">
        <f t="shared" si="40"/>
        <v>0</v>
      </c>
      <c r="BL109">
        <f t="shared" si="41"/>
        <v>0</v>
      </c>
      <c r="BM109" s="33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-0.14</v>
      </c>
      <c r="BN109" s="33" cm="1">
        <f t="array" ref="BN109">$G$14+VLOOKUP($R109,武学奇术!$A:$ZZ,16,FALSE)+SUM(_xlfn.XLOOKUP($S109:$AL109,增益!$A:$A,增益!$P:$P,0))</f>
        <v>0.02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4" cm="1">
        <f t="array" ref="BQ109">1+$B$13+VLOOKUP($R109,武学奇术!$A:$ZZ,18,FALSE)+SUM(_xlfn.XLOOKUP($S109:$AL109,增益!$A:$A,增益!$R:$R,0))</f>
        <v>1.55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2"/>
        <v>0.8865</v>
      </c>
      <c r="BU109" s="24">
        <f t="shared" si="43"/>
        <v>0.0222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0.06</v>
      </c>
      <c r="BX109" s="24" cm="1">
        <f t="array" ref="BX109">VLOOKUP($R109,武学奇术!$A:$ZZ,32,FALSE)+SUM(_xlfn.XLOOKUP($S109:$AL109,增益!$A:$A,增益!$X:$X,0))</f>
        <v>0</v>
      </c>
    </row>
    <row r="110" spans="1:76">
      <c r="A110" s="4" t="s">
        <v>180</v>
      </c>
      <c r="B110" s="91">
        <v>1.7</v>
      </c>
      <c r="C110" s="29"/>
      <c r="F110" s="29"/>
      <c r="K110" s="39">
        <f>$L110*VLOOKUP($R110,武学奇术!$A:$ZY,31,FALSE)</f>
        <v>15472.4041144165</v>
      </c>
      <c r="L110" s="39">
        <f t="shared" si="33"/>
        <v>24559.3716101849</v>
      </c>
      <c r="M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24840.3788247972</v>
      </c>
      <c r="N110" s="39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23930.7566631066</v>
      </c>
      <c r="O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15923.3197594854</v>
      </c>
      <c r="P110" s="39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14120.1531018547</v>
      </c>
      <c r="Q110" s="86">
        <f>IF($E$24="奇术",5,0)</f>
        <v>5</v>
      </c>
      <c r="R110" s="40" t="s">
        <v>188</v>
      </c>
      <c r="S110" s="40" t="s">
        <v>91</v>
      </c>
      <c r="T110" s="40" t="s">
        <v>154</v>
      </c>
      <c r="U110" s="40" t="s">
        <v>80</v>
      </c>
      <c r="V110" s="40" t="s">
        <v>81</v>
      </c>
      <c r="W110" s="40" t="s">
        <v>80</v>
      </c>
      <c r="X110" s="40" t="s">
        <v>80</v>
      </c>
      <c r="Y110" s="40" t="s">
        <v>80</v>
      </c>
      <c r="Z110" s="40" t="s">
        <v>110</v>
      </c>
      <c r="AA110" s="40" t="s">
        <v>80</v>
      </c>
      <c r="AB110" s="40" t="s">
        <v>80</v>
      </c>
      <c r="AC110" s="40" t="s">
        <v>82</v>
      </c>
      <c r="AD110" s="40" t="s">
        <v>80</v>
      </c>
      <c r="AE110" s="40" t="s">
        <v>80</v>
      </c>
      <c r="AF110" s="40" t="s">
        <v>80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83</v>
      </c>
      <c r="AL110" s="40" t="s">
        <v>80</v>
      </c>
      <c r="AM110" t="str">
        <f>VLOOKUP($R110,武学奇术!$A:$ZZ,25,FALSE)</f>
        <v>单体奇术</v>
      </c>
      <c r="AN110" s="24">
        <f>VLOOKUP($R110,武学奇术!$A:$ZZ,26,FALSE)</f>
        <v>0.2361</v>
      </c>
      <c r="AO110" s="25">
        <f>VLOOKUP($R110,武学奇术!$A:$ZZ,27,FALSE)*(1+IF(OR($AM110=$F$4,$AM110=$F$5),$B$21,0))</f>
        <v>47</v>
      </c>
      <c r="AP110" s="24">
        <f>VLOOKUP($R110,武学奇术!$A:$ZZ,28,FALSE)</f>
        <v>0.35415</v>
      </c>
      <c r="AQ110" s="25">
        <f>VLOOKUP($R110,武学奇术!$A:$ZZ,29,FALSE)*(1+IF(OR($AM110=$F$4,$AM110=$F$5),$B$21,0))</f>
        <v>0</v>
      </c>
      <c r="AR110" s="24" cm="1">
        <f t="array" ref="AR110">$G$3+IFERROR(VLOOKUP($AM110,$F$4:$G$7,2,FALSE),0)+VLOOKUP($R110,武学奇术!$A:$ZZ,2,FALSE)+SUM(_xlfn.XLOOKUP($S110:$AL110,增益!$A:$A,增益!$B:$B,0))</f>
        <v>0.6019</v>
      </c>
      <c r="AS110" s="24" cm="1">
        <f t="array" ref="AS110">VLOOKUP($R110,武学奇术!$A:$ZZ,5,FALSE)+SUM(_xlfn.XLOOKUP($S110:$AL110,增益!$A:$A,增益!$E:$E,0))</f>
        <v>0.075</v>
      </c>
      <c r="AT110" cm="1">
        <f t="array" ref="AT110">$D$10*(1+$AS110)+VLOOKUP($R110,武学奇术!$A:$ZZ,3,FALSE)+SUM(_xlfn.XLOOKUP($S110:$AL110,增益!$A:$A,增益!$C:$C,0))-$I$2</f>
        <v>4195.0125</v>
      </c>
      <c r="AU110" cm="1">
        <f t="array" ref="AU110">$E$10*(1+$AS110)+VLOOKUP($R110,武学奇术!$A:$ZZ,4,FALSE)+SUM(_xlfn.XLOOKUP($S110:$AL110,增益!$A:$A,增益!$D:$D,0))-$I$2</f>
        <v>4195.0125</v>
      </c>
      <c r="AV110" s="33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0.2789</v>
      </c>
      <c r="AW110" s="33" cm="1">
        <f t="array" ref="AW110">$G$10+VLOOKUP($R110,武学奇术!$A:$ZZ,7,FALSE)+SUM(_xlfn.XLOOKUP($S110:$AL110,增益!$A:$A,增益!$G:$G,0))</f>
        <v>0.045</v>
      </c>
      <c r="AX110" s="24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3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3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3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3" cm="1">
        <f t="array" ref="BF110">$G$12+VLOOKUP($R110,武学奇术!$A:$ZZ,12,FALSE)+SUM(_xlfn.XLOOKUP($S110:$AL110,增益!$A:$A,增益!$L:$L,0))</f>
        <v>0.02</v>
      </c>
      <c r="BG110">
        <f t="shared" si="38"/>
        <v>618.2</v>
      </c>
      <c r="BH110">
        <f t="shared" si="39"/>
        <v>1567.4</v>
      </c>
      <c r="BI110" s="33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0.08</v>
      </c>
      <c r="BJ110" s="33" cm="1">
        <f t="array" ref="BJ110">$G$13+VLOOKUP($R110,武学奇术!$A:$ZZ,14,FALSE)+SUM(_xlfn.XLOOKUP($S110:$AL110,增益!$A:$A,增益!$N:$N,0))</f>
        <v>0.17</v>
      </c>
      <c r="BK110">
        <f t="shared" si="40"/>
        <v>0</v>
      </c>
      <c r="BL110">
        <f t="shared" si="41"/>
        <v>0</v>
      </c>
      <c r="BM110" s="33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-0.14</v>
      </c>
      <c r="BN110" s="33" cm="1">
        <f t="array" ref="BN110">$G$14+VLOOKUP($R110,武学奇术!$A:$ZZ,16,FALSE)+SUM(_xlfn.XLOOKUP($S110:$AL110,增益!$A:$A,增益!$P:$P,0))</f>
        <v>0.02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4" cm="1">
        <f t="array" ref="BQ110">1+$B$13+VLOOKUP($R110,武学奇术!$A:$ZZ,18,FALSE)+SUM(_xlfn.XLOOKUP($S110:$AL110,增益!$A:$A,增益!$R:$R,0))</f>
        <v>1.56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2"/>
        <v>0.8865</v>
      </c>
      <c r="BU110" s="24">
        <f t="shared" si="43"/>
        <v>0.0222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0.06</v>
      </c>
      <c r="BX110" s="24" cm="1">
        <f t="array" ref="BX110">VLOOKUP($R110,武学奇术!$A:$ZZ,32,FALSE)+SUM(_xlfn.XLOOKUP($S110:$AL110,增益!$A:$A,增益!$X:$X,0))</f>
        <v>0</v>
      </c>
    </row>
    <row r="111" spans="1:76">
      <c r="A111" t="s">
        <v>177</v>
      </c>
      <c r="B111">
        <v>1</v>
      </c>
      <c r="C111" s="29"/>
      <c r="F111" s="29"/>
      <c r="K111" s="39">
        <f>$L111*VLOOKUP($R111,武学奇术!$A:$ZY,31,FALSE)</f>
        <v>67096.8233626044</v>
      </c>
      <c r="L111" s="39">
        <f t="shared" si="33"/>
        <v>63901.7365358137</v>
      </c>
      <c r="M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64632.8160116724</v>
      </c>
      <c r="N111" s="39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62266.9271858634</v>
      </c>
      <c r="O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41431.2923151746</v>
      </c>
      <c r="P111" s="39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36738.934863043</v>
      </c>
      <c r="Q111" s="86">
        <f>IF($E$24="奇术",3,0)</f>
        <v>3</v>
      </c>
      <c r="R111" s="40" t="s">
        <v>189</v>
      </c>
      <c r="S111" s="40" t="s">
        <v>121</v>
      </c>
      <c r="T111" s="40" t="s">
        <v>154</v>
      </c>
      <c r="U111" s="40" t="s">
        <v>80</v>
      </c>
      <c r="V111" s="40" t="s">
        <v>81</v>
      </c>
      <c r="W111" s="40" t="s">
        <v>80</v>
      </c>
      <c r="X111" s="40" t="s">
        <v>80</v>
      </c>
      <c r="Y111" s="40" t="s">
        <v>80</v>
      </c>
      <c r="Z111" s="40" t="s">
        <v>110</v>
      </c>
      <c r="AA111" s="40" t="s">
        <v>80</v>
      </c>
      <c r="AB111" s="40" t="s">
        <v>80</v>
      </c>
      <c r="AC111" s="40" t="s">
        <v>82</v>
      </c>
      <c r="AD111" s="40" t="s">
        <v>80</v>
      </c>
      <c r="AE111" s="40" t="s">
        <v>80</v>
      </c>
      <c r="AF111" s="40" t="s">
        <v>80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83</v>
      </c>
      <c r="AL111" s="40" t="s">
        <v>80</v>
      </c>
      <c r="AM111" t="str">
        <f>VLOOKUP($R111,武学奇术!$A:$ZZ,25,FALSE)</f>
        <v>单体奇术</v>
      </c>
      <c r="AN111" s="24">
        <f>VLOOKUP($R111,武学奇术!$A:$ZZ,26,FALSE)</f>
        <v>1.024</v>
      </c>
      <c r="AO111" s="25">
        <f>VLOOKUP($R111,武学奇术!$A:$ZZ,27,FALSE)*(1+IF(OR($AM111=$F$4,$AM111=$F$5),$B$21,0))</f>
        <v>203</v>
      </c>
      <c r="AP111" s="24">
        <f>VLOOKUP($R111,武学奇术!$A:$ZZ,28,FALSE)</f>
        <v>1.536</v>
      </c>
      <c r="AQ111" s="25">
        <f>VLOOKUP($R111,武学奇术!$A:$ZZ,29,FALSE)*(1+IF(OR($AM111=$F$4,$AM111=$F$5),$B$21,0))</f>
        <v>0</v>
      </c>
      <c r="AR111" s="24" cm="1">
        <f t="array" ref="AR111">$G$3+IFERROR(VLOOKUP($AM111,$F$4:$G$7,2,FALSE),0)+VLOOKUP($R111,武学奇术!$A:$ZZ,2,FALSE)+SUM(_xlfn.XLOOKUP($S111:$AL111,增益!$A:$A,增益!$B:$B,0))</f>
        <v>0.6019</v>
      </c>
      <c r="AS111" s="24" cm="1">
        <f t="array" ref="AS111">VLOOKUP($R111,武学奇术!$A:$ZZ,5,FALSE)+SUM(_xlfn.XLOOKUP($S111:$AL111,增益!$A:$A,增益!$E:$E,0))</f>
        <v>0.075</v>
      </c>
      <c r="AT111" cm="1">
        <f t="array" ref="AT111">$D$10*(1+$AS111)+VLOOKUP($R111,武学奇术!$A:$ZZ,3,FALSE)+SUM(_xlfn.XLOOKUP($S111:$AL111,增益!$A:$A,增益!$C:$C,0))-$I$2</f>
        <v>4195.0125</v>
      </c>
      <c r="AU111" cm="1">
        <f t="array" ref="AU111">$E$10*(1+$AS111)+VLOOKUP($R111,武学奇术!$A:$ZZ,4,FALSE)+SUM(_xlfn.XLOOKUP($S111:$AL111,增益!$A:$A,增益!$D:$D,0))-$I$2</f>
        <v>4195.0125</v>
      </c>
      <c r="AV111" s="33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0.2789</v>
      </c>
      <c r="AW111" s="33" cm="1">
        <f t="array" ref="AW111">$G$10+VLOOKUP($R111,武学奇术!$A:$ZZ,7,FALSE)+SUM(_xlfn.XLOOKUP($S111:$AL111,增益!$A:$A,增益!$G:$G,0))</f>
        <v>0.045</v>
      </c>
      <c r="AX111" s="24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3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3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3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3" cm="1">
        <f t="array" ref="BF111">$G$12+VLOOKUP($R111,武学奇术!$A:$ZZ,12,FALSE)+SUM(_xlfn.XLOOKUP($S111:$AL111,增益!$A:$A,增益!$L:$L,0))</f>
        <v>0.02</v>
      </c>
      <c r="BG111">
        <f t="shared" si="38"/>
        <v>618.2</v>
      </c>
      <c r="BH111">
        <f t="shared" si="39"/>
        <v>1567.4</v>
      </c>
      <c r="BI111" s="33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0.08</v>
      </c>
      <c r="BJ111" s="33" cm="1">
        <f t="array" ref="BJ111">$G$13+VLOOKUP($R111,武学奇术!$A:$ZZ,14,FALSE)+SUM(_xlfn.XLOOKUP($S111:$AL111,增益!$A:$A,增益!$N:$N,0))</f>
        <v>0.17</v>
      </c>
      <c r="BK111">
        <f t="shared" si="40"/>
        <v>0</v>
      </c>
      <c r="BL111">
        <f t="shared" si="41"/>
        <v>0</v>
      </c>
      <c r="BM111" s="33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-0.14</v>
      </c>
      <c r="BN111" s="33" cm="1">
        <f t="array" ref="BN111">$G$14+VLOOKUP($R111,武学奇术!$A:$ZZ,16,FALSE)+SUM(_xlfn.XLOOKUP($S111:$AL111,增益!$A:$A,增益!$P:$P,0))</f>
        <v>0.02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4" cm="1">
        <f t="array" ref="BQ111">1+$B$13+VLOOKUP($R111,武学奇术!$A:$ZZ,18,FALSE)+SUM(_xlfn.XLOOKUP($S111:$AL111,增益!$A:$A,增益!$R:$R,0))</f>
        <v>1.56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2"/>
        <v>0.8865</v>
      </c>
      <c r="BU111" s="24">
        <f t="shared" si="43"/>
        <v>0.0222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0.06</v>
      </c>
      <c r="BX111" s="24" cm="1">
        <f t="array" ref="BX111">VLOOKUP($R111,武学奇术!$A:$ZZ,32,FALSE)+SUM(_xlfn.XLOOKUP($S111:$AL111,增益!$A:$A,增益!$X:$X,0))</f>
        <v>0</v>
      </c>
    </row>
    <row r="112" spans="1:76">
      <c r="A112" s="4" t="s">
        <v>170</v>
      </c>
      <c r="B112" s="4">
        <v>2.5</v>
      </c>
      <c r="C112" s="29"/>
      <c r="F112" s="29"/>
      <c r="K112" s="39">
        <f>$L112*VLOOKUP($R112,武学奇术!$A:$ZY,31,FALSE)</f>
        <v>105435.149926167</v>
      </c>
      <c r="L112" s="39">
        <f t="shared" si="33"/>
        <v>100414.428501111</v>
      </c>
      <c r="M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101563.238907886</v>
      </c>
      <c r="N112" s="39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97845.5004823917</v>
      </c>
      <c r="O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65104.6403255681</v>
      </c>
      <c r="P112" s="39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57731.1321456609</v>
      </c>
      <c r="Q112" s="86">
        <f>IF($E$24="奇术",3,0)</f>
        <v>3</v>
      </c>
      <c r="R112" s="40" t="s">
        <v>190</v>
      </c>
      <c r="S112" s="40" t="s">
        <v>121</v>
      </c>
      <c r="T112" s="40" t="s">
        <v>154</v>
      </c>
      <c r="U112" s="40" t="s">
        <v>80</v>
      </c>
      <c r="V112" s="40" t="s">
        <v>81</v>
      </c>
      <c r="W112" s="40" t="s">
        <v>80</v>
      </c>
      <c r="X112" s="40" t="s">
        <v>80</v>
      </c>
      <c r="Y112" s="40" t="s">
        <v>80</v>
      </c>
      <c r="Z112" s="40" t="s">
        <v>110</v>
      </c>
      <c r="AA112" s="40" t="s">
        <v>80</v>
      </c>
      <c r="AB112" s="40" t="s">
        <v>80</v>
      </c>
      <c r="AC112" s="40" t="s">
        <v>82</v>
      </c>
      <c r="AD112" s="40" t="s">
        <v>80</v>
      </c>
      <c r="AE112" s="40" t="s">
        <v>80</v>
      </c>
      <c r="AF112" s="40" t="s">
        <v>80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83</v>
      </c>
      <c r="AL112" s="40" t="s">
        <v>80</v>
      </c>
      <c r="AM112" t="str">
        <f>VLOOKUP($R112,武学奇术!$A:$ZZ,25,FALSE)</f>
        <v>单体奇术</v>
      </c>
      <c r="AN112" s="24">
        <f>VLOOKUP($R112,武学奇术!$A:$ZZ,26,FALSE)</f>
        <v>1.6091</v>
      </c>
      <c r="AO112" s="25">
        <f>VLOOKUP($R112,武学奇术!$A:$ZZ,27,FALSE)*(1+IF(OR($AM112=$F$4,$AM112=$F$5),$B$21,0))</f>
        <v>319</v>
      </c>
      <c r="AP112" s="24">
        <f>VLOOKUP($R112,武学奇术!$A:$ZZ,28,FALSE)</f>
        <v>2.41365</v>
      </c>
      <c r="AQ112" s="25">
        <f>VLOOKUP($R112,武学奇术!$A:$ZZ,29,FALSE)*(1+IF(OR($AM112=$F$4,$AM112=$F$5),$B$21,0))</f>
        <v>0</v>
      </c>
      <c r="AR112" s="24" cm="1">
        <f t="array" ref="AR112">$G$3+IFERROR(VLOOKUP($AM112,$F$4:$G$7,2,FALSE),0)+VLOOKUP($R112,武学奇术!$A:$ZZ,2,FALSE)+SUM(_xlfn.XLOOKUP($S112:$AL112,增益!$A:$A,增益!$B:$B,0))</f>
        <v>0.6019</v>
      </c>
      <c r="AS112" s="24" cm="1">
        <f t="array" ref="AS112">VLOOKUP($R112,武学奇术!$A:$ZZ,5,FALSE)+SUM(_xlfn.XLOOKUP($S112:$AL112,增益!$A:$A,增益!$E:$E,0))</f>
        <v>0.075</v>
      </c>
      <c r="AT112" cm="1">
        <f t="array" ref="AT112">$D$10*(1+$AS112)+VLOOKUP($R112,武学奇术!$A:$ZZ,3,FALSE)+SUM(_xlfn.XLOOKUP($S112:$AL112,增益!$A:$A,增益!$C:$C,0))-$I$2</f>
        <v>4195.0125</v>
      </c>
      <c r="AU112" cm="1">
        <f t="array" ref="AU112">$E$10*(1+$AS112)+VLOOKUP($R112,武学奇术!$A:$ZZ,4,FALSE)+SUM(_xlfn.XLOOKUP($S112:$AL112,增益!$A:$A,增益!$D:$D,0))-$I$2</f>
        <v>4195.0125</v>
      </c>
      <c r="AV112" s="33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0.2789</v>
      </c>
      <c r="AW112" s="33" cm="1">
        <f t="array" ref="AW112">$G$10+VLOOKUP($R112,武学奇术!$A:$ZZ,7,FALSE)+SUM(_xlfn.XLOOKUP($S112:$AL112,增益!$A:$A,增益!$G:$G,0))</f>
        <v>0.045</v>
      </c>
      <c r="AX112" s="24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3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3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3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3" cm="1">
        <f t="array" ref="BF112">$G$12+VLOOKUP($R112,武学奇术!$A:$ZZ,12,FALSE)+SUM(_xlfn.XLOOKUP($S112:$AL112,增益!$A:$A,增益!$L:$L,0))</f>
        <v>0.02</v>
      </c>
      <c r="BG112">
        <f t="shared" si="38"/>
        <v>618.2</v>
      </c>
      <c r="BH112">
        <f t="shared" si="39"/>
        <v>1567.4</v>
      </c>
      <c r="BI112" s="33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0.08</v>
      </c>
      <c r="BJ112" s="33" cm="1">
        <f t="array" ref="BJ112">$G$13+VLOOKUP($R112,武学奇术!$A:$ZZ,14,FALSE)+SUM(_xlfn.XLOOKUP($S112:$AL112,增益!$A:$A,增益!$N:$N,0))</f>
        <v>0.17</v>
      </c>
      <c r="BK112">
        <f t="shared" si="40"/>
        <v>0</v>
      </c>
      <c r="BL112">
        <f t="shared" si="41"/>
        <v>0</v>
      </c>
      <c r="BM112" s="33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-0.14</v>
      </c>
      <c r="BN112" s="33" cm="1">
        <f t="array" ref="BN112">$G$14+VLOOKUP($R112,武学奇术!$A:$ZZ,16,FALSE)+SUM(_xlfn.XLOOKUP($S112:$AL112,增益!$A:$A,增益!$P:$P,0))</f>
        <v>0.02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4" cm="1">
        <f t="array" ref="BQ112">1+$B$13+VLOOKUP($R112,武学奇术!$A:$ZZ,18,FALSE)+SUM(_xlfn.XLOOKUP($S112:$AL112,增益!$A:$A,增益!$R:$R,0))</f>
        <v>1.56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2"/>
        <v>0.8865</v>
      </c>
      <c r="BU112" s="24">
        <f t="shared" si="43"/>
        <v>0.0222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0.06</v>
      </c>
      <c r="BX112" s="24" cm="1">
        <f t="array" ref="BX112">VLOOKUP($R112,武学奇术!$A:$ZZ,32,FALSE)+SUM(_xlfn.XLOOKUP($S112:$AL112,增益!$A:$A,增益!$X:$X,0))</f>
        <v>0</v>
      </c>
    </row>
    <row r="113" spans="1:76">
      <c r="A113" s="4"/>
      <c r="B113" s="4"/>
      <c r="K113" s="39">
        <f>$L113*VLOOKUP($R113,武学奇术!$A:$ZY,31,FALSE)</f>
        <v>93076.4897634925</v>
      </c>
      <c r="L113" s="39">
        <f t="shared" si="33"/>
        <v>88644.2759652309</v>
      </c>
      <c r="M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89819.370999663</v>
      </c>
      <c r="N113" s="39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84965.8769307916</v>
      </c>
      <c r="O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56847.7031643437</v>
      </c>
      <c r="P113" s="39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50757.7197132861</v>
      </c>
      <c r="Q113" s="86">
        <f t="shared" ref="Q113:Q115" si="46">IF($E$24="奇术",1,0)</f>
        <v>1</v>
      </c>
      <c r="R113" s="40" t="s">
        <v>187</v>
      </c>
      <c r="S113" s="40" t="s">
        <v>91</v>
      </c>
      <c r="T113" s="40" t="s">
        <v>161</v>
      </c>
      <c r="U113" s="40" t="s">
        <v>80</v>
      </c>
      <c r="V113" s="40" t="s">
        <v>166</v>
      </c>
      <c r="W113" s="40" t="s">
        <v>80</v>
      </c>
      <c r="X113" s="40" t="s">
        <v>80</v>
      </c>
      <c r="Y113" s="40" t="s">
        <v>80</v>
      </c>
      <c r="Z113" s="40" t="s">
        <v>110</v>
      </c>
      <c r="AA113" s="40" t="s">
        <v>80</v>
      </c>
      <c r="AB113" s="40" t="s">
        <v>80</v>
      </c>
      <c r="AC113" s="40" t="s">
        <v>82</v>
      </c>
      <c r="AD113" s="40" t="s">
        <v>80</v>
      </c>
      <c r="AE113" s="40" t="s">
        <v>80</v>
      </c>
      <c r="AF113" s="40" t="s">
        <v>80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83</v>
      </c>
      <c r="AL113" s="40" t="s">
        <v>80</v>
      </c>
      <c r="AM113" t="str">
        <f>VLOOKUP($R113,武学奇术!$A:$ZZ,25,FALSE)</f>
        <v>单体奇术</v>
      </c>
      <c r="AN113" s="24">
        <f>VLOOKUP($R113,武学奇术!$A:$ZZ,26,FALSE)</f>
        <v>3.987</v>
      </c>
      <c r="AO113" s="25">
        <f>VLOOKUP($R113,武学奇术!$A:$ZZ,27,FALSE)*(1+IF(OR($AM113=$F$4,$AM113=$F$5),$B$21,0))</f>
        <v>807</v>
      </c>
      <c r="AP113" s="24">
        <f>VLOOKUP($R113,武学奇术!$A:$ZZ,28,FALSE)</f>
        <v>5.9805</v>
      </c>
      <c r="AQ113" s="25">
        <f>VLOOKUP($R113,武学奇术!$A:$ZZ,29,FALSE)*(1+IF(OR($AM113=$F$4,$AM113=$F$5),$B$21,0))</f>
        <v>0</v>
      </c>
      <c r="AR113" s="24" cm="1">
        <f t="array" ref="AR113">$G$3+IFERROR(VLOOKUP($AM113,$F$4:$G$7,2,FALSE),0)+VLOOKUP($R113,武学奇术!$A:$ZZ,2,FALSE)+SUM(_xlfn.XLOOKUP($S113:$AL113,增益!$A:$A,增益!$B:$B,0))</f>
        <v>0.6019</v>
      </c>
      <c r="AS113" s="24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4530.825</v>
      </c>
      <c r="AU113" cm="1">
        <f t="array" ref="AU113">$E$10*(1+$AS113)+VLOOKUP($R113,武学奇术!$A:$ZZ,4,FALSE)+SUM(_xlfn.XLOOKUP($S113:$AL113,增益!$A:$A,增益!$D:$D,0))-$I$2</f>
        <v>4530.825</v>
      </c>
      <c r="AV113" s="33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0.2789</v>
      </c>
      <c r="AW113" s="33" cm="1">
        <f t="array" ref="AW113">$G$10+VLOOKUP($R113,武学奇术!$A:$ZZ,7,FALSE)+SUM(_xlfn.XLOOKUP($S113:$AL113,增益!$A:$A,增益!$G:$G,0))</f>
        <v>0.045</v>
      </c>
      <c r="AX113" s="24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3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3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3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3" cm="1">
        <f t="array" ref="BF113">$G$12+VLOOKUP($R113,武学奇术!$A:$ZZ,12,FALSE)+SUM(_xlfn.XLOOKUP($S113:$AL113,增益!$A:$A,增益!$L:$L,0))</f>
        <v>0.02</v>
      </c>
      <c r="BG113">
        <f t="shared" si="38"/>
        <v>618.2</v>
      </c>
      <c r="BH113">
        <f t="shared" si="39"/>
        <v>1567.4</v>
      </c>
      <c r="BI113" s="33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0.08</v>
      </c>
      <c r="BJ113" s="33" cm="1">
        <f t="array" ref="BJ113">$G$13+VLOOKUP($R113,武学奇术!$A:$ZZ,14,FALSE)+SUM(_xlfn.XLOOKUP($S113:$AL113,增益!$A:$A,增益!$N:$N,0))</f>
        <v>0.17</v>
      </c>
      <c r="BK113">
        <f t="shared" si="40"/>
        <v>0</v>
      </c>
      <c r="BL113">
        <f t="shared" si="41"/>
        <v>0</v>
      </c>
      <c r="BM113" s="33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-0.14</v>
      </c>
      <c r="BN113" s="33" cm="1">
        <f t="array" ref="BN113">$G$14+VLOOKUP($R113,武学奇术!$A:$ZZ,16,FALSE)+SUM(_xlfn.XLOOKUP($S113:$AL113,增益!$A:$A,增益!$P:$P,0))</f>
        <v>0.02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4" cm="1">
        <f t="array" ref="BQ113">1+$B$13+VLOOKUP($R113,武学奇术!$A:$ZZ,18,FALSE)+SUM(_xlfn.XLOOKUP($S113:$AL113,增益!$A:$A,增益!$R:$R,0))</f>
        <v>1.58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2"/>
        <v>0.8865</v>
      </c>
      <c r="BU113" s="24">
        <f t="shared" si="43"/>
        <v>0.0222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0.06</v>
      </c>
      <c r="BX113" s="24" cm="1">
        <f t="array" ref="BX113">VLOOKUP($R113,武学奇术!$A:$ZZ,32,FALSE)+SUM(_xlfn.XLOOKUP($S113:$AL113,增益!$A:$A,增益!$X:$X,0))</f>
        <v>0</v>
      </c>
    </row>
    <row r="114" spans="1:76">
      <c r="A114" s="4"/>
      <c r="B114" s="91"/>
      <c r="K114" s="39">
        <f>$L114*VLOOKUP($R114,武学奇术!$A:$ZY,31,FALSE)</f>
        <v>3305.30889656887</v>
      </c>
      <c r="L114" s="39">
        <f t="shared" si="33"/>
        <v>5246.52205804582</v>
      </c>
      <c r="M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5316.04758405325</v>
      </c>
      <c r="N114" s="39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5029.04755355514</v>
      </c>
      <c r="O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3364.58707851472</v>
      </c>
      <c r="P114" s="39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3003.95374698859</v>
      </c>
      <c r="Q114" s="86">
        <f t="shared" si="46"/>
        <v>1</v>
      </c>
      <c r="R114" s="40" t="s">
        <v>188</v>
      </c>
      <c r="S114" s="40" t="s">
        <v>91</v>
      </c>
      <c r="T114" s="40" t="s">
        <v>161</v>
      </c>
      <c r="U114" s="40" t="s">
        <v>80</v>
      </c>
      <c r="V114" s="40" t="s">
        <v>166</v>
      </c>
      <c r="W114" s="40" t="s">
        <v>80</v>
      </c>
      <c r="X114" s="40" t="s">
        <v>80</v>
      </c>
      <c r="Y114" s="40" t="s">
        <v>80</v>
      </c>
      <c r="Z114" s="40" t="s">
        <v>110</v>
      </c>
      <c r="AA114" s="40" t="s">
        <v>80</v>
      </c>
      <c r="AB114" s="40" t="s">
        <v>80</v>
      </c>
      <c r="AC114" s="40" t="s">
        <v>82</v>
      </c>
      <c r="AD114" s="40" t="s">
        <v>80</v>
      </c>
      <c r="AE114" s="40" t="s">
        <v>80</v>
      </c>
      <c r="AF114" s="40" t="s">
        <v>80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83</v>
      </c>
      <c r="AL114" s="40" t="s">
        <v>80</v>
      </c>
      <c r="AM114" t="str">
        <f>VLOOKUP($R114,武学奇术!$A:$ZZ,25,FALSE)</f>
        <v>单体奇术</v>
      </c>
      <c r="AN114" s="24">
        <f>VLOOKUP($R114,武学奇术!$A:$ZZ,26,FALSE)</f>
        <v>0.2361</v>
      </c>
      <c r="AO114" s="25">
        <f>VLOOKUP($R114,武学奇术!$A:$ZZ,27,FALSE)*(1+IF(OR($AM114=$F$4,$AM114=$F$5),$B$21,0))</f>
        <v>47</v>
      </c>
      <c r="AP114" s="24">
        <f>VLOOKUP($R114,武学奇术!$A:$ZZ,28,FALSE)</f>
        <v>0.35415</v>
      </c>
      <c r="AQ114" s="25">
        <f>VLOOKUP($R114,武学奇术!$A:$ZZ,29,FALSE)*(1+IF(OR($AM114=$F$4,$AM114=$F$5),$B$21,0))</f>
        <v>0</v>
      </c>
      <c r="AR114" s="24" cm="1">
        <f t="array" ref="AR114">$G$3+IFERROR(VLOOKUP($AM114,$F$4:$G$7,2,FALSE),0)+VLOOKUP($R114,武学奇术!$A:$ZZ,2,FALSE)+SUM(_xlfn.XLOOKUP($S114:$AL114,增益!$A:$A,增益!$B:$B,0))</f>
        <v>0.6019</v>
      </c>
      <c r="AS114" s="24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4530.825</v>
      </c>
      <c r="AU114" cm="1">
        <f t="array" ref="AU114">$E$10*(1+$AS114)+VLOOKUP($R114,武学奇术!$A:$ZZ,4,FALSE)+SUM(_xlfn.XLOOKUP($S114:$AL114,增益!$A:$A,增益!$D:$D,0))-$I$2</f>
        <v>4530.825</v>
      </c>
      <c r="AV114" s="33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0.2789</v>
      </c>
      <c r="AW114" s="33" cm="1">
        <f t="array" ref="AW114">$G$10+VLOOKUP($R114,武学奇术!$A:$ZZ,7,FALSE)+SUM(_xlfn.XLOOKUP($S114:$AL114,增益!$A:$A,增益!$G:$G,0))</f>
        <v>0.045</v>
      </c>
      <c r="AX114" s="24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3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3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3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3" cm="1">
        <f t="array" ref="BF114">$G$12+VLOOKUP($R114,武学奇术!$A:$ZZ,12,FALSE)+SUM(_xlfn.XLOOKUP($S114:$AL114,增益!$A:$A,增益!$L:$L,0))</f>
        <v>0.02</v>
      </c>
      <c r="BG114">
        <f t="shared" si="38"/>
        <v>618.2</v>
      </c>
      <c r="BH114">
        <f t="shared" si="39"/>
        <v>1567.4</v>
      </c>
      <c r="BI114" s="33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0.08</v>
      </c>
      <c r="BJ114" s="33" cm="1">
        <f t="array" ref="BJ114">$G$13+VLOOKUP($R114,武学奇术!$A:$ZZ,14,FALSE)+SUM(_xlfn.XLOOKUP($S114:$AL114,增益!$A:$A,增益!$N:$N,0))</f>
        <v>0.17</v>
      </c>
      <c r="BK114">
        <f t="shared" si="40"/>
        <v>0</v>
      </c>
      <c r="BL114">
        <f t="shared" si="41"/>
        <v>0</v>
      </c>
      <c r="BM114" s="33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-0.14</v>
      </c>
      <c r="BN114" s="33" cm="1">
        <f t="array" ref="BN114">$G$14+VLOOKUP($R114,武学奇术!$A:$ZZ,16,FALSE)+SUM(_xlfn.XLOOKUP($S114:$AL114,增益!$A:$A,增益!$P:$P,0))</f>
        <v>0.02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4" cm="1">
        <f t="array" ref="BQ114">1+$B$13+VLOOKUP($R114,武学奇术!$A:$ZZ,18,FALSE)+SUM(_xlfn.XLOOKUP($S114:$AL114,增益!$A:$A,增益!$R:$R,0))</f>
        <v>1.58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2"/>
        <v>0.8865</v>
      </c>
      <c r="BU114" s="24">
        <f t="shared" si="43"/>
        <v>0.0222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0.06</v>
      </c>
      <c r="BX114" s="24" cm="1">
        <f t="array" ref="BX114">VLOOKUP($R114,武学奇术!$A:$ZZ,32,FALSE)+SUM(_xlfn.XLOOKUP($S114:$AL114,增益!$A:$A,增益!$X:$X,0))</f>
        <v>0</v>
      </c>
    </row>
    <row r="115" spans="1:76">
      <c r="A115" s="4"/>
      <c r="B115" s="4"/>
      <c r="K115" s="39">
        <f>$L115*VLOOKUP($R115,武学奇术!$A:$ZY,31,FALSE)</f>
        <v>19944.5996830381</v>
      </c>
      <c r="L115" s="39">
        <f t="shared" si="33"/>
        <v>31658.0947349811</v>
      </c>
      <c r="M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32098.1607290304</v>
      </c>
      <c r="N115" s="39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30174.2853213309</v>
      </c>
      <c r="O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20187.5224710883</v>
      </c>
      <c r="P115" s="39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18023.7224819315</v>
      </c>
      <c r="Q115" s="86">
        <f>IF($E$24="奇术",6,0)</f>
        <v>6</v>
      </c>
      <c r="R115" s="40" t="s">
        <v>188</v>
      </c>
      <c r="S115" s="40" t="s">
        <v>91</v>
      </c>
      <c r="T115" s="40" t="s">
        <v>168</v>
      </c>
      <c r="U115" s="40" t="s">
        <v>80</v>
      </c>
      <c r="V115" s="40" t="s">
        <v>166</v>
      </c>
      <c r="W115" s="40" t="s">
        <v>80</v>
      </c>
      <c r="X115" s="40" t="s">
        <v>80</v>
      </c>
      <c r="Y115" s="40" t="s">
        <v>80</v>
      </c>
      <c r="Z115" s="40" t="s">
        <v>110</v>
      </c>
      <c r="AA115" s="40" t="s">
        <v>80</v>
      </c>
      <c r="AB115" s="40" t="s">
        <v>80</v>
      </c>
      <c r="AC115" s="40" t="s">
        <v>82</v>
      </c>
      <c r="AD115" s="40" t="s">
        <v>80</v>
      </c>
      <c r="AE115" s="40" t="s">
        <v>80</v>
      </c>
      <c r="AF115" s="40" t="s">
        <v>80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83</v>
      </c>
      <c r="AL115" s="40" t="s">
        <v>80</v>
      </c>
      <c r="AM115" t="str">
        <f>VLOOKUP($R115,武学奇术!$A:$ZZ,25,FALSE)</f>
        <v>单体奇术</v>
      </c>
      <c r="AN115" s="24">
        <f>VLOOKUP($R115,武学奇术!$A:$ZZ,26,FALSE)</f>
        <v>0.2361</v>
      </c>
      <c r="AO115" s="25">
        <f>VLOOKUP($R115,武学奇术!$A:$ZZ,27,FALSE)*(1+IF(OR($AM115=$F$4,$AM115=$F$5),$B$21,0))</f>
        <v>47</v>
      </c>
      <c r="AP115" s="24">
        <f>VLOOKUP($R115,武学奇术!$A:$ZZ,28,FALSE)</f>
        <v>0.35415</v>
      </c>
      <c r="AQ115" s="25">
        <f>VLOOKUP($R115,武学奇术!$A:$ZZ,29,FALSE)*(1+IF(OR($AM115=$F$4,$AM115=$F$5),$B$21,0))</f>
        <v>0</v>
      </c>
      <c r="AR115" s="24" cm="1">
        <f t="array" ref="AR115">$G$3+IFERROR(VLOOKUP($AM115,$F$4:$G$7,2,FALSE),0)+VLOOKUP($R115,武学奇术!$A:$ZZ,2,FALSE)+SUM(_xlfn.XLOOKUP($S115:$AL115,增益!$A:$A,增益!$B:$B,0))</f>
        <v>0.6019</v>
      </c>
      <c r="AS115" s="24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4530.825</v>
      </c>
      <c r="AU115" cm="1">
        <f t="array" ref="AU115">$E$10*(1+$AS115)+VLOOKUP($R115,武学奇术!$A:$ZZ,4,FALSE)+SUM(_xlfn.XLOOKUP($S115:$AL115,增益!$A:$A,增益!$D:$D,0))-$I$2</f>
        <v>4530.825</v>
      </c>
      <c r="AV115" s="33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0.2789</v>
      </c>
      <c r="AW115" s="33" cm="1">
        <f t="array" ref="AW115">$G$10+VLOOKUP($R115,武学奇术!$A:$ZZ,7,FALSE)+SUM(_xlfn.XLOOKUP($S115:$AL115,增益!$A:$A,增益!$G:$G,0))</f>
        <v>0.045</v>
      </c>
      <c r="AX115" s="24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3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3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3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3" cm="1">
        <f t="array" ref="BF115">$G$12+VLOOKUP($R115,武学奇术!$A:$ZZ,12,FALSE)+SUM(_xlfn.XLOOKUP($S115:$AL115,增益!$A:$A,增益!$L:$L,0))</f>
        <v>0.02</v>
      </c>
      <c r="BG115">
        <f t="shared" si="38"/>
        <v>618.2</v>
      </c>
      <c r="BH115">
        <f t="shared" si="39"/>
        <v>1567.4</v>
      </c>
      <c r="BI115" s="33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0.08</v>
      </c>
      <c r="BJ115" s="33" cm="1">
        <f t="array" ref="BJ115">$G$13+VLOOKUP($R115,武学奇术!$A:$ZZ,14,FALSE)+SUM(_xlfn.XLOOKUP($S115:$AL115,增益!$A:$A,增益!$N:$N,0))</f>
        <v>0.17</v>
      </c>
      <c r="BK115">
        <f t="shared" si="40"/>
        <v>0</v>
      </c>
      <c r="BL115">
        <f t="shared" si="41"/>
        <v>0</v>
      </c>
      <c r="BM115" s="33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-0.14</v>
      </c>
      <c r="BN115" s="33" cm="1">
        <f t="array" ref="BN115">$G$14+VLOOKUP($R115,武学奇术!$A:$ZZ,16,FALSE)+SUM(_xlfn.XLOOKUP($S115:$AL115,增益!$A:$A,增益!$P:$P,0))</f>
        <v>0.02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4" cm="1">
        <f t="array" ref="BQ115">1+$B$13+VLOOKUP($R115,武学奇术!$A:$ZZ,18,FALSE)+SUM(_xlfn.XLOOKUP($S115:$AL115,增益!$A:$A,增益!$R:$R,0))</f>
        <v>1.59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2"/>
        <v>0.8865</v>
      </c>
      <c r="BU115" s="24">
        <f t="shared" si="43"/>
        <v>0.0222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0.06</v>
      </c>
      <c r="BX115" s="24" cm="1">
        <f t="array" ref="BX115">VLOOKUP($R115,武学奇术!$A:$ZZ,32,FALSE)+SUM(_xlfn.XLOOKUP($S115:$AL115,增益!$A:$A,增益!$X:$X,0))</f>
        <v>0</v>
      </c>
    </row>
    <row r="116" spans="1:76">
      <c r="A116" s="4"/>
      <c r="B116" s="4"/>
      <c r="K116" s="39">
        <f>$L116*VLOOKUP($R116,武学奇术!$A:$ZY,31,FALSE)</f>
        <v>6059.73336621845</v>
      </c>
      <c r="L116" s="39">
        <f t="shared" si="33"/>
        <v>9618.62439082294</v>
      </c>
      <c r="M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9758.49974014961</v>
      </c>
      <c r="N116" s="39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9116.26711156341</v>
      </c>
      <c r="O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6099.0623375935</v>
      </c>
      <c r="P116" s="39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5445.33422217707</v>
      </c>
      <c r="Q116" s="86">
        <f>IF($E$24="奇术",2,0)</f>
        <v>2</v>
      </c>
      <c r="R116" s="40" t="s">
        <v>188</v>
      </c>
      <c r="S116" s="40" t="s">
        <v>91</v>
      </c>
      <c r="T116" s="40" t="s">
        <v>172</v>
      </c>
      <c r="U116" s="40" t="s">
        <v>80</v>
      </c>
      <c r="V116" s="40" t="s">
        <v>166</v>
      </c>
      <c r="W116" s="40" t="s">
        <v>80</v>
      </c>
      <c r="X116" s="40" t="s">
        <v>80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82</v>
      </c>
      <c r="AD116" s="40" t="s">
        <v>80</v>
      </c>
      <c r="AE116" s="40" t="s">
        <v>80</v>
      </c>
      <c r="AF116" s="40" t="s">
        <v>80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83</v>
      </c>
      <c r="AL116" s="40" t="s">
        <v>80</v>
      </c>
      <c r="AM116" t="str">
        <f>VLOOKUP($R116,武学奇术!$A:$ZZ,25,FALSE)</f>
        <v>单体奇术</v>
      </c>
      <c r="AN116" s="24">
        <f>VLOOKUP($R116,武学奇术!$A:$ZZ,26,FALSE)</f>
        <v>0.2361</v>
      </c>
      <c r="AO116" s="25">
        <f>VLOOKUP($R116,武学奇术!$A:$ZZ,27,FALSE)*(1+IF(OR($AM116=$F$4,$AM116=$F$5),$B$21,0))</f>
        <v>47</v>
      </c>
      <c r="AP116" s="24">
        <f>VLOOKUP($R116,武学奇术!$A:$ZZ,28,FALSE)</f>
        <v>0.35415</v>
      </c>
      <c r="AQ116" s="25">
        <f>VLOOKUP($R116,武学奇术!$A:$ZZ,29,FALSE)*(1+IF(OR($AM116=$F$4,$AM116=$F$5),$B$21,0))</f>
        <v>0</v>
      </c>
      <c r="AR116" s="24" cm="1">
        <f t="array" ref="AR116">$G$3+IFERROR(VLOOKUP($AM116,$F$4:$G$7,2,FALSE),0)+VLOOKUP($R116,武学奇术!$A:$ZZ,2,FALSE)+SUM(_xlfn.XLOOKUP($S116:$AL116,增益!$A:$A,增益!$B:$B,0))</f>
        <v>0.4519</v>
      </c>
      <c r="AS116" s="24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4530.825</v>
      </c>
      <c r="AU116" cm="1">
        <f t="array" ref="AU116">$E$10*(1+$AS116)+VLOOKUP($R116,武学奇术!$A:$ZZ,4,FALSE)+SUM(_xlfn.XLOOKUP($S116:$AL116,增益!$A:$A,增益!$D:$D,0))-$I$2</f>
        <v>4530.825</v>
      </c>
      <c r="AV116" s="33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0.2789</v>
      </c>
      <c r="AW116" s="33" cm="1">
        <f t="array" ref="AW116">$G$10+VLOOKUP($R116,武学奇术!$A:$ZZ,7,FALSE)+SUM(_xlfn.XLOOKUP($S116:$AL116,增益!$A:$A,增益!$G:$G,0))</f>
        <v>0.045</v>
      </c>
      <c r="AX116" s="24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3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3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3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3" cm="1">
        <f t="array" ref="BF116">$G$12+VLOOKUP($R116,武学奇术!$A:$ZZ,12,FALSE)+SUM(_xlfn.XLOOKUP($S116:$AL116,增益!$A:$A,增益!$L:$L,0))</f>
        <v>0.02</v>
      </c>
      <c r="BG116">
        <f t="shared" si="38"/>
        <v>618.2</v>
      </c>
      <c r="BH116">
        <f t="shared" si="39"/>
        <v>1567.4</v>
      </c>
      <c r="BI116" s="33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0.08</v>
      </c>
      <c r="BJ116" s="33" cm="1">
        <f t="array" ref="BJ116">$G$13+VLOOKUP($R116,武学奇术!$A:$ZZ,14,FALSE)+SUM(_xlfn.XLOOKUP($S116:$AL116,增益!$A:$A,增益!$N:$N,0))</f>
        <v>0.17</v>
      </c>
      <c r="BK116">
        <f t="shared" si="40"/>
        <v>0</v>
      </c>
      <c r="BL116">
        <f t="shared" si="41"/>
        <v>0</v>
      </c>
      <c r="BM116" s="33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-0.14</v>
      </c>
      <c r="BN116" s="33" cm="1">
        <f t="array" ref="BN116">$G$14+VLOOKUP($R116,武学奇术!$A:$ZZ,16,FALSE)+SUM(_xlfn.XLOOKUP($S116:$AL116,增益!$A:$A,增益!$P:$P,0))</f>
        <v>0.02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4" cm="1">
        <f t="array" ref="BQ116">1+$B$13+VLOOKUP($R116,武学奇术!$A:$ZZ,18,FALSE)+SUM(_xlfn.XLOOKUP($S116:$AL116,增益!$A:$A,增益!$R:$R,0))</f>
        <v>1.6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2"/>
        <v>0.8865</v>
      </c>
      <c r="BU116" s="24">
        <f t="shared" si="43"/>
        <v>0.0222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0.06</v>
      </c>
      <c r="BX116" s="24" cm="1">
        <f t="array" ref="BX116">VLOOKUP($R116,武学奇术!$A:$ZZ,32,FALSE)+SUM(_xlfn.XLOOKUP($S116:$AL116,增益!$A:$A,增益!$X:$X,0))</f>
        <v>0</v>
      </c>
    </row>
    <row r="117" spans="1:76">
      <c r="A117" s="4"/>
      <c r="B117" s="4"/>
      <c r="K117" s="39">
        <f>$L117*VLOOKUP($R117,武学奇术!$A:$ZY,31,FALSE)</f>
        <v>16714.4549888858</v>
      </c>
      <c r="L117" s="39">
        <f t="shared" si="33"/>
        <v>26530.8809347394</v>
      </c>
      <c r="M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26916.6966281177</v>
      </c>
      <c r="N117" s="39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25145.2377677757</v>
      </c>
      <c r="O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16822.9353925736</v>
      </c>
      <c r="P117" s="39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15019.7687349429</v>
      </c>
      <c r="Q117" s="86">
        <f>IF($E$24="奇术",5,0)</f>
        <v>5</v>
      </c>
      <c r="R117" s="40" t="s">
        <v>188</v>
      </c>
      <c r="S117" s="40" t="s">
        <v>91</v>
      </c>
      <c r="T117" s="40" t="s">
        <v>172</v>
      </c>
      <c r="U117" s="40" t="s">
        <v>80</v>
      </c>
      <c r="V117" s="40" t="s">
        <v>166</v>
      </c>
      <c r="W117" s="40" t="s">
        <v>80</v>
      </c>
      <c r="X117" s="40" t="s">
        <v>80</v>
      </c>
      <c r="Y117" s="40" t="s">
        <v>80</v>
      </c>
      <c r="Z117" s="40" t="s">
        <v>110</v>
      </c>
      <c r="AA117" s="40" t="s">
        <v>80</v>
      </c>
      <c r="AB117" s="40" t="s">
        <v>80</v>
      </c>
      <c r="AC117" s="40" t="s">
        <v>82</v>
      </c>
      <c r="AD117" s="40" t="s">
        <v>80</v>
      </c>
      <c r="AE117" s="40" t="s">
        <v>80</v>
      </c>
      <c r="AF117" s="40" t="s">
        <v>80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83</v>
      </c>
      <c r="AL117" s="40" t="s">
        <v>80</v>
      </c>
      <c r="AM117" t="str">
        <f>VLOOKUP($R117,武学奇术!$A:$ZZ,25,FALSE)</f>
        <v>单体奇术</v>
      </c>
      <c r="AN117" s="24">
        <f>VLOOKUP($R117,武学奇术!$A:$ZZ,26,FALSE)</f>
        <v>0.2361</v>
      </c>
      <c r="AO117" s="25">
        <f>VLOOKUP($R117,武学奇术!$A:$ZZ,27,FALSE)*(1+IF(OR($AM117=$F$4,$AM117=$F$5),$B$21,0))</f>
        <v>47</v>
      </c>
      <c r="AP117" s="24">
        <f>VLOOKUP($R117,武学奇术!$A:$ZZ,28,FALSE)</f>
        <v>0.35415</v>
      </c>
      <c r="AQ117" s="25">
        <f>VLOOKUP($R117,武学奇术!$A:$ZZ,29,FALSE)*(1+IF(OR($AM117=$F$4,$AM117=$F$5),$B$21,0))</f>
        <v>0</v>
      </c>
      <c r="AR117" s="24" cm="1">
        <f t="array" ref="AR117">$G$3+IFERROR(VLOOKUP($AM117,$F$4:$G$7,2,FALSE),0)+VLOOKUP($R117,武学奇术!$A:$ZZ,2,FALSE)+SUM(_xlfn.XLOOKUP($S117:$AL117,增益!$A:$A,增益!$B:$B,0))</f>
        <v>0.6019</v>
      </c>
      <c r="AS117" s="24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4530.825</v>
      </c>
      <c r="AU117" cm="1">
        <f t="array" ref="AU117">$E$10*(1+$AS117)+VLOOKUP($R117,武学奇术!$A:$ZZ,4,FALSE)+SUM(_xlfn.XLOOKUP($S117:$AL117,增益!$A:$A,增益!$D:$D,0))-$I$2</f>
        <v>4530.825</v>
      </c>
      <c r="AV117" s="33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0.2789</v>
      </c>
      <c r="AW117" s="33" cm="1">
        <f t="array" ref="AW117">$G$10+VLOOKUP($R117,武学奇术!$A:$ZZ,7,FALSE)+SUM(_xlfn.XLOOKUP($S117:$AL117,增益!$A:$A,增益!$G:$G,0))</f>
        <v>0.045</v>
      </c>
      <c r="AX117" s="24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3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3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3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3" cm="1">
        <f t="array" ref="BF117">$G$12+VLOOKUP($R117,武学奇术!$A:$ZZ,12,FALSE)+SUM(_xlfn.XLOOKUP($S117:$AL117,增益!$A:$A,增益!$L:$L,0))</f>
        <v>0.02</v>
      </c>
      <c r="BG117">
        <f t="shared" si="38"/>
        <v>618.2</v>
      </c>
      <c r="BH117">
        <f t="shared" si="39"/>
        <v>1567.4</v>
      </c>
      <c r="BI117" s="33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0.08</v>
      </c>
      <c r="BJ117" s="33" cm="1">
        <f t="array" ref="BJ117">$G$13+VLOOKUP($R117,武学奇术!$A:$ZZ,14,FALSE)+SUM(_xlfn.XLOOKUP($S117:$AL117,增益!$A:$A,增益!$N:$N,0))</f>
        <v>0.17</v>
      </c>
      <c r="BK117">
        <f t="shared" si="40"/>
        <v>0</v>
      </c>
      <c r="BL117">
        <f t="shared" si="41"/>
        <v>0</v>
      </c>
      <c r="BM117" s="33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-0.14</v>
      </c>
      <c r="BN117" s="33" cm="1">
        <f t="array" ref="BN117">$G$14+VLOOKUP($R117,武学奇术!$A:$ZZ,16,FALSE)+SUM(_xlfn.XLOOKUP($S117:$AL117,增益!$A:$A,增益!$P:$P,0))</f>
        <v>0.02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4" cm="1">
        <f t="array" ref="BQ117">1+$B$13+VLOOKUP($R117,武学奇术!$A:$ZZ,18,FALSE)+SUM(_xlfn.XLOOKUP($S117:$AL117,增益!$A:$A,增益!$R:$R,0))</f>
        <v>1.6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2"/>
        <v>0.8865</v>
      </c>
      <c r="BU117" s="24">
        <f t="shared" si="43"/>
        <v>0.0222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0.06</v>
      </c>
      <c r="BX117" s="24" cm="1">
        <f t="array" ref="BX117">VLOOKUP($R117,武学奇术!$A:$ZZ,32,FALSE)+SUM(_xlfn.XLOOKUP($S117:$AL117,增益!$A:$A,增益!$X:$X,0))</f>
        <v>0</v>
      </c>
    </row>
    <row r="118" spans="1:76">
      <c r="K118" s="39">
        <f>$L118*VLOOKUP($R118,武学奇术!$A:$ZY,31,FALSE)</f>
        <v>35762.6263347105</v>
      </c>
      <c r="L118" s="39">
        <f t="shared" si="33"/>
        <v>56766.0735471595</v>
      </c>
      <c r="M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57591.5735401613</v>
      </c>
      <c r="N118" s="39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53801.3200540711</v>
      </c>
      <c r="O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35994.7334626008</v>
      </c>
      <c r="P118" s="39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32136.6372555194</v>
      </c>
      <c r="Q118" s="86">
        <f>IF($E$24="奇术",9,0)</f>
        <v>9</v>
      </c>
      <c r="R118" s="40" t="s">
        <v>188</v>
      </c>
      <c r="S118" s="40" t="s">
        <v>91</v>
      </c>
      <c r="T118" s="40" t="s">
        <v>172</v>
      </c>
      <c r="U118" s="40" t="s">
        <v>80</v>
      </c>
      <c r="V118" s="40" t="s">
        <v>166</v>
      </c>
      <c r="W118" s="40" t="s">
        <v>80</v>
      </c>
      <c r="X118" s="40" t="s">
        <v>80</v>
      </c>
      <c r="Y118" s="40" t="s">
        <v>80</v>
      </c>
      <c r="Z118" s="40" t="s">
        <v>110</v>
      </c>
      <c r="AA118" s="40" t="s">
        <v>175</v>
      </c>
      <c r="AB118" s="40" t="s">
        <v>176</v>
      </c>
      <c r="AC118" s="40" t="s">
        <v>82</v>
      </c>
      <c r="AD118" s="40" t="s">
        <v>80</v>
      </c>
      <c r="AE118" s="40" t="s">
        <v>80</v>
      </c>
      <c r="AF118" s="40" t="s">
        <v>80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83</v>
      </c>
      <c r="AL118" s="40" t="s">
        <v>80</v>
      </c>
      <c r="AM118" t="str">
        <f>VLOOKUP($R118,武学奇术!$A:$ZZ,25,FALSE)</f>
        <v>单体奇术</v>
      </c>
      <c r="AN118" s="24">
        <f>VLOOKUP($R118,武学奇术!$A:$ZZ,26,FALSE)</f>
        <v>0.2361</v>
      </c>
      <c r="AO118" s="25">
        <f>VLOOKUP($R118,武学奇术!$A:$ZZ,27,FALSE)*(1+IF(OR($AM118=$F$4,$AM118=$F$5),$B$21,0))</f>
        <v>47</v>
      </c>
      <c r="AP118" s="24">
        <f>VLOOKUP($R118,武学奇术!$A:$ZZ,28,FALSE)</f>
        <v>0.35415</v>
      </c>
      <c r="AQ118" s="25">
        <f>VLOOKUP($R118,武学奇术!$A:$ZZ,29,FALSE)*(1+IF(OR($AM118=$F$4,$AM118=$F$5),$B$21,0))</f>
        <v>0</v>
      </c>
      <c r="AR118" s="24" cm="1">
        <f t="array" ref="AR118">$G$3+IFERROR(VLOOKUP($AM118,$F$4:$G$7,2,FALSE),0)+VLOOKUP($R118,武学奇术!$A:$ZZ,2,FALSE)+SUM(_xlfn.XLOOKUP($S118:$AL118,增益!$A:$A,增益!$B:$B,0))</f>
        <v>0.6019</v>
      </c>
      <c r="AS118" s="24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4530.825</v>
      </c>
      <c r="AU118" cm="1">
        <f t="array" ref="AU118">$E$10*(1+$AS118)+VLOOKUP($R118,武学奇术!$A:$ZZ,4,FALSE)+SUM(_xlfn.XLOOKUP($S118:$AL118,增益!$A:$A,增益!$D:$D,0))-$I$2</f>
        <v>4530.825</v>
      </c>
      <c r="AV118" s="33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0.2789</v>
      </c>
      <c r="AW118" s="33" cm="1">
        <f t="array" ref="AW118">$G$10+VLOOKUP($R118,武学奇术!$A:$ZZ,7,FALSE)+SUM(_xlfn.XLOOKUP($S118:$AL118,增益!$A:$A,增益!$G:$G,0))</f>
        <v>0.045</v>
      </c>
      <c r="AX118" s="24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3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3" cm="1">
        <f t="array" ref="BB118">$G$11+VLOOKUP($R118,武学奇术!$A:$ZZ,10,FALSE)+SUM(_xlfn.XLOOKUP($S118:$AL118,增益!$A:$A,增益!$J:$J,0))</f>
        <v>0.12</v>
      </c>
      <c r="BC118">
        <f t="shared" si="36"/>
        <v>0</v>
      </c>
      <c r="BD118">
        <f t="shared" si="37"/>
        <v>0</v>
      </c>
      <c r="BE118" s="33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3" cm="1">
        <f t="array" ref="BF118">$G$12+VLOOKUP($R118,武学奇术!$A:$ZZ,12,FALSE)+SUM(_xlfn.XLOOKUP($S118:$AL118,增益!$A:$A,增益!$L:$L,0))</f>
        <v>0.02</v>
      </c>
      <c r="BG118">
        <f t="shared" si="38"/>
        <v>618.2</v>
      </c>
      <c r="BH118">
        <f t="shared" si="39"/>
        <v>1567.4</v>
      </c>
      <c r="BI118" s="33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0.08</v>
      </c>
      <c r="BJ118" s="33" cm="1">
        <f t="array" ref="BJ118">$G$13+VLOOKUP($R118,武学奇术!$A:$ZZ,14,FALSE)+SUM(_xlfn.XLOOKUP($S118:$AL118,增益!$A:$A,增益!$N:$N,0))</f>
        <v>0.17</v>
      </c>
      <c r="BK118">
        <f t="shared" si="40"/>
        <v>0</v>
      </c>
      <c r="BL118">
        <f t="shared" si="41"/>
        <v>0</v>
      </c>
      <c r="BM118" s="33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3" cm="1">
        <f t="array" ref="BN118">$G$14+VLOOKUP($R118,武学奇术!$A:$ZZ,16,FALSE)+SUM(_xlfn.XLOOKUP($S118:$AL118,增益!$A:$A,增益!$P:$P,0))</f>
        <v>0.02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4" cm="1">
        <f t="array" ref="BQ118">1+$B$13+VLOOKUP($R118,武学奇术!$A:$ZZ,18,FALSE)+SUM(_xlfn.XLOOKUP($S118:$AL118,增益!$A:$A,增益!$R:$R,0))</f>
        <v>1.6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2"/>
        <v>0.8865</v>
      </c>
      <c r="BU118" s="24">
        <f t="shared" si="43"/>
        <v>0.0222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0.26</v>
      </c>
      <c r="BX118" s="24" cm="1">
        <f t="array" ref="BX118">VLOOKUP($R118,武学奇术!$A:$ZZ,32,FALSE)+SUM(_xlfn.XLOOKUP($S118:$AL118,增益!$A:$A,增益!$X:$X,0))</f>
        <v>0</v>
      </c>
    </row>
    <row r="119" spans="1:76">
      <c r="K119" s="39">
        <f>$L119*VLOOKUP($R119,武学奇术!$A:$ZY,31,FALSE)</f>
        <v>89683.6839301214</v>
      </c>
      <c r="L119" s="39">
        <f t="shared" si="33"/>
        <v>85413.0323144014</v>
      </c>
      <c r="M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86664.2968684706</v>
      </c>
      <c r="N119" s="39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80861.6212645361</v>
      </c>
      <c r="O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54165.1855427941</v>
      </c>
      <c r="P119" s="39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48432.8738525985</v>
      </c>
      <c r="Q119" s="86">
        <f>IF($E$24="奇术",3,0)</f>
        <v>3</v>
      </c>
      <c r="R119" s="40" t="s">
        <v>191</v>
      </c>
      <c r="S119" s="40" t="s">
        <v>91</v>
      </c>
      <c r="T119" s="40" t="s">
        <v>172</v>
      </c>
      <c r="U119" s="40" t="s">
        <v>80</v>
      </c>
      <c r="V119" s="40" t="s">
        <v>81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80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83</v>
      </c>
      <c r="AL119" s="40" t="s">
        <v>80</v>
      </c>
      <c r="AM119" t="str">
        <f>VLOOKUP($R119,武学奇术!$A:$ZZ,25,FALSE)</f>
        <v>群体奇术</v>
      </c>
      <c r="AN119" s="24">
        <f>VLOOKUP($R119,武学奇术!$A:$ZZ,26,FALSE)</f>
        <v>1.4906</v>
      </c>
      <c r="AO119" s="25">
        <f>VLOOKUP($R119,武学奇术!$A:$ZZ,27,FALSE)*(1+IF(OR($AM119=$F$4,$AM119=$F$5),$B$21,0))</f>
        <v>386</v>
      </c>
      <c r="AP119" s="24">
        <f>VLOOKUP($R119,武学奇术!$A:$ZZ,28,FALSE)</f>
        <v>2.2359</v>
      </c>
      <c r="AQ119" s="25">
        <f>VLOOKUP($R119,武学奇术!$A:$ZZ,29,FALSE)*(1+IF(OR($AM119=$F$4,$AM119=$F$5),$B$21,0))</f>
        <v>0</v>
      </c>
      <c r="AR119" s="24" cm="1">
        <f t="array" ref="AR119">$G$3+IFERROR(VLOOKUP($AM119,$F$4:$G$7,2,FALSE),0)+VLOOKUP($R119,武学奇术!$A:$ZZ,2,FALSE)+SUM(_xlfn.XLOOKUP($S119:$AL119,增益!$A:$A,增益!$B:$B,0))</f>
        <v>0.4519</v>
      </c>
      <c r="AS119" s="24" cm="1">
        <f t="array" ref="AS119">VLOOKUP($R119,武学奇术!$A:$ZZ,5,FALSE)+SUM(_xlfn.XLOOKUP($S119:$AL119,增益!$A:$A,增益!$E:$E,0))</f>
        <v>0.075</v>
      </c>
      <c r="AT119" cm="1">
        <f t="array" ref="AT119">$D$10*(1+$AS119)+VLOOKUP($R119,武学奇术!$A:$ZZ,3,FALSE)+SUM(_xlfn.XLOOKUP($S119:$AL119,增益!$A:$A,增益!$C:$C,0))-$I$2</f>
        <v>4195.0125</v>
      </c>
      <c r="AU119" cm="1">
        <f t="array" ref="AU119">$E$10*(1+$AS119)+VLOOKUP($R119,武学奇术!$A:$ZZ,4,FALSE)+SUM(_xlfn.XLOOKUP($S119:$AL119,增益!$A:$A,增益!$D:$D,0))-$I$2</f>
        <v>4195.0125</v>
      </c>
      <c r="AV119" s="33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0.2789</v>
      </c>
      <c r="AW119" s="33" cm="1">
        <f t="array" ref="AW119">$G$10+VLOOKUP($R119,武学奇术!$A:$ZZ,7,FALSE)+SUM(_xlfn.XLOOKUP($S119:$AL119,增益!$A:$A,增益!$G:$G,0))</f>
        <v>0.045</v>
      </c>
      <c r="AX119" s="24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3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3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3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3" cm="1">
        <f t="array" ref="BF119">$G$12+VLOOKUP($R119,武学奇术!$A:$ZZ,12,FALSE)+SUM(_xlfn.XLOOKUP($S119:$AL119,增益!$A:$A,增益!$L:$L,0))</f>
        <v>0.02</v>
      </c>
      <c r="BG119">
        <f t="shared" si="38"/>
        <v>618.2</v>
      </c>
      <c r="BH119">
        <f t="shared" si="39"/>
        <v>1567.4</v>
      </c>
      <c r="BI119" s="33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3" cm="1">
        <f t="array" ref="BJ119">$G$13+VLOOKUP($R119,武学奇术!$A:$ZZ,14,FALSE)+SUM(_xlfn.XLOOKUP($S119:$AL119,增益!$A:$A,增益!$N:$N,0))</f>
        <v>0.17</v>
      </c>
      <c r="BK119">
        <f t="shared" si="40"/>
        <v>0</v>
      </c>
      <c r="BL119">
        <f t="shared" si="41"/>
        <v>0</v>
      </c>
      <c r="BM119" s="33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3" cm="1">
        <f t="array" ref="BN119">$G$14+VLOOKUP($R119,武学奇术!$A:$ZZ,16,FALSE)+SUM(_xlfn.XLOOKUP($S119:$AL119,增益!$A:$A,增益!$P:$P,0))</f>
        <v>0.02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4" cm="1">
        <f t="array" ref="BQ119">1+$B$13+VLOOKUP($R119,武学奇术!$A:$ZZ,18,FALSE)+SUM(_xlfn.XLOOKUP($S119:$AL119,增益!$A:$A,增益!$R:$R,0))</f>
        <v>1.6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2"/>
        <v>0.8865</v>
      </c>
      <c r="BU119" s="24">
        <f t="shared" si="43"/>
        <v>0.0222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0.06</v>
      </c>
      <c r="BX119" s="24" cm="1">
        <f t="array" ref="BX119">VLOOKUP($R119,武学奇术!$A:$ZZ,32,FALSE)+SUM(_xlfn.XLOOKUP($S119:$AL119,增益!$A:$A,增益!$X:$X,0))</f>
        <v>0</v>
      </c>
    </row>
    <row r="120" spans="1:76">
      <c r="K120" s="39">
        <f>$L120*VLOOKUP($R120,武学奇术!$A:$ZY,31,FALSE)</f>
        <v>60984.6072595467</v>
      </c>
      <c r="L120" s="39">
        <f t="shared" si="33"/>
        <v>58080.5783424255</v>
      </c>
      <c r="M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58902.5170407389</v>
      </c>
      <c r="N120" s="39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55270.8057159935</v>
      </c>
      <c r="O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36814.0731504618</v>
      </c>
      <c r="P120" s="39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32686.808733521</v>
      </c>
      <c r="Q120" s="86">
        <f>IF($E$24="奇术",2,0)</f>
        <v>2</v>
      </c>
      <c r="R120" s="40" t="s">
        <v>191</v>
      </c>
      <c r="S120" s="40" t="s">
        <v>91</v>
      </c>
      <c r="T120" s="40" t="s">
        <v>172</v>
      </c>
      <c r="U120" s="40" t="s">
        <v>80</v>
      </c>
      <c r="V120" s="40" t="s">
        <v>81</v>
      </c>
      <c r="W120" s="40" t="s">
        <v>80</v>
      </c>
      <c r="X120" s="40" t="s">
        <v>80</v>
      </c>
      <c r="Y120" s="40" t="s">
        <v>80</v>
      </c>
      <c r="Z120" s="40" t="s">
        <v>80</v>
      </c>
      <c r="AA120" s="40" t="s">
        <v>80</v>
      </c>
      <c r="AB120" s="40" t="s">
        <v>80</v>
      </c>
      <c r="AC120" s="40" t="s">
        <v>82</v>
      </c>
      <c r="AD120" s="40" t="s">
        <v>80</v>
      </c>
      <c r="AE120" s="40" t="s">
        <v>80</v>
      </c>
      <c r="AF120" s="40" t="s">
        <v>80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83</v>
      </c>
      <c r="AL120" s="40" t="s">
        <v>80</v>
      </c>
      <c r="AM120" t="str">
        <f>VLOOKUP($R120,武学奇术!$A:$ZZ,25,FALSE)</f>
        <v>群体奇术</v>
      </c>
      <c r="AN120" s="24">
        <f>VLOOKUP($R120,武学奇术!$A:$ZZ,26,FALSE)</f>
        <v>1.4906</v>
      </c>
      <c r="AO120" s="25">
        <f>VLOOKUP($R120,武学奇术!$A:$ZZ,27,FALSE)*(1+IF(OR($AM120=$F$4,$AM120=$F$5),$B$21,0))</f>
        <v>386</v>
      </c>
      <c r="AP120" s="24">
        <f>VLOOKUP($R120,武学奇术!$A:$ZZ,28,FALSE)</f>
        <v>2.2359</v>
      </c>
      <c r="AQ120" s="25">
        <f>VLOOKUP($R120,武学奇术!$A:$ZZ,29,FALSE)*(1+IF(OR($AM120=$F$4,$AM120=$F$5),$B$21,0))</f>
        <v>0</v>
      </c>
      <c r="AR120" s="24" cm="1">
        <f t="array" ref="AR120">$G$3+IFERROR(VLOOKUP($AM120,$F$4:$G$7,2,FALSE),0)+VLOOKUP($R120,武学奇术!$A:$ZZ,2,FALSE)+SUM(_xlfn.XLOOKUP($S120:$AL120,增益!$A:$A,增益!$B:$B,0))</f>
        <v>0.4519</v>
      </c>
      <c r="AS120" s="24" cm="1">
        <f t="array" ref="AS120">VLOOKUP($R120,武学奇术!$A:$ZZ,5,FALSE)+SUM(_xlfn.XLOOKUP($S120:$AL120,增益!$A:$A,增益!$E:$E,0))</f>
        <v>0.075</v>
      </c>
      <c r="AT120" cm="1">
        <f t="array" ref="AT120">$D$10*(1+$AS120)+VLOOKUP($R120,武学奇术!$A:$ZZ,3,FALSE)+SUM(_xlfn.XLOOKUP($S120:$AL120,增益!$A:$A,增益!$C:$C,0))-$I$2</f>
        <v>4195.0125</v>
      </c>
      <c r="AU120" cm="1">
        <f t="array" ref="AU120">$E$10*(1+$AS120)+VLOOKUP($R120,武学奇术!$A:$ZZ,4,FALSE)+SUM(_xlfn.XLOOKUP($S120:$AL120,增益!$A:$A,增益!$D:$D,0))-$I$2</f>
        <v>4195.0125</v>
      </c>
      <c r="AV120" s="33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0.2789</v>
      </c>
      <c r="AW120" s="33" cm="1">
        <f t="array" ref="AW120">$G$10+VLOOKUP($R120,武学奇术!$A:$ZZ,7,FALSE)+SUM(_xlfn.XLOOKUP($S120:$AL120,增益!$A:$A,增益!$G:$G,0))</f>
        <v>0.045</v>
      </c>
      <c r="AX120" s="24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3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3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3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3" cm="1">
        <f t="array" ref="BF120">$G$12+VLOOKUP($R120,武学奇术!$A:$ZZ,12,FALSE)+SUM(_xlfn.XLOOKUP($S120:$AL120,增益!$A:$A,增益!$L:$L,0))</f>
        <v>0.02</v>
      </c>
      <c r="BG120">
        <f t="shared" si="38"/>
        <v>618.2</v>
      </c>
      <c r="BH120">
        <f t="shared" si="39"/>
        <v>1567.4</v>
      </c>
      <c r="BI120" s="33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0.08</v>
      </c>
      <c r="BJ120" s="33" cm="1">
        <f t="array" ref="BJ120">$G$13+VLOOKUP($R120,武学奇术!$A:$ZZ,14,FALSE)+SUM(_xlfn.XLOOKUP($S120:$AL120,增益!$A:$A,增益!$N:$N,0))</f>
        <v>0.17</v>
      </c>
      <c r="BK120">
        <f t="shared" si="40"/>
        <v>0</v>
      </c>
      <c r="BL120">
        <f t="shared" si="41"/>
        <v>0</v>
      </c>
      <c r="BM120" s="33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3" cm="1">
        <f t="array" ref="BN120">$G$14+VLOOKUP($R120,武学奇术!$A:$ZZ,16,FALSE)+SUM(_xlfn.XLOOKUP($S120:$AL120,增益!$A:$A,增益!$P:$P,0))</f>
        <v>0.02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4" cm="1">
        <f t="array" ref="BQ120">1+$B$13+VLOOKUP($R120,武学奇术!$A:$ZZ,18,FALSE)+SUM(_xlfn.XLOOKUP($S120:$AL120,增益!$A:$A,增益!$R:$R,0))</f>
        <v>1.6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2"/>
        <v>0.8865</v>
      </c>
      <c r="BU120" s="24">
        <f t="shared" si="43"/>
        <v>0.0222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0.06</v>
      </c>
      <c r="BX120" s="24" cm="1">
        <f t="array" ref="BX120">VLOOKUP($R120,武学奇术!$A:$ZZ,32,FALSE)+SUM(_xlfn.XLOOKUP($S120:$AL120,增益!$A:$A,增益!$X:$X,0))</f>
        <v>0</v>
      </c>
    </row>
    <row r="121" spans="1:76">
      <c r="K121" s="39">
        <f>$L121*VLOOKUP($R121,武学奇术!$A:$ZY,31,FALSE)</f>
        <v>0</v>
      </c>
      <c r="L121" s="39">
        <f t="shared" si="33"/>
        <v>0</v>
      </c>
      <c r="M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39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39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29">
        <v>1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80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83</v>
      </c>
      <c r="AL121" s="40" t="s">
        <v>80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VLOOKUP($R121,武学奇术!$A:$ZZ,27,FALSE)*(1+IF(OR($AM121=$F$4,$AM121=$F$5),$B$21,0))</f>
        <v>0</v>
      </c>
      <c r="AP121" s="24">
        <f>VLOOKUP($R121,武学奇术!$A:$ZZ,28,FALSE)</f>
        <v>0</v>
      </c>
      <c r="AQ121" s="25">
        <f>VLOOKUP($R121,武学奇术!$A:$ZZ,29,FALSE)*(1+IF(OR($AM121=$F$4,$AM121=$F$5),$B$21,0))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3859.2</v>
      </c>
      <c r="AU121" cm="1">
        <f t="array" ref="AU121">$E$10*(1+$AS121)+VLOOKUP($R121,武学奇术!$A:$ZZ,4,FALSE)+SUM(_xlfn.XLOOKUP($S121:$AL121,增益!$A:$A,增益!$D:$D,0))-$I$2</f>
        <v>3859.2</v>
      </c>
      <c r="AV121" s="33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0.2789</v>
      </c>
      <c r="AW121" s="33" cm="1">
        <f t="array" ref="AW121">$G$10+VLOOKUP($R121,武学奇术!$A:$ZZ,7,FALSE)+SUM(_xlfn.XLOOKUP($S121:$AL121,增益!$A:$A,增益!$G:$G,0))</f>
        <v>0.045</v>
      </c>
      <c r="AX121" s="24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3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3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3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3" cm="1">
        <f t="array" ref="BF121">$G$12+VLOOKUP($R121,武学奇术!$A:$ZZ,12,FALSE)+SUM(_xlfn.XLOOKUP($S121:$AL121,增益!$A:$A,增益!$L:$L,0))</f>
        <v>0.02</v>
      </c>
      <c r="BG121">
        <f t="shared" si="38"/>
        <v>618.2</v>
      </c>
      <c r="BH121">
        <f t="shared" si="39"/>
        <v>1567.4</v>
      </c>
      <c r="BI121" s="33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3" cm="1">
        <f t="array" ref="BJ121">$G$13+VLOOKUP($R121,武学奇术!$A:$ZZ,14,FALSE)+SUM(_xlfn.XLOOKUP($S121:$AL121,增益!$A:$A,增益!$N:$N,0))</f>
        <v>0.17</v>
      </c>
      <c r="BK121">
        <f t="shared" si="40"/>
        <v>0</v>
      </c>
      <c r="BL121">
        <f t="shared" si="41"/>
        <v>0</v>
      </c>
      <c r="BM121" s="33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3" cm="1">
        <f t="array" ref="BN121">$G$14+VLOOKUP($R121,武学奇术!$A:$ZZ,16,FALSE)+SUM(_xlfn.XLOOKUP($S121:$AL121,增益!$A:$A,增益!$P:$P,0))</f>
        <v>0.02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4" cm="1">
        <f t="array" ref="BQ121">1+$B$13+VLOOKUP($R121,武学奇术!$A:$ZZ,18,FALSE)+SUM(_xlfn.XLOOKUP($S121:$AL121,增益!$A:$A,增益!$R:$R,0))</f>
        <v>1.5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2"/>
        <v>0.8865</v>
      </c>
      <c r="BU121" s="24">
        <f t="shared" si="43"/>
        <v>0.0222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0.06</v>
      </c>
      <c r="BX121" s="24" cm="1">
        <f t="array" ref="BX121">VLOOKUP($R121,武学奇术!$A:$ZZ,32,FALSE)+SUM(_xlfn.XLOOKUP($S121:$AL121,增益!$A:$A,增益!$X:$X,0))</f>
        <v>0</v>
      </c>
    </row>
    <row r="122" spans="1:76">
      <c r="K122" s="39">
        <f>$L122*VLOOKUP($R122,武学奇术!$A:$ZY,31,FALSE)</f>
        <v>0</v>
      </c>
      <c r="L122" s="39">
        <f t="shared" si="33"/>
        <v>0</v>
      </c>
      <c r="M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39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39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29">
        <v>1</v>
      </c>
      <c r="R122" s="40" t="s">
        <v>80</v>
      </c>
      <c r="S122" s="40" t="s">
        <v>80</v>
      </c>
      <c r="T122" s="40" t="s">
        <v>80</v>
      </c>
      <c r="U122" s="40" t="s">
        <v>80</v>
      </c>
      <c r="V122" s="40" t="s">
        <v>80</v>
      </c>
      <c r="W122" s="40" t="s">
        <v>80</v>
      </c>
      <c r="X122" s="40" t="s">
        <v>80</v>
      </c>
      <c r="Y122" s="40" t="s">
        <v>80</v>
      </c>
      <c r="Z122" s="40" t="s">
        <v>80</v>
      </c>
      <c r="AA122" s="40" t="s">
        <v>80</v>
      </c>
      <c r="AB122" s="40" t="s">
        <v>80</v>
      </c>
      <c r="AC122" s="40" t="s">
        <v>80</v>
      </c>
      <c r="AD122" s="40" t="s">
        <v>80</v>
      </c>
      <c r="AE122" s="40" t="s">
        <v>80</v>
      </c>
      <c r="AF122" s="40" t="s">
        <v>80</v>
      </c>
      <c r="AG122" s="40" t="s">
        <v>80</v>
      </c>
      <c r="AH122" s="40" t="s">
        <v>80</v>
      </c>
      <c r="AI122" s="40" t="s">
        <v>80</v>
      </c>
      <c r="AJ122" s="40" t="s">
        <v>80</v>
      </c>
      <c r="AK122" s="40" t="s">
        <v>83</v>
      </c>
      <c r="AL122" s="40" t="s">
        <v>80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VLOOKUP($R122,武学奇术!$A:$ZZ,27,FALSE)*(1+IF(OR($AM122=$F$4,$AM122=$F$5),$B$21,0))</f>
        <v>0</v>
      </c>
      <c r="AP122" s="24">
        <f>VLOOKUP($R122,武学奇术!$A:$ZZ,28,FALSE)</f>
        <v>0</v>
      </c>
      <c r="AQ122" s="25">
        <f>VLOOKUP($R122,武学奇术!$A:$ZZ,29,FALSE)*(1+IF(OR($AM122=$F$4,$AM122=$F$5),$B$21,0))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3859.2</v>
      </c>
      <c r="AU122" cm="1">
        <f t="array" ref="AU122">$E$10*(1+$AS122)+VLOOKUP($R122,武学奇术!$A:$ZZ,4,FALSE)+SUM(_xlfn.XLOOKUP($S122:$AL122,增益!$A:$A,增益!$D:$D,0))-$I$2</f>
        <v>3859.2</v>
      </c>
      <c r="AV122" s="33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0.2789</v>
      </c>
      <c r="AW122" s="33" cm="1">
        <f t="array" ref="AW122">$G$10+VLOOKUP($R122,武学奇术!$A:$ZZ,7,FALSE)+SUM(_xlfn.XLOOKUP($S122:$AL122,增益!$A:$A,增益!$G:$G,0))</f>
        <v>0.045</v>
      </c>
      <c r="AX122" s="24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3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3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3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3" cm="1">
        <f t="array" ref="BF122">$G$12+VLOOKUP($R122,武学奇术!$A:$ZZ,12,FALSE)+SUM(_xlfn.XLOOKUP($S122:$AL122,增益!$A:$A,增益!$L:$L,0))</f>
        <v>0.02</v>
      </c>
      <c r="BG122">
        <f t="shared" si="38"/>
        <v>618.2</v>
      </c>
      <c r="BH122">
        <f t="shared" si="39"/>
        <v>1567.4</v>
      </c>
      <c r="BI122" s="33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3" cm="1">
        <f t="array" ref="BJ122">$G$13+VLOOKUP($R122,武学奇术!$A:$ZZ,14,FALSE)+SUM(_xlfn.XLOOKUP($S122:$AL122,增益!$A:$A,增益!$N:$N,0))</f>
        <v>0.17</v>
      </c>
      <c r="BK122">
        <f t="shared" si="40"/>
        <v>0</v>
      </c>
      <c r="BL122">
        <f t="shared" si="41"/>
        <v>0</v>
      </c>
      <c r="BM122" s="33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3" cm="1">
        <f t="array" ref="BN122">$G$14+VLOOKUP($R122,武学奇术!$A:$ZZ,16,FALSE)+SUM(_xlfn.XLOOKUP($S122:$AL122,增益!$A:$A,增益!$P:$P,0))</f>
        <v>0.02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4" cm="1">
        <f t="array" ref="BQ122">1+$B$13+VLOOKUP($R122,武学奇术!$A:$ZZ,18,FALSE)+SUM(_xlfn.XLOOKUP($S122:$AL122,增益!$A:$A,增益!$R:$R,0))</f>
        <v>1.5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2"/>
        <v>0.8865</v>
      </c>
      <c r="BU122" s="24">
        <f t="shared" si="43"/>
        <v>0.0222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0.06</v>
      </c>
      <c r="BX122" s="24" cm="1">
        <f t="array" ref="BX122">VLOOKUP($R122,武学奇术!$A:$ZZ,32,FALSE)+SUM(_xlfn.XLOOKUP($S122:$AL122,增益!$A:$A,增益!$X:$X,0))</f>
        <v>0</v>
      </c>
    </row>
    <row r="123" spans="1:76">
      <c r="K123" s="39">
        <f>$L123*VLOOKUP($R123,武学奇术!$A:$ZY,31,FALSE)</f>
        <v>0</v>
      </c>
      <c r="L123" s="39">
        <f t="shared" si="33"/>
        <v>0</v>
      </c>
      <c r="M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39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39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29">
        <v>1</v>
      </c>
      <c r="R123" s="40" t="s">
        <v>80</v>
      </c>
      <c r="S123" s="40" t="s">
        <v>80</v>
      </c>
      <c r="T123" s="40" t="s">
        <v>80</v>
      </c>
      <c r="U123" s="40" t="s">
        <v>80</v>
      </c>
      <c r="V123" s="40" t="s">
        <v>80</v>
      </c>
      <c r="W123" s="40" t="s">
        <v>80</v>
      </c>
      <c r="X123" s="40" t="s">
        <v>80</v>
      </c>
      <c r="Y123" s="40" t="s">
        <v>80</v>
      </c>
      <c r="Z123" s="40" t="s">
        <v>80</v>
      </c>
      <c r="AA123" s="40" t="s">
        <v>80</v>
      </c>
      <c r="AB123" s="40" t="s">
        <v>80</v>
      </c>
      <c r="AC123" s="40" t="s">
        <v>80</v>
      </c>
      <c r="AD123" s="40" t="s">
        <v>80</v>
      </c>
      <c r="AE123" s="40" t="s">
        <v>80</v>
      </c>
      <c r="AF123" s="40" t="s">
        <v>80</v>
      </c>
      <c r="AG123" s="40" t="s">
        <v>80</v>
      </c>
      <c r="AH123" s="40" t="s">
        <v>80</v>
      </c>
      <c r="AI123" s="40" t="s">
        <v>80</v>
      </c>
      <c r="AJ123" s="40" t="s">
        <v>80</v>
      </c>
      <c r="AK123" s="40" t="s">
        <v>83</v>
      </c>
      <c r="AL123" s="40" t="s">
        <v>80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VLOOKUP($R123,武学奇术!$A:$ZZ,27,FALSE)*(1+IF(OR($AM123=$F$4,$AM123=$F$5),$B$21,0))</f>
        <v>0</v>
      </c>
      <c r="AP123" s="24">
        <f>VLOOKUP($R123,武学奇术!$A:$ZZ,28,FALSE)</f>
        <v>0</v>
      </c>
      <c r="AQ123" s="25">
        <f>VLOOKUP($R123,武学奇术!$A:$ZZ,29,FALSE)*(1+IF(OR($AM123=$F$4,$AM123=$F$5),$B$21,0))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3859.2</v>
      </c>
      <c r="AU123" cm="1">
        <f t="array" ref="AU123">$E$10*(1+$AS123)+VLOOKUP($R123,武学奇术!$A:$ZZ,4,FALSE)+SUM(_xlfn.XLOOKUP($S123:$AL123,增益!$A:$A,增益!$D:$D,0))-$I$2</f>
        <v>3859.2</v>
      </c>
      <c r="AV123" s="33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0.2789</v>
      </c>
      <c r="AW123" s="33" cm="1">
        <f t="array" ref="AW123">$G$10+VLOOKUP($R123,武学奇术!$A:$ZZ,7,FALSE)+SUM(_xlfn.XLOOKUP($S123:$AL123,增益!$A:$A,增益!$G:$G,0))</f>
        <v>0.045</v>
      </c>
      <c r="AX123" s="24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3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3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3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3" cm="1">
        <f t="array" ref="BF123">$G$12+VLOOKUP($R123,武学奇术!$A:$ZZ,12,FALSE)+SUM(_xlfn.XLOOKUP($S123:$AL123,增益!$A:$A,增益!$L:$L,0))</f>
        <v>0.02</v>
      </c>
      <c r="BG123">
        <f t="shared" si="38"/>
        <v>618.2</v>
      </c>
      <c r="BH123">
        <f t="shared" si="39"/>
        <v>1567.4</v>
      </c>
      <c r="BI123" s="33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3" cm="1">
        <f t="array" ref="BJ123">$G$13+VLOOKUP($R123,武学奇术!$A:$ZZ,14,FALSE)+SUM(_xlfn.XLOOKUP($S123:$AL123,增益!$A:$A,增益!$N:$N,0))</f>
        <v>0.17</v>
      </c>
      <c r="BK123">
        <f t="shared" si="40"/>
        <v>0</v>
      </c>
      <c r="BL123">
        <f t="shared" si="41"/>
        <v>0</v>
      </c>
      <c r="BM123" s="33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3" cm="1">
        <f t="array" ref="BN123">$G$14+VLOOKUP($R123,武学奇术!$A:$ZZ,16,FALSE)+SUM(_xlfn.XLOOKUP($S123:$AL123,增益!$A:$A,增益!$P:$P,0))</f>
        <v>0.02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4" cm="1">
        <f t="array" ref="BQ123">1+$B$13+VLOOKUP($R123,武学奇术!$A:$ZZ,18,FALSE)+SUM(_xlfn.XLOOKUP($S123:$AL123,增益!$A:$A,增益!$R:$R,0))</f>
        <v>1.5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2"/>
        <v>0.8865</v>
      </c>
      <c r="BU123" s="24">
        <f t="shared" si="43"/>
        <v>0.0222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0.06</v>
      </c>
      <c r="BX123" s="24" cm="1">
        <f t="array" ref="BX123">VLOOKUP($R123,武学奇术!$A:$ZZ,32,FALSE)+SUM(_xlfn.XLOOKUP($S123:$AL123,增益!$A:$A,增益!$X:$X,0))</f>
        <v>0</v>
      </c>
    </row>
    <row r="124" spans="1:76">
      <c r="K124" s="39">
        <f>$L124*VLOOKUP($R124,武学奇术!$A:$ZY,31,FALSE)</f>
        <v>0</v>
      </c>
      <c r="L124" s="39">
        <f t="shared" si="33"/>
        <v>0</v>
      </c>
      <c r="M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39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39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29">
        <v>1</v>
      </c>
      <c r="R124" s="40" t="s">
        <v>80</v>
      </c>
      <c r="S124" s="40" t="s">
        <v>80</v>
      </c>
      <c r="T124" s="40" t="s">
        <v>80</v>
      </c>
      <c r="U124" s="40" t="s">
        <v>80</v>
      </c>
      <c r="V124" s="40" t="s">
        <v>80</v>
      </c>
      <c r="W124" s="40" t="s">
        <v>80</v>
      </c>
      <c r="X124" s="40" t="s">
        <v>80</v>
      </c>
      <c r="Y124" s="40" t="s">
        <v>80</v>
      </c>
      <c r="Z124" s="40" t="s">
        <v>80</v>
      </c>
      <c r="AA124" s="40" t="s">
        <v>80</v>
      </c>
      <c r="AB124" s="40" t="s">
        <v>80</v>
      </c>
      <c r="AC124" s="40" t="s">
        <v>80</v>
      </c>
      <c r="AD124" s="40" t="s">
        <v>80</v>
      </c>
      <c r="AE124" s="40" t="s">
        <v>80</v>
      </c>
      <c r="AF124" s="40" t="s">
        <v>80</v>
      </c>
      <c r="AG124" s="40" t="s">
        <v>80</v>
      </c>
      <c r="AH124" s="40" t="s">
        <v>80</v>
      </c>
      <c r="AI124" s="40" t="s">
        <v>80</v>
      </c>
      <c r="AJ124" s="40" t="s">
        <v>80</v>
      </c>
      <c r="AK124" s="40" t="s">
        <v>83</v>
      </c>
      <c r="AL124" s="40" t="s">
        <v>80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VLOOKUP($R124,武学奇术!$A:$ZZ,27,FALSE)*(1+IF(OR($AM124=$F$4,$AM124=$F$5),$B$21,0))</f>
        <v>0</v>
      </c>
      <c r="AP124" s="24">
        <f>VLOOKUP($R124,武学奇术!$A:$ZZ,28,FALSE)</f>
        <v>0</v>
      </c>
      <c r="AQ124" s="25">
        <f>VLOOKUP($R124,武学奇术!$A:$ZZ,29,FALSE)*(1+IF(OR($AM124=$F$4,$AM124=$F$5),$B$21,0))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3859.2</v>
      </c>
      <c r="AU124" cm="1">
        <f t="array" ref="AU124">$E$10*(1+$AS124)+VLOOKUP($R124,武学奇术!$A:$ZZ,4,FALSE)+SUM(_xlfn.XLOOKUP($S124:$AL124,增益!$A:$A,增益!$D:$D,0))-$I$2</f>
        <v>3859.2</v>
      </c>
      <c r="AV124" s="33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0.2789</v>
      </c>
      <c r="AW124" s="33" cm="1">
        <f t="array" ref="AW124">$G$10+VLOOKUP($R124,武学奇术!$A:$ZZ,7,FALSE)+SUM(_xlfn.XLOOKUP($S124:$AL124,增益!$A:$A,增益!$G:$G,0))</f>
        <v>0.045</v>
      </c>
      <c r="AX124" s="24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3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3" cm="1">
        <f t="array" ref="BB124">$G$11+VLOOKUP($R124,武学奇术!$A:$ZZ,10,FALSE)+SUM(_xlfn.XLOOKUP($S124:$AL124,增益!$A:$A,增益!$J:$J,0))</f>
        <v>0.02</v>
      </c>
      <c r="BC124">
        <f t="shared" si="36"/>
        <v>0</v>
      </c>
      <c r="BD124">
        <f t="shared" si="37"/>
        <v>0</v>
      </c>
      <c r="BE124" s="33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3" cm="1">
        <f t="array" ref="BF124">$G$12+VLOOKUP($R124,武学奇术!$A:$ZZ,12,FALSE)+SUM(_xlfn.XLOOKUP($S124:$AL124,增益!$A:$A,增益!$L:$L,0))</f>
        <v>0.02</v>
      </c>
      <c r="BG124">
        <f t="shared" si="38"/>
        <v>618.2</v>
      </c>
      <c r="BH124">
        <f t="shared" si="39"/>
        <v>1567.4</v>
      </c>
      <c r="BI124" s="33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3" cm="1">
        <f t="array" ref="BJ124">$G$13+VLOOKUP($R124,武学奇术!$A:$ZZ,14,FALSE)+SUM(_xlfn.XLOOKUP($S124:$AL124,增益!$A:$A,增益!$N:$N,0))</f>
        <v>0.17</v>
      </c>
      <c r="BK124">
        <f t="shared" si="40"/>
        <v>0</v>
      </c>
      <c r="BL124">
        <f t="shared" si="41"/>
        <v>0</v>
      </c>
      <c r="BM124" s="33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3" cm="1">
        <f t="array" ref="BN124">$G$14+VLOOKUP($R124,武学奇术!$A:$ZZ,16,FALSE)+SUM(_xlfn.XLOOKUP($S124:$AL124,增益!$A:$A,增益!$P:$P,0))</f>
        <v>0.02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4" cm="1">
        <f t="array" ref="BQ124">1+$B$13+VLOOKUP($R124,武学奇术!$A:$ZZ,18,FALSE)+SUM(_xlfn.XLOOKUP($S124:$AL124,增益!$A:$A,增益!$R:$R,0))</f>
        <v>1.5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2"/>
        <v>0.8865</v>
      </c>
      <c r="BU124" s="24">
        <f t="shared" si="43"/>
        <v>0.0222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0.06</v>
      </c>
      <c r="BX124" s="24" cm="1">
        <f t="array" ref="BX124">VLOOKUP($R124,武学奇术!$A:$ZZ,32,FALSE)+SUM(_xlfn.XLOOKUP($S124:$AL124,增益!$A:$A,增益!$X:$X,0))</f>
        <v>0</v>
      </c>
    </row>
    <row r="125" spans="1:76">
      <c r="K125" s="39">
        <f>$L125*VLOOKUP($R125,武学奇术!$A:$ZY,31,FALSE)</f>
        <v>0</v>
      </c>
      <c r="L125" s="39">
        <f t="shared" si="33"/>
        <v>0</v>
      </c>
      <c r="M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39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39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29">
        <v>1</v>
      </c>
      <c r="R125" s="40" t="s">
        <v>80</v>
      </c>
      <c r="S125" s="40" t="s">
        <v>80</v>
      </c>
      <c r="T125" s="40" t="s">
        <v>80</v>
      </c>
      <c r="U125" s="40" t="s">
        <v>80</v>
      </c>
      <c r="V125" s="40" t="s">
        <v>80</v>
      </c>
      <c r="W125" s="40" t="s">
        <v>80</v>
      </c>
      <c r="X125" s="40" t="s">
        <v>80</v>
      </c>
      <c r="Y125" s="40" t="s">
        <v>80</v>
      </c>
      <c r="Z125" s="40" t="s">
        <v>80</v>
      </c>
      <c r="AA125" s="40" t="s">
        <v>80</v>
      </c>
      <c r="AB125" s="40" t="s">
        <v>80</v>
      </c>
      <c r="AC125" s="40" t="s">
        <v>80</v>
      </c>
      <c r="AD125" s="40" t="s">
        <v>80</v>
      </c>
      <c r="AE125" s="40" t="s">
        <v>80</v>
      </c>
      <c r="AF125" s="40" t="s">
        <v>80</v>
      </c>
      <c r="AG125" s="40" t="s">
        <v>80</v>
      </c>
      <c r="AH125" s="40" t="s">
        <v>80</v>
      </c>
      <c r="AI125" s="40" t="s">
        <v>80</v>
      </c>
      <c r="AJ125" s="40" t="s">
        <v>80</v>
      </c>
      <c r="AK125" s="40" t="s">
        <v>83</v>
      </c>
      <c r="AL125" s="40" t="s">
        <v>80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VLOOKUP($R125,武学奇术!$A:$ZZ,27,FALSE)*(1+IF(OR($AM125=$F$4,$AM125=$F$5),$B$21,0))</f>
        <v>0</v>
      </c>
      <c r="AP125" s="24">
        <f>VLOOKUP($R125,武学奇术!$A:$ZZ,28,FALSE)</f>
        <v>0</v>
      </c>
      <c r="AQ125" s="25">
        <f>VLOOKUP($R125,武学奇术!$A:$ZZ,29,FALSE)*(1+IF(OR($AM125=$F$4,$AM125=$F$5),$B$21,0))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3859.2</v>
      </c>
      <c r="AU125" cm="1">
        <f t="array" ref="AU125">$E$10*(1+$AS125)+VLOOKUP($R125,武学奇术!$A:$ZZ,4,FALSE)+SUM(_xlfn.XLOOKUP($S125:$AL125,增益!$A:$A,增益!$D:$D,0))-$I$2</f>
        <v>3859.2</v>
      </c>
      <c r="AV125" s="33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0.2789</v>
      </c>
      <c r="AW125" s="33" cm="1">
        <f t="array" ref="AW125">$G$10+VLOOKUP($R125,武学奇术!$A:$ZZ,7,FALSE)+SUM(_xlfn.XLOOKUP($S125:$AL125,增益!$A:$A,增益!$G:$G,0))</f>
        <v>0.045</v>
      </c>
      <c r="AX125" s="24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3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3" cm="1">
        <f t="array" ref="BB125">$G$11+VLOOKUP($R125,武学奇术!$A:$ZZ,10,FALSE)+SUM(_xlfn.XLOOKUP($S125:$AL125,增益!$A:$A,增益!$J:$J,0))</f>
        <v>0.02</v>
      </c>
      <c r="BC125">
        <f t="shared" si="36"/>
        <v>0</v>
      </c>
      <c r="BD125">
        <f t="shared" si="37"/>
        <v>0</v>
      </c>
      <c r="BE125" s="33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3" cm="1">
        <f t="array" ref="BF125">$G$12+VLOOKUP($R125,武学奇术!$A:$ZZ,12,FALSE)+SUM(_xlfn.XLOOKUP($S125:$AL125,增益!$A:$A,增益!$L:$L,0))</f>
        <v>0.02</v>
      </c>
      <c r="BG125">
        <f t="shared" si="38"/>
        <v>618.2</v>
      </c>
      <c r="BH125">
        <f t="shared" si="39"/>
        <v>1567.4</v>
      </c>
      <c r="BI125" s="33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3" cm="1">
        <f t="array" ref="BJ125">$G$13+VLOOKUP($R125,武学奇术!$A:$ZZ,14,FALSE)+SUM(_xlfn.XLOOKUP($S125:$AL125,增益!$A:$A,增益!$N:$N,0))</f>
        <v>0.17</v>
      </c>
      <c r="BK125">
        <f t="shared" si="40"/>
        <v>0</v>
      </c>
      <c r="BL125">
        <f t="shared" si="41"/>
        <v>0</v>
      </c>
      <c r="BM125" s="33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3" cm="1">
        <f t="array" ref="BN125">$G$14+VLOOKUP($R125,武学奇术!$A:$ZZ,16,FALSE)+SUM(_xlfn.XLOOKUP($S125:$AL125,增益!$A:$A,增益!$P:$P,0))</f>
        <v>0.02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4" cm="1">
        <f t="array" ref="BQ125">1+$B$13+VLOOKUP($R125,武学奇术!$A:$ZZ,18,FALSE)+SUM(_xlfn.XLOOKUP($S125:$AL125,增益!$A:$A,增益!$R:$R,0))</f>
        <v>1.5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2"/>
        <v>0.8865</v>
      </c>
      <c r="BU125" s="24">
        <f t="shared" si="43"/>
        <v>0.0222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0.06</v>
      </c>
      <c r="BX125" s="24" cm="1">
        <f t="array" ref="BX125">VLOOKUP($R125,武学奇术!$A:$ZZ,32,FALSE)+SUM(_xlfn.XLOOKUP($S125:$AL125,增益!$A:$A,增益!$X:$X,0))</f>
        <v>0</v>
      </c>
    </row>
    <row r="126" spans="1:76">
      <c r="K126" s="39">
        <f>$L126*VLOOKUP($R126,武学奇术!$A:$ZY,31,FALSE)</f>
        <v>0</v>
      </c>
      <c r="L126" s="39">
        <f t="shared" si="33"/>
        <v>0</v>
      </c>
      <c r="M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39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39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29">
        <f t="shared" ref="Q123:Q136" si="47">IF($E$22="易水歌",1,0)</f>
        <v>0</v>
      </c>
      <c r="R126" s="40" t="s">
        <v>192</v>
      </c>
      <c r="S126" s="40" t="s">
        <v>91</v>
      </c>
      <c r="T126" s="40" t="s">
        <v>87</v>
      </c>
      <c r="U126" s="40" t="s">
        <v>80</v>
      </c>
      <c r="V126" s="40" t="s">
        <v>81</v>
      </c>
      <c r="W126" s="40" t="s">
        <v>80</v>
      </c>
      <c r="X126" s="40" t="s">
        <v>80</v>
      </c>
      <c r="Y126" s="40" t="s">
        <v>80</v>
      </c>
      <c r="Z126" s="40" t="s">
        <v>110</v>
      </c>
      <c r="AA126" s="40" t="s">
        <v>80</v>
      </c>
      <c r="AB126" s="40" t="s">
        <v>80</v>
      </c>
      <c r="AC126" s="40" t="s">
        <v>82</v>
      </c>
      <c r="AD126" s="40" t="s">
        <v>80</v>
      </c>
      <c r="AE126" s="40" t="s">
        <v>80</v>
      </c>
      <c r="AF126" s="40" t="s">
        <v>80</v>
      </c>
      <c r="AG126" s="40" t="s">
        <v>80</v>
      </c>
      <c r="AH126" s="40" t="s">
        <v>80</v>
      </c>
      <c r="AI126" s="40" t="s">
        <v>80</v>
      </c>
      <c r="AJ126" s="40" t="s">
        <v>80</v>
      </c>
      <c r="AK126" s="40" t="s">
        <v>83</v>
      </c>
      <c r="AL126" s="40" t="s">
        <v>80</v>
      </c>
      <c r="AM126" t="str">
        <f>VLOOKUP($R126,武学奇术!$A:$ZZ,25,FALSE)</f>
        <v>心法</v>
      </c>
      <c r="AN126" s="24">
        <f>VLOOKUP($R126,武学奇术!$A:$ZZ,26,FALSE)</f>
        <v>1</v>
      </c>
      <c r="AO126" s="25">
        <f>VLOOKUP($R126,武学奇术!$A:$ZZ,27,FALSE)*(1+IF(OR($AM126=$F$4,$AM126=$F$5),$B$21,0))</f>
        <v>0</v>
      </c>
      <c r="AP126" s="24">
        <f>VLOOKUP($R126,武学奇术!$A:$ZZ,28,FALSE)</f>
        <v>1</v>
      </c>
      <c r="AQ126" s="25">
        <f>VLOOKUP($R126,武学奇术!$A:$ZZ,29,FALSE)*(1+IF(OR($AM126=$F$4,$AM126=$F$5),$B$21,0))</f>
        <v>0</v>
      </c>
      <c r="AR126" s="24" cm="1">
        <f t="array" ref="AR126">$G$3+IFERROR(VLOOKUP($AM126,$F$4:$G$7,2,FALSE),0)+VLOOKUP($R126,武学奇术!$A:$ZZ,2,FALSE)+SUM(_xlfn.XLOOKUP($S126:$AL126,增益!$A:$A,增益!$B:$B,0))</f>
        <v>0.3342</v>
      </c>
      <c r="AS126" s="24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4195.0125</v>
      </c>
      <c r="AU126" cm="1">
        <f t="array" ref="AU126">$E$10*(1+$AS126)+VLOOKUP($R126,武学奇术!$A:$ZZ,4,FALSE)+SUM(_xlfn.XLOOKUP($S126:$AL126,增益!$A:$A,增益!$D:$D,0))-$I$2</f>
        <v>4195.0125</v>
      </c>
      <c r="AV126" s="33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0.2789</v>
      </c>
      <c r="AW126" s="33" cm="1">
        <f t="array" ref="AW126">$G$10+VLOOKUP($R126,武学奇术!$A:$ZZ,7,FALSE)+SUM(_xlfn.XLOOKUP($S126:$AL126,增益!$A:$A,增益!$G:$G,0))</f>
        <v>0.045</v>
      </c>
      <c r="AX126" s="24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3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-0.14</v>
      </c>
      <c r="BB126" s="33" cm="1">
        <f t="array" ref="BB126">$G$11+VLOOKUP($R126,武学奇术!$A:$ZZ,10,FALSE)+SUM(_xlfn.XLOOKUP($S126:$AL126,增益!$A:$A,增益!$J:$J,0))</f>
        <v>0.02</v>
      </c>
      <c r="BC126">
        <f t="shared" si="36"/>
        <v>0</v>
      </c>
      <c r="BD126">
        <f t="shared" si="37"/>
        <v>0</v>
      </c>
      <c r="BE126" s="33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-0.14</v>
      </c>
      <c r="BF126" s="33" cm="1">
        <f t="array" ref="BF126">$G$12+VLOOKUP($R126,武学奇术!$A:$ZZ,12,FALSE)+SUM(_xlfn.XLOOKUP($S126:$AL126,增益!$A:$A,增益!$L:$L,0))</f>
        <v>0.02</v>
      </c>
      <c r="BG126">
        <f t="shared" si="38"/>
        <v>618.2</v>
      </c>
      <c r="BH126">
        <f t="shared" si="39"/>
        <v>1567.4</v>
      </c>
      <c r="BI126" s="33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0.08</v>
      </c>
      <c r="BJ126" s="33" cm="1">
        <f t="array" ref="BJ126">$G$13+VLOOKUP($R126,武学奇术!$A:$ZZ,14,FALSE)+SUM(_xlfn.XLOOKUP($S126:$AL126,增益!$A:$A,增益!$N:$N,0))</f>
        <v>0.17</v>
      </c>
      <c r="BK126">
        <f t="shared" si="40"/>
        <v>0</v>
      </c>
      <c r="BL126">
        <f t="shared" si="41"/>
        <v>0</v>
      </c>
      <c r="BM126" s="33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-0.14</v>
      </c>
      <c r="BN126" s="33" cm="1">
        <f t="array" ref="BN126">$G$14+VLOOKUP($R126,武学奇术!$A:$ZZ,16,FALSE)+SUM(_xlfn.XLOOKUP($S126:$AL126,增益!$A:$A,增益!$P:$P,0))</f>
        <v>0.02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4" cm="1">
        <f t="array" ref="BQ126">1+$B$13+VLOOKUP($R126,武学奇术!$A:$ZZ,18,FALSE)+SUM(_xlfn.XLOOKUP($S126:$AL126,增益!$A:$A,增益!$R:$R,0))</f>
        <v>1.53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2"/>
        <v>0.8865</v>
      </c>
      <c r="BU126" s="24">
        <f t="shared" si="43"/>
        <v>0.0222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0.06</v>
      </c>
      <c r="BX126" s="24" cm="1">
        <f t="array" ref="BX126">VLOOKUP($R126,武学奇术!$A:$ZZ,32,FALSE)+SUM(_xlfn.XLOOKUP($S126:$AL126,增益!$A:$A,增益!$X:$X,0))</f>
        <v>0</v>
      </c>
    </row>
    <row r="127" spans="1:76">
      <c r="K127" s="39">
        <f>$L127*VLOOKUP($R127,武学奇术!$A:$ZY,31,FALSE)</f>
        <v>0</v>
      </c>
      <c r="L127" s="39">
        <f t="shared" si="33"/>
        <v>0</v>
      </c>
      <c r="M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39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39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29">
        <f t="shared" si="47"/>
        <v>0</v>
      </c>
      <c r="R127" s="40" t="s">
        <v>192</v>
      </c>
      <c r="S127" s="40" t="s">
        <v>91</v>
      </c>
      <c r="T127" s="40" t="s">
        <v>160</v>
      </c>
      <c r="U127" s="40" t="s">
        <v>80</v>
      </c>
      <c r="V127" s="40" t="s">
        <v>81</v>
      </c>
      <c r="W127" s="40" t="s">
        <v>80</v>
      </c>
      <c r="X127" s="40" t="s">
        <v>80</v>
      </c>
      <c r="Y127" s="40" t="s">
        <v>80</v>
      </c>
      <c r="Z127" s="40" t="s">
        <v>110</v>
      </c>
      <c r="AA127" s="40" t="s">
        <v>80</v>
      </c>
      <c r="AB127" s="40" t="s">
        <v>80</v>
      </c>
      <c r="AC127" s="40" t="s">
        <v>80</v>
      </c>
      <c r="AD127" s="40" t="s">
        <v>80</v>
      </c>
      <c r="AE127" s="40" t="s">
        <v>80</v>
      </c>
      <c r="AF127" s="40" t="s">
        <v>80</v>
      </c>
      <c r="AG127" s="40" t="s">
        <v>80</v>
      </c>
      <c r="AH127" s="40" t="s">
        <v>80</v>
      </c>
      <c r="AI127" s="40" t="s">
        <v>80</v>
      </c>
      <c r="AJ127" s="40" t="s">
        <v>80</v>
      </c>
      <c r="AK127" s="40" t="s">
        <v>83</v>
      </c>
      <c r="AL127" s="40" t="s">
        <v>80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VLOOKUP($R127,武学奇术!$A:$ZZ,27,FALSE)*(1+IF(OR($AM127=$F$4,$AM127=$F$5),$B$21,0))</f>
        <v>0</v>
      </c>
      <c r="AP127" s="24">
        <f>VLOOKUP($R127,武学奇术!$A:$ZZ,28,FALSE)</f>
        <v>1</v>
      </c>
      <c r="AQ127" s="25">
        <f>VLOOKUP($R127,武学奇术!$A:$ZZ,29,FALSE)*(1+IF(OR($AM127=$F$4,$AM127=$F$5),$B$21,0))</f>
        <v>0</v>
      </c>
      <c r="AR127" s="24" cm="1">
        <f t="array" ref="AR127">$G$3+IFERROR(VLOOKUP($AM127,$F$4:$G$7,2,FALSE),0)+VLOOKUP($R127,武学奇术!$A:$ZZ,2,FALSE)+SUM(_xlfn.XLOOKUP($S127:$AL127,增益!$A:$A,增益!$B:$B,0))</f>
        <v>0.3342</v>
      </c>
      <c r="AS127" s="24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4195.0125</v>
      </c>
      <c r="AU127" cm="1">
        <f t="array" ref="AU127">$E$10*(1+$AS127)+VLOOKUP($R127,武学奇术!$A:$ZZ,4,FALSE)+SUM(_xlfn.XLOOKUP($S127:$AL127,增益!$A:$A,增益!$D:$D,0))-$I$2</f>
        <v>4195.0125</v>
      </c>
      <c r="AV127" s="33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0.2789</v>
      </c>
      <c r="AW127" s="33" cm="1">
        <f t="array" ref="AW127">$G$10+VLOOKUP($R127,武学奇术!$A:$ZZ,7,FALSE)+SUM(_xlfn.XLOOKUP($S127:$AL127,增益!$A:$A,增益!$G:$G,0))</f>
        <v>0.045</v>
      </c>
      <c r="AX127" s="24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3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3" cm="1">
        <f t="array" ref="BB127">$G$11+VLOOKUP($R127,武学奇术!$A:$ZZ,10,FALSE)+SUM(_xlfn.XLOOKUP($S127:$AL127,增益!$A:$A,增益!$J:$J,0))</f>
        <v>0.02</v>
      </c>
      <c r="BC127">
        <f t="shared" si="36"/>
        <v>0</v>
      </c>
      <c r="BD127">
        <f t="shared" si="37"/>
        <v>0</v>
      </c>
      <c r="BE127" s="33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3" cm="1">
        <f t="array" ref="BF127">$G$12+VLOOKUP($R127,武学奇术!$A:$ZZ,12,FALSE)+SUM(_xlfn.XLOOKUP($S127:$AL127,增益!$A:$A,增益!$L:$L,0))</f>
        <v>0.02</v>
      </c>
      <c r="BG127">
        <f t="shared" si="38"/>
        <v>618.2</v>
      </c>
      <c r="BH127">
        <f t="shared" si="39"/>
        <v>1567.4</v>
      </c>
      <c r="BI127" s="33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3" cm="1">
        <f t="array" ref="BJ127">$G$13+VLOOKUP($R127,武学奇术!$A:$ZZ,14,FALSE)+SUM(_xlfn.XLOOKUP($S127:$AL127,增益!$A:$A,增益!$N:$N,0))</f>
        <v>0.17</v>
      </c>
      <c r="BK127">
        <f t="shared" si="40"/>
        <v>0</v>
      </c>
      <c r="BL127">
        <f t="shared" si="41"/>
        <v>0</v>
      </c>
      <c r="BM127" s="33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3" cm="1">
        <f t="array" ref="BN127">$G$14+VLOOKUP($R127,武学奇术!$A:$ZZ,16,FALSE)+SUM(_xlfn.XLOOKUP($S127:$AL127,增益!$A:$A,增益!$P:$P,0))</f>
        <v>0.02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4" cm="1">
        <f t="array" ref="BQ127">1+$B$13+VLOOKUP($R127,武学奇术!$A:$ZZ,18,FALSE)+SUM(_xlfn.XLOOKUP($S127:$AL127,增益!$A:$A,增益!$R:$R,0))</f>
        <v>1.57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2"/>
        <v>0.8865</v>
      </c>
      <c r="BU127" s="24">
        <f t="shared" si="43"/>
        <v>0.0222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0.06</v>
      </c>
      <c r="BX127" s="24" cm="1">
        <f t="array" ref="BX127">VLOOKUP($R127,武学奇术!$A:$ZZ,32,FALSE)+SUM(_xlfn.XLOOKUP($S127:$AL127,增益!$A:$A,增益!$X:$X,0))</f>
        <v>0</v>
      </c>
    </row>
    <row r="128" spans="1:76">
      <c r="K128" s="39">
        <f>$L128*VLOOKUP($R128,武学奇术!$A:$ZY,31,FALSE)</f>
        <v>0</v>
      </c>
      <c r="L128" s="39">
        <f t="shared" si="33"/>
        <v>0</v>
      </c>
      <c r="M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39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39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29">
        <f t="shared" si="47"/>
        <v>0</v>
      </c>
      <c r="R128" s="40" t="s">
        <v>192</v>
      </c>
      <c r="S128" s="40" t="s">
        <v>91</v>
      </c>
      <c r="T128" s="40" t="s">
        <v>172</v>
      </c>
      <c r="U128" s="40" t="s">
        <v>80</v>
      </c>
      <c r="V128" s="40" t="s">
        <v>166</v>
      </c>
      <c r="W128" s="40" t="s">
        <v>80</v>
      </c>
      <c r="X128" s="40" t="s">
        <v>80</v>
      </c>
      <c r="Y128" s="40" t="s">
        <v>80</v>
      </c>
      <c r="Z128" s="40" t="s">
        <v>80</v>
      </c>
      <c r="AA128" s="40" t="s">
        <v>80</v>
      </c>
      <c r="AB128" s="40" t="s">
        <v>80</v>
      </c>
      <c r="AC128" s="40" t="s">
        <v>82</v>
      </c>
      <c r="AD128" s="40" t="s">
        <v>80</v>
      </c>
      <c r="AE128" s="40" t="s">
        <v>80</v>
      </c>
      <c r="AF128" s="40" t="s">
        <v>80</v>
      </c>
      <c r="AG128" s="40" t="s">
        <v>80</v>
      </c>
      <c r="AH128" s="40" t="s">
        <v>80</v>
      </c>
      <c r="AI128" s="40" t="s">
        <v>80</v>
      </c>
      <c r="AJ128" s="40" t="s">
        <v>80</v>
      </c>
      <c r="AK128" s="40" t="s">
        <v>83</v>
      </c>
      <c r="AL128" s="40" t="s">
        <v>80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VLOOKUP($R128,武学奇术!$A:$ZZ,27,FALSE)*(1+IF(OR($AM128=$F$4,$AM128=$F$5),$B$21,0))</f>
        <v>0</v>
      </c>
      <c r="AP128" s="24">
        <f>VLOOKUP($R128,武学奇术!$A:$ZZ,28,FALSE)</f>
        <v>1</v>
      </c>
      <c r="AQ128" s="25">
        <f>VLOOKUP($R128,武学奇术!$A:$ZZ,29,FALSE)*(1+IF(OR($AM128=$F$4,$AM128=$F$5),$B$21,0))</f>
        <v>0</v>
      </c>
      <c r="AR128" s="24" cm="1">
        <f t="array" ref="AR128">$G$3+IFERROR(VLOOKUP($AM128,$F$4:$G$7,2,FALSE),0)+VLOOKUP($R128,武学奇术!$A:$ZZ,2,FALSE)+SUM(_xlfn.XLOOKUP($S128:$AL128,增益!$A:$A,增益!$B:$B,0))</f>
        <v>0.1842</v>
      </c>
      <c r="AS128" s="24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4530.825</v>
      </c>
      <c r="AU128" cm="1">
        <f t="array" ref="AU128">$E$10*(1+$AS128)+VLOOKUP($R128,武学奇术!$A:$ZZ,4,FALSE)+SUM(_xlfn.XLOOKUP($S128:$AL128,增益!$A:$A,增益!$D:$D,0))-$I$2</f>
        <v>4530.825</v>
      </c>
      <c r="AV128" s="33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0.2789</v>
      </c>
      <c r="AW128" s="33" cm="1">
        <f t="array" ref="AW128">$G$10+VLOOKUP($R128,武学奇术!$A:$ZZ,7,FALSE)+SUM(_xlfn.XLOOKUP($S128:$AL128,增益!$A:$A,增益!$G:$G,0))</f>
        <v>0.045</v>
      </c>
      <c r="AX128" s="24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3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-0.14</v>
      </c>
      <c r="BB128" s="33" cm="1">
        <f t="array" ref="BB128">$G$11+VLOOKUP($R128,武学奇术!$A:$ZZ,10,FALSE)+SUM(_xlfn.XLOOKUP($S128:$AL128,增益!$A:$A,增益!$J:$J,0))</f>
        <v>0.02</v>
      </c>
      <c r="BC128">
        <f t="shared" si="36"/>
        <v>0</v>
      </c>
      <c r="BD128">
        <f t="shared" si="37"/>
        <v>0</v>
      </c>
      <c r="BE128" s="33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-0.14</v>
      </c>
      <c r="BF128" s="33" cm="1">
        <f t="array" ref="BF128">$G$12+VLOOKUP($R128,武学奇术!$A:$ZZ,12,FALSE)+SUM(_xlfn.XLOOKUP($S128:$AL128,增益!$A:$A,增益!$L:$L,0))</f>
        <v>0.02</v>
      </c>
      <c r="BG128">
        <f t="shared" si="38"/>
        <v>618.2</v>
      </c>
      <c r="BH128">
        <f t="shared" si="39"/>
        <v>1567.4</v>
      </c>
      <c r="BI128" s="33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0.08</v>
      </c>
      <c r="BJ128" s="33" cm="1">
        <f t="array" ref="BJ128">$G$13+VLOOKUP($R128,武学奇术!$A:$ZZ,14,FALSE)+SUM(_xlfn.XLOOKUP($S128:$AL128,增益!$A:$A,增益!$N:$N,0))</f>
        <v>0.17</v>
      </c>
      <c r="BK128">
        <f t="shared" si="40"/>
        <v>0</v>
      </c>
      <c r="BL128">
        <f t="shared" si="41"/>
        <v>0</v>
      </c>
      <c r="BM128" s="33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-0.14</v>
      </c>
      <c r="BN128" s="33" cm="1">
        <f t="array" ref="BN128">$G$14+VLOOKUP($R128,武学奇术!$A:$ZZ,16,FALSE)+SUM(_xlfn.XLOOKUP($S128:$AL128,增益!$A:$A,增益!$P:$P,0))</f>
        <v>0.02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4" cm="1">
        <f t="array" ref="BQ128">1+$B$13+VLOOKUP($R128,武学奇术!$A:$ZZ,18,FALSE)+SUM(_xlfn.XLOOKUP($S128:$AL128,增益!$A:$A,增益!$R:$R,0))</f>
        <v>1.6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2"/>
        <v>0.8865</v>
      </c>
      <c r="BU128" s="24">
        <f t="shared" si="43"/>
        <v>0.0222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0.06</v>
      </c>
      <c r="BX128" s="24" cm="1">
        <f t="array" ref="BX128">VLOOKUP($R128,武学奇术!$A:$ZZ,32,FALSE)+SUM(_xlfn.XLOOKUP($S128:$AL128,增益!$A:$A,增益!$X:$X,0))</f>
        <v>0</v>
      </c>
    </row>
    <row r="129" spans="11:76">
      <c r="K129" s="39">
        <f>$L129*VLOOKUP($R129,武学奇术!$A:$ZY,31,FALSE)</f>
        <v>0</v>
      </c>
      <c r="L129" s="39">
        <f t="shared" si="33"/>
        <v>0</v>
      </c>
      <c r="M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39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39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29">
        <f t="shared" si="47"/>
        <v>0</v>
      </c>
      <c r="R129" s="40" t="s">
        <v>192</v>
      </c>
      <c r="S129" s="40" t="s">
        <v>91</v>
      </c>
      <c r="T129" s="40" t="s">
        <v>172</v>
      </c>
      <c r="U129" s="40" t="s">
        <v>80</v>
      </c>
      <c r="V129" s="40" t="s">
        <v>166</v>
      </c>
      <c r="W129" s="40" t="s">
        <v>80</v>
      </c>
      <c r="X129" s="40" t="s">
        <v>80</v>
      </c>
      <c r="Y129" s="40" t="s">
        <v>109</v>
      </c>
      <c r="Z129" s="40" t="s">
        <v>80</v>
      </c>
      <c r="AA129" s="40" t="s">
        <v>175</v>
      </c>
      <c r="AB129" s="40" t="s">
        <v>176</v>
      </c>
      <c r="AC129" s="40" t="s">
        <v>80</v>
      </c>
      <c r="AD129" s="40" t="s">
        <v>80</v>
      </c>
      <c r="AE129" s="40" t="s">
        <v>80</v>
      </c>
      <c r="AF129" s="40" t="s">
        <v>80</v>
      </c>
      <c r="AG129" s="40" t="s">
        <v>80</v>
      </c>
      <c r="AH129" s="40" t="s">
        <v>80</v>
      </c>
      <c r="AI129" s="40" t="s">
        <v>80</v>
      </c>
      <c r="AJ129" s="40" t="s">
        <v>80</v>
      </c>
      <c r="AK129" s="40" t="s">
        <v>83</v>
      </c>
      <c r="AL129" s="40" t="s">
        <v>80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VLOOKUP($R129,武学奇术!$A:$ZZ,27,FALSE)*(1+IF(OR($AM129=$F$4,$AM129=$F$5),$B$21,0))</f>
        <v>0</v>
      </c>
      <c r="AP129" s="24">
        <f>VLOOKUP($R129,武学奇术!$A:$ZZ,28,FALSE)</f>
        <v>1</v>
      </c>
      <c r="AQ129" s="25">
        <f>VLOOKUP($R129,武学奇术!$A:$ZZ,29,FALSE)*(1+IF(OR($AM129=$F$4,$AM129=$F$5),$B$21,0))</f>
        <v>0</v>
      </c>
      <c r="AR129" s="24" cm="1">
        <f t="array" ref="AR129">$G$3+IFERROR(VLOOKUP($AM129,$F$4:$G$7,2,FALSE),0)+VLOOKUP($R129,武学奇术!$A:$ZZ,2,FALSE)+SUM(_xlfn.XLOOKUP($S129:$AL129,增益!$A:$A,增益!$B:$B,0))</f>
        <v>0.1842</v>
      </c>
      <c r="AS129" s="24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4530.825</v>
      </c>
      <c r="AU129" cm="1">
        <f t="array" ref="AU129">$E$10*(1+$AS129)+VLOOKUP($R129,武学奇术!$A:$ZZ,4,FALSE)+SUM(_xlfn.XLOOKUP($S129:$AL129,增益!$A:$A,增益!$D:$D,0))-$I$2</f>
        <v>4530.825</v>
      </c>
      <c r="AV129" s="33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0.4039</v>
      </c>
      <c r="AW129" s="33" cm="1">
        <f t="array" ref="AW129">$G$10+VLOOKUP($R129,武学奇术!$A:$ZZ,7,FALSE)+SUM(_xlfn.XLOOKUP($S129:$AL129,增益!$A:$A,增益!$G:$G,0))</f>
        <v>0.045</v>
      </c>
      <c r="AX129" s="24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3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3" cm="1">
        <f t="array" ref="BB129">$G$11+VLOOKUP($R129,武学奇术!$A:$ZZ,10,FALSE)+SUM(_xlfn.XLOOKUP($S129:$AL129,增益!$A:$A,增益!$J:$J,0))</f>
        <v>0.12</v>
      </c>
      <c r="BC129">
        <f t="shared" si="36"/>
        <v>0</v>
      </c>
      <c r="BD129">
        <f t="shared" si="37"/>
        <v>0</v>
      </c>
      <c r="BE129" s="33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3" cm="1">
        <f t="array" ref="BF129">$G$12+VLOOKUP($R129,武学奇术!$A:$ZZ,12,FALSE)+SUM(_xlfn.XLOOKUP($S129:$AL129,增益!$A:$A,增益!$L:$L,0))</f>
        <v>0.02</v>
      </c>
      <c r="BG129">
        <f t="shared" si="38"/>
        <v>618.2</v>
      </c>
      <c r="BH129">
        <f t="shared" si="39"/>
        <v>1567.4</v>
      </c>
      <c r="BI129" s="33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3" cm="1">
        <f t="array" ref="BJ129">$G$13+VLOOKUP($R129,武学奇术!$A:$ZZ,14,FALSE)+SUM(_xlfn.XLOOKUP($S129:$AL129,增益!$A:$A,增益!$N:$N,0))</f>
        <v>0.17</v>
      </c>
      <c r="BK129">
        <f t="shared" si="40"/>
        <v>0</v>
      </c>
      <c r="BL129">
        <f t="shared" si="41"/>
        <v>0</v>
      </c>
      <c r="BM129" s="33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3" cm="1">
        <f t="array" ref="BN129">$G$14+VLOOKUP($R129,武学奇术!$A:$ZZ,16,FALSE)+SUM(_xlfn.XLOOKUP($S129:$AL129,增益!$A:$A,增益!$P:$P,0))</f>
        <v>0.02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4" cm="1">
        <f t="array" ref="BQ129">1+$B$13+VLOOKUP($R129,武学奇术!$A:$ZZ,18,FALSE)+SUM(_xlfn.XLOOKUP($S129:$AL129,增益!$A:$A,增益!$R:$R,0))</f>
        <v>1.85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2"/>
        <v>0.8865</v>
      </c>
      <c r="BU129" s="24">
        <f t="shared" si="43"/>
        <v>0.0222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0.26</v>
      </c>
      <c r="BX129" s="24" cm="1">
        <f t="array" ref="BX129">VLOOKUP($R129,武学奇术!$A:$ZZ,32,FALSE)+SUM(_xlfn.XLOOKUP($S129:$AL129,增益!$A:$A,增益!$X:$X,0))</f>
        <v>0</v>
      </c>
    </row>
    <row r="130" spans="11:76">
      <c r="K130" s="39">
        <f>$L130*VLOOKUP($R130,武学奇术!$A:$ZY,31,FALSE)</f>
        <v>0</v>
      </c>
      <c r="L130" s="39">
        <f t="shared" si="33"/>
        <v>0</v>
      </c>
      <c r="M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39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39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29">
        <f t="shared" si="47"/>
        <v>0</v>
      </c>
      <c r="R130" s="40" t="s">
        <v>192</v>
      </c>
      <c r="S130" s="40" t="s">
        <v>91</v>
      </c>
      <c r="T130" s="40" t="s">
        <v>172</v>
      </c>
      <c r="U130" s="40" t="s">
        <v>80</v>
      </c>
      <c r="V130" s="40" t="s">
        <v>81</v>
      </c>
      <c r="W130" s="40" t="s">
        <v>80</v>
      </c>
      <c r="X130" s="40" t="s">
        <v>80</v>
      </c>
      <c r="Y130" s="40" t="s">
        <v>80</v>
      </c>
      <c r="Z130" s="40" t="s">
        <v>80</v>
      </c>
      <c r="AA130" s="40" t="s">
        <v>80</v>
      </c>
      <c r="AB130" s="40" t="s">
        <v>80</v>
      </c>
      <c r="AC130" s="40" t="s">
        <v>82</v>
      </c>
      <c r="AD130" s="40" t="s">
        <v>80</v>
      </c>
      <c r="AE130" s="40" t="s">
        <v>80</v>
      </c>
      <c r="AF130" s="40" t="s">
        <v>80</v>
      </c>
      <c r="AG130" s="40" t="s">
        <v>80</v>
      </c>
      <c r="AH130" s="40" t="s">
        <v>80</v>
      </c>
      <c r="AI130" s="40" t="s">
        <v>80</v>
      </c>
      <c r="AJ130" s="40" t="s">
        <v>80</v>
      </c>
      <c r="AK130" s="40" t="s">
        <v>83</v>
      </c>
      <c r="AL130" s="40" t="s">
        <v>80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VLOOKUP($R130,武学奇术!$A:$ZZ,27,FALSE)*(1+IF(OR($AM130=$F$4,$AM130=$F$5),$B$21,0))</f>
        <v>0</v>
      </c>
      <c r="AP130" s="24">
        <f>VLOOKUP($R130,武学奇术!$A:$ZZ,28,FALSE)</f>
        <v>1</v>
      </c>
      <c r="AQ130" s="25">
        <f>VLOOKUP($R130,武学奇术!$A:$ZZ,29,FALSE)*(1+IF(OR($AM130=$F$4,$AM130=$F$5),$B$21,0))</f>
        <v>0</v>
      </c>
      <c r="AR130" s="24" cm="1">
        <f t="array" ref="AR130">$G$3+IFERROR(VLOOKUP($AM130,$F$4:$G$7,2,FALSE),0)+VLOOKUP($R130,武学奇术!$A:$ZZ,2,FALSE)+SUM(_xlfn.XLOOKUP($S130:$AL130,增益!$A:$A,增益!$B:$B,0))</f>
        <v>0.1842</v>
      </c>
      <c r="AS130" s="24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4195.0125</v>
      </c>
      <c r="AU130" cm="1">
        <f t="array" ref="AU130">$E$10*(1+$AS130)+VLOOKUP($R130,武学奇术!$A:$ZZ,4,FALSE)+SUM(_xlfn.XLOOKUP($S130:$AL130,增益!$A:$A,增益!$D:$D,0))-$I$2</f>
        <v>4195.0125</v>
      </c>
      <c r="AV130" s="33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0.2789</v>
      </c>
      <c r="AW130" s="33" cm="1">
        <f t="array" ref="AW130">$G$10+VLOOKUP($R130,武学奇术!$A:$ZZ,7,FALSE)+SUM(_xlfn.XLOOKUP($S130:$AL130,增益!$A:$A,增益!$G:$G,0))</f>
        <v>0.045</v>
      </c>
      <c r="AX130" s="24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3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3" cm="1">
        <f t="array" ref="BB130">$G$11+VLOOKUP($R130,武学奇术!$A:$ZZ,10,FALSE)+SUM(_xlfn.XLOOKUP($S130:$AL130,增益!$A:$A,增益!$J:$J,0))</f>
        <v>0.02</v>
      </c>
      <c r="BC130">
        <f t="shared" si="36"/>
        <v>0</v>
      </c>
      <c r="BD130">
        <f t="shared" si="37"/>
        <v>0</v>
      </c>
      <c r="BE130" s="33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3" cm="1">
        <f t="array" ref="BF130">$G$12+VLOOKUP($R130,武学奇术!$A:$ZZ,12,FALSE)+SUM(_xlfn.XLOOKUP($S130:$AL130,增益!$A:$A,增益!$L:$L,0))</f>
        <v>0.02</v>
      </c>
      <c r="BG130">
        <f t="shared" si="38"/>
        <v>618.2</v>
      </c>
      <c r="BH130">
        <f t="shared" si="39"/>
        <v>1567.4</v>
      </c>
      <c r="BI130" s="33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0.08</v>
      </c>
      <c r="BJ130" s="33" cm="1">
        <f t="array" ref="BJ130">$G$13+VLOOKUP($R130,武学奇术!$A:$ZZ,14,FALSE)+SUM(_xlfn.XLOOKUP($S130:$AL130,增益!$A:$A,增益!$N:$N,0))</f>
        <v>0.17</v>
      </c>
      <c r="BK130">
        <f t="shared" si="40"/>
        <v>0</v>
      </c>
      <c r="BL130">
        <f t="shared" si="41"/>
        <v>0</v>
      </c>
      <c r="BM130" s="33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-0.14</v>
      </c>
      <c r="BN130" s="33" cm="1">
        <f t="array" ref="BN130">$G$14+VLOOKUP($R130,武学奇术!$A:$ZZ,16,FALSE)+SUM(_xlfn.XLOOKUP($S130:$AL130,增益!$A:$A,增益!$P:$P,0))</f>
        <v>0.02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4" cm="1">
        <f t="array" ref="BQ130">1+$B$13+VLOOKUP($R130,武学奇术!$A:$ZZ,18,FALSE)+SUM(_xlfn.XLOOKUP($S130:$AL130,增益!$A:$A,增益!$R:$R,0))</f>
        <v>1.6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2"/>
        <v>0.8865</v>
      </c>
      <c r="BU130" s="24">
        <f t="shared" si="43"/>
        <v>0.0222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0.06</v>
      </c>
      <c r="BX130" s="24" cm="1">
        <f t="array" ref="BX130">VLOOKUP($R130,武学奇术!$A:$ZZ,32,FALSE)+SUM(_xlfn.XLOOKUP($S130:$AL130,增益!$A:$A,增益!$X:$X,0))</f>
        <v>0</v>
      </c>
    </row>
    <row r="131" spans="11:76">
      <c r="K131" s="39">
        <f>$L131*VLOOKUP($R131,武学奇术!$A:$ZY,31,FALSE)</f>
        <v>0</v>
      </c>
      <c r="L131" s="39">
        <f t="shared" si="33"/>
        <v>0</v>
      </c>
      <c r="M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39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39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29">
        <f t="shared" si="47"/>
        <v>0</v>
      </c>
      <c r="R131" s="40" t="s">
        <v>192</v>
      </c>
      <c r="S131" s="40" t="s">
        <v>91</v>
      </c>
      <c r="T131" s="40" t="s">
        <v>172</v>
      </c>
      <c r="U131" s="40" t="s">
        <v>80</v>
      </c>
      <c r="V131" s="40" t="s">
        <v>81</v>
      </c>
      <c r="W131" s="40" t="s">
        <v>80</v>
      </c>
      <c r="X131" s="40" t="s">
        <v>80</v>
      </c>
      <c r="Y131" s="40" t="s">
        <v>80</v>
      </c>
      <c r="Z131" s="40" t="s">
        <v>80</v>
      </c>
      <c r="AA131" s="40" t="s">
        <v>80</v>
      </c>
      <c r="AB131" s="40" t="s">
        <v>80</v>
      </c>
      <c r="AC131" s="40" t="s">
        <v>80</v>
      </c>
      <c r="AD131" s="40" t="s">
        <v>80</v>
      </c>
      <c r="AE131" s="40" t="s">
        <v>80</v>
      </c>
      <c r="AF131" s="40" t="s">
        <v>80</v>
      </c>
      <c r="AG131" s="40" t="s">
        <v>80</v>
      </c>
      <c r="AH131" s="40" t="s">
        <v>80</v>
      </c>
      <c r="AI131" s="40" t="s">
        <v>80</v>
      </c>
      <c r="AJ131" s="40" t="s">
        <v>80</v>
      </c>
      <c r="AK131" s="40" t="s">
        <v>83</v>
      </c>
      <c r="AL131" s="40" t="s">
        <v>80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VLOOKUP($R131,武学奇术!$A:$ZZ,27,FALSE)*(1+IF(OR($AM131=$F$4,$AM131=$F$5),$B$21,0))</f>
        <v>0</v>
      </c>
      <c r="AP131" s="24">
        <f>VLOOKUP($R131,武学奇术!$A:$ZZ,28,FALSE)</f>
        <v>1</v>
      </c>
      <c r="AQ131" s="25">
        <f>VLOOKUP($R131,武学奇术!$A:$ZZ,29,FALSE)*(1+IF(OR($AM131=$F$4,$AM131=$F$5),$B$21,0))</f>
        <v>0</v>
      </c>
      <c r="AR131" s="24" cm="1">
        <f t="array" ref="AR131">$G$3+IFERROR(VLOOKUP($AM131,$F$4:$G$7,2,FALSE),0)+VLOOKUP($R131,武学奇术!$A:$ZZ,2,FALSE)+SUM(_xlfn.XLOOKUP($S131:$AL131,增益!$A:$A,增益!$B:$B,0))</f>
        <v>0.1842</v>
      </c>
      <c r="AS131" s="24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4195.0125</v>
      </c>
      <c r="AU131" cm="1">
        <f t="array" ref="AU131">$E$10*(1+$AS131)+VLOOKUP($R131,武学奇术!$A:$ZZ,4,FALSE)+SUM(_xlfn.XLOOKUP($S131:$AL131,增益!$A:$A,增益!$D:$D,0))-$I$2</f>
        <v>4195.0125</v>
      </c>
      <c r="AV131" s="33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0.2789</v>
      </c>
      <c r="AW131" s="33" cm="1">
        <f t="array" ref="AW131">$G$10+VLOOKUP($R131,武学奇术!$A:$ZZ,7,FALSE)+SUM(_xlfn.XLOOKUP($S131:$AL131,增益!$A:$A,增益!$G:$G,0))</f>
        <v>0.045</v>
      </c>
      <c r="AX131" s="24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3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3" cm="1">
        <f t="array" ref="BB131">$G$11+VLOOKUP($R131,武学奇术!$A:$ZZ,10,FALSE)+SUM(_xlfn.XLOOKUP($S131:$AL131,增益!$A:$A,增益!$J:$J,0))</f>
        <v>0.02</v>
      </c>
      <c r="BC131">
        <f t="shared" si="36"/>
        <v>0</v>
      </c>
      <c r="BD131">
        <f t="shared" si="37"/>
        <v>0</v>
      </c>
      <c r="BE131" s="33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3" cm="1">
        <f t="array" ref="BF131">$G$12+VLOOKUP($R131,武学奇术!$A:$ZZ,12,FALSE)+SUM(_xlfn.XLOOKUP($S131:$AL131,增益!$A:$A,增益!$L:$L,0))</f>
        <v>0.02</v>
      </c>
      <c r="BG131">
        <f t="shared" si="38"/>
        <v>618.2</v>
      </c>
      <c r="BH131">
        <f t="shared" si="39"/>
        <v>1567.4</v>
      </c>
      <c r="BI131" s="33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3" cm="1">
        <f t="array" ref="BJ131">$G$13+VLOOKUP($R131,武学奇术!$A:$ZZ,14,FALSE)+SUM(_xlfn.XLOOKUP($S131:$AL131,增益!$A:$A,增益!$N:$N,0))</f>
        <v>0.17</v>
      </c>
      <c r="BK131">
        <f t="shared" si="40"/>
        <v>0</v>
      </c>
      <c r="BL131">
        <f t="shared" si="41"/>
        <v>0</v>
      </c>
      <c r="BM131" s="33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3" cm="1">
        <f t="array" ref="BN131">$G$14+VLOOKUP($R131,武学奇术!$A:$ZZ,16,FALSE)+SUM(_xlfn.XLOOKUP($S131:$AL131,增益!$A:$A,增益!$P:$P,0))</f>
        <v>0.02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4" cm="1">
        <f t="array" ref="BQ131">1+$B$13+VLOOKUP($R131,武学奇术!$A:$ZZ,18,FALSE)+SUM(_xlfn.XLOOKUP($S131:$AL131,增益!$A:$A,增益!$R:$R,0))</f>
        <v>1.6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2"/>
        <v>0.8865</v>
      </c>
      <c r="BU131" s="24">
        <f t="shared" si="43"/>
        <v>0.0222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0.06</v>
      </c>
      <c r="BX131" s="24" cm="1">
        <f t="array" ref="BX131">VLOOKUP($R131,武学奇术!$A:$ZZ,32,FALSE)+SUM(_xlfn.XLOOKUP($S131:$AL131,增益!$A:$A,增益!$X:$X,0))</f>
        <v>0</v>
      </c>
    </row>
    <row r="132" spans="11:76">
      <c r="K132" s="39">
        <f>$L132*VLOOKUP($R132,武学奇术!$A:$ZY,31,FALSE)</f>
        <v>0</v>
      </c>
      <c r="L132" s="39">
        <f t="shared" si="33"/>
        <v>0</v>
      </c>
      <c r="M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39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39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29">
        <f t="shared" si="47"/>
        <v>0</v>
      </c>
      <c r="R132" s="40" t="s">
        <v>192</v>
      </c>
      <c r="S132" s="40" t="s">
        <v>91</v>
      </c>
      <c r="T132" s="40" t="s">
        <v>172</v>
      </c>
      <c r="U132" s="40" t="s">
        <v>80</v>
      </c>
      <c r="V132" s="40" t="s">
        <v>166</v>
      </c>
      <c r="W132" s="40" t="s">
        <v>80</v>
      </c>
      <c r="X132" s="40" t="s">
        <v>80</v>
      </c>
      <c r="Y132" s="40" t="s">
        <v>80</v>
      </c>
      <c r="Z132" s="40" t="s">
        <v>80</v>
      </c>
      <c r="AA132" s="40" t="s">
        <v>80</v>
      </c>
      <c r="AB132" s="40" t="s">
        <v>80</v>
      </c>
      <c r="AC132" s="40" t="s">
        <v>82</v>
      </c>
      <c r="AD132" s="40" t="s">
        <v>80</v>
      </c>
      <c r="AE132" s="40" t="s">
        <v>80</v>
      </c>
      <c r="AF132" s="40" t="s">
        <v>80</v>
      </c>
      <c r="AG132" s="40" t="s">
        <v>80</v>
      </c>
      <c r="AH132" s="40" t="s">
        <v>80</v>
      </c>
      <c r="AI132" s="40" t="s">
        <v>80</v>
      </c>
      <c r="AJ132" s="40" t="s">
        <v>80</v>
      </c>
      <c r="AK132" s="40" t="s">
        <v>83</v>
      </c>
      <c r="AL132" s="40" t="s">
        <v>80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VLOOKUP($R132,武学奇术!$A:$ZZ,27,FALSE)*(1+IF(OR($AM132=$F$4,$AM132=$F$5),$B$21,0))</f>
        <v>0</v>
      </c>
      <c r="AP132" s="24">
        <f>VLOOKUP($R132,武学奇术!$A:$ZZ,28,FALSE)</f>
        <v>1</v>
      </c>
      <c r="AQ132" s="25">
        <f>VLOOKUP($R132,武学奇术!$A:$ZZ,29,FALSE)*(1+IF(OR($AM132=$F$4,$AM132=$F$5),$B$21,0))</f>
        <v>0</v>
      </c>
      <c r="AR132" s="24" cm="1">
        <f t="array" ref="AR132">$G$3+IFERROR(VLOOKUP($AM132,$F$4:$G$7,2,FALSE),0)+VLOOKUP($R132,武学奇术!$A:$ZZ,2,FALSE)+SUM(_xlfn.XLOOKUP($S132:$AL132,增益!$A:$A,增益!$B:$B,0))</f>
        <v>0.1842</v>
      </c>
      <c r="AS132" s="24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4530.825</v>
      </c>
      <c r="AU132" cm="1">
        <f t="array" ref="AU132">$E$10*(1+$AS132)+VLOOKUP($R132,武学奇术!$A:$ZZ,4,FALSE)+SUM(_xlfn.XLOOKUP($S132:$AL132,增益!$A:$A,增益!$D:$D,0))-$I$2</f>
        <v>4530.825</v>
      </c>
      <c r="AV132" s="33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0.2789</v>
      </c>
      <c r="AW132" s="33" cm="1">
        <f t="array" ref="AW132">$G$10+VLOOKUP($R132,武学奇术!$A:$ZZ,7,FALSE)+SUM(_xlfn.XLOOKUP($S132:$AL132,增益!$A:$A,增益!$G:$G,0))</f>
        <v>0.045</v>
      </c>
      <c r="AX132" s="24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3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3" cm="1">
        <f t="array" ref="BB132">$G$11+VLOOKUP($R132,武学奇术!$A:$ZZ,10,FALSE)+SUM(_xlfn.XLOOKUP($S132:$AL132,增益!$A:$A,增益!$J:$J,0))</f>
        <v>0.02</v>
      </c>
      <c r="BC132">
        <f t="shared" si="36"/>
        <v>0</v>
      </c>
      <c r="BD132">
        <f t="shared" si="37"/>
        <v>0</v>
      </c>
      <c r="BE132" s="33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3" cm="1">
        <f t="array" ref="BF132">$G$12+VLOOKUP($R132,武学奇术!$A:$ZZ,12,FALSE)+SUM(_xlfn.XLOOKUP($S132:$AL132,增益!$A:$A,增益!$L:$L,0))</f>
        <v>0.02</v>
      </c>
      <c r="BG132">
        <f t="shared" si="38"/>
        <v>618.2</v>
      </c>
      <c r="BH132">
        <f t="shared" si="39"/>
        <v>1567.4</v>
      </c>
      <c r="BI132" s="33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0.08</v>
      </c>
      <c r="BJ132" s="33" cm="1">
        <f t="array" ref="BJ132">$G$13+VLOOKUP($R132,武学奇术!$A:$ZZ,14,FALSE)+SUM(_xlfn.XLOOKUP($S132:$AL132,增益!$A:$A,增益!$N:$N,0))</f>
        <v>0.17</v>
      </c>
      <c r="BK132">
        <f t="shared" si="40"/>
        <v>0</v>
      </c>
      <c r="BL132">
        <f t="shared" si="41"/>
        <v>0</v>
      </c>
      <c r="BM132" s="33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-0.14</v>
      </c>
      <c r="BN132" s="33" cm="1">
        <f t="array" ref="BN132">$G$14+VLOOKUP($R132,武学奇术!$A:$ZZ,16,FALSE)+SUM(_xlfn.XLOOKUP($S132:$AL132,增益!$A:$A,增益!$P:$P,0))</f>
        <v>0.02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4" cm="1">
        <f t="array" ref="BQ132">1+$B$13+VLOOKUP($R132,武学奇术!$A:$ZZ,18,FALSE)+SUM(_xlfn.XLOOKUP($S132:$AL132,增益!$A:$A,增益!$R:$R,0))</f>
        <v>1.6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2"/>
        <v>0.8865</v>
      </c>
      <c r="BU132" s="24">
        <f t="shared" si="43"/>
        <v>0.0222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0.06</v>
      </c>
      <c r="BX132" s="24" cm="1">
        <f t="array" ref="BX132">VLOOKUP($R132,武学奇术!$A:$ZZ,32,FALSE)+SUM(_xlfn.XLOOKUP($S132:$AL132,增益!$A:$A,增益!$X:$X,0))</f>
        <v>0</v>
      </c>
    </row>
    <row r="133" spans="11:76">
      <c r="K133" s="39">
        <f>$L133*VLOOKUP($R133,武学奇术!$A:$ZY,31,FALSE)</f>
        <v>0</v>
      </c>
      <c r="L133" s="39">
        <f t="shared" si="33"/>
        <v>0</v>
      </c>
      <c r="M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39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39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29">
        <f t="shared" si="47"/>
        <v>0</v>
      </c>
      <c r="R133" s="40" t="s">
        <v>192</v>
      </c>
      <c r="S133" s="40" t="s">
        <v>91</v>
      </c>
      <c r="T133" s="40" t="s">
        <v>172</v>
      </c>
      <c r="U133" s="40" t="s">
        <v>80</v>
      </c>
      <c r="V133" s="40" t="s">
        <v>166</v>
      </c>
      <c r="W133" s="40" t="s">
        <v>80</v>
      </c>
      <c r="X133" s="40" t="s">
        <v>80</v>
      </c>
      <c r="Y133" s="40" t="s">
        <v>109</v>
      </c>
      <c r="Z133" s="40" t="s">
        <v>110</v>
      </c>
      <c r="AA133" s="40" t="s">
        <v>80</v>
      </c>
      <c r="AB133" s="40" t="s">
        <v>80</v>
      </c>
      <c r="AC133" s="40" t="s">
        <v>80</v>
      </c>
      <c r="AD133" s="40" t="s">
        <v>80</v>
      </c>
      <c r="AE133" s="40" t="s">
        <v>80</v>
      </c>
      <c r="AF133" s="40" t="s">
        <v>80</v>
      </c>
      <c r="AG133" s="40" t="s">
        <v>80</v>
      </c>
      <c r="AH133" s="40" t="s">
        <v>80</v>
      </c>
      <c r="AI133" s="40" t="s">
        <v>80</v>
      </c>
      <c r="AJ133" s="40" t="s">
        <v>80</v>
      </c>
      <c r="AK133" s="40" t="s">
        <v>83</v>
      </c>
      <c r="AL133" s="40" t="s">
        <v>80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VLOOKUP($R133,武学奇术!$A:$ZZ,27,FALSE)*(1+IF(OR($AM133=$F$4,$AM133=$F$5),$B$21,0))</f>
        <v>0</v>
      </c>
      <c r="AP133" s="24">
        <f>VLOOKUP($R133,武学奇术!$A:$ZZ,28,FALSE)</f>
        <v>1</v>
      </c>
      <c r="AQ133" s="25">
        <f>VLOOKUP($R133,武学奇术!$A:$ZZ,29,FALSE)*(1+IF(OR($AM133=$F$4,$AM133=$F$5),$B$21,0))</f>
        <v>0</v>
      </c>
      <c r="AR133" s="24" cm="1">
        <f t="array" ref="AR133">$G$3+IFERROR(VLOOKUP($AM133,$F$4:$G$7,2,FALSE),0)+VLOOKUP($R133,武学奇术!$A:$ZZ,2,FALSE)+SUM(_xlfn.XLOOKUP($S133:$AL133,增益!$A:$A,增益!$B:$B,0))</f>
        <v>0.3342</v>
      </c>
      <c r="AS133" s="24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4530.825</v>
      </c>
      <c r="AU133" cm="1">
        <f t="array" ref="AU133">$E$10*(1+$AS133)+VLOOKUP($R133,武学奇术!$A:$ZZ,4,FALSE)+SUM(_xlfn.XLOOKUP($S133:$AL133,增益!$A:$A,增益!$D:$D,0))-$I$2</f>
        <v>4530.825</v>
      </c>
      <c r="AV133" s="33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0.4039</v>
      </c>
      <c r="AW133" s="33" cm="1">
        <f t="array" ref="AW133">$G$10+VLOOKUP($R133,武学奇术!$A:$ZZ,7,FALSE)+SUM(_xlfn.XLOOKUP($S133:$AL133,增益!$A:$A,增益!$G:$G,0))</f>
        <v>0.045</v>
      </c>
      <c r="AX133" s="24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3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3" cm="1">
        <f t="array" ref="BB133">$G$11+VLOOKUP($R133,武学奇术!$A:$ZZ,10,FALSE)+SUM(_xlfn.XLOOKUP($S133:$AL133,增益!$A:$A,增益!$J:$J,0))</f>
        <v>0.02</v>
      </c>
      <c r="BC133">
        <f t="shared" si="36"/>
        <v>0</v>
      </c>
      <c r="BD133">
        <f t="shared" si="37"/>
        <v>0</v>
      </c>
      <c r="BE133" s="33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3" cm="1">
        <f t="array" ref="BF133">$G$12+VLOOKUP($R133,武学奇术!$A:$ZZ,12,FALSE)+SUM(_xlfn.XLOOKUP($S133:$AL133,增益!$A:$A,增益!$L:$L,0))</f>
        <v>0.02</v>
      </c>
      <c r="BG133">
        <f t="shared" si="38"/>
        <v>618.2</v>
      </c>
      <c r="BH133">
        <f t="shared" si="39"/>
        <v>1567.4</v>
      </c>
      <c r="BI133" s="33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3" cm="1">
        <f t="array" ref="BJ133">$G$13+VLOOKUP($R133,武学奇术!$A:$ZZ,14,FALSE)+SUM(_xlfn.XLOOKUP($S133:$AL133,增益!$A:$A,增益!$N:$N,0))</f>
        <v>0.17</v>
      </c>
      <c r="BK133">
        <f t="shared" si="40"/>
        <v>0</v>
      </c>
      <c r="BL133">
        <f t="shared" si="41"/>
        <v>0</v>
      </c>
      <c r="BM133" s="33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3" cm="1">
        <f t="array" ref="BN133">$G$14+VLOOKUP($R133,武学奇术!$A:$ZZ,16,FALSE)+SUM(_xlfn.XLOOKUP($S133:$AL133,增益!$A:$A,增益!$P:$P,0))</f>
        <v>0.02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4" cm="1">
        <f t="array" ref="BQ133">1+$B$13+VLOOKUP($R133,武学奇术!$A:$ZZ,18,FALSE)+SUM(_xlfn.XLOOKUP($S133:$AL133,增益!$A:$A,增益!$R:$R,0))</f>
        <v>1.85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2"/>
        <v>0.8865</v>
      </c>
      <c r="BU133" s="24">
        <f t="shared" si="43"/>
        <v>0.0222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0.06</v>
      </c>
      <c r="BX133" s="24" cm="1">
        <f t="array" ref="BX133">VLOOKUP($R133,武学奇术!$A:$ZZ,32,FALSE)+SUM(_xlfn.XLOOKUP($S133:$AL133,增益!$A:$A,增益!$X:$X,0))</f>
        <v>0</v>
      </c>
    </row>
    <row r="134" spans="11:76">
      <c r="K134" s="39">
        <f>$L134*VLOOKUP($R134,武学奇术!$A:$ZY,31,FALSE)</f>
        <v>0</v>
      </c>
      <c r="L134" s="39">
        <f t="shared" si="33"/>
        <v>0</v>
      </c>
      <c r="M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39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39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29">
        <f t="shared" si="47"/>
        <v>0</v>
      </c>
      <c r="R134" s="40" t="s">
        <v>192</v>
      </c>
      <c r="S134" s="40" t="s">
        <v>91</v>
      </c>
      <c r="T134" s="40" t="s">
        <v>172</v>
      </c>
      <c r="U134" s="40" t="s">
        <v>80</v>
      </c>
      <c r="V134" s="40" t="s">
        <v>166</v>
      </c>
      <c r="W134" s="40" t="s">
        <v>80</v>
      </c>
      <c r="X134" s="40" t="s">
        <v>80</v>
      </c>
      <c r="Y134" s="40" t="s">
        <v>109</v>
      </c>
      <c r="Z134" s="40" t="s">
        <v>80</v>
      </c>
      <c r="AA134" s="40" t="s">
        <v>175</v>
      </c>
      <c r="AB134" s="40" t="s">
        <v>176</v>
      </c>
      <c r="AC134" s="40" t="s">
        <v>82</v>
      </c>
      <c r="AD134" s="40" t="s">
        <v>80</v>
      </c>
      <c r="AE134" s="40" t="s">
        <v>80</v>
      </c>
      <c r="AF134" s="40" t="s">
        <v>80</v>
      </c>
      <c r="AG134" s="40" t="s">
        <v>80</v>
      </c>
      <c r="AH134" s="40" t="s">
        <v>80</v>
      </c>
      <c r="AI134" s="40" t="s">
        <v>80</v>
      </c>
      <c r="AJ134" s="40" t="s">
        <v>80</v>
      </c>
      <c r="AK134" s="40" t="s">
        <v>83</v>
      </c>
      <c r="AL134" s="40" t="s">
        <v>80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VLOOKUP($R134,武学奇术!$A:$ZZ,27,FALSE)*(1+IF(OR($AM134=$F$4,$AM134=$F$5),$B$21,0))</f>
        <v>0</v>
      </c>
      <c r="AP134" s="24">
        <f>VLOOKUP($R134,武学奇术!$A:$ZZ,28,FALSE)</f>
        <v>1</v>
      </c>
      <c r="AQ134" s="25">
        <f>VLOOKUP($R134,武学奇术!$A:$ZZ,29,FALSE)*(1+IF(OR($AM134=$F$4,$AM134=$F$5),$B$21,0))</f>
        <v>0</v>
      </c>
      <c r="AR134" s="24" cm="1">
        <f t="array" ref="AR134">$G$3+IFERROR(VLOOKUP($AM134,$F$4:$G$7,2,FALSE),0)+VLOOKUP($R134,武学奇术!$A:$ZZ,2,FALSE)+SUM(_xlfn.XLOOKUP($S134:$AL134,增益!$A:$A,增益!$B:$B,0))</f>
        <v>0.1842</v>
      </c>
      <c r="AS134" s="24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4530.825</v>
      </c>
      <c r="AU134" cm="1">
        <f t="array" ref="AU134">$E$10*(1+$AS134)+VLOOKUP($R134,武学奇术!$A:$ZZ,4,FALSE)+SUM(_xlfn.XLOOKUP($S134:$AL134,增益!$A:$A,增益!$D:$D,0))-$I$2</f>
        <v>4530.825</v>
      </c>
      <c r="AV134" s="33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0.4039</v>
      </c>
      <c r="AW134" s="33" cm="1">
        <f t="array" ref="AW134">$G$10+VLOOKUP($R134,武学奇术!$A:$ZZ,7,FALSE)+SUM(_xlfn.XLOOKUP($S134:$AL134,增益!$A:$A,增益!$G:$G,0))</f>
        <v>0.045</v>
      </c>
      <c r="AX134" s="24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3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3" cm="1">
        <f t="array" ref="BB134">$G$11+VLOOKUP($R134,武学奇术!$A:$ZZ,10,FALSE)+SUM(_xlfn.XLOOKUP($S134:$AL134,增益!$A:$A,增益!$J:$J,0))</f>
        <v>0.12</v>
      </c>
      <c r="BC134">
        <f t="shared" si="36"/>
        <v>0</v>
      </c>
      <c r="BD134">
        <f t="shared" si="37"/>
        <v>0</v>
      </c>
      <c r="BE134" s="33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3" cm="1">
        <f t="array" ref="BF134">$G$12+VLOOKUP($R134,武学奇术!$A:$ZZ,12,FALSE)+SUM(_xlfn.XLOOKUP($S134:$AL134,增益!$A:$A,增益!$L:$L,0))</f>
        <v>0.02</v>
      </c>
      <c r="BG134">
        <f t="shared" si="38"/>
        <v>618.2</v>
      </c>
      <c r="BH134">
        <f t="shared" si="39"/>
        <v>1567.4</v>
      </c>
      <c r="BI134" s="33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0.08</v>
      </c>
      <c r="BJ134" s="33" cm="1">
        <f t="array" ref="BJ134">$G$13+VLOOKUP($R134,武学奇术!$A:$ZZ,14,FALSE)+SUM(_xlfn.XLOOKUP($S134:$AL134,增益!$A:$A,增益!$N:$N,0))</f>
        <v>0.17</v>
      </c>
      <c r="BK134">
        <f t="shared" si="40"/>
        <v>0</v>
      </c>
      <c r="BL134">
        <f t="shared" si="41"/>
        <v>0</v>
      </c>
      <c r="BM134" s="33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-0.14</v>
      </c>
      <c r="BN134" s="33" cm="1">
        <f t="array" ref="BN134">$G$14+VLOOKUP($R134,武学奇术!$A:$ZZ,16,FALSE)+SUM(_xlfn.XLOOKUP($S134:$AL134,增益!$A:$A,增益!$P:$P,0))</f>
        <v>0.02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4" cm="1">
        <f t="array" ref="BQ134">1+$B$13+VLOOKUP($R134,武学奇术!$A:$ZZ,18,FALSE)+SUM(_xlfn.XLOOKUP($S134:$AL134,增益!$A:$A,增益!$R:$R,0))</f>
        <v>1.85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2"/>
        <v>0.8865</v>
      </c>
      <c r="BU134" s="24">
        <f t="shared" si="43"/>
        <v>0.0222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0.26</v>
      </c>
      <c r="BX134" s="24" cm="1">
        <f t="array" ref="BX134">VLOOKUP($R134,武学奇术!$A:$ZZ,32,FALSE)+SUM(_xlfn.XLOOKUP($S134:$AL134,增益!$A:$A,增益!$X:$X,0))</f>
        <v>0</v>
      </c>
    </row>
    <row r="135" spans="11:76">
      <c r="K135" s="39">
        <f>$L135*VLOOKUP($R135,武学奇术!$A:$ZY,31,FALSE)</f>
        <v>0</v>
      </c>
      <c r="L135" s="39">
        <f t="shared" si="33"/>
        <v>0</v>
      </c>
      <c r="M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39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39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29">
        <v>1</v>
      </c>
      <c r="R135" s="40" t="s">
        <v>80</v>
      </c>
      <c r="S135" s="40" t="s">
        <v>80</v>
      </c>
      <c r="T135" s="40" t="s">
        <v>80</v>
      </c>
      <c r="U135" s="40" t="s">
        <v>80</v>
      </c>
      <c r="V135" s="40" t="s">
        <v>80</v>
      </c>
      <c r="W135" s="40" t="s">
        <v>80</v>
      </c>
      <c r="X135" s="40" t="s">
        <v>80</v>
      </c>
      <c r="Y135" s="40" t="s">
        <v>80</v>
      </c>
      <c r="Z135" s="40" t="s">
        <v>80</v>
      </c>
      <c r="AA135" s="40" t="s">
        <v>80</v>
      </c>
      <c r="AB135" s="40" t="s">
        <v>80</v>
      </c>
      <c r="AC135" s="40" t="s">
        <v>80</v>
      </c>
      <c r="AD135" s="40" t="s">
        <v>80</v>
      </c>
      <c r="AE135" s="40" t="s">
        <v>80</v>
      </c>
      <c r="AF135" s="40" t="s">
        <v>80</v>
      </c>
      <c r="AG135" s="40" t="s">
        <v>80</v>
      </c>
      <c r="AH135" s="40" t="s">
        <v>80</v>
      </c>
      <c r="AI135" s="40" t="s">
        <v>80</v>
      </c>
      <c r="AJ135" s="40" t="s">
        <v>80</v>
      </c>
      <c r="AK135" s="40" t="s">
        <v>83</v>
      </c>
      <c r="AL135" s="40" t="s">
        <v>80</v>
      </c>
      <c r="AM135" t="str">
        <f>VLOOKUP($R135,武学奇术!$A:$ZZ,25,FALSE)</f>
        <v>心法</v>
      </c>
      <c r="AN135" s="24">
        <f>VLOOKUP($R135,武学奇术!$A:$ZZ,26,FALSE)</f>
        <v>0</v>
      </c>
      <c r="AO135" s="25">
        <f>VLOOKUP($R135,武学奇术!$A:$ZZ,27,FALSE)*(1+IF(OR($AM135=$F$4,$AM135=$F$5),$B$21,0))</f>
        <v>0</v>
      </c>
      <c r="AP135" s="24">
        <f>VLOOKUP($R135,武学奇术!$A:$ZZ,28,FALSE)</f>
        <v>0</v>
      </c>
      <c r="AQ135" s="25">
        <f>VLOOKUP($R135,武学奇术!$A:$ZZ,29,FALSE)*(1+IF(OR($AM135=$F$4,$AM135=$F$5),$B$21,0))</f>
        <v>0</v>
      </c>
      <c r="AR135" s="24" cm="1">
        <f t="array" ref="AR135">$G$3+IFERROR(VLOOKUP($AM135,$F$4:$G$7,2,FALSE),0)+VLOOKUP($R135,武学奇术!$A:$ZZ,2,FALSE)+SUM(_xlfn.XLOOKUP($S135:$AL135,增益!$A:$A,增益!$B:$B,0))</f>
        <v>0.1842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3859.2</v>
      </c>
      <c r="AU135" cm="1">
        <f t="array" ref="AU135">$E$10*(1+$AS135)+VLOOKUP($R135,武学奇术!$A:$ZZ,4,FALSE)+SUM(_xlfn.XLOOKUP($S135:$AL135,增益!$A:$A,增益!$D:$D,0))-$I$2</f>
        <v>3859.2</v>
      </c>
      <c r="AV135" s="33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0.2789</v>
      </c>
      <c r="AW135" s="33" cm="1">
        <f t="array" ref="AW135">$G$10+VLOOKUP($R135,武学奇术!$A:$ZZ,7,FALSE)+SUM(_xlfn.XLOOKUP($S135:$AL135,增益!$A:$A,增益!$G:$G,0))</f>
        <v>0.045</v>
      </c>
      <c r="AX135" s="24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3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3" cm="1">
        <f t="array" ref="BB135">$G$11+VLOOKUP($R135,武学奇术!$A:$ZZ,10,FALSE)+SUM(_xlfn.XLOOKUP($S135:$AL135,增益!$A:$A,增益!$J:$J,0))</f>
        <v>0.02</v>
      </c>
      <c r="BC135">
        <f t="shared" si="36"/>
        <v>0</v>
      </c>
      <c r="BD135">
        <f t="shared" si="37"/>
        <v>0</v>
      </c>
      <c r="BE135" s="33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3" cm="1">
        <f t="array" ref="BF135">$G$12+VLOOKUP($R135,武学奇术!$A:$ZZ,12,FALSE)+SUM(_xlfn.XLOOKUP($S135:$AL135,增益!$A:$A,增益!$L:$L,0))</f>
        <v>0.02</v>
      </c>
      <c r="BG135">
        <f t="shared" si="38"/>
        <v>618.2</v>
      </c>
      <c r="BH135">
        <f t="shared" si="39"/>
        <v>1567.4</v>
      </c>
      <c r="BI135" s="33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3" cm="1">
        <f t="array" ref="BJ135">$G$13+VLOOKUP($R135,武学奇术!$A:$ZZ,14,FALSE)+SUM(_xlfn.XLOOKUP($S135:$AL135,增益!$A:$A,增益!$N:$N,0))</f>
        <v>0.17</v>
      </c>
      <c r="BK135">
        <f t="shared" si="40"/>
        <v>0</v>
      </c>
      <c r="BL135">
        <f t="shared" si="41"/>
        <v>0</v>
      </c>
      <c r="BM135" s="33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3" cm="1">
        <f t="array" ref="BN135">$G$14+VLOOKUP($R135,武学奇术!$A:$ZZ,16,FALSE)+SUM(_xlfn.XLOOKUP($S135:$AL135,增益!$A:$A,增益!$P:$P,0))</f>
        <v>0.02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4" cm="1">
        <f t="array" ref="BQ135">1+$B$13+VLOOKUP($R135,武学奇术!$A:$ZZ,18,FALSE)+SUM(_xlfn.XLOOKUP($S135:$AL135,增益!$A:$A,增益!$R:$R,0))</f>
        <v>1.5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2"/>
        <v>0.8865</v>
      </c>
      <c r="BU135" s="24">
        <f t="shared" si="43"/>
        <v>0.0222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0.06</v>
      </c>
      <c r="BX135" s="24" cm="1">
        <f t="array" ref="BX135">VLOOKUP($R135,武学奇术!$A:$ZZ,32,FALSE)+SUM(_xlfn.XLOOKUP($S135:$AL135,增益!$A:$A,增益!$X:$X,0))</f>
        <v>0</v>
      </c>
    </row>
    <row r="136" spans="11:76">
      <c r="K136" s="39">
        <f>$L136*VLOOKUP($R136,武学奇术!$A:$ZY,31,FALSE)</f>
        <v>0</v>
      </c>
      <c r="L136" s="39">
        <f t="shared" si="33"/>
        <v>0</v>
      </c>
      <c r="M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39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39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29">
        <v>1</v>
      </c>
      <c r="R136" s="40" t="s">
        <v>80</v>
      </c>
      <c r="S136" s="40" t="s">
        <v>80</v>
      </c>
      <c r="T136" s="40" t="s">
        <v>80</v>
      </c>
      <c r="U136" s="40" t="s">
        <v>80</v>
      </c>
      <c r="V136" s="40" t="s">
        <v>80</v>
      </c>
      <c r="W136" s="40" t="s">
        <v>80</v>
      </c>
      <c r="X136" s="40" t="s">
        <v>80</v>
      </c>
      <c r="Y136" s="40" t="s">
        <v>80</v>
      </c>
      <c r="Z136" s="40" t="s">
        <v>80</v>
      </c>
      <c r="AA136" s="40" t="s">
        <v>80</v>
      </c>
      <c r="AB136" s="40" t="s">
        <v>80</v>
      </c>
      <c r="AC136" s="40" t="s">
        <v>80</v>
      </c>
      <c r="AD136" s="40" t="s">
        <v>80</v>
      </c>
      <c r="AE136" s="40" t="s">
        <v>80</v>
      </c>
      <c r="AF136" s="40" t="s">
        <v>80</v>
      </c>
      <c r="AG136" s="40" t="s">
        <v>80</v>
      </c>
      <c r="AH136" s="40" t="s">
        <v>80</v>
      </c>
      <c r="AI136" s="40" t="s">
        <v>80</v>
      </c>
      <c r="AJ136" s="40" t="s">
        <v>80</v>
      </c>
      <c r="AK136" s="40" t="s">
        <v>83</v>
      </c>
      <c r="AL136" s="40" t="s">
        <v>80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VLOOKUP($R136,武学奇术!$A:$ZZ,27,FALSE)*(1+IF(OR($AM136=$F$4,$AM136=$F$5),$B$21,0))</f>
        <v>0</v>
      </c>
      <c r="AP136" s="24">
        <f>VLOOKUP($R136,武学奇术!$A:$ZZ,28,FALSE)</f>
        <v>0</v>
      </c>
      <c r="AQ136" s="25">
        <f>VLOOKUP($R136,武学奇术!$A:$ZZ,29,FALSE)*(1+IF(OR($AM136=$F$4,$AM136=$F$5),$B$21,0))</f>
        <v>0</v>
      </c>
      <c r="AR136" s="24" cm="1">
        <f t="array" ref="AR136">$G$3+IFERROR(VLOOKUP($AM136,$F$4:$G$7,2,FALSE),0)+VLOOKUP($R136,武学奇术!$A:$ZZ,2,FALSE)+SUM(_xlfn.XLOOKUP($S136:$AL136,增益!$A:$A,增益!$B:$B,0))</f>
        <v>0.1842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3859.2</v>
      </c>
      <c r="AU136" cm="1">
        <f t="array" ref="AU136">$E$10*(1+$AS136)+VLOOKUP($R136,武学奇术!$A:$ZZ,4,FALSE)+SUM(_xlfn.XLOOKUP($S136:$AL136,增益!$A:$A,增益!$D:$D,0))-$I$2</f>
        <v>3859.2</v>
      </c>
      <c r="AV136" s="33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0.2789</v>
      </c>
      <c r="AW136" s="33" cm="1">
        <f t="array" ref="AW136">$G$10+VLOOKUP($R136,武学奇术!$A:$ZZ,7,FALSE)+SUM(_xlfn.XLOOKUP($S136:$AL136,增益!$A:$A,增益!$G:$G,0))</f>
        <v>0.045</v>
      </c>
      <c r="AX136" s="24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3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3" cm="1">
        <f t="array" ref="BB136">$G$11+VLOOKUP($R136,武学奇术!$A:$ZZ,10,FALSE)+SUM(_xlfn.XLOOKUP($S136:$AL136,增益!$A:$A,增益!$J:$J,0))</f>
        <v>0.02</v>
      </c>
      <c r="BC136">
        <f t="shared" si="36"/>
        <v>0</v>
      </c>
      <c r="BD136">
        <f t="shared" si="37"/>
        <v>0</v>
      </c>
      <c r="BE136" s="33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3" cm="1">
        <f t="array" ref="BF136">$G$12+VLOOKUP($R136,武学奇术!$A:$ZZ,12,FALSE)+SUM(_xlfn.XLOOKUP($S136:$AL136,增益!$A:$A,增益!$L:$L,0))</f>
        <v>0.02</v>
      </c>
      <c r="BG136">
        <f t="shared" si="38"/>
        <v>618.2</v>
      </c>
      <c r="BH136">
        <f t="shared" si="39"/>
        <v>1567.4</v>
      </c>
      <c r="BI136" s="33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3" cm="1">
        <f t="array" ref="BJ136">$G$13+VLOOKUP($R136,武学奇术!$A:$ZZ,14,FALSE)+SUM(_xlfn.XLOOKUP($S136:$AL136,增益!$A:$A,增益!$N:$N,0))</f>
        <v>0.17</v>
      </c>
      <c r="BK136">
        <f t="shared" si="40"/>
        <v>0</v>
      </c>
      <c r="BL136">
        <f t="shared" si="41"/>
        <v>0</v>
      </c>
      <c r="BM136" s="33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3" cm="1">
        <f t="array" ref="BN136">$G$14+VLOOKUP($R136,武学奇术!$A:$ZZ,16,FALSE)+SUM(_xlfn.XLOOKUP($S136:$AL136,增益!$A:$A,增益!$P:$P,0))</f>
        <v>0.02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4" cm="1">
        <f t="array" ref="BQ136">1+$B$13+VLOOKUP($R136,武学奇术!$A:$ZZ,18,FALSE)+SUM(_xlfn.XLOOKUP($S136:$AL136,增益!$A:$A,增益!$R:$R,0))</f>
        <v>1.5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2"/>
        <v>0.8865</v>
      </c>
      <c r="BU136" s="24">
        <f t="shared" si="43"/>
        <v>0.0222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0.06</v>
      </c>
      <c r="BX136" s="24" cm="1">
        <f t="array" ref="BX136">VLOOKUP($R136,武学奇术!$A:$ZZ,32,FALSE)+SUM(_xlfn.XLOOKUP($S136:$AL136,增益!$A:$A,增益!$X:$X,0))</f>
        <v>0</v>
      </c>
    </row>
  </sheetData>
  <mergeCells count="35">
    <mergeCell ref="H1:I1"/>
    <mergeCell ref="C8:G8"/>
    <mergeCell ref="C15:D15"/>
    <mergeCell ref="E21:F21"/>
    <mergeCell ref="E22:F22"/>
    <mergeCell ref="E23:F23"/>
    <mergeCell ref="E24:F24"/>
    <mergeCell ref="A22:A23"/>
    <mergeCell ref="C58:C63"/>
    <mergeCell ref="C106:C112"/>
    <mergeCell ref="D32:D36"/>
    <mergeCell ref="D47:D51"/>
    <mergeCell ref="D64:D71"/>
    <mergeCell ref="D81:D94"/>
    <mergeCell ref="D100:D103"/>
    <mergeCell ref="E32:E53"/>
    <mergeCell ref="E56:E60"/>
    <mergeCell ref="E100:E109"/>
    <mergeCell ref="F33:F45"/>
    <mergeCell ref="F52:F62"/>
    <mergeCell ref="F68:F80"/>
    <mergeCell ref="F87:F101"/>
    <mergeCell ref="F108:F11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"春雷篇,易水歌,征人归"</formula1>
    </dataValidation>
    <dataValidation type="list" allowBlank="1" showInputMessage="1" showErrorMessage="1" sqref="E24:F24">
      <formula1>"龙卷,奇术"</formula1>
    </dataValidation>
    <dataValidation type="list" allowBlank="1" showInputMessage="1" showErrorMessage="1" sqref="D16:D23 F15:F17 F19:F20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AI109" sqref="AI109"/>
    </sheetView>
  </sheetViews>
  <sheetFormatPr defaultColWidth="9" defaultRowHeight="13.5"/>
  <cols>
    <col min="1" max="1" width="12.875" customWidth="1"/>
    <col min="4" max="4" width="9.375"/>
    <col min="11" max="11" width="12.625" customWidth="1"/>
    <col min="12" max="16" width="12.625" style="25" customWidth="1"/>
    <col min="18" max="18" width="24.625" style="32" customWidth="1"/>
    <col min="19" max="33" width="9" style="32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3"/>
    <col min="48" max="49" width="9" style="33"/>
    <col min="62" max="66" width="9" style="24"/>
    <col min="67" max="68" width="9.00833333333333" style="24" customWidth="1"/>
    <col min="69" max="70" width="9" style="24"/>
  </cols>
  <sheetData>
    <row r="1" spans="1:76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39" t="s">
        <v>12</v>
      </c>
      <c r="Q1" s="2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3" t="s">
        <v>44</v>
      </c>
      <c r="AW1" s="33" t="s">
        <v>45</v>
      </c>
      <c r="AX1" s="33" t="s">
        <v>46</v>
      </c>
      <c r="AY1" t="s">
        <v>47</v>
      </c>
      <c r="AZ1" t="s">
        <v>48</v>
      </c>
      <c r="BA1" s="33" t="s">
        <v>49</v>
      </c>
      <c r="BB1" s="33" t="s">
        <v>50</v>
      </c>
      <c r="BC1" t="s">
        <v>51</v>
      </c>
      <c r="BD1" t="s">
        <v>52</v>
      </c>
      <c r="BE1" s="33" t="s">
        <v>53</v>
      </c>
      <c r="BF1" s="33" t="s">
        <v>54</v>
      </c>
      <c r="BG1" t="s">
        <v>55</v>
      </c>
      <c r="BH1" t="s">
        <v>56</v>
      </c>
      <c r="BI1" s="33" t="s">
        <v>57</v>
      </c>
      <c r="BJ1" s="33" t="s">
        <v>58</v>
      </c>
      <c r="BK1" t="s">
        <v>59</v>
      </c>
      <c r="BL1" t="s">
        <v>60</v>
      </c>
      <c r="BM1" s="33" t="s">
        <v>61</v>
      </c>
      <c r="BN1" s="33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41" t="s">
        <v>72</v>
      </c>
    </row>
    <row r="2" spans="1:76">
      <c r="A2" s="42" t="s">
        <v>73</v>
      </c>
      <c r="B2" s="32"/>
      <c r="C2" s="32"/>
      <c r="D2" s="32"/>
      <c r="E2" s="43"/>
      <c r="F2" s="44" t="s">
        <v>74</v>
      </c>
      <c r="G2" s="45" t="str">
        <f>期望!G2</f>
        <v>烟柳</v>
      </c>
      <c r="H2" s="46" t="s">
        <v>76</v>
      </c>
      <c r="I2" s="11">
        <f>687*(1-IF(F17="√",0.06,0)-IF(D20="√",0.04,0))</f>
        <v>687</v>
      </c>
      <c r="K2" s="39">
        <f>$L2*VLOOKUP($R2,武学奇术!$A:$ZY,31,FALSE)</f>
        <v>39276.6202055207</v>
      </c>
      <c r="L2" s="39">
        <f t="shared" ref="L2:L65" si="0">($M2*$BT2+$N2*$BR2+$O2*$BU2+$P2*$BV2)</f>
        <v>37406.3049576388</v>
      </c>
      <c r="M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37729.2483464232</v>
      </c>
      <c r="N2" s="39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37330.5662397104</v>
      </c>
      <c r="O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24821.8739121205</v>
      </c>
      <c r="P2" s="39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21991.4765355667</v>
      </c>
      <c r="Q2" s="29">
        <v>1</v>
      </c>
      <c r="R2" s="40" t="s">
        <v>77</v>
      </c>
      <c r="S2" s="40" t="s">
        <v>78</v>
      </c>
      <c r="T2" s="40" t="s">
        <v>79</v>
      </c>
      <c r="U2" s="40" t="s">
        <v>80</v>
      </c>
      <c r="V2" s="40" t="s">
        <v>81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80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s="40" t="s">
        <v>80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VLOOKUP($R2,武学奇术!$A:$ZZ,27,FALSE)*(1+IF(OR($AM2=$F$4,$AM2=$F$5),$B$21,0))</f>
        <v>476</v>
      </c>
      <c r="AP2" s="24">
        <f>VLOOKUP($R2,武学奇术!$A:$ZZ,28,FALSE)</f>
        <v>3.5661</v>
      </c>
      <c r="AQ2" s="25">
        <f>VLOOKUP($R2,武学奇术!$A:$ZZ,29,FALSE)*(1+IF(OR($AM2=$F$4,$AM2=$F$5),$B$21,0))</f>
        <v>0</v>
      </c>
      <c r="AR2" s="24" cm="1">
        <f t="array" ref="AR2">$G$3+IFERROR(VLOOKUP($AM2,$F$4:$G$7,2,FALSE),0)+VLOOKUP($R2,武学奇术!$A:$ZZ,2,FALSE)+SUM(_xlfn.XLOOKUP($S2:$AL2,增益!$A:$A,增益!$B:$B,0))</f>
        <v>0.3719</v>
      </c>
      <c r="AS2" s="24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4126.3125</v>
      </c>
      <c r="AU2" cm="1">
        <f t="array" ref="AU2">$E$10*(1+$AS2)+VLOOKUP($R2,武学奇术!$A:$ZZ,4,FALSE)+SUM(_xlfn.XLOOKUP($S2:$AL2,增益!$A:$A,增益!$D:$D,0))-$I$2</f>
        <v>4126.3125</v>
      </c>
      <c r="AV2" s="33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0.1939</v>
      </c>
      <c r="AW2" s="33" cm="1">
        <f t="array" ref="AW2">$G$10+VLOOKUP($R2,武学奇术!$A:$ZZ,7,FALSE)+SUM(_xlfn.XLOOKUP($S2:$AL2,增益!$A:$A,增益!$G:$G,0))</f>
        <v>0.025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3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3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3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3" cm="1">
        <f t="array" ref="BF2">$G$12+VLOOKUP($R2,武学奇术!$A:$ZZ,12,FALSE)+SUM(_xlfn.XLOOKUP($S2:$AL2,增益!$A:$A,增益!$L:$L,0))</f>
        <v>0</v>
      </c>
      <c r="BG2">
        <f t="shared" ref="BG2:BG65" si="5">$D$13*(1+$AX2)</f>
        <v>618.2</v>
      </c>
      <c r="BH2">
        <f t="shared" ref="BH2:BH65" si="6">$E$13*(1+$AX2)</f>
        <v>1567.4</v>
      </c>
      <c r="BI2" s="33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3" cm="1">
        <f t="array" ref="BJ2">$G$13+VLOOKUP($R2,武学奇术!$A:$ZZ,14,FALSE)+SUM(_xlfn.XLOOKUP($S2:$AL2,增益!$A:$A,增益!$N:$N,0))</f>
        <v>0.15</v>
      </c>
      <c r="BK2">
        <f t="shared" ref="BK2:BK65" si="7">$D$14*(1+$AX2)</f>
        <v>0</v>
      </c>
      <c r="BL2">
        <f t="shared" ref="BL2:BL65" si="8">$E$14*(1+$AX2)</f>
        <v>0</v>
      </c>
      <c r="BM2" s="33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3" cm="1">
        <f t="array" ref="BN2">$G$14+VLOOKUP($R2,武学奇术!$A:$ZZ,16,FALSE)+SUM(_xlfn.XLOOKUP($S2:$AL2,增益!$A:$A,增益!$P:$P,0))</f>
        <v>0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4" cm="1">
        <f t="array" ref="BQ2">1+$B$13+VLOOKUP($R2,武学奇术!$A:$ZZ,18,FALSE)+SUM(_xlfn.XLOOKUP($S2:$AL2,增益!$A:$A,增益!$R:$R,0))</f>
        <v>1.52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0.8865</v>
      </c>
      <c r="BU2" s="24">
        <f t="shared" ref="BU2:BU65" si="10">1-BR2-BT2-BV2</f>
        <v>0.0222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0.06</v>
      </c>
      <c r="BX2" s="24" cm="1">
        <f t="array" ref="BX2">VLOOKUP($R2,武学奇术!$A:$ZZ,32,FALSE)+SUM(_xlfn.XLOOKUP($S2:$AL2,增益!$A:$A,增益!$X:$X,0))</f>
        <v>0</v>
      </c>
    </row>
    <row r="3" spans="1:76">
      <c r="A3" s="47" t="s">
        <v>84</v>
      </c>
      <c r="B3" s="48"/>
      <c r="C3" s="48"/>
      <c r="D3" s="48"/>
      <c r="E3" s="49"/>
      <c r="F3" s="46" t="s">
        <v>40</v>
      </c>
      <c r="G3" s="50">
        <f>B16+1.5%+IF($D$16="√",8%,0)+IF($E$22="征人归",8%,0)</f>
        <v>0.1042</v>
      </c>
      <c r="H3" s="46" t="s">
        <v>85</v>
      </c>
      <c r="I3" s="11">
        <f>25-IF(D17="√",7,0)-IF(F17="√",10,0)</f>
        <v>25</v>
      </c>
      <c r="K3" s="39">
        <f>$L3*VLOOKUP($R3,武学奇术!$A:$ZY,31,FALSE)</f>
        <v>39507.6684133632</v>
      </c>
      <c r="L3" s="39">
        <f t="shared" si="0"/>
        <v>37626.3508698697</v>
      </c>
      <c r="M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37977.4670855444</v>
      </c>
      <c r="N3" s="39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37330.5662397104</v>
      </c>
      <c r="O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24821.8739121205</v>
      </c>
      <c r="P3" s="39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21991.4765355667</v>
      </c>
      <c r="Q3" s="29">
        <v>1</v>
      </c>
      <c r="R3" s="40" t="s">
        <v>77</v>
      </c>
      <c r="S3" s="40" t="s">
        <v>86</v>
      </c>
      <c r="T3" s="40" t="s">
        <v>87</v>
      </c>
      <c r="U3" s="40" t="s">
        <v>80</v>
      </c>
      <c r="V3" s="40" t="s">
        <v>81</v>
      </c>
      <c r="W3" s="40" t="s">
        <v>80</v>
      </c>
      <c r="X3" s="40" t="s">
        <v>80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80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s="40" t="s">
        <v>80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VLOOKUP($R3,武学奇术!$A:$ZZ,27,FALSE)*(1+IF(OR($AM3=$F$4,$AM3=$F$5),$B$21,0))</f>
        <v>476</v>
      </c>
      <c r="AP3" s="24">
        <f>VLOOKUP($R3,武学奇术!$A:$ZZ,28,FALSE)</f>
        <v>3.5661</v>
      </c>
      <c r="AQ3" s="25">
        <f>VLOOKUP($R3,武学奇术!$A:$ZZ,29,FALSE)*(1+IF(OR($AM3=$F$4,$AM3=$F$5),$B$21,0))</f>
        <v>0</v>
      </c>
      <c r="AR3" s="24" cm="1">
        <f t="array" ref="AR3">$G$3+IFERROR(VLOOKUP($AM3,$F$4:$G$7,2,FALSE),0)+VLOOKUP($R3,武学奇术!$A:$ZZ,2,FALSE)+SUM(_xlfn.XLOOKUP($S3:$AL3,增益!$A:$A,增益!$B:$B,0))</f>
        <v>0.3719</v>
      </c>
      <c r="AS3" s="24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4126.3125</v>
      </c>
      <c r="AU3" cm="1">
        <f t="array" ref="AU3">$E$10*(1+$AS3)+VLOOKUP($R3,武学奇术!$A:$ZZ,4,FALSE)+SUM(_xlfn.XLOOKUP($S3:$AL3,增益!$A:$A,增益!$D:$D,0))-$I$2</f>
        <v>4126.3125</v>
      </c>
      <c r="AV3" s="33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0.1939</v>
      </c>
      <c r="AW3" s="33" cm="1">
        <f t="array" ref="AW3">$G$10+VLOOKUP($R3,武学奇术!$A:$ZZ,7,FALSE)+SUM(_xlfn.XLOOKUP($S3:$AL3,增益!$A:$A,增益!$G:$G,0))</f>
        <v>0.025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3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3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3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3" cm="1">
        <f t="array" ref="BF3">$G$12+VLOOKUP($R3,武学奇术!$A:$ZZ,12,FALSE)+SUM(_xlfn.XLOOKUP($S3:$AL3,增益!$A:$A,增益!$L:$L,0))</f>
        <v>0</v>
      </c>
      <c r="BG3">
        <f t="shared" si="5"/>
        <v>618.2</v>
      </c>
      <c r="BH3">
        <f t="shared" si="6"/>
        <v>1567.4</v>
      </c>
      <c r="BI3" s="33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3" cm="1">
        <f t="array" ref="BJ3">$G$13+VLOOKUP($R3,武学奇术!$A:$ZZ,14,FALSE)+SUM(_xlfn.XLOOKUP($S3:$AL3,增益!$A:$A,增益!$N:$N,0))</f>
        <v>0.15</v>
      </c>
      <c r="BK3">
        <f t="shared" si="7"/>
        <v>0</v>
      </c>
      <c r="BL3">
        <f t="shared" si="8"/>
        <v>0</v>
      </c>
      <c r="BM3" s="33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3" cm="1">
        <f t="array" ref="BN3">$G$14+VLOOKUP($R3,武学奇术!$A:$ZZ,16,FALSE)+SUM(_xlfn.XLOOKUP($S3:$AL3,增益!$A:$A,增益!$P:$P,0))</f>
        <v>0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4" cm="1">
        <f t="array" ref="BQ3">1+$B$13+VLOOKUP($R3,武学奇术!$A:$ZZ,18,FALSE)+SUM(_xlfn.XLOOKUP($S3:$AL3,增益!$A:$A,增益!$R:$R,0))</f>
        <v>1.53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0.8865</v>
      </c>
      <c r="BU3" s="24">
        <f t="shared" si="10"/>
        <v>0.0222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0.06</v>
      </c>
      <c r="BX3" s="24" cm="1">
        <f t="array" ref="BX3">VLOOKUP($R3,武学奇术!$A:$ZZ,32,FALSE)+SUM(_xlfn.XLOOKUP($S3:$AL3,增益!$A:$A,增益!$X:$X,0))</f>
        <v>0</v>
      </c>
    </row>
    <row r="4" ht="14.25" spans="1:76">
      <c r="A4" s="51" t="s">
        <v>88</v>
      </c>
      <c r="B4" s="52"/>
      <c r="C4" s="52"/>
      <c r="D4" s="52"/>
      <c r="E4" s="53"/>
      <c r="F4" s="46" t="s">
        <v>89</v>
      </c>
      <c r="G4" s="50">
        <f>B15+B17</f>
        <v>0.1701</v>
      </c>
      <c r="H4" s="54" t="s">
        <v>90</v>
      </c>
      <c r="I4" s="15">
        <f>30</f>
        <v>30</v>
      </c>
      <c r="K4" s="39">
        <f>$L4*VLOOKUP($R4,武学奇术!$A:$ZY,31,FALSE)</f>
        <v>39507.6684133632</v>
      </c>
      <c r="L4" s="39">
        <f t="shared" si="0"/>
        <v>37626.3508698697</v>
      </c>
      <c r="M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37977.4670855444</v>
      </c>
      <c r="N4" s="39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37330.5662397104</v>
      </c>
      <c r="O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24821.8739121205</v>
      </c>
      <c r="P4" s="39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21991.4765355667</v>
      </c>
      <c r="Q4" s="29">
        <v>1</v>
      </c>
      <c r="R4" s="40" t="s">
        <v>77</v>
      </c>
      <c r="S4" s="40" t="s">
        <v>91</v>
      </c>
      <c r="T4" s="40" t="s">
        <v>87</v>
      </c>
      <c r="U4" s="40" t="s">
        <v>80</v>
      </c>
      <c r="V4" s="40" t="s">
        <v>81</v>
      </c>
      <c r="W4" s="40" t="s">
        <v>80</v>
      </c>
      <c r="X4" s="40" t="s">
        <v>80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80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s="40" t="s">
        <v>80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VLOOKUP($R4,武学奇术!$A:$ZZ,27,FALSE)*(1+IF(OR($AM4=$F$4,$AM4=$F$5),$B$21,0))</f>
        <v>476</v>
      </c>
      <c r="AP4" s="24">
        <f>VLOOKUP($R4,武学奇术!$A:$ZZ,28,FALSE)</f>
        <v>3.5661</v>
      </c>
      <c r="AQ4" s="25">
        <f>VLOOKUP($R4,武学奇术!$A:$ZZ,29,FALSE)*(1+IF(OR($AM4=$F$4,$AM4=$F$5),$B$21,0))</f>
        <v>0</v>
      </c>
      <c r="AR4" s="24" cm="1">
        <f t="array" ref="AR4">$G$3+IFERROR(VLOOKUP($AM4,$F$4:$G$7,2,FALSE),0)+VLOOKUP($R4,武学奇术!$A:$ZZ,2,FALSE)+SUM(_xlfn.XLOOKUP($S4:$AL4,增益!$A:$A,增益!$B:$B,0))</f>
        <v>0.3719</v>
      </c>
      <c r="AS4" s="24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4126.3125</v>
      </c>
      <c r="AU4" cm="1">
        <f t="array" ref="AU4">$E$10*(1+$AS4)+VLOOKUP($R4,武学奇术!$A:$ZZ,4,FALSE)+SUM(_xlfn.XLOOKUP($S4:$AL4,增益!$A:$A,增益!$D:$D,0))-$I$2</f>
        <v>4126.3125</v>
      </c>
      <c r="AV4" s="33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0.1939</v>
      </c>
      <c r="AW4" s="33" cm="1">
        <f t="array" ref="AW4">$G$10+VLOOKUP($R4,武学奇术!$A:$ZZ,7,FALSE)+SUM(_xlfn.XLOOKUP($S4:$AL4,增益!$A:$A,增益!$G:$G,0))</f>
        <v>0.025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3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3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3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3" cm="1">
        <f t="array" ref="BF4">$G$12+VLOOKUP($R4,武学奇术!$A:$ZZ,12,FALSE)+SUM(_xlfn.XLOOKUP($S4:$AL4,增益!$A:$A,增益!$L:$L,0))</f>
        <v>0</v>
      </c>
      <c r="BG4">
        <f t="shared" si="5"/>
        <v>618.2</v>
      </c>
      <c r="BH4">
        <f t="shared" si="6"/>
        <v>1567.4</v>
      </c>
      <c r="BI4" s="33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3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3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3" cm="1">
        <f t="array" ref="BN4">$G$14+VLOOKUP($R4,武学奇术!$A:$ZZ,16,FALSE)+SUM(_xlfn.XLOOKUP($S4:$AL4,增益!$A:$A,增益!$P:$P,0))</f>
        <v>0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4" cm="1">
        <f t="array" ref="BQ4">1+$B$13+VLOOKUP($R4,武学奇术!$A:$ZZ,18,FALSE)+SUM(_xlfn.XLOOKUP($S4:$AL4,增益!$A:$A,增益!$R:$R,0))</f>
        <v>1.53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0.8865</v>
      </c>
      <c r="BU4" s="24">
        <f t="shared" si="10"/>
        <v>0.0222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0.06</v>
      </c>
      <c r="BX4" s="24" cm="1">
        <f t="array" ref="BX4">VLOOKUP($R4,武学奇术!$A:$ZZ,32,FALSE)+SUM(_xlfn.XLOOKUP($S4:$AL4,增益!$A:$A,增益!$X:$X,0))</f>
        <v>0</v>
      </c>
    </row>
    <row r="5" spans="1:76">
      <c r="A5" s="55" t="s">
        <v>5</v>
      </c>
      <c r="B5" s="56"/>
      <c r="C5" s="56"/>
      <c r="D5" s="56"/>
      <c r="E5" s="57"/>
      <c r="F5" s="46" t="s">
        <v>92</v>
      </c>
      <c r="G5" s="50">
        <f>B15+B18</f>
        <v>0.1701</v>
      </c>
      <c r="H5" t="s">
        <v>93</v>
      </c>
      <c r="I5" s="27">
        <v>0.06</v>
      </c>
      <c r="K5" s="39">
        <f>$L5*VLOOKUP($R5,武学奇术!$A:$ZY,31,FALSE)</f>
        <v>39738.7166212057</v>
      </c>
      <c r="L5" s="39">
        <f t="shared" si="0"/>
        <v>37846.3967821007</v>
      </c>
      <c r="M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38225.6858246656</v>
      </c>
      <c r="N5" s="39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37330.5662397104</v>
      </c>
      <c r="O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24821.8739121205</v>
      </c>
      <c r="P5" s="39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21991.4765355667</v>
      </c>
      <c r="Q5" s="29">
        <v>1</v>
      </c>
      <c r="R5" s="40" t="s">
        <v>77</v>
      </c>
      <c r="S5" s="40" t="s">
        <v>91</v>
      </c>
      <c r="T5" s="40" t="s">
        <v>94</v>
      </c>
      <c r="U5" s="40" t="s">
        <v>80</v>
      </c>
      <c r="V5" s="40" t="s">
        <v>81</v>
      </c>
      <c r="W5" s="40" t="s">
        <v>80</v>
      </c>
      <c r="X5" s="40" t="s">
        <v>80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80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s="40" t="s">
        <v>80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VLOOKUP($R5,武学奇术!$A:$ZZ,27,FALSE)*(1+IF(OR($AM5=$F$4,$AM5=$F$5),$B$21,0))</f>
        <v>476</v>
      </c>
      <c r="AP5" s="24">
        <f>VLOOKUP($R5,武学奇术!$A:$ZZ,28,FALSE)</f>
        <v>3.5661</v>
      </c>
      <c r="AQ5" s="25">
        <f>VLOOKUP($R5,武学奇术!$A:$ZZ,29,FALSE)*(1+IF(OR($AM5=$F$4,$AM5=$F$5),$B$21,0))</f>
        <v>0</v>
      </c>
      <c r="AR5" s="24" cm="1">
        <f t="array" ref="AR5">$G$3+IFERROR(VLOOKUP($AM5,$F$4:$G$7,2,FALSE),0)+VLOOKUP($R5,武学奇术!$A:$ZZ,2,FALSE)+SUM(_xlfn.XLOOKUP($S5:$AL5,增益!$A:$A,增益!$B:$B,0))</f>
        <v>0.3719</v>
      </c>
      <c r="AS5" s="24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4126.3125</v>
      </c>
      <c r="AU5" cm="1">
        <f t="array" ref="AU5">$E$10*(1+$AS5)+VLOOKUP($R5,武学奇术!$A:$ZZ,4,FALSE)+SUM(_xlfn.XLOOKUP($S5:$AL5,增益!$A:$A,增益!$D:$D,0))-$I$2</f>
        <v>4126.3125</v>
      </c>
      <c r="AV5" s="33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0.1939</v>
      </c>
      <c r="AW5" s="33" cm="1">
        <f t="array" ref="AW5">$G$10+VLOOKUP($R5,武学奇术!$A:$ZZ,7,FALSE)+SUM(_xlfn.XLOOKUP($S5:$AL5,增益!$A:$A,增益!$G:$G,0))</f>
        <v>0.025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3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3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3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3" cm="1">
        <f t="array" ref="BF5">$G$12+VLOOKUP($R5,武学奇术!$A:$ZZ,12,FALSE)+SUM(_xlfn.XLOOKUP($S5:$AL5,增益!$A:$A,增益!$L:$L,0))</f>
        <v>0</v>
      </c>
      <c r="BG5">
        <f t="shared" si="5"/>
        <v>618.2</v>
      </c>
      <c r="BH5">
        <f t="shared" si="6"/>
        <v>1567.4</v>
      </c>
      <c r="BI5" s="33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3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3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3" cm="1">
        <f t="array" ref="BN5">$G$14+VLOOKUP($R5,武学奇术!$A:$ZZ,16,FALSE)+SUM(_xlfn.XLOOKUP($S5:$AL5,增益!$A:$A,增益!$P:$P,0))</f>
        <v>0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4" cm="1">
        <f t="array" ref="BQ5">1+$B$13+VLOOKUP($R5,武学奇术!$A:$ZZ,18,FALSE)+SUM(_xlfn.XLOOKUP($S5:$AL5,增益!$A:$A,增益!$R:$R,0))</f>
        <v>1.54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0.8865</v>
      </c>
      <c r="BU5" s="24">
        <f t="shared" si="10"/>
        <v>0.0222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0.06</v>
      </c>
      <c r="BX5" s="24" cm="1">
        <f t="array" ref="BX5">VLOOKUP($R5,武学奇术!$A:$ZZ,32,FALSE)+SUM(_xlfn.XLOOKUP($S5:$AL5,增益!$A:$A,增益!$X:$X,0))</f>
        <v>0</v>
      </c>
    </row>
    <row r="6" spans="1:76">
      <c r="A6" s="58" t="s">
        <v>95</v>
      </c>
      <c r="B6" s="59"/>
      <c r="C6" s="59"/>
      <c r="D6" s="59"/>
      <c r="E6" s="60"/>
      <c r="F6" s="46" t="s">
        <v>96</v>
      </c>
      <c r="G6" s="50">
        <f>B19</f>
        <v>0.2677</v>
      </c>
      <c r="K6" s="39">
        <f>$L6*VLOOKUP($R6,武学奇术!$A:$ZY,31,FALSE)</f>
        <v>39738.7166212057</v>
      </c>
      <c r="L6" s="39">
        <f t="shared" si="0"/>
        <v>37846.3967821007</v>
      </c>
      <c r="M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38225.6858246656</v>
      </c>
      <c r="N6" s="39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37330.5662397104</v>
      </c>
      <c r="O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24821.8739121205</v>
      </c>
      <c r="P6" s="39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21991.4765355667</v>
      </c>
      <c r="Q6" s="29">
        <v>1</v>
      </c>
      <c r="R6" s="40" t="s">
        <v>77</v>
      </c>
      <c r="S6" s="40" t="s">
        <v>91</v>
      </c>
      <c r="T6" s="40" t="s">
        <v>94</v>
      </c>
      <c r="U6" s="40" t="s">
        <v>80</v>
      </c>
      <c r="V6" s="40" t="s">
        <v>81</v>
      </c>
      <c r="W6" s="40" t="s">
        <v>80</v>
      </c>
      <c r="X6" s="40" t="s">
        <v>80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80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s="40" t="s">
        <v>80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VLOOKUP($R6,武学奇术!$A:$ZZ,27,FALSE)*(1+IF(OR($AM6=$F$4,$AM6=$F$5),$B$21,0))</f>
        <v>476</v>
      </c>
      <c r="AP6" s="24">
        <f>VLOOKUP($R6,武学奇术!$A:$ZZ,28,FALSE)</f>
        <v>3.5661</v>
      </c>
      <c r="AQ6" s="25">
        <f>VLOOKUP($R6,武学奇术!$A:$ZZ,29,FALSE)*(1+IF(OR($AM6=$F$4,$AM6=$F$5),$B$21,0))</f>
        <v>0</v>
      </c>
      <c r="AR6" s="24" cm="1">
        <f t="array" ref="AR6">$G$3+IFERROR(VLOOKUP($AM6,$F$4:$G$7,2,FALSE),0)+VLOOKUP($R6,武学奇术!$A:$ZZ,2,FALSE)+SUM(_xlfn.XLOOKUP($S6:$AL6,增益!$A:$A,增益!$B:$B,0))</f>
        <v>0.3719</v>
      </c>
      <c r="AS6" s="24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4126.3125</v>
      </c>
      <c r="AU6" cm="1">
        <f t="array" ref="AU6">$E$10*(1+$AS6)+VLOOKUP($R6,武学奇术!$A:$ZZ,4,FALSE)+SUM(_xlfn.XLOOKUP($S6:$AL6,增益!$A:$A,增益!$D:$D,0))-$I$2</f>
        <v>4126.3125</v>
      </c>
      <c r="AV6" s="33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0.1939</v>
      </c>
      <c r="AW6" s="33" cm="1">
        <f t="array" ref="AW6">$G$10+VLOOKUP($R6,武学奇术!$A:$ZZ,7,FALSE)+SUM(_xlfn.XLOOKUP($S6:$AL6,增益!$A:$A,增益!$G:$G,0))</f>
        <v>0.025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3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3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3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3" cm="1">
        <f t="array" ref="BF6">$G$12+VLOOKUP($R6,武学奇术!$A:$ZZ,12,FALSE)+SUM(_xlfn.XLOOKUP($S6:$AL6,增益!$A:$A,增益!$L:$L,0))</f>
        <v>0</v>
      </c>
      <c r="BG6">
        <f t="shared" si="5"/>
        <v>618.2</v>
      </c>
      <c r="BH6">
        <f t="shared" si="6"/>
        <v>1567.4</v>
      </c>
      <c r="BI6" s="33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3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3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3" cm="1">
        <f t="array" ref="BN6">$G$14+VLOOKUP($R6,武学奇术!$A:$ZZ,16,FALSE)+SUM(_xlfn.XLOOKUP($S6:$AL6,增益!$A:$A,增益!$P:$P,0))</f>
        <v>0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4" cm="1">
        <f t="array" ref="BQ6">1+$B$13+VLOOKUP($R6,武学奇术!$A:$ZZ,18,FALSE)+SUM(_xlfn.XLOOKUP($S6:$AL6,增益!$A:$A,增益!$R:$R,0))</f>
        <v>1.54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0.8865</v>
      </c>
      <c r="BU6" s="24">
        <f t="shared" si="10"/>
        <v>0.0222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0.06</v>
      </c>
      <c r="BX6" s="24" cm="1">
        <f t="array" ref="BX6">VLOOKUP($R6,武学奇术!$A:$ZZ,32,FALSE)+SUM(_xlfn.XLOOKUP($S6:$AL6,增益!$A:$A,增益!$X:$X,0))</f>
        <v>0</v>
      </c>
    </row>
    <row r="7" ht="14.25" spans="1:76">
      <c r="A7" s="42" t="s">
        <v>97</v>
      </c>
      <c r="B7" s="61"/>
      <c r="C7" s="62"/>
      <c r="D7" s="63"/>
      <c r="E7" s="64"/>
      <c r="F7" s="54" t="s">
        <v>98</v>
      </c>
      <c r="G7" s="65">
        <f>B19</f>
        <v>0.2677</v>
      </c>
      <c r="K7" s="39">
        <f>$L7*VLOOKUP($R7,武学奇术!$A:$ZY,31,FALSE)</f>
        <v>73640.3983068265</v>
      </c>
      <c r="L7" s="39">
        <f t="shared" si="0"/>
        <v>70133.7126731681</v>
      </c>
      <c r="M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72162.7795522419</v>
      </c>
      <c r="N7" s="39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58051.5981235015</v>
      </c>
      <c r="O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38797.1933076569</v>
      </c>
      <c r="P7" s="39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34593.2028201276</v>
      </c>
      <c r="Q7" s="29">
        <v>1</v>
      </c>
      <c r="R7" s="40" t="s">
        <v>99</v>
      </c>
      <c r="S7" s="40" t="s">
        <v>80</v>
      </c>
      <c r="T7" s="40" t="s">
        <v>80</v>
      </c>
      <c r="U7" s="40" t="s">
        <v>80</v>
      </c>
      <c r="V7" s="40" t="s">
        <v>80</v>
      </c>
      <c r="W7" s="40" t="s">
        <v>100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80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s="40" t="s">
        <v>80</v>
      </c>
      <c r="AM7" t="str">
        <f>VLOOKUP($R7,武学奇术!$A:$ZZ,25,FALSE)</f>
        <v>伞</v>
      </c>
      <c r="AN7" s="24">
        <f>VLOOKUP($R7,武学奇术!$A:$ZZ,26,FALSE)</f>
        <v>2.3397</v>
      </c>
      <c r="AO7" s="25">
        <f>VLOOKUP($R7,武学奇术!$A:$ZZ,27,FALSE)*(1+IF(OR($AM7=$F$4,$AM7=$F$5),$B$21,0))</f>
        <v>1036.8</v>
      </c>
      <c r="AP7" s="24">
        <f>VLOOKUP($R7,武学奇术!$A:$ZZ,28,FALSE)</f>
        <v>3.5095</v>
      </c>
      <c r="AQ7" s="25">
        <f>VLOOKUP($R7,武学奇术!$A:$ZZ,29,FALSE)*(1+IF(OR($AM7=$F$4,$AM7=$F$5),$B$21,0))</f>
        <v>564.8</v>
      </c>
      <c r="AR7" s="24" cm="1">
        <f t="array" ref="AR7">$G$3+IFERROR(VLOOKUP($AM7,$F$4:$G$7,2,FALSE),0)+VLOOKUP($R7,武学奇术!$A:$ZZ,2,FALSE)+SUM(_xlfn.XLOOKUP($S7:$AL7,增益!$A:$A,增益!$B:$B,0))</f>
        <v>0.5743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3790.5</v>
      </c>
      <c r="AU7" cm="1">
        <f t="array" ref="AU7">$E$10*(1+$AS7)+VLOOKUP($R7,武学奇术!$A:$ZZ,4,FALSE)+SUM(_xlfn.XLOOKUP($S7:$AL7,增益!$A:$A,增益!$D:$D,0))-$I$2</f>
        <v>3790.5</v>
      </c>
      <c r="AV7" s="33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0.3189</v>
      </c>
      <c r="AW7" s="33" cm="1">
        <f t="array" ref="AW7">$G$10+VLOOKUP($R7,武学奇术!$A:$ZZ,7,FALSE)+SUM(_xlfn.XLOOKUP($S7:$AL7,增益!$A:$A,增益!$G:$G,0))</f>
        <v>0.125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3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3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3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3" cm="1">
        <f t="array" ref="BF7">$G$12+VLOOKUP($R7,武学奇术!$A:$ZZ,12,FALSE)+SUM(_xlfn.XLOOKUP($S7:$AL7,增益!$A:$A,增益!$L:$L,0))</f>
        <v>0</v>
      </c>
      <c r="BG7">
        <f t="shared" si="5"/>
        <v>618.2</v>
      </c>
      <c r="BH7">
        <f t="shared" si="6"/>
        <v>1567.4</v>
      </c>
      <c r="BI7" s="33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3" cm="1">
        <f t="array" ref="BJ7">$G$13+VLOOKUP($R7,武学奇术!$A:$ZZ,14,FALSE)+SUM(_xlfn.XLOOKUP($S7:$AL7,增益!$A:$A,增益!$N:$N,0))</f>
        <v>0.25</v>
      </c>
      <c r="BK7">
        <f t="shared" si="7"/>
        <v>0</v>
      </c>
      <c r="BL7">
        <f t="shared" si="8"/>
        <v>0</v>
      </c>
      <c r="BM7" s="33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3" cm="1">
        <f t="array" ref="BN7">$G$14+VLOOKUP($R7,武学奇术!$A:$ZZ,16,FALSE)+SUM(_xlfn.XLOOKUP($S7:$AL7,增益!$A:$A,增益!$P:$P,0))</f>
        <v>0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4" cm="1">
        <f t="array" ref="BQ7">1+$B$13+VLOOKUP($R7,武学奇术!$A:$ZZ,18,FALSE)+SUM(_xlfn.XLOOKUP($S7:$AL7,增益!$A:$A,增益!$R:$R,0))</f>
        <v>1.86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0.8865</v>
      </c>
      <c r="BU7" s="24">
        <f t="shared" si="10"/>
        <v>0.0222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0.06</v>
      </c>
      <c r="BX7" s="24" cm="1">
        <f t="array" ref="BX7">VLOOKUP($R7,武学奇术!$A:$ZZ,32,FALSE)+SUM(_xlfn.XLOOKUP($S7:$AL7,增益!$A:$A,增益!$X:$X,0))</f>
        <v>0.1</v>
      </c>
    </row>
    <row r="8" spans="1:76">
      <c r="A8" s="66" t="s">
        <v>101</v>
      </c>
      <c r="B8" s="67">
        <f>期望!B8</f>
        <v>1.0196</v>
      </c>
      <c r="C8" s="68" t="s">
        <v>102</v>
      </c>
      <c r="D8" s="68"/>
      <c r="E8" s="68"/>
      <c r="F8" s="68"/>
      <c r="G8" s="38"/>
      <c r="H8" s="69" t="s">
        <v>103</v>
      </c>
      <c r="I8" s="20">
        <f>期望!I8</f>
        <v>89.7</v>
      </c>
      <c r="J8" s="70"/>
      <c r="K8" s="39">
        <f>$L8*VLOOKUP($R8,武学奇术!$A:$ZY,31,FALSE)</f>
        <v>85753.030134674</v>
      </c>
      <c r="L8" s="39">
        <f t="shared" si="0"/>
        <v>81669.5525092134</v>
      </c>
      <c r="M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84071.8642791504</v>
      </c>
      <c r="N8" s="39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67270.2346799871</v>
      </c>
      <c r="O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44958.216192059</v>
      </c>
      <c r="P8" s="39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40086.628917461</v>
      </c>
      <c r="Q8" s="29">
        <v>1</v>
      </c>
      <c r="R8" s="40" t="s">
        <v>99</v>
      </c>
      <c r="S8" s="40" t="s">
        <v>104</v>
      </c>
      <c r="T8" s="40" t="s">
        <v>105</v>
      </c>
      <c r="U8" s="40" t="s">
        <v>106</v>
      </c>
      <c r="V8" s="40" t="s">
        <v>80</v>
      </c>
      <c r="W8" s="40" t="s">
        <v>100</v>
      </c>
      <c r="X8" s="40" t="s">
        <v>80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80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s="40" t="s">
        <v>80</v>
      </c>
      <c r="AM8" t="str">
        <f>VLOOKUP($R8,武学奇术!$A:$ZZ,25,FALSE)</f>
        <v>伞</v>
      </c>
      <c r="AN8" s="24">
        <f>VLOOKUP($R8,武学奇术!$A:$ZZ,26,FALSE)</f>
        <v>2.3397</v>
      </c>
      <c r="AO8" s="25">
        <f>VLOOKUP($R8,武学奇术!$A:$ZZ,27,FALSE)*(1+IF(OR($AM8=$F$4,$AM8=$F$5),$B$21,0))</f>
        <v>1036.8</v>
      </c>
      <c r="AP8" s="24">
        <f>VLOOKUP($R8,武学奇术!$A:$ZZ,28,FALSE)</f>
        <v>3.5095</v>
      </c>
      <c r="AQ8" s="25">
        <f>VLOOKUP($R8,武学奇术!$A:$ZZ,29,FALSE)*(1+IF(OR($AM8=$F$4,$AM8=$F$5),$B$21,0))</f>
        <v>564.8</v>
      </c>
      <c r="AR8" s="24" cm="1">
        <f t="array" ref="AR8">$G$3+IFERROR(VLOOKUP($AM8,$F$4:$G$7,2,FALSE),0)+VLOOKUP($R8,武学奇术!$A:$ZZ,2,FALSE)+SUM(_xlfn.XLOOKUP($S8:$AL8,增益!$A:$A,增益!$B:$B,0))</f>
        <v>0.8243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3790.5</v>
      </c>
      <c r="AU8" cm="1">
        <f t="array" ref="AU8">$E$10*(1+$AS8)+VLOOKUP($R8,武学奇术!$A:$ZZ,4,FALSE)+SUM(_xlfn.XLOOKUP($S8:$AL8,增益!$A:$A,增益!$D:$D,0))-$I$2</f>
        <v>3790.5</v>
      </c>
      <c r="AV8" s="33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0.3189</v>
      </c>
      <c r="AW8" s="33" cm="1">
        <f t="array" ref="AW8">$G$10+VLOOKUP($R8,武学奇术!$A:$ZZ,7,FALSE)+SUM(_xlfn.XLOOKUP($S8:$AL8,增益!$A:$A,增益!$G:$G,0))</f>
        <v>0.125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3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3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3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3" cm="1">
        <f t="array" ref="BF8">$G$12+VLOOKUP($R8,武学奇术!$A:$ZZ,12,FALSE)+SUM(_xlfn.XLOOKUP($S8:$AL8,增益!$A:$A,增益!$L:$L,0))</f>
        <v>0</v>
      </c>
      <c r="BG8">
        <f t="shared" si="5"/>
        <v>618.2</v>
      </c>
      <c r="BH8">
        <f t="shared" si="6"/>
        <v>1567.4</v>
      </c>
      <c r="BI8" s="33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3" cm="1">
        <f t="array" ref="BJ8">$G$13+VLOOKUP($R8,武学奇术!$A:$ZZ,14,FALSE)+SUM(_xlfn.XLOOKUP($S8:$AL8,增益!$A:$A,增益!$N:$N,0))</f>
        <v>0.25</v>
      </c>
      <c r="BK8">
        <f t="shared" si="7"/>
        <v>0</v>
      </c>
      <c r="BL8">
        <f t="shared" si="8"/>
        <v>0</v>
      </c>
      <c r="BM8" s="33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3" cm="1">
        <f t="array" ref="BN8">$G$14+VLOOKUP($R8,武学奇术!$A:$ZZ,16,FALSE)+SUM(_xlfn.XLOOKUP($S8:$AL8,增益!$A:$A,增益!$P:$P,0))</f>
        <v>0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4" cm="1">
        <f t="array" ref="BQ8">1+$B$13+VLOOKUP($R8,武学奇术!$A:$ZZ,18,FALSE)+SUM(_xlfn.XLOOKUP($S8:$AL8,增益!$A:$A,增益!$R:$R,0))</f>
        <v>1.87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0.8865</v>
      </c>
      <c r="BU8" s="24">
        <f t="shared" si="10"/>
        <v>0.0222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0.06</v>
      </c>
      <c r="BX8" s="24" cm="1">
        <f t="array" ref="BX8">VLOOKUP($R8,武学奇术!$A:$ZZ,32,FALSE)+SUM(_xlfn.XLOOKUP($S8:$AL8,增益!$A:$A,增益!$X:$X,0))</f>
        <v>0.1</v>
      </c>
    </row>
    <row r="9" ht="14.25" spans="1:76">
      <c r="A9" s="42" t="s">
        <v>107</v>
      </c>
      <c r="B9" s="71">
        <f>期望!B9</f>
        <v>0.7995</v>
      </c>
      <c r="C9" s="12"/>
      <c r="D9" t="s">
        <v>0</v>
      </c>
      <c r="E9" t="s">
        <v>1</v>
      </c>
      <c r="F9" s="29" t="s">
        <v>2</v>
      </c>
      <c r="G9" s="45" t="s">
        <v>3</v>
      </c>
      <c r="H9" s="72"/>
      <c r="I9" s="23"/>
      <c r="J9" s="73"/>
      <c r="K9" s="39">
        <f>$L9*VLOOKUP($R9,武学奇术!$A:$ZY,31,FALSE)</f>
        <v>44038.1178783819</v>
      </c>
      <c r="L9" s="39">
        <f t="shared" si="0"/>
        <v>41941.064646078</v>
      </c>
      <c r="M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42956.8197767986</v>
      </c>
      <c r="N9" s="39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36341.754763891</v>
      </c>
      <c r="O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24407.2839640901</v>
      </c>
      <c r="P9" s="39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21894.7495845573</v>
      </c>
      <c r="Q9" s="29">
        <v>1</v>
      </c>
      <c r="R9" s="40" t="s">
        <v>108</v>
      </c>
      <c r="S9" s="40" t="s">
        <v>78</v>
      </c>
      <c r="T9" s="40" t="s">
        <v>105</v>
      </c>
      <c r="U9" s="40" t="s">
        <v>80</v>
      </c>
      <c r="V9" s="40" t="s">
        <v>80</v>
      </c>
      <c r="W9" s="40" t="s">
        <v>80</v>
      </c>
      <c r="X9" s="40" t="s">
        <v>80</v>
      </c>
      <c r="Y9" s="40" t="s">
        <v>109</v>
      </c>
      <c r="Z9" s="40" t="s">
        <v>110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80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s="40" t="s">
        <v>80</v>
      </c>
      <c r="AM9" t="str">
        <f>VLOOKUP($R9,武学奇术!$A:$ZZ,25,FALSE)</f>
        <v>伞</v>
      </c>
      <c r="AN9" s="24">
        <f>VLOOKUP($R9,武学奇术!$A:$ZZ,26,FALSE)</f>
        <v>1.7001</v>
      </c>
      <c r="AO9" s="25">
        <f>VLOOKUP($R9,武学奇术!$A:$ZZ,27,FALSE)*(1+IF(OR($AM9=$F$4,$AM9=$F$5),$B$21,0))</f>
        <v>753.6</v>
      </c>
      <c r="AP9" s="24">
        <f>VLOOKUP($R9,武学奇术!$A:$ZZ,28,FALSE)</f>
        <v>2.5502</v>
      </c>
      <c r="AQ9" s="25">
        <f>VLOOKUP($R9,武学奇术!$A:$ZZ,29,FALSE)*(1+IF(OR($AM9=$F$4,$AM9=$F$5),$B$21,0))</f>
        <v>409.6</v>
      </c>
      <c r="AR9" s="24" cm="1">
        <f t="array" ref="AR9">$G$3+IFERROR(VLOOKUP($AM9,$F$4:$G$7,2,FALSE),0)+VLOOKUP($R9,武学奇术!$A:$ZZ,2,FALSE)+SUM(_xlfn.XLOOKUP($S9:$AL9,增益!$A:$A,增益!$B:$B,0))</f>
        <v>0.4243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3790.5</v>
      </c>
      <c r="AU9" cm="1">
        <f t="array" ref="AU9">$E$10*(1+$AS9)+VLOOKUP($R9,武学奇术!$A:$ZZ,4,FALSE)+SUM(_xlfn.XLOOKUP($S9:$AL9,增益!$A:$A,增益!$D:$D,0))-$I$2</f>
        <v>3790.5</v>
      </c>
      <c r="AV9" s="33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0.4189</v>
      </c>
      <c r="AW9" s="33" cm="1">
        <f t="array" ref="AW9">$G$10+VLOOKUP($R9,武学奇术!$A:$ZZ,7,FALSE)+SUM(_xlfn.XLOOKUP($S9:$AL9,增益!$A:$A,增益!$G:$G,0))</f>
        <v>0.125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3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3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3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3" cm="1">
        <f t="array" ref="BF9">$G$12+VLOOKUP($R9,武学奇术!$A:$ZZ,12,FALSE)+SUM(_xlfn.XLOOKUP($S9:$AL9,增益!$A:$A,增益!$L:$L,0))</f>
        <v>0</v>
      </c>
      <c r="BG9">
        <f t="shared" si="5"/>
        <v>618.2</v>
      </c>
      <c r="BH9">
        <f t="shared" si="6"/>
        <v>1567.4</v>
      </c>
      <c r="BI9" s="33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</v>
      </c>
      <c r="BJ9" s="33" cm="1">
        <f t="array" ref="BJ9">$G$13+VLOOKUP($R9,武学奇术!$A:$ZZ,14,FALSE)+SUM(_xlfn.XLOOKUP($S9:$AL9,增益!$A:$A,增益!$N:$N,0))</f>
        <v>0.25</v>
      </c>
      <c r="BK9">
        <f t="shared" si="7"/>
        <v>0</v>
      </c>
      <c r="BL9">
        <f t="shared" si="8"/>
        <v>0</v>
      </c>
      <c r="BM9" s="33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3" cm="1">
        <f t="array" ref="BN9">$G$14+VLOOKUP($R9,武学奇术!$A:$ZZ,16,FALSE)+SUM(_xlfn.XLOOKUP($S9:$AL9,增益!$A:$A,增益!$P:$P,0))</f>
        <v>0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4" cm="1">
        <f t="array" ref="BQ9">1+$B$13+VLOOKUP($R9,武学奇术!$A:$ZZ,18,FALSE)+SUM(_xlfn.XLOOKUP($S9:$AL9,增益!$A:$A,增益!$R:$R,0))</f>
        <v>1.76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0.8865</v>
      </c>
      <c r="BU9" s="24">
        <f t="shared" si="10"/>
        <v>0.0222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0.06</v>
      </c>
      <c r="BX9" s="24" cm="1">
        <f t="array" ref="BX9">VLOOKUP($R9,武学奇术!$A:$ZZ,32,FALSE)+SUM(_xlfn.XLOOKUP($S9:$AL9,增益!$A:$A,增益!$X:$X,0))</f>
        <v>0</v>
      </c>
    </row>
    <row r="10" spans="1:76">
      <c r="A10" s="42" t="s">
        <v>111</v>
      </c>
      <c r="B10" s="71">
        <f>期望!B10</f>
        <v>0.0913</v>
      </c>
      <c r="C10" s="12" t="s">
        <v>73</v>
      </c>
      <c r="D10">
        <f>期望!D10</f>
        <v>4477.5</v>
      </c>
      <c r="E10">
        <f>期望!E10</f>
        <v>4477.5</v>
      </c>
      <c r="F10">
        <f>期望!F10</f>
        <v>63.78</v>
      </c>
      <c r="G10" s="50">
        <f>期望!G10</f>
        <v>0.025</v>
      </c>
      <c r="H10" s="69" t="s">
        <v>112</v>
      </c>
      <c r="I10" s="74">
        <f>SUM(L:L)</f>
        <v>14884263.4508616</v>
      </c>
      <c r="J10" s="75"/>
      <c r="K10" s="39">
        <f>$L10*VLOOKUP($R10,武学奇术!$A:$ZY,31,FALSE)</f>
        <v>18554.9603920503</v>
      </c>
      <c r="L10" s="39">
        <f t="shared" si="0"/>
        <v>17671.3908495717</v>
      </c>
      <c r="M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18108.6951602776</v>
      </c>
      <c r="N10" s="39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15234.4642156687</v>
      </c>
      <c r="O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10230.9012204958</v>
      </c>
      <c r="P10" s="39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9177.01413308897</v>
      </c>
      <c r="Q10" s="29">
        <v>1</v>
      </c>
      <c r="R10" s="40" t="s">
        <v>113</v>
      </c>
      <c r="S10" s="40" t="s">
        <v>78</v>
      </c>
      <c r="T10" s="40" t="s">
        <v>79</v>
      </c>
      <c r="U10" s="40" t="s">
        <v>80</v>
      </c>
      <c r="V10" s="40" t="s">
        <v>80</v>
      </c>
      <c r="W10" s="40" t="s">
        <v>80</v>
      </c>
      <c r="X10" s="40" t="s">
        <v>80</v>
      </c>
      <c r="Y10" s="40" t="s">
        <v>109</v>
      </c>
      <c r="Z10" s="40" t="s">
        <v>110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80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s="40" t="s">
        <v>80</v>
      </c>
      <c r="AM10" t="str">
        <f>VLOOKUP($R10,武学奇术!$A:$ZZ,25,FALSE)</f>
        <v>伞</v>
      </c>
      <c r="AN10" s="24">
        <f>VLOOKUP($R10,武学奇术!$A:$ZZ,26,FALSE)</f>
        <v>0.54</v>
      </c>
      <c r="AO10" s="25">
        <f>VLOOKUP($R10,武学奇术!$A:$ZZ,27,FALSE)*(1+IF(OR($AM10=$F$4,$AM10=$F$5),$B$21,0))</f>
        <v>236.8</v>
      </c>
      <c r="AP10" s="24">
        <f>VLOOKUP($R10,武学奇术!$A:$ZZ,28,FALSE)</f>
        <v>0.81</v>
      </c>
      <c r="AQ10" s="25">
        <f>VLOOKUP($R10,武学奇术!$A:$ZZ,29,FALSE)*(1+IF(OR($AM10=$F$4,$AM10=$F$5),$B$21,0))</f>
        <v>130.4</v>
      </c>
      <c r="AR10" s="24" cm="1">
        <f t="array" ref="AR10">$G$3+IFERROR(VLOOKUP($AM10,$F$4:$G$7,2,FALSE),0)+VLOOKUP($R10,武学奇术!$A:$ZZ,2,FALSE)+SUM(_xlfn.XLOOKUP($S10:$AL10,增益!$A:$A,增益!$B:$B,0))</f>
        <v>0.4243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3790.5</v>
      </c>
      <c r="AU10" cm="1">
        <f t="array" ref="AU10">$E$10*(1+$AS10)+VLOOKUP($R10,武学奇术!$A:$ZZ,4,FALSE)+SUM(_xlfn.XLOOKUP($S10:$AL10,增益!$A:$A,增益!$D:$D,0))-$I$2</f>
        <v>3790.5</v>
      </c>
      <c r="AV10" s="33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0.4189</v>
      </c>
      <c r="AW10" s="33" cm="1">
        <f t="array" ref="AW10">$G$10+VLOOKUP($R10,武学奇术!$A:$ZZ,7,FALSE)+SUM(_xlfn.XLOOKUP($S10:$AL10,增益!$A:$A,增益!$G:$G,0))</f>
        <v>0.125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3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3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3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3" cm="1">
        <f t="array" ref="BF10">$G$12+VLOOKUP($R10,武学奇术!$A:$ZZ,12,FALSE)+SUM(_xlfn.XLOOKUP($S10:$AL10,增益!$A:$A,增益!$L:$L,0))</f>
        <v>0</v>
      </c>
      <c r="BG10">
        <f t="shared" si="5"/>
        <v>618.2</v>
      </c>
      <c r="BH10">
        <f t="shared" si="6"/>
        <v>1567.4</v>
      </c>
      <c r="BI10" s="33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</v>
      </c>
      <c r="BJ10" s="33" cm="1">
        <f t="array" ref="BJ10">$G$13+VLOOKUP($R10,武学奇术!$A:$ZZ,14,FALSE)+SUM(_xlfn.XLOOKUP($S10:$AL10,增益!$A:$A,增益!$N:$N,0))</f>
        <v>0.25</v>
      </c>
      <c r="BK10">
        <f t="shared" si="7"/>
        <v>0</v>
      </c>
      <c r="BL10">
        <f t="shared" si="8"/>
        <v>0</v>
      </c>
      <c r="BM10" s="33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3" cm="1">
        <f t="array" ref="BN10">$G$14+VLOOKUP($R10,武学奇术!$A:$ZZ,16,FALSE)+SUM(_xlfn.XLOOKUP($S10:$AL10,增益!$A:$A,增益!$P:$P,0))</f>
        <v>0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4" cm="1">
        <f t="array" ref="BQ10">1+$B$13+VLOOKUP($R10,武学奇术!$A:$ZZ,18,FALSE)+SUM(_xlfn.XLOOKUP($S10:$AL10,增益!$A:$A,增益!$R:$R,0))</f>
        <v>1.77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0.8865</v>
      </c>
      <c r="BU10" s="24">
        <f t="shared" si="10"/>
        <v>0.0222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0.06</v>
      </c>
      <c r="BX10" s="24" cm="1">
        <f t="array" ref="BX10">VLOOKUP($R10,武学奇术!$A:$ZZ,32,FALSE)+SUM(_xlfn.XLOOKUP($S10:$AL10,增益!$A:$A,增益!$X:$X,0))</f>
        <v>0</v>
      </c>
    </row>
    <row r="11" ht="14.25" spans="1:76">
      <c r="A11" s="42" t="s">
        <v>114</v>
      </c>
      <c r="B11" s="71">
        <f>期望!B11</f>
        <v>0.087</v>
      </c>
      <c r="C11" s="12" t="s">
        <v>84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2"/>
      <c r="I11" s="76"/>
      <c r="J11" s="77"/>
      <c r="K11" s="39">
        <f>$L11*VLOOKUP($R11,武学奇术!$A:$ZY,31,FALSE)</f>
        <v>36498.6184533291</v>
      </c>
      <c r="L11" s="39">
        <f t="shared" si="0"/>
        <v>34760.5890031705</v>
      </c>
      <c r="M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36183.5797434955</v>
      </c>
      <c r="N11" s="39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25265.2894481434</v>
      </c>
      <c r="O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16987.5961237068</v>
      </c>
      <c r="P11" s="39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15260.1630265666</v>
      </c>
      <c r="Q11" s="29">
        <v>0.5</v>
      </c>
      <c r="R11" s="40" t="s">
        <v>115</v>
      </c>
      <c r="S11" s="40" t="s">
        <v>86</v>
      </c>
      <c r="T11" s="40" t="s">
        <v>79</v>
      </c>
      <c r="U11" s="40" t="s">
        <v>106</v>
      </c>
      <c r="V11" s="40" t="s">
        <v>80</v>
      </c>
      <c r="W11" s="40" t="s">
        <v>100</v>
      </c>
      <c r="X11" s="40" t="s">
        <v>80</v>
      </c>
      <c r="Y11" s="40" t="s">
        <v>109</v>
      </c>
      <c r="Z11" s="40" t="s">
        <v>110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80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s="40" t="s">
        <v>80</v>
      </c>
      <c r="AM11" t="str">
        <f>VLOOKUP($R11,武学奇术!$A:$ZZ,25,FALSE)</f>
        <v>伞</v>
      </c>
      <c r="AN11" s="24">
        <f>VLOOKUP($R11,武学奇术!$A:$ZZ,26,FALSE)</f>
        <v>1.0217</v>
      </c>
      <c r="AO11" s="25">
        <f>VLOOKUP($R11,武学奇术!$A:$ZZ,27,FALSE)*(1+IF(OR($AM11=$F$4,$AM11=$F$5),$B$21,0))</f>
        <v>451.2</v>
      </c>
      <c r="AP11" s="24">
        <f>VLOOKUP($R11,武学奇术!$A:$ZZ,28,FALSE)</f>
        <v>1.5325</v>
      </c>
      <c r="AQ11" s="25">
        <f>VLOOKUP($R11,武学奇术!$A:$ZZ,29,FALSE)*(1+IF(OR($AM11=$F$4,$AM11=$F$5),$B$21,0))</f>
        <v>246.4</v>
      </c>
      <c r="AR11" s="24" cm="1">
        <f t="array" ref="AR11">$G$3+IFERROR(VLOOKUP($AM11,$F$4:$G$7,2,FALSE),0)+VLOOKUP($R11,武学奇术!$A:$ZZ,2,FALSE)+SUM(_xlfn.XLOOKUP($S11:$AL11,增益!$A:$A,增益!$B:$B,0))</f>
        <v>0.9743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3790.5</v>
      </c>
      <c r="AU11" cm="1">
        <f t="array" ref="AU11">$E$10*(1+$AS11)+VLOOKUP($R11,武学奇术!$A:$ZZ,4,FALSE)+SUM(_xlfn.XLOOKUP($S11:$AL11,增益!$A:$A,增益!$D:$D,0))-$I$2</f>
        <v>3790.5</v>
      </c>
      <c r="AV11" s="33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0.4439</v>
      </c>
      <c r="AW11" s="33" cm="1">
        <f t="array" ref="AW11">$G$10+VLOOKUP($R11,武学奇术!$A:$ZZ,7,FALSE)+SUM(_xlfn.XLOOKUP($S11:$AL11,增益!$A:$A,增益!$G:$G,0))</f>
        <v>0.125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3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3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3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3" cm="1">
        <f t="array" ref="BF11">$G$12+VLOOKUP($R11,武学奇术!$A:$ZZ,12,FALSE)+SUM(_xlfn.XLOOKUP($S11:$AL11,增益!$A:$A,增益!$L:$L,0))</f>
        <v>0</v>
      </c>
      <c r="BG11">
        <f t="shared" si="5"/>
        <v>618.2</v>
      </c>
      <c r="BH11">
        <f t="shared" si="6"/>
        <v>1567.4</v>
      </c>
      <c r="BI11" s="33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</v>
      </c>
      <c r="BJ11" s="33" cm="1">
        <f t="array" ref="BJ11">$G$13+VLOOKUP($R11,武学奇术!$A:$ZZ,14,FALSE)+SUM(_xlfn.XLOOKUP($S11:$AL11,增益!$A:$A,增益!$N:$N,0))</f>
        <v>0.25</v>
      </c>
      <c r="BK11">
        <f t="shared" si="7"/>
        <v>0</v>
      </c>
      <c r="BL11">
        <f t="shared" si="8"/>
        <v>0</v>
      </c>
      <c r="BM11" s="33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3" cm="1">
        <f t="array" ref="BN11">$G$14+VLOOKUP($R11,武学奇术!$A:$ZZ,16,FALSE)+SUM(_xlfn.XLOOKUP($S11:$AL11,增益!$A:$A,增益!$P:$P,0))</f>
        <v>0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4" cm="1">
        <f t="array" ref="BQ11">1+$B$13+VLOOKUP($R11,武学奇术!$A:$ZZ,18,FALSE)+SUM(_xlfn.XLOOKUP($S11:$AL11,增益!$A:$A,增益!$R:$R,0))</f>
        <v>2.13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0.8865</v>
      </c>
      <c r="BU11" s="24">
        <f t="shared" si="10"/>
        <v>0.0222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0.06</v>
      </c>
      <c r="BX11" s="24" cm="1">
        <f t="array" ref="BX11">VLOOKUP($R11,武学奇术!$A:$ZZ,32,FALSE)+SUM(_xlfn.XLOOKUP($S11:$AL11,增益!$A:$A,增益!$X:$X,0))</f>
        <v>0.25</v>
      </c>
    </row>
    <row r="12" spans="1:76">
      <c r="A12" s="42" t="s">
        <v>116</v>
      </c>
      <c r="B12" s="71">
        <f>期望!B12</f>
        <v>0</v>
      </c>
      <c r="C12" s="12" t="s">
        <v>88</v>
      </c>
      <c r="D12">
        <f>期望!D12</f>
        <v>0</v>
      </c>
      <c r="E12">
        <f>期望!E12</f>
        <v>0</v>
      </c>
      <c r="F12">
        <f>期望!F12</f>
        <v>0</v>
      </c>
      <c r="G12" s="50">
        <f>期望!G12</f>
        <v>0</v>
      </c>
      <c r="H12" s="69" t="s">
        <v>117</v>
      </c>
      <c r="I12" s="39">
        <f>I10/I8</f>
        <v>165933.817735358</v>
      </c>
      <c r="J12" s="78"/>
      <c r="K12" s="39">
        <f>$L12*VLOOKUP($R12,武学奇术!$A:$ZY,31,FALSE)</f>
        <v>36498.6184533291</v>
      </c>
      <c r="L12" s="39">
        <f t="shared" si="0"/>
        <v>34760.5890031705</v>
      </c>
      <c r="M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36183.5797434955</v>
      </c>
      <c r="N12" s="39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25265.2894481434</v>
      </c>
      <c r="O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16987.5961237068</v>
      </c>
      <c r="P12" s="39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15260.1630265666</v>
      </c>
      <c r="Q12" s="29">
        <v>0.5</v>
      </c>
      <c r="R12" s="40" t="s">
        <v>115</v>
      </c>
      <c r="S12" s="40" t="s">
        <v>86</v>
      </c>
      <c r="T12" s="40" t="s">
        <v>79</v>
      </c>
      <c r="U12" s="40" t="s">
        <v>106</v>
      </c>
      <c r="V12" s="40" t="s">
        <v>80</v>
      </c>
      <c r="W12" s="40" t="s">
        <v>100</v>
      </c>
      <c r="X12" s="40" t="s">
        <v>80</v>
      </c>
      <c r="Y12" s="40" t="s">
        <v>109</v>
      </c>
      <c r="Z12" s="40" t="s">
        <v>110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80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s="40" t="s">
        <v>80</v>
      </c>
      <c r="AM12" t="str">
        <f>VLOOKUP($R12,武学奇术!$A:$ZZ,25,FALSE)</f>
        <v>伞</v>
      </c>
      <c r="AN12" s="24">
        <f>VLOOKUP($R12,武学奇术!$A:$ZZ,26,FALSE)</f>
        <v>1.0217</v>
      </c>
      <c r="AO12" s="25">
        <f>VLOOKUP($R12,武学奇术!$A:$ZZ,27,FALSE)*(1+IF(OR($AM12=$F$4,$AM12=$F$5),$B$21,0))</f>
        <v>451.2</v>
      </c>
      <c r="AP12" s="24">
        <f>VLOOKUP($R12,武学奇术!$A:$ZZ,28,FALSE)</f>
        <v>1.5325</v>
      </c>
      <c r="AQ12" s="25">
        <f>VLOOKUP($R12,武学奇术!$A:$ZZ,29,FALSE)*(1+IF(OR($AM12=$F$4,$AM12=$F$5),$B$21,0))</f>
        <v>246.4</v>
      </c>
      <c r="AR12" s="24" cm="1">
        <f t="array" ref="AR12">$G$3+IFERROR(VLOOKUP($AM12,$F$4:$G$7,2,FALSE),0)+VLOOKUP($R12,武学奇术!$A:$ZZ,2,FALSE)+SUM(_xlfn.XLOOKUP($S12:$AL12,增益!$A:$A,增益!$B:$B,0))</f>
        <v>0.9743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3790.5</v>
      </c>
      <c r="AU12" cm="1">
        <f t="array" ref="AU12">$E$10*(1+$AS12)+VLOOKUP($R12,武学奇术!$A:$ZZ,4,FALSE)+SUM(_xlfn.XLOOKUP($S12:$AL12,增益!$A:$A,增益!$D:$D,0))-$I$2</f>
        <v>3790.5</v>
      </c>
      <c r="AV12" s="33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0.4439</v>
      </c>
      <c r="AW12" s="33" cm="1">
        <f t="array" ref="AW12">$G$10+VLOOKUP($R12,武学奇术!$A:$ZZ,7,FALSE)+SUM(_xlfn.XLOOKUP($S12:$AL12,增益!$A:$A,增益!$G:$G,0))</f>
        <v>0.125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3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3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3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3" cm="1">
        <f t="array" ref="BF12">$G$12+VLOOKUP($R12,武学奇术!$A:$ZZ,12,FALSE)+SUM(_xlfn.XLOOKUP($S12:$AL12,增益!$A:$A,增益!$L:$L,0))</f>
        <v>0</v>
      </c>
      <c r="BG12">
        <f t="shared" si="5"/>
        <v>618.2</v>
      </c>
      <c r="BH12">
        <f t="shared" si="6"/>
        <v>1567.4</v>
      </c>
      <c r="BI12" s="33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</v>
      </c>
      <c r="BJ12" s="33" cm="1">
        <f t="array" ref="BJ12">$G$13+VLOOKUP($R12,武学奇术!$A:$ZZ,14,FALSE)+SUM(_xlfn.XLOOKUP($S12:$AL12,增益!$A:$A,增益!$N:$N,0))</f>
        <v>0.25</v>
      </c>
      <c r="BK12">
        <f t="shared" si="7"/>
        <v>0</v>
      </c>
      <c r="BL12">
        <f t="shared" si="8"/>
        <v>0</v>
      </c>
      <c r="BM12" s="33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3" cm="1">
        <f t="array" ref="BN12">$G$14+VLOOKUP($R12,武学奇术!$A:$ZZ,16,FALSE)+SUM(_xlfn.XLOOKUP($S12:$AL12,增益!$A:$A,增益!$P:$P,0))</f>
        <v>0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4" cm="1">
        <f t="array" ref="BQ12">1+$B$13+VLOOKUP($R12,武学奇术!$A:$ZZ,18,FALSE)+SUM(_xlfn.XLOOKUP($S12:$AL12,增益!$A:$A,增益!$R:$R,0))</f>
        <v>2.13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0.8865</v>
      </c>
      <c r="BU12" s="24">
        <f t="shared" si="10"/>
        <v>0.0222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0.06</v>
      </c>
      <c r="BX12" s="24" cm="1">
        <f t="array" ref="BX12">VLOOKUP($R12,武学奇术!$A:$ZZ,32,FALSE)+SUM(_xlfn.XLOOKUP($S12:$AL12,增益!$A:$A,增益!$X:$X,0))</f>
        <v>0.25</v>
      </c>
    </row>
    <row r="13" ht="14.25" spans="1:76">
      <c r="A13" s="42" t="s">
        <v>118</v>
      </c>
      <c r="B13" s="71">
        <f>期望!B13</f>
        <v>0.5</v>
      </c>
      <c r="C13" s="12" t="s">
        <v>5</v>
      </c>
      <c r="D13">
        <f>期望!D13</f>
        <v>618.2</v>
      </c>
      <c r="E13">
        <f>期望!E13</f>
        <v>1567.4</v>
      </c>
      <c r="F13">
        <f>期望!F13</f>
        <v>30</v>
      </c>
      <c r="G13" s="50">
        <f>期望!G13</f>
        <v>0.15</v>
      </c>
      <c r="H13" s="72"/>
      <c r="I13" s="79"/>
      <c r="J13" s="77"/>
      <c r="K13" s="39">
        <f>$L13*VLOOKUP($R13,武学奇术!$A:$ZY,31,FALSE)</f>
        <v>154217.210632204</v>
      </c>
      <c r="L13" s="39">
        <f t="shared" si="0"/>
        <v>146873.533935432</v>
      </c>
      <c r="M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152936.319748657</v>
      </c>
      <c r="N13" s="39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106259.60898779</v>
      </c>
      <c r="O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71801.0890838766</v>
      </c>
      <c r="P13" s="39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64891.3566953159</v>
      </c>
      <c r="Q13" s="29">
        <v>2</v>
      </c>
      <c r="R13" s="40" t="s">
        <v>115</v>
      </c>
      <c r="S13" s="40" t="s">
        <v>86</v>
      </c>
      <c r="T13" s="40" t="s">
        <v>79</v>
      </c>
      <c r="U13" s="40" t="s">
        <v>106</v>
      </c>
      <c r="V13" s="40" t="s">
        <v>81</v>
      </c>
      <c r="W13" s="40" t="s">
        <v>100</v>
      </c>
      <c r="X13" s="40" t="s">
        <v>80</v>
      </c>
      <c r="Y13" s="40" t="s">
        <v>109</v>
      </c>
      <c r="Z13" s="40" t="s">
        <v>110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80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s="40" t="s">
        <v>80</v>
      </c>
      <c r="AM13" t="str">
        <f>VLOOKUP($R13,武学奇术!$A:$ZZ,25,FALSE)</f>
        <v>伞</v>
      </c>
      <c r="AN13" s="24">
        <f>VLOOKUP($R13,武学奇术!$A:$ZZ,26,FALSE)</f>
        <v>1.0217</v>
      </c>
      <c r="AO13" s="25">
        <f>VLOOKUP($R13,武学奇术!$A:$ZZ,27,FALSE)*(1+IF(OR($AM13=$F$4,$AM13=$F$5),$B$21,0))</f>
        <v>451.2</v>
      </c>
      <c r="AP13" s="24">
        <f>VLOOKUP($R13,武学奇术!$A:$ZZ,28,FALSE)</f>
        <v>1.5325</v>
      </c>
      <c r="AQ13" s="25">
        <f>VLOOKUP($R13,武学奇术!$A:$ZZ,29,FALSE)*(1+IF(OR($AM13=$F$4,$AM13=$F$5),$B$21,0))</f>
        <v>246.4</v>
      </c>
      <c r="AR13" s="24" cm="1">
        <f t="array" ref="AR13">$G$3+IFERROR(VLOOKUP($AM13,$F$4:$G$7,2,FALSE),0)+VLOOKUP($R13,武学奇术!$A:$ZZ,2,FALSE)+SUM(_xlfn.XLOOKUP($S13:$AL13,增益!$A:$A,增益!$B:$B,0))</f>
        <v>0.9743</v>
      </c>
      <c r="AS13" s="24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4126.3125</v>
      </c>
      <c r="AU13" cm="1">
        <f t="array" ref="AU13">$E$10*(1+$AS13)+VLOOKUP($R13,武学奇术!$A:$ZZ,4,FALSE)+SUM(_xlfn.XLOOKUP($S13:$AL13,增益!$A:$A,增益!$D:$D,0))-$I$2</f>
        <v>4126.3125</v>
      </c>
      <c r="AV13" s="33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0.4439</v>
      </c>
      <c r="AW13" s="33" cm="1">
        <f t="array" ref="AW13">$G$10+VLOOKUP($R13,武学奇术!$A:$ZZ,7,FALSE)+SUM(_xlfn.XLOOKUP($S13:$AL13,增益!$A:$A,增益!$G:$G,0))</f>
        <v>0.125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3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3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3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3" cm="1">
        <f t="array" ref="BF13">$G$12+VLOOKUP($R13,武学奇术!$A:$ZZ,12,FALSE)+SUM(_xlfn.XLOOKUP($S13:$AL13,增益!$A:$A,增益!$L:$L,0))</f>
        <v>0</v>
      </c>
      <c r="BG13">
        <f t="shared" si="5"/>
        <v>618.2</v>
      </c>
      <c r="BH13">
        <f t="shared" si="6"/>
        <v>1567.4</v>
      </c>
      <c r="BI13" s="33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</v>
      </c>
      <c r="BJ13" s="33" cm="1">
        <f t="array" ref="BJ13">$G$13+VLOOKUP($R13,武学奇术!$A:$ZZ,14,FALSE)+SUM(_xlfn.XLOOKUP($S13:$AL13,增益!$A:$A,增益!$N:$N,0))</f>
        <v>0.25</v>
      </c>
      <c r="BK13">
        <f t="shared" si="7"/>
        <v>0</v>
      </c>
      <c r="BL13">
        <f t="shared" si="8"/>
        <v>0</v>
      </c>
      <c r="BM13" s="33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3" cm="1">
        <f t="array" ref="BN13">$G$14+VLOOKUP($R13,武学奇术!$A:$ZZ,16,FALSE)+SUM(_xlfn.XLOOKUP($S13:$AL13,增益!$A:$A,增益!$P:$P,0))</f>
        <v>0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4" cm="1">
        <f t="array" ref="BQ13">1+$B$13+VLOOKUP($R13,武学奇术!$A:$ZZ,18,FALSE)+SUM(_xlfn.XLOOKUP($S13:$AL13,增益!$A:$A,增益!$R:$R,0))</f>
        <v>2.13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0.8865</v>
      </c>
      <c r="BU13" s="24">
        <f t="shared" si="10"/>
        <v>0.0222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0.06</v>
      </c>
      <c r="BX13" s="24" cm="1">
        <f t="array" ref="BX13">VLOOKUP($R13,武学奇术!$A:$ZZ,32,FALSE)+SUM(_xlfn.XLOOKUP($S13:$AL13,增益!$A:$A,增益!$X:$X,0))</f>
        <v>0.25</v>
      </c>
    </row>
    <row r="14" ht="14.25" spans="1:76">
      <c r="A14" s="42" t="s">
        <v>119</v>
      </c>
      <c r="B14" s="71">
        <f>期望!B14</f>
        <v>0.35</v>
      </c>
      <c r="C14" s="14" t="s">
        <v>95</v>
      </c>
      <c r="D14" s="14">
        <f>期望!D14</f>
        <v>0</v>
      </c>
      <c r="E14" s="14">
        <f>期望!E14</f>
        <v>0</v>
      </c>
      <c r="F14" s="14">
        <f>期望!F14</f>
        <v>0</v>
      </c>
      <c r="G14" s="65">
        <f>期望!G14</f>
        <v>0</v>
      </c>
      <c r="H14" s="37" t="s">
        <v>120</v>
      </c>
      <c r="I14" s="74">
        <f>I12</f>
        <v>165933.817735358</v>
      </c>
      <c r="J14" s="75"/>
      <c r="K14" s="39">
        <f>$L14*VLOOKUP($R14,武学奇术!$A:$ZY,31,FALSE)</f>
        <v>154885.553119668</v>
      </c>
      <c r="L14" s="39">
        <f t="shared" si="0"/>
        <v>147510.05059016</v>
      </c>
      <c r="M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153654.330639496</v>
      </c>
      <c r="N14" s="39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106259.60898779</v>
      </c>
      <c r="O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71801.0890838766</v>
      </c>
      <c r="P14" s="39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64891.3566953159</v>
      </c>
      <c r="Q14" s="29">
        <v>2</v>
      </c>
      <c r="R14" s="40" t="s">
        <v>115</v>
      </c>
      <c r="S14" s="40" t="s">
        <v>121</v>
      </c>
      <c r="T14" s="40" t="s">
        <v>87</v>
      </c>
      <c r="U14" s="40" t="s">
        <v>106</v>
      </c>
      <c r="V14" s="40" t="s">
        <v>81</v>
      </c>
      <c r="W14" s="40" t="s">
        <v>100</v>
      </c>
      <c r="X14" s="40" t="s">
        <v>80</v>
      </c>
      <c r="Y14" s="40" t="s">
        <v>109</v>
      </c>
      <c r="Z14" s="40" t="s">
        <v>110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80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s="40" t="s">
        <v>80</v>
      </c>
      <c r="AM14" t="str">
        <f>VLOOKUP($R14,武学奇术!$A:$ZZ,25,FALSE)</f>
        <v>伞</v>
      </c>
      <c r="AN14" s="24">
        <f>VLOOKUP($R14,武学奇术!$A:$ZZ,26,FALSE)</f>
        <v>1.0217</v>
      </c>
      <c r="AO14" s="25">
        <f>VLOOKUP($R14,武学奇术!$A:$ZZ,27,FALSE)*(1+IF(OR($AM14=$F$4,$AM14=$F$5),$B$21,0))</f>
        <v>451.2</v>
      </c>
      <c r="AP14" s="24">
        <f>VLOOKUP($R14,武学奇术!$A:$ZZ,28,FALSE)</f>
        <v>1.5325</v>
      </c>
      <c r="AQ14" s="25">
        <f>VLOOKUP($R14,武学奇术!$A:$ZZ,29,FALSE)*(1+IF(OR($AM14=$F$4,$AM14=$F$5),$B$21,0))</f>
        <v>246.4</v>
      </c>
      <c r="AR14" s="24" cm="1">
        <f t="array" ref="AR14">$G$3+IFERROR(VLOOKUP($AM14,$F$4:$G$7,2,FALSE),0)+VLOOKUP($R14,武学奇术!$A:$ZZ,2,FALSE)+SUM(_xlfn.XLOOKUP($S14:$AL14,增益!$A:$A,增益!$B:$B,0))</f>
        <v>0.9743</v>
      </c>
      <c r="AS14" s="24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4126.3125</v>
      </c>
      <c r="AU14" cm="1">
        <f t="array" ref="AU14">$E$10*(1+$AS14)+VLOOKUP($R14,武学奇术!$A:$ZZ,4,FALSE)+SUM(_xlfn.XLOOKUP($S14:$AL14,增益!$A:$A,增益!$D:$D,0))-$I$2</f>
        <v>4126.3125</v>
      </c>
      <c r="AV14" s="33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0.4439</v>
      </c>
      <c r="AW14" s="33" cm="1">
        <f t="array" ref="AW14">$G$10+VLOOKUP($R14,武学奇术!$A:$ZZ,7,FALSE)+SUM(_xlfn.XLOOKUP($S14:$AL14,增益!$A:$A,增益!$G:$G,0))</f>
        <v>0.125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3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3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3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3" cm="1">
        <f t="array" ref="BF14">$G$12+VLOOKUP($R14,武学奇术!$A:$ZZ,12,FALSE)+SUM(_xlfn.XLOOKUP($S14:$AL14,增益!$A:$A,增益!$L:$L,0))</f>
        <v>0</v>
      </c>
      <c r="BG14">
        <f t="shared" si="5"/>
        <v>618.2</v>
      </c>
      <c r="BH14">
        <f t="shared" si="6"/>
        <v>1567.4</v>
      </c>
      <c r="BI14" s="33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</v>
      </c>
      <c r="BJ14" s="33" cm="1">
        <f t="array" ref="BJ14">$G$13+VLOOKUP($R14,武学奇术!$A:$ZZ,14,FALSE)+SUM(_xlfn.XLOOKUP($S14:$AL14,增益!$A:$A,增益!$N:$N,0))</f>
        <v>0.25</v>
      </c>
      <c r="BK14">
        <f t="shared" si="7"/>
        <v>0</v>
      </c>
      <c r="BL14">
        <f t="shared" si="8"/>
        <v>0</v>
      </c>
      <c r="BM14" s="33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3" cm="1">
        <f t="array" ref="BN14">$G$14+VLOOKUP($R14,武学奇术!$A:$ZZ,16,FALSE)+SUM(_xlfn.XLOOKUP($S14:$AL14,增益!$A:$A,增益!$P:$P,0))</f>
        <v>0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4" cm="1">
        <f t="array" ref="BQ14">1+$B$13+VLOOKUP($R14,武学奇术!$A:$ZZ,18,FALSE)+SUM(_xlfn.XLOOKUP($S14:$AL14,增益!$A:$A,增益!$R:$R,0))</f>
        <v>2.14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0.8865</v>
      </c>
      <c r="BU14" s="24">
        <f t="shared" si="10"/>
        <v>0.0222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0.06</v>
      </c>
      <c r="BX14" s="24" cm="1">
        <f t="array" ref="BX14">VLOOKUP($R14,武学奇术!$A:$ZZ,32,FALSE)+SUM(_xlfn.XLOOKUP($S14:$AL14,增益!$A:$A,增益!$X:$X,0))</f>
        <v>0.25</v>
      </c>
    </row>
    <row r="15" ht="14.25" spans="1:76">
      <c r="A15" s="42" t="s">
        <v>122</v>
      </c>
      <c r="B15" s="71">
        <f>期望!B15</f>
        <v>0.0847</v>
      </c>
      <c r="C15" s="29" t="s">
        <v>123</v>
      </c>
      <c r="D15" s="29"/>
      <c r="F15" s="80"/>
      <c r="H15" s="81"/>
      <c r="I15" s="76"/>
      <c r="J15" s="77"/>
      <c r="K15" s="39">
        <f>$L15*VLOOKUP($R15,武学奇术!$A:$ZY,31,FALSE)</f>
        <v>129506.961724607</v>
      </c>
      <c r="L15" s="39">
        <f t="shared" si="0"/>
        <v>123339.963547244</v>
      </c>
      <c r="M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127133.730639339</v>
      </c>
      <c r="N15" s="39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100137.946324085</v>
      </c>
      <c r="O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67266.5241477986</v>
      </c>
      <c r="P15" s="39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60356.7917592378</v>
      </c>
      <c r="Q15" s="29">
        <v>2</v>
      </c>
      <c r="R15" s="40" t="s">
        <v>115</v>
      </c>
      <c r="S15" s="40" t="s">
        <v>121</v>
      </c>
      <c r="T15" s="40" t="s">
        <v>87</v>
      </c>
      <c r="U15" s="40" t="s">
        <v>106</v>
      </c>
      <c r="V15" s="40" t="s">
        <v>81</v>
      </c>
      <c r="W15" s="40" t="s">
        <v>100</v>
      </c>
      <c r="X15" s="40" t="s">
        <v>80</v>
      </c>
      <c r="Y15" s="40" t="s">
        <v>80</v>
      </c>
      <c r="Z15" s="40" t="s">
        <v>110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80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s="40" t="s">
        <v>80</v>
      </c>
      <c r="AM15" t="str">
        <f>VLOOKUP($R15,武学奇术!$A:$ZZ,25,FALSE)</f>
        <v>伞</v>
      </c>
      <c r="AN15" s="24">
        <f>VLOOKUP($R15,武学奇术!$A:$ZZ,26,FALSE)</f>
        <v>1.0217</v>
      </c>
      <c r="AO15" s="25">
        <f>VLOOKUP($R15,武学奇术!$A:$ZZ,27,FALSE)*(1+IF(OR($AM15=$F$4,$AM15=$F$5),$B$21,0))</f>
        <v>451.2</v>
      </c>
      <c r="AP15" s="24">
        <f>VLOOKUP($R15,武学奇术!$A:$ZZ,28,FALSE)</f>
        <v>1.5325</v>
      </c>
      <c r="AQ15" s="25">
        <f>VLOOKUP($R15,武学奇术!$A:$ZZ,29,FALSE)*(1+IF(OR($AM15=$F$4,$AM15=$F$5),$B$21,0))</f>
        <v>246.4</v>
      </c>
      <c r="AR15" s="24" cm="1">
        <f t="array" ref="AR15">$G$3+IFERROR(VLOOKUP($AM15,$F$4:$G$7,2,FALSE),0)+VLOOKUP($R15,武学奇术!$A:$ZZ,2,FALSE)+SUM(_xlfn.XLOOKUP($S15:$AL15,增益!$A:$A,增益!$B:$B,0))</f>
        <v>0.9743</v>
      </c>
      <c r="AS15" s="24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4126.3125</v>
      </c>
      <c r="AU15" cm="1">
        <f t="array" ref="AU15">$E$10*(1+$AS15)+VLOOKUP($R15,武学奇术!$A:$ZZ,4,FALSE)+SUM(_xlfn.XLOOKUP($S15:$AL15,增益!$A:$A,增益!$D:$D,0))-$I$2</f>
        <v>4126.3125</v>
      </c>
      <c r="AV15" s="33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0.3189</v>
      </c>
      <c r="AW15" s="33" cm="1">
        <f t="array" ref="AW15">$G$10+VLOOKUP($R15,武学奇术!$A:$ZZ,7,FALSE)+SUM(_xlfn.XLOOKUP($S15:$AL15,增益!$A:$A,增益!$G:$G,0))</f>
        <v>0.125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3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3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3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3" cm="1">
        <f t="array" ref="BF15">$G$12+VLOOKUP($R15,武学奇术!$A:$ZZ,12,FALSE)+SUM(_xlfn.XLOOKUP($S15:$AL15,增益!$A:$A,增益!$L:$L,0))</f>
        <v>0</v>
      </c>
      <c r="BG15">
        <f t="shared" si="5"/>
        <v>618.2</v>
      </c>
      <c r="BH15">
        <f t="shared" si="6"/>
        <v>1567.4</v>
      </c>
      <c r="BI15" s="33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</v>
      </c>
      <c r="BJ15" s="33" cm="1">
        <f t="array" ref="BJ15">$G$13+VLOOKUP($R15,武学奇术!$A:$ZZ,14,FALSE)+SUM(_xlfn.XLOOKUP($S15:$AL15,增益!$A:$A,增益!$N:$N,0))</f>
        <v>0.25</v>
      </c>
      <c r="BK15">
        <f t="shared" si="7"/>
        <v>0</v>
      </c>
      <c r="BL15">
        <f t="shared" si="8"/>
        <v>0</v>
      </c>
      <c r="BM15" s="33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3" cm="1">
        <f t="array" ref="BN15">$G$14+VLOOKUP($R15,武学奇术!$A:$ZZ,16,FALSE)+SUM(_xlfn.XLOOKUP($S15:$AL15,增益!$A:$A,增益!$P:$P,0))</f>
        <v>0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4" cm="1">
        <f t="array" ref="BQ15">1+$B$13+VLOOKUP($R15,武学奇术!$A:$ZZ,18,FALSE)+SUM(_xlfn.XLOOKUP($S15:$AL15,增益!$A:$A,增益!$R:$R,0))</f>
        <v>1.89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0.8865</v>
      </c>
      <c r="BU15" s="24">
        <f t="shared" si="10"/>
        <v>0.0222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0.06</v>
      </c>
      <c r="BX15" s="24" cm="1">
        <f t="array" ref="BX15">VLOOKUP($R15,武学奇术!$A:$ZZ,32,FALSE)+SUM(_xlfn.XLOOKUP($S15:$AL15,增益!$A:$A,增益!$X:$X,0))</f>
        <v>0.25</v>
      </c>
    </row>
    <row r="16" spans="1:76">
      <c r="A16" s="42" t="s">
        <v>124</v>
      </c>
      <c r="B16" s="71">
        <f>期望!B16</f>
        <v>0.0892</v>
      </c>
      <c r="C16" s="29" t="s">
        <v>125</v>
      </c>
      <c r="D16" s="80" t="s">
        <v>145</v>
      </c>
      <c r="E16" s="29" t="s">
        <v>127</v>
      </c>
      <c r="F16" s="80" t="s">
        <v>126</v>
      </c>
      <c r="H16" s="69" t="s">
        <v>128</v>
      </c>
      <c r="I16" s="82"/>
      <c r="J16" s="83"/>
      <c r="K16" s="39">
        <f>$L16*VLOOKUP($R16,武学奇术!$A:$ZY,31,FALSE)</f>
        <v>129506.961724607</v>
      </c>
      <c r="L16" s="39">
        <f t="shared" si="0"/>
        <v>123339.963547244</v>
      </c>
      <c r="M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127133.730639339</v>
      </c>
      <c r="N16" s="39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100137.946324085</v>
      </c>
      <c r="O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67266.5241477986</v>
      </c>
      <c r="P16" s="39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60356.7917592378</v>
      </c>
      <c r="Q16" s="29">
        <v>2</v>
      </c>
      <c r="R16" s="40" t="s">
        <v>115</v>
      </c>
      <c r="S16" s="40" t="s">
        <v>91</v>
      </c>
      <c r="T16" s="40" t="s">
        <v>87</v>
      </c>
      <c r="U16" s="40" t="s">
        <v>106</v>
      </c>
      <c r="V16" s="40" t="s">
        <v>81</v>
      </c>
      <c r="W16" s="40" t="s">
        <v>100</v>
      </c>
      <c r="X16" s="40" t="s">
        <v>80</v>
      </c>
      <c r="Y16" s="40" t="s">
        <v>80</v>
      </c>
      <c r="Z16" s="40" t="s">
        <v>110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80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s="40" t="s">
        <v>80</v>
      </c>
      <c r="AM16" t="str">
        <f>VLOOKUP($R16,武学奇术!$A:$ZZ,25,FALSE)</f>
        <v>伞</v>
      </c>
      <c r="AN16" s="24">
        <f>VLOOKUP($R16,武学奇术!$A:$ZZ,26,FALSE)</f>
        <v>1.0217</v>
      </c>
      <c r="AO16" s="25">
        <f>VLOOKUP($R16,武学奇术!$A:$ZZ,27,FALSE)*(1+IF(OR($AM16=$F$4,$AM16=$F$5),$B$21,0))</f>
        <v>451.2</v>
      </c>
      <c r="AP16" s="24">
        <f>VLOOKUP($R16,武学奇术!$A:$ZZ,28,FALSE)</f>
        <v>1.5325</v>
      </c>
      <c r="AQ16" s="25">
        <f>VLOOKUP($R16,武学奇术!$A:$ZZ,29,FALSE)*(1+IF(OR($AM16=$F$4,$AM16=$F$5),$B$21,0))</f>
        <v>246.4</v>
      </c>
      <c r="AR16" s="24" cm="1">
        <f t="array" ref="AR16">$G$3+IFERROR(VLOOKUP($AM16,$F$4:$G$7,2,FALSE),0)+VLOOKUP($R16,武学奇术!$A:$ZZ,2,FALSE)+SUM(_xlfn.XLOOKUP($S16:$AL16,增益!$A:$A,增益!$B:$B,0))</f>
        <v>0.9743</v>
      </c>
      <c r="AS16" s="24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4126.3125</v>
      </c>
      <c r="AU16" cm="1">
        <f t="array" ref="AU16">$E$10*(1+$AS16)+VLOOKUP($R16,武学奇术!$A:$ZZ,4,FALSE)+SUM(_xlfn.XLOOKUP($S16:$AL16,增益!$A:$A,增益!$D:$D,0))-$I$2</f>
        <v>4126.3125</v>
      </c>
      <c r="AV16" s="33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0.3189</v>
      </c>
      <c r="AW16" s="33" cm="1">
        <f t="array" ref="AW16">$G$10+VLOOKUP($R16,武学奇术!$A:$ZZ,7,FALSE)+SUM(_xlfn.XLOOKUP($S16:$AL16,增益!$A:$A,增益!$G:$G,0))</f>
        <v>0.125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3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3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3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3" cm="1">
        <f t="array" ref="BF16">$G$12+VLOOKUP($R16,武学奇术!$A:$ZZ,12,FALSE)+SUM(_xlfn.XLOOKUP($S16:$AL16,增益!$A:$A,增益!$L:$L,0))</f>
        <v>0</v>
      </c>
      <c r="BG16">
        <f t="shared" si="5"/>
        <v>618.2</v>
      </c>
      <c r="BH16">
        <f t="shared" si="6"/>
        <v>1567.4</v>
      </c>
      <c r="BI16" s="33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</v>
      </c>
      <c r="BJ16" s="33" cm="1">
        <f t="array" ref="BJ16">$G$13+VLOOKUP($R16,武学奇术!$A:$ZZ,14,FALSE)+SUM(_xlfn.XLOOKUP($S16:$AL16,增益!$A:$A,增益!$N:$N,0))</f>
        <v>0.25</v>
      </c>
      <c r="BK16">
        <f t="shared" si="7"/>
        <v>0</v>
      </c>
      <c r="BL16">
        <f t="shared" si="8"/>
        <v>0</v>
      </c>
      <c r="BM16" s="33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3" cm="1">
        <f t="array" ref="BN16">$G$14+VLOOKUP($R16,武学奇术!$A:$ZZ,16,FALSE)+SUM(_xlfn.XLOOKUP($S16:$AL16,增益!$A:$A,增益!$P:$P,0))</f>
        <v>0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4" cm="1">
        <f t="array" ref="BQ16">1+$B$13+VLOOKUP($R16,武学奇术!$A:$ZZ,18,FALSE)+SUM(_xlfn.XLOOKUP($S16:$AL16,增益!$A:$A,增益!$R:$R,0))</f>
        <v>1.89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0.8865</v>
      </c>
      <c r="BU16" s="24">
        <f t="shared" si="10"/>
        <v>0.0222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0.06</v>
      </c>
      <c r="BX16" s="24" cm="1">
        <f t="array" ref="BX16">VLOOKUP($R16,武学奇术!$A:$ZZ,32,FALSE)+SUM(_xlfn.XLOOKUP($S16:$AL16,增益!$A:$A,增益!$X:$X,0))</f>
        <v>0.25</v>
      </c>
    </row>
    <row r="17" ht="14.25" spans="1:76">
      <c r="A17" s="42" t="s">
        <v>129</v>
      </c>
      <c r="B17" s="71">
        <f>期望!B17</f>
        <v>0.0854</v>
      </c>
      <c r="C17" s="29" t="s">
        <v>130</v>
      </c>
      <c r="D17" s="80" t="s">
        <v>145</v>
      </c>
      <c r="E17" s="29" t="s">
        <v>131</v>
      </c>
      <c r="F17" s="80" t="s">
        <v>145</v>
      </c>
      <c r="H17" s="72"/>
      <c r="I17" s="84"/>
      <c r="J17" s="85"/>
      <c r="K17" s="39">
        <f>$L17*VLOOKUP($R17,武学奇术!$A:$ZY,31,FALSE)</f>
        <v>65066.5476740027</v>
      </c>
      <c r="L17" s="39">
        <f t="shared" si="0"/>
        <v>61968.1406419073</v>
      </c>
      <c r="M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63903.1979404086</v>
      </c>
      <c r="N17" s="39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50068.9731620425</v>
      </c>
      <c r="O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33633.2620738993</v>
      </c>
      <c r="P17" s="39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30178.3958796189</v>
      </c>
      <c r="Q17" s="29">
        <v>1</v>
      </c>
      <c r="R17" s="40" t="s">
        <v>115</v>
      </c>
      <c r="S17" s="40" t="s">
        <v>91</v>
      </c>
      <c r="T17" s="40" t="s">
        <v>94</v>
      </c>
      <c r="U17" s="40" t="s">
        <v>106</v>
      </c>
      <c r="V17" s="40" t="s">
        <v>81</v>
      </c>
      <c r="W17" s="40" t="s">
        <v>100</v>
      </c>
      <c r="X17" s="40" t="s">
        <v>80</v>
      </c>
      <c r="Y17" s="40" t="s">
        <v>80</v>
      </c>
      <c r="Z17" s="40" t="s">
        <v>110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80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s="40" t="s">
        <v>80</v>
      </c>
      <c r="AM17" t="str">
        <f>VLOOKUP($R17,武学奇术!$A:$ZZ,25,FALSE)</f>
        <v>伞</v>
      </c>
      <c r="AN17" s="24">
        <f>VLOOKUP($R17,武学奇术!$A:$ZZ,26,FALSE)</f>
        <v>1.0217</v>
      </c>
      <c r="AO17" s="25">
        <f>VLOOKUP($R17,武学奇术!$A:$ZZ,27,FALSE)*(1+IF(OR($AM17=$F$4,$AM17=$F$5),$B$21,0))</f>
        <v>451.2</v>
      </c>
      <c r="AP17" s="24">
        <f>VLOOKUP($R17,武学奇术!$A:$ZZ,28,FALSE)</f>
        <v>1.5325</v>
      </c>
      <c r="AQ17" s="25">
        <f>VLOOKUP($R17,武学奇术!$A:$ZZ,29,FALSE)*(1+IF(OR($AM17=$F$4,$AM17=$F$5),$B$21,0))</f>
        <v>246.4</v>
      </c>
      <c r="AR17" s="24" cm="1">
        <f t="array" ref="AR17">$G$3+IFERROR(VLOOKUP($AM17,$F$4:$G$7,2,FALSE),0)+VLOOKUP($R17,武学奇术!$A:$ZZ,2,FALSE)+SUM(_xlfn.XLOOKUP($S17:$AL17,增益!$A:$A,增益!$B:$B,0))</f>
        <v>0.9743</v>
      </c>
      <c r="AS17" s="24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4126.3125</v>
      </c>
      <c r="AU17" cm="1">
        <f t="array" ref="AU17">$E$10*(1+$AS17)+VLOOKUP($R17,武学奇术!$A:$ZZ,4,FALSE)+SUM(_xlfn.XLOOKUP($S17:$AL17,增益!$A:$A,增益!$D:$D,0))-$I$2</f>
        <v>4126.3125</v>
      </c>
      <c r="AV17" s="33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0.3189</v>
      </c>
      <c r="AW17" s="33" cm="1">
        <f t="array" ref="AW17">$G$10+VLOOKUP($R17,武学奇术!$A:$ZZ,7,FALSE)+SUM(_xlfn.XLOOKUP($S17:$AL17,增益!$A:$A,增益!$G:$G,0))</f>
        <v>0.125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3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3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3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3" cm="1">
        <f t="array" ref="BF17">$G$12+VLOOKUP($R17,武学奇术!$A:$ZZ,12,FALSE)+SUM(_xlfn.XLOOKUP($S17:$AL17,增益!$A:$A,增益!$L:$L,0))</f>
        <v>0</v>
      </c>
      <c r="BG17">
        <f t="shared" si="5"/>
        <v>618.2</v>
      </c>
      <c r="BH17">
        <f t="shared" si="6"/>
        <v>1567.4</v>
      </c>
      <c r="BI17" s="33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</v>
      </c>
      <c r="BJ17" s="33" cm="1">
        <f t="array" ref="BJ17">$G$13+VLOOKUP($R17,武学奇术!$A:$ZZ,14,FALSE)+SUM(_xlfn.XLOOKUP($S17:$AL17,增益!$A:$A,增益!$N:$N,0))</f>
        <v>0.25</v>
      </c>
      <c r="BK17">
        <f t="shared" si="7"/>
        <v>0</v>
      </c>
      <c r="BL17">
        <f t="shared" si="8"/>
        <v>0</v>
      </c>
      <c r="BM17" s="33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3" cm="1">
        <f t="array" ref="BN17">$G$14+VLOOKUP($R17,武学奇术!$A:$ZZ,16,FALSE)+SUM(_xlfn.XLOOKUP($S17:$AL17,增益!$A:$A,增益!$P:$P,0))</f>
        <v>0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4" cm="1">
        <f t="array" ref="BQ17">1+$B$13+VLOOKUP($R17,武学奇术!$A:$ZZ,18,FALSE)+SUM(_xlfn.XLOOKUP($S17:$AL17,增益!$A:$A,增益!$R:$R,0))</f>
        <v>1.9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0.8865</v>
      </c>
      <c r="BU17" s="24">
        <f t="shared" si="10"/>
        <v>0.0222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0.06</v>
      </c>
      <c r="BX17" s="24" cm="1">
        <f t="array" ref="BX17">VLOOKUP($R17,武学奇术!$A:$ZZ,32,FALSE)+SUM(_xlfn.XLOOKUP($S17:$AL17,增益!$A:$A,增益!$X:$X,0))</f>
        <v>0.25</v>
      </c>
    </row>
    <row r="18" spans="1:76">
      <c r="A18" s="42" t="s">
        <v>132</v>
      </c>
      <c r="B18" s="71">
        <f>期望!B18</f>
        <v>0.0854</v>
      </c>
      <c r="C18" s="29" t="s">
        <v>133</v>
      </c>
      <c r="D18" s="80" t="s">
        <v>145</v>
      </c>
      <c r="K18" s="39">
        <f>$L18*VLOOKUP($R18,武学奇术!$A:$ZY,31,FALSE)</f>
        <v>28121.5974415114</v>
      </c>
      <c r="L18" s="39">
        <f t="shared" si="0"/>
        <v>26782.4737538204</v>
      </c>
      <c r="M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27447.2046671863</v>
      </c>
      <c r="N18" s="39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23069.810962464</v>
      </c>
      <c r="O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15506.8952921957</v>
      </c>
      <c r="P18" s="39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13925.0417233069</v>
      </c>
      <c r="Q18" s="29">
        <v>1</v>
      </c>
      <c r="R18" s="40" t="s">
        <v>134</v>
      </c>
      <c r="S18" s="40" t="s">
        <v>86</v>
      </c>
      <c r="T18" s="40" t="s">
        <v>79</v>
      </c>
      <c r="U18" s="40" t="s">
        <v>80</v>
      </c>
      <c r="V18" s="40" t="s">
        <v>80</v>
      </c>
      <c r="W18" s="40" t="s">
        <v>80</v>
      </c>
      <c r="X18" s="40" t="s">
        <v>80</v>
      </c>
      <c r="Y18" s="40" t="s">
        <v>109</v>
      </c>
      <c r="Z18" s="40" t="s">
        <v>110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80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s="40" t="s">
        <v>80</v>
      </c>
      <c r="AM18" t="str">
        <f>VLOOKUP($R18,武学奇术!$A:$ZZ,25,FALSE)</f>
        <v>扇</v>
      </c>
      <c r="AN18" s="24">
        <f>VLOOKUP($R18,武学奇术!$A:$ZZ,26,FALSE)</f>
        <v>1.2798</v>
      </c>
      <c r="AO18" s="25">
        <f>VLOOKUP($R18,武学奇术!$A:$ZZ,27,FALSE)*(1+IF(OR($AM18=$F$4,$AM18=$F$5),$B$21,0))</f>
        <v>568</v>
      </c>
      <c r="AP18" s="24">
        <f>VLOOKUP($R18,武学奇术!$A:$ZZ,28,FALSE)</f>
        <v>1.9197</v>
      </c>
      <c r="AQ18" s="25">
        <f>VLOOKUP($R18,武学奇术!$A:$ZZ,29,FALSE)*(1+IF(OR($AM18=$F$4,$AM18=$F$5),$B$21,0))</f>
        <v>308.8</v>
      </c>
      <c r="AR18" s="24" cm="1">
        <f t="array" ref="AR18">$G$3+IFERROR(VLOOKUP($AM18,$F$4:$G$7,2,FALSE),0)+VLOOKUP($R18,武学奇术!$A:$ZZ,2,FALSE)+SUM(_xlfn.XLOOKUP($S18:$AL18,增益!$A:$A,增益!$B:$B,0))</f>
        <v>0.4243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3790.5</v>
      </c>
      <c r="AU18" cm="1">
        <f t="array" ref="AU18">$E$10*(1+$AS18)+VLOOKUP($R18,武学奇术!$A:$ZZ,4,FALSE)+SUM(_xlfn.XLOOKUP($S18:$AL18,增益!$A:$A,增益!$D:$D,0))-$I$2</f>
        <v>3790.5</v>
      </c>
      <c r="AV18" s="33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0.3189</v>
      </c>
      <c r="AW18" s="33" cm="1">
        <f t="array" ref="AW18">$G$10+VLOOKUP($R18,武学奇术!$A:$ZZ,7,FALSE)+SUM(_xlfn.XLOOKUP($S18:$AL18,增益!$A:$A,增益!$G:$G,0))</f>
        <v>0.025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3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3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3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3" cm="1">
        <f t="array" ref="BF18">$G$12+VLOOKUP($R18,武学奇术!$A:$ZZ,12,FALSE)+SUM(_xlfn.XLOOKUP($S18:$AL18,增益!$A:$A,增益!$L:$L,0))</f>
        <v>0</v>
      </c>
      <c r="BG18">
        <f t="shared" si="5"/>
        <v>618.2</v>
      </c>
      <c r="BH18">
        <f t="shared" si="6"/>
        <v>1567.4</v>
      </c>
      <c r="BI18" s="33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3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3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3" cm="1">
        <f t="array" ref="BN18">$G$14+VLOOKUP($R18,武学奇术!$A:$ZZ,16,FALSE)+SUM(_xlfn.XLOOKUP($S18:$AL18,增益!$A:$A,增益!$P:$P,0))</f>
        <v>0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4" cm="1">
        <f t="array" ref="BQ18">1+$B$13+VLOOKUP($R18,武学奇术!$A:$ZZ,18,FALSE)+SUM(_xlfn.XLOOKUP($S18:$AL18,增益!$A:$A,增益!$R:$R,0))</f>
        <v>1.77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0.8865</v>
      </c>
      <c r="BU18" s="24">
        <f t="shared" si="10"/>
        <v>0.0222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0.06</v>
      </c>
      <c r="BX18" s="24" cm="1">
        <f t="array" ref="BX18">VLOOKUP($R18,武学奇术!$A:$ZZ,32,FALSE)+SUM(_xlfn.XLOOKUP($S18:$AL18,增益!$A:$A,增益!$X:$X,0))</f>
        <v>0</v>
      </c>
    </row>
    <row r="19" spans="1:76">
      <c r="A19" s="42" t="s">
        <v>135</v>
      </c>
      <c r="B19" s="71">
        <f>期望!B19</f>
        <v>0.2677</v>
      </c>
      <c r="C19" s="29" t="s">
        <v>136</v>
      </c>
      <c r="D19" s="80" t="s">
        <v>145</v>
      </c>
      <c r="K19" s="39">
        <f>$L19*VLOOKUP($R19,武学奇术!$A:$ZY,31,FALSE)</f>
        <v>0</v>
      </c>
      <c r="L19" s="39">
        <f t="shared" si="0"/>
        <v>0</v>
      </c>
      <c r="M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0</v>
      </c>
      <c r="N19" s="39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0</v>
      </c>
      <c r="O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0</v>
      </c>
      <c r="P19" s="39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0</v>
      </c>
      <c r="Q19" s="86">
        <f>IF($E$24="龙卷",1,0)</f>
        <v>0</v>
      </c>
      <c r="R19" s="40" t="s">
        <v>138</v>
      </c>
      <c r="S19" s="40" t="s">
        <v>121</v>
      </c>
      <c r="T19" s="40" t="s">
        <v>87</v>
      </c>
      <c r="U19" s="40" t="s">
        <v>80</v>
      </c>
      <c r="V19" s="40" t="s">
        <v>81</v>
      </c>
      <c r="W19" s="40" t="s">
        <v>100</v>
      </c>
      <c r="X19" s="40" t="s">
        <v>80</v>
      </c>
      <c r="Y19" s="40" t="s">
        <v>109</v>
      </c>
      <c r="Z19" s="40" t="s">
        <v>110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80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s="40" t="s">
        <v>80</v>
      </c>
      <c r="AM19" t="str">
        <f>VLOOKUP($R19,武学奇术!$A:$ZZ,25,FALSE)</f>
        <v>扇</v>
      </c>
      <c r="AN19" s="24">
        <f>VLOOKUP($R19,武学奇术!$A:$ZZ,26,FALSE)</f>
        <v>1.9044</v>
      </c>
      <c r="AO19" s="25">
        <f>VLOOKUP($R19,武学奇术!$A:$ZZ,27,FALSE)*(1+IF(OR($AM19=$F$4,$AM19=$F$5),$B$21,0))</f>
        <v>843.2</v>
      </c>
      <c r="AP19" s="24">
        <f>VLOOKUP($R19,武学奇术!$A:$ZZ,28,FALSE)</f>
        <v>2.8566</v>
      </c>
      <c r="AQ19" s="25">
        <f>VLOOKUP($R19,武学奇术!$A:$ZZ,29,FALSE)*(1+IF(OR($AM19=$F$4,$AM19=$F$5),$B$21,0))</f>
        <v>459.2</v>
      </c>
      <c r="AR19" s="24" cm="1">
        <f t="array" ref="AR19">$G$3+IFERROR(VLOOKUP($AM19,$F$4:$G$7,2,FALSE),0)+VLOOKUP($R19,武学奇术!$A:$ZZ,2,FALSE)+SUM(_xlfn.XLOOKUP($S19:$AL19,增益!$A:$A,增益!$B:$B,0))</f>
        <v>0.7243</v>
      </c>
      <c r="AS19" s="24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4126.3125</v>
      </c>
      <c r="AU19" cm="1">
        <f t="array" ref="AU19">$E$10*(1+$AS19)+VLOOKUP($R19,武学奇术!$A:$ZZ,4,FALSE)+SUM(_xlfn.XLOOKUP($S19:$AL19,增益!$A:$A,增益!$D:$D,0))-$I$2</f>
        <v>4126.3125</v>
      </c>
      <c r="AV19" s="33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0.4189</v>
      </c>
      <c r="AW19" s="33" cm="1">
        <f t="array" ref="AW19">$G$10+VLOOKUP($R19,武学奇术!$A:$ZZ,7,FALSE)+SUM(_xlfn.XLOOKUP($S19:$AL19,增益!$A:$A,增益!$G:$G,0))</f>
        <v>0.125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3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3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3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3" cm="1">
        <f t="array" ref="BF19">$G$12+VLOOKUP($R19,武学奇术!$A:$ZZ,12,FALSE)+SUM(_xlfn.XLOOKUP($S19:$AL19,增益!$A:$A,增益!$L:$L,0))</f>
        <v>0</v>
      </c>
      <c r="BG19">
        <f t="shared" si="5"/>
        <v>618.2</v>
      </c>
      <c r="BH19">
        <f t="shared" si="6"/>
        <v>1567.4</v>
      </c>
      <c r="BI19" s="33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</v>
      </c>
      <c r="BJ19" s="33" cm="1">
        <f t="array" ref="BJ19">$G$13+VLOOKUP($R19,武学奇术!$A:$ZZ,14,FALSE)+SUM(_xlfn.XLOOKUP($S19:$AL19,增益!$A:$A,增益!$N:$N,0))</f>
        <v>0.25</v>
      </c>
      <c r="BK19">
        <f t="shared" si="7"/>
        <v>0</v>
      </c>
      <c r="BL19">
        <f t="shared" si="8"/>
        <v>0</v>
      </c>
      <c r="BM19" s="33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3" cm="1">
        <f t="array" ref="BN19">$G$14+VLOOKUP($R19,武学奇术!$A:$ZZ,16,FALSE)+SUM(_xlfn.XLOOKUP($S19:$AL19,增益!$A:$A,增益!$P:$P,0))</f>
        <v>0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4" cm="1">
        <f t="array" ref="BQ19">1+$B$13+VLOOKUP($R19,武学奇术!$A:$ZZ,18,FALSE)+SUM(_xlfn.XLOOKUP($S19:$AL19,增益!$A:$A,增益!$R:$R,0))</f>
        <v>1.78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0.8865</v>
      </c>
      <c r="BU19" s="24">
        <f t="shared" si="10"/>
        <v>0.0222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0.06</v>
      </c>
      <c r="BX19" s="24" cm="1">
        <f t="array" ref="BX19">VLOOKUP($R19,武学奇术!$A:$ZZ,32,FALSE)+SUM(_xlfn.XLOOKUP($S19:$AL19,增益!$A:$A,增益!$X:$X,0))</f>
        <v>0.55</v>
      </c>
    </row>
    <row r="20" ht="14.25" spans="1:76">
      <c r="A20" s="87" t="s">
        <v>193</v>
      </c>
      <c r="B20" s="88">
        <f>期望!B20</f>
        <v>0.3206</v>
      </c>
      <c r="C20" s="29" t="s">
        <v>140</v>
      </c>
      <c r="D20" s="80" t="s">
        <v>145</v>
      </c>
      <c r="K20" s="39">
        <f>$L20*VLOOKUP($R20,武学奇术!$A:$ZY,31,FALSE)</f>
        <v>226867.833956489</v>
      </c>
      <c r="L20" s="39">
        <f t="shared" si="0"/>
        <v>216064.603768085</v>
      </c>
      <c r="M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222689.573694665</v>
      </c>
      <c r="N20" s="39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175625.168517371</v>
      </c>
      <c r="O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117825.171267019</v>
      </c>
      <c r="P20" s="39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105557.625113762</v>
      </c>
      <c r="Q20" s="29">
        <v>1</v>
      </c>
      <c r="R20" s="40" t="s">
        <v>141</v>
      </c>
      <c r="S20" s="40" t="s">
        <v>91</v>
      </c>
      <c r="T20" s="40" t="s">
        <v>87</v>
      </c>
      <c r="U20" s="40" t="s">
        <v>80</v>
      </c>
      <c r="V20" s="40" t="s">
        <v>81</v>
      </c>
      <c r="W20" s="40" t="s">
        <v>142</v>
      </c>
      <c r="X20" s="40" t="s">
        <v>80</v>
      </c>
      <c r="Y20" s="40" t="s">
        <v>80</v>
      </c>
      <c r="Z20" s="40" t="s">
        <v>110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80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s="40" t="s">
        <v>80</v>
      </c>
      <c r="AM20" t="str">
        <f>VLOOKUP($R20,武学奇术!$A:$ZZ,25,FALSE)</f>
        <v>扇</v>
      </c>
      <c r="AN20" s="24">
        <f>VLOOKUP($R20,武学奇术!$A:$ZZ,26,FALSE)</f>
        <v>7.5463</v>
      </c>
      <c r="AO20" s="25">
        <f>VLOOKUP($R20,武学奇术!$A:$ZZ,27,FALSE)*(1+IF(OR($AM20=$F$4,$AM20=$F$5),$B$21,0))</f>
        <v>3339.2</v>
      </c>
      <c r="AP20" s="24">
        <f>VLOOKUP($R20,武学奇术!$A:$ZZ,28,FALSE)</f>
        <v>11.3195</v>
      </c>
      <c r="AQ20" s="25">
        <f>VLOOKUP($R20,武学奇术!$A:$ZZ,29,FALSE)*(1+IF(OR($AM20=$F$4,$AM20=$F$5),$B$21,0))</f>
        <v>1819.2</v>
      </c>
      <c r="AR20" s="24" cm="1">
        <f t="array" ref="AR20">$G$3+IFERROR(VLOOKUP($AM20,$F$4:$G$7,2,FALSE),0)+VLOOKUP($R20,武学奇术!$A:$ZZ,2,FALSE)+SUM(_xlfn.XLOOKUP($S20:$AL20,增益!$A:$A,增益!$B:$B,0))</f>
        <v>0.4243</v>
      </c>
      <c r="AS20" s="24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4126.3125</v>
      </c>
      <c r="AU20" cm="1">
        <f t="array" ref="AU20">$E$10*(1+$AS20)+VLOOKUP($R20,武学奇术!$A:$ZZ,4,FALSE)+SUM(_xlfn.XLOOKUP($S20:$AL20,增益!$A:$A,增益!$D:$D,0))-$I$2</f>
        <v>4126.3125</v>
      </c>
      <c r="AV20" s="33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0.2939</v>
      </c>
      <c r="AW20" s="33" cm="1">
        <f t="array" ref="AW20">$G$10+VLOOKUP($R20,武学奇术!$A:$ZZ,7,FALSE)+SUM(_xlfn.XLOOKUP($S20:$AL20,增益!$A:$A,增益!$G:$G,0))</f>
        <v>0.125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3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3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3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3" cm="1">
        <f t="array" ref="BF20">$G$12+VLOOKUP($R20,武学奇术!$A:$ZZ,12,FALSE)+SUM(_xlfn.XLOOKUP($S20:$AL20,增益!$A:$A,增益!$L:$L,0))</f>
        <v>0</v>
      </c>
      <c r="BG20">
        <f t="shared" si="5"/>
        <v>618.2</v>
      </c>
      <c r="BH20">
        <f t="shared" si="6"/>
        <v>1567.4</v>
      </c>
      <c r="BI20" s="33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</v>
      </c>
      <c r="BJ20" s="33" cm="1">
        <f t="array" ref="BJ20">$G$13+VLOOKUP($R20,武学奇术!$A:$ZZ,14,FALSE)+SUM(_xlfn.XLOOKUP($S20:$AL20,增益!$A:$A,增益!$N:$N,0))</f>
        <v>0.25</v>
      </c>
      <c r="BK20">
        <f t="shared" si="7"/>
        <v>0</v>
      </c>
      <c r="BL20">
        <f t="shared" si="8"/>
        <v>0</v>
      </c>
      <c r="BM20" s="33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3" cm="1">
        <f t="array" ref="BN20">$G$14+VLOOKUP($R20,武学奇术!$A:$ZZ,16,FALSE)+SUM(_xlfn.XLOOKUP($S20:$AL20,增益!$A:$A,增益!$P:$P,0))</f>
        <v>0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4" cm="1">
        <f t="array" ref="BQ20">1+$B$13+VLOOKUP($R20,武学奇术!$A:$ZZ,18,FALSE)+SUM(_xlfn.XLOOKUP($S20:$AL20,增益!$A:$A,增益!$R:$R,0))</f>
        <v>1.89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0.8865</v>
      </c>
      <c r="BU20" s="24">
        <f t="shared" si="10"/>
        <v>0.0222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0.06</v>
      </c>
      <c r="BX20" s="24" cm="1">
        <f t="array" ref="BX20">VLOOKUP($R20,武学奇术!$A:$ZZ,32,FALSE)+SUM(_xlfn.XLOOKUP($S20:$AL20,增益!$A:$A,增益!$X:$X,0))</f>
        <v>0.1</v>
      </c>
    </row>
    <row r="21" spans="1:76">
      <c r="A21" t="s">
        <v>143</v>
      </c>
      <c r="B21" s="27">
        <f>期望!B21</f>
        <v>0.6</v>
      </c>
      <c r="C21" s="29" t="s">
        <v>144</v>
      </c>
      <c r="D21" s="80" t="s">
        <v>145</v>
      </c>
      <c r="E21" s="29" t="s">
        <v>146</v>
      </c>
      <c r="F21" s="29"/>
      <c r="K21" s="39">
        <f>$L21*VLOOKUP($R21,武学奇术!$A:$ZY,31,FALSE)</f>
        <v>99318.7728201086</v>
      </c>
      <c r="L21" s="39">
        <f t="shared" si="0"/>
        <v>94589.3074477225</v>
      </c>
      <c r="M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97543.1969137126</v>
      </c>
      <c r="N21" s="39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76424.4045516605</v>
      </c>
      <c r="O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51338.5246914277</v>
      </c>
      <c r="P21" s="39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46066.3793445883</v>
      </c>
      <c r="Q21" s="29">
        <v>1</v>
      </c>
      <c r="R21" s="40" t="s">
        <v>99</v>
      </c>
      <c r="S21" s="40" t="s">
        <v>91</v>
      </c>
      <c r="T21" s="40" t="s">
        <v>94</v>
      </c>
      <c r="U21" s="40" t="s">
        <v>106</v>
      </c>
      <c r="V21" s="40" t="s">
        <v>81</v>
      </c>
      <c r="W21" s="40" t="s">
        <v>100</v>
      </c>
      <c r="X21" s="40" t="s">
        <v>80</v>
      </c>
      <c r="Y21" s="40" t="s">
        <v>80</v>
      </c>
      <c r="Z21" s="40" t="s">
        <v>110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80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s="40" t="s">
        <v>80</v>
      </c>
      <c r="AM21" t="str">
        <f>VLOOKUP($R21,武学奇术!$A:$ZZ,25,FALSE)</f>
        <v>伞</v>
      </c>
      <c r="AN21" s="24">
        <f>VLOOKUP($R21,武学奇术!$A:$ZZ,26,FALSE)</f>
        <v>2.3397</v>
      </c>
      <c r="AO21" s="25">
        <f>VLOOKUP($R21,武学奇术!$A:$ZZ,27,FALSE)*(1+IF(OR($AM21=$F$4,$AM21=$F$5),$B$21,0))</f>
        <v>1036.8</v>
      </c>
      <c r="AP21" s="24">
        <f>VLOOKUP($R21,武学奇术!$A:$ZZ,28,FALSE)</f>
        <v>3.5095</v>
      </c>
      <c r="AQ21" s="25">
        <f>VLOOKUP($R21,武学奇术!$A:$ZZ,29,FALSE)*(1+IF(OR($AM21=$F$4,$AM21=$F$5),$B$21,0))</f>
        <v>564.8</v>
      </c>
      <c r="AR21" s="24" cm="1">
        <f t="array" ref="AR21">$G$3+IFERROR(VLOOKUP($AM21,$F$4:$G$7,2,FALSE),0)+VLOOKUP($R21,武学奇术!$A:$ZZ,2,FALSE)+SUM(_xlfn.XLOOKUP($S21:$AL21,增益!$A:$A,增益!$B:$B,0))</f>
        <v>0.9743</v>
      </c>
      <c r="AS21" s="24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4126.3125</v>
      </c>
      <c r="AU21" cm="1">
        <f t="array" ref="AU21">$E$10*(1+$AS21)+VLOOKUP($R21,武学奇术!$A:$ZZ,4,FALSE)+SUM(_xlfn.XLOOKUP($S21:$AL21,增益!$A:$A,增益!$D:$D,0))-$I$2</f>
        <v>4126.3125</v>
      </c>
      <c r="AV21" s="33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0.3189</v>
      </c>
      <c r="AW21" s="33" cm="1">
        <f t="array" ref="AW21">$G$10+VLOOKUP($R21,武学奇术!$A:$ZZ,7,FALSE)+SUM(_xlfn.XLOOKUP($S21:$AL21,增益!$A:$A,增益!$G:$G,0))</f>
        <v>0.125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3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3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3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3" cm="1">
        <f t="array" ref="BF21">$G$12+VLOOKUP($R21,武学奇术!$A:$ZZ,12,FALSE)+SUM(_xlfn.XLOOKUP($S21:$AL21,增益!$A:$A,增益!$L:$L,0))</f>
        <v>0</v>
      </c>
      <c r="BG21">
        <f t="shared" si="5"/>
        <v>618.2</v>
      </c>
      <c r="BH21">
        <f t="shared" si="6"/>
        <v>1567.4</v>
      </c>
      <c r="BI21" s="33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</v>
      </c>
      <c r="BJ21" s="33" cm="1">
        <f t="array" ref="BJ21">$G$13+VLOOKUP($R21,武学奇术!$A:$ZZ,14,FALSE)+SUM(_xlfn.XLOOKUP($S21:$AL21,增益!$A:$A,增益!$N:$N,0))</f>
        <v>0.25</v>
      </c>
      <c r="BK21">
        <f t="shared" si="7"/>
        <v>0</v>
      </c>
      <c r="BL21">
        <f t="shared" si="8"/>
        <v>0</v>
      </c>
      <c r="BM21" s="33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3" cm="1">
        <f t="array" ref="BN21">$G$14+VLOOKUP($R21,武学奇术!$A:$ZZ,16,FALSE)+SUM(_xlfn.XLOOKUP($S21:$AL21,增益!$A:$A,增益!$P:$P,0))</f>
        <v>0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4" cm="1">
        <f t="array" ref="BQ21">1+$B$13+VLOOKUP($R21,武学奇术!$A:$ZZ,18,FALSE)+SUM(_xlfn.XLOOKUP($S21:$AL21,增益!$A:$A,增益!$R:$R,0))</f>
        <v>1.9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0.8865</v>
      </c>
      <c r="BU21" s="24">
        <f t="shared" si="10"/>
        <v>0.0222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0.06</v>
      </c>
      <c r="BX21" s="24" cm="1">
        <f t="array" ref="BX21">VLOOKUP($R21,武学奇术!$A:$ZZ,32,FALSE)+SUM(_xlfn.XLOOKUP($S21:$AL21,增益!$A:$A,增益!$X:$X,0))</f>
        <v>0.1</v>
      </c>
    </row>
    <row r="22" spans="1:76">
      <c r="A22" s="89" t="s">
        <v>147</v>
      </c>
      <c r="B22" s="90">
        <f>期望!B22</f>
        <v>240</v>
      </c>
      <c r="C22" s="29" t="s">
        <v>148</v>
      </c>
      <c r="D22" s="80" t="s">
        <v>145</v>
      </c>
      <c r="E22" s="29" t="str">
        <f>期望!E22</f>
        <v>春雷篇</v>
      </c>
      <c r="F22" s="29"/>
      <c r="K22" s="39">
        <f>$L22*VLOOKUP($R22,武学奇术!$A:$ZY,31,FALSE)</f>
        <v>38606.1448602439</v>
      </c>
      <c r="L22" s="39">
        <f t="shared" si="0"/>
        <v>36767.7570097561</v>
      </c>
      <c r="M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37166.0393671678</v>
      </c>
      <c r="N22" s="39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35972.5403381333</v>
      </c>
      <c r="O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24133.7917968622</v>
      </c>
      <c r="P22" s="39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21621.2574173293</v>
      </c>
      <c r="Q22" s="29">
        <v>1</v>
      </c>
      <c r="R22" s="40" t="s">
        <v>108</v>
      </c>
      <c r="S22" s="40" t="s">
        <v>91</v>
      </c>
      <c r="T22" s="40" t="s">
        <v>94</v>
      </c>
      <c r="U22" s="40" t="s">
        <v>80</v>
      </c>
      <c r="V22" s="40" t="s">
        <v>81</v>
      </c>
      <c r="W22" s="40" t="s">
        <v>80</v>
      </c>
      <c r="X22" s="40" t="s">
        <v>80</v>
      </c>
      <c r="Y22" s="40" t="s">
        <v>80</v>
      </c>
      <c r="Z22" s="40" t="s">
        <v>110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80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s="40" t="s">
        <v>80</v>
      </c>
      <c r="AM22" t="str">
        <f>VLOOKUP($R22,武学奇术!$A:$ZZ,25,FALSE)</f>
        <v>伞</v>
      </c>
      <c r="AN22" s="24">
        <f>VLOOKUP($R22,武学奇术!$A:$ZZ,26,FALSE)</f>
        <v>1.7001</v>
      </c>
      <c r="AO22" s="25">
        <f>VLOOKUP($R22,武学奇术!$A:$ZZ,27,FALSE)*(1+IF(OR($AM22=$F$4,$AM22=$F$5),$B$21,0))</f>
        <v>753.6</v>
      </c>
      <c r="AP22" s="24">
        <f>VLOOKUP($R22,武学奇术!$A:$ZZ,28,FALSE)</f>
        <v>2.5502</v>
      </c>
      <c r="AQ22" s="25">
        <f>VLOOKUP($R22,武学奇术!$A:$ZZ,29,FALSE)*(1+IF(OR($AM22=$F$4,$AM22=$F$5),$B$21,0))</f>
        <v>409.6</v>
      </c>
      <c r="AR22" s="24" cm="1">
        <f t="array" ref="AR22">$G$3+IFERROR(VLOOKUP($AM22,$F$4:$G$7,2,FALSE),0)+VLOOKUP($R22,武学奇术!$A:$ZZ,2,FALSE)+SUM(_xlfn.XLOOKUP($S22:$AL22,增益!$A:$A,增益!$B:$B,0))</f>
        <v>0.4243</v>
      </c>
      <c r="AS22" s="24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4126.3125</v>
      </c>
      <c r="AU22" cm="1">
        <f t="array" ref="AU22">$E$10*(1+$AS22)+VLOOKUP($R22,武学奇术!$A:$ZZ,4,FALSE)+SUM(_xlfn.XLOOKUP($S22:$AL22,增益!$A:$A,增益!$D:$D,0))-$I$2</f>
        <v>4126.3125</v>
      </c>
      <c r="AV22" s="33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0.2939</v>
      </c>
      <c r="AW22" s="33" cm="1">
        <f t="array" ref="AW22">$G$10+VLOOKUP($R22,武学奇术!$A:$ZZ,7,FALSE)+SUM(_xlfn.XLOOKUP($S22:$AL22,增益!$A:$A,增益!$G:$G,0))</f>
        <v>0.125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3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3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3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3" cm="1">
        <f t="array" ref="BF22">$G$12+VLOOKUP($R22,武学奇术!$A:$ZZ,12,FALSE)+SUM(_xlfn.XLOOKUP($S22:$AL22,增益!$A:$A,增益!$L:$L,0))</f>
        <v>0</v>
      </c>
      <c r="BG22">
        <f t="shared" si="5"/>
        <v>618.2</v>
      </c>
      <c r="BH22">
        <f t="shared" si="6"/>
        <v>1567.4</v>
      </c>
      <c r="BI22" s="33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</v>
      </c>
      <c r="BJ22" s="33" cm="1">
        <f t="array" ref="BJ22">$G$13+VLOOKUP($R22,武学奇术!$A:$ZZ,14,FALSE)+SUM(_xlfn.XLOOKUP($S22:$AL22,增益!$A:$A,增益!$N:$N,0))</f>
        <v>0.25</v>
      </c>
      <c r="BK22">
        <f t="shared" si="7"/>
        <v>0</v>
      </c>
      <c r="BL22">
        <f t="shared" si="8"/>
        <v>0</v>
      </c>
      <c r="BM22" s="33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3" cm="1">
        <f t="array" ref="BN22">$G$14+VLOOKUP($R22,武学奇术!$A:$ZZ,16,FALSE)+SUM(_xlfn.XLOOKUP($S22:$AL22,增益!$A:$A,增益!$P:$P,0))</f>
        <v>0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4" cm="1">
        <f t="array" ref="BQ22">1+$B$13+VLOOKUP($R22,武学奇术!$A:$ZZ,18,FALSE)+SUM(_xlfn.XLOOKUP($S22:$AL22,增益!$A:$A,增益!$R:$R,0))</f>
        <v>1.54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0.8865</v>
      </c>
      <c r="BU22" s="24">
        <f t="shared" si="10"/>
        <v>0.0222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0.06</v>
      </c>
      <c r="BX22" s="24" cm="1">
        <f t="array" ref="BX22">VLOOKUP($R22,武学奇术!$A:$ZZ,32,FALSE)+SUM(_xlfn.XLOOKUP($S22:$AL22,增益!$A:$A,增益!$X:$X,0))</f>
        <v>0</v>
      </c>
    </row>
    <row r="23" spans="1:76">
      <c r="A23" s="89"/>
      <c r="B23" s="90">
        <f>期望!B23</f>
        <v>480</v>
      </c>
      <c r="C23" s="29" t="s">
        <v>150</v>
      </c>
      <c r="D23" s="80" t="s">
        <v>145</v>
      </c>
      <c r="E23" s="29" t="s">
        <v>151</v>
      </c>
      <c r="F23" s="29"/>
      <c r="K23" s="39">
        <f>$L23*VLOOKUP($R23,武学奇术!$A:$ZY,31,FALSE)</f>
        <v>16277.9734482589</v>
      </c>
      <c r="L23" s="39">
        <f t="shared" si="0"/>
        <v>15502.8318554847</v>
      </c>
      <c r="M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15681.1969845385</v>
      </c>
      <c r="N23" s="39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15080.5642964683</v>
      </c>
      <c r="O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10116.9012803474</v>
      </c>
      <c r="P23" s="39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9063.01419294056</v>
      </c>
      <c r="Q23" s="29">
        <v>1</v>
      </c>
      <c r="R23" s="40" t="s">
        <v>113</v>
      </c>
      <c r="S23" s="40" t="s">
        <v>91</v>
      </c>
      <c r="T23" s="40" t="s">
        <v>152</v>
      </c>
      <c r="U23" s="40" t="s">
        <v>80</v>
      </c>
      <c r="V23" s="40" t="s">
        <v>81</v>
      </c>
      <c r="W23" s="40" t="s">
        <v>80</v>
      </c>
      <c r="X23" s="40" t="s">
        <v>80</v>
      </c>
      <c r="Y23" s="40" t="s">
        <v>80</v>
      </c>
      <c r="Z23" s="40" t="s">
        <v>110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80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s="40" t="s">
        <v>80</v>
      </c>
      <c r="AM23" t="str">
        <f>VLOOKUP($R23,武学奇术!$A:$ZZ,25,FALSE)</f>
        <v>伞</v>
      </c>
      <c r="AN23" s="24">
        <f>VLOOKUP($R23,武学奇术!$A:$ZZ,26,FALSE)</f>
        <v>0.54</v>
      </c>
      <c r="AO23" s="25">
        <f>VLOOKUP($R23,武学奇术!$A:$ZZ,27,FALSE)*(1+IF(OR($AM23=$F$4,$AM23=$F$5),$B$21,0))</f>
        <v>236.8</v>
      </c>
      <c r="AP23" s="24">
        <f>VLOOKUP($R23,武学奇术!$A:$ZZ,28,FALSE)</f>
        <v>0.81</v>
      </c>
      <c r="AQ23" s="25">
        <f>VLOOKUP($R23,武学奇术!$A:$ZZ,29,FALSE)*(1+IF(OR($AM23=$F$4,$AM23=$F$5),$B$21,0))</f>
        <v>130.4</v>
      </c>
      <c r="AR23" s="24" cm="1">
        <f t="array" ref="AR23">$G$3+IFERROR(VLOOKUP($AM23,$F$4:$G$7,2,FALSE),0)+VLOOKUP($R23,武学奇术!$A:$ZZ,2,FALSE)+SUM(_xlfn.XLOOKUP($S23:$AL23,增益!$A:$A,增益!$B:$B,0))</f>
        <v>0.4243</v>
      </c>
      <c r="AS23" s="24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4126.3125</v>
      </c>
      <c r="AU23" cm="1">
        <f t="array" ref="AU23">$E$10*(1+$AS23)+VLOOKUP($R23,武学奇术!$A:$ZZ,4,FALSE)+SUM(_xlfn.XLOOKUP($S23:$AL23,增益!$A:$A,增益!$D:$D,0))-$I$2</f>
        <v>4126.3125</v>
      </c>
      <c r="AV23" s="33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0.2939</v>
      </c>
      <c r="AW23" s="33" cm="1">
        <f t="array" ref="AW23">$G$10+VLOOKUP($R23,武学奇术!$A:$ZZ,7,FALSE)+SUM(_xlfn.XLOOKUP($S23:$AL23,增益!$A:$A,增益!$G:$G,0))</f>
        <v>0.125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3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3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3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3" cm="1">
        <f t="array" ref="BF23">$G$12+VLOOKUP($R23,武学奇术!$A:$ZZ,12,FALSE)+SUM(_xlfn.XLOOKUP($S23:$AL23,增益!$A:$A,增益!$L:$L,0))</f>
        <v>0</v>
      </c>
      <c r="BG23">
        <f t="shared" si="5"/>
        <v>618.2</v>
      </c>
      <c r="BH23">
        <f t="shared" si="6"/>
        <v>1567.4</v>
      </c>
      <c r="BI23" s="33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</v>
      </c>
      <c r="BJ23" s="33" cm="1">
        <f t="array" ref="BJ23">$G$13+VLOOKUP($R23,武学奇术!$A:$ZZ,14,FALSE)+SUM(_xlfn.XLOOKUP($S23:$AL23,增益!$A:$A,增益!$N:$N,0))</f>
        <v>0.25</v>
      </c>
      <c r="BK23">
        <f t="shared" si="7"/>
        <v>0</v>
      </c>
      <c r="BL23">
        <f t="shared" si="8"/>
        <v>0</v>
      </c>
      <c r="BM23" s="33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3" cm="1">
        <f t="array" ref="BN23">$G$14+VLOOKUP($R23,武学奇术!$A:$ZZ,16,FALSE)+SUM(_xlfn.XLOOKUP($S23:$AL23,增益!$A:$A,增益!$P:$P,0))</f>
        <v>0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4" cm="1">
        <f t="array" ref="BQ23">1+$B$13+VLOOKUP($R23,武学奇术!$A:$ZZ,18,FALSE)+SUM(_xlfn.XLOOKUP($S23:$AL23,增益!$A:$A,增益!$R:$R,0))</f>
        <v>1.55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0.8865</v>
      </c>
      <c r="BU23" s="24">
        <f t="shared" si="10"/>
        <v>0.0222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0.06</v>
      </c>
      <c r="BX23" s="24" cm="1">
        <f t="array" ref="BX23">VLOOKUP($R23,武学奇术!$A:$ZZ,32,FALSE)+SUM(_xlfn.XLOOKUP($S23:$AL23,增益!$A:$A,增益!$X:$X,0))</f>
        <v>0</v>
      </c>
    </row>
    <row r="24" spans="1:76">
      <c r="E24" s="29" t="str">
        <f>期望!E24</f>
        <v>奇术</v>
      </c>
      <c r="F24" s="29"/>
      <c r="K24" s="39">
        <f>$L24*VLOOKUP($R24,武学奇术!$A:$ZY,31,FALSE)</f>
        <v>294208.265185659</v>
      </c>
      <c r="L24" s="39">
        <f t="shared" si="0"/>
        <v>280198.347795866</v>
      </c>
      <c r="M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289077.887525164</v>
      </c>
      <c r="N24" s="39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225310.379229191</v>
      </c>
      <c r="O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151349.679332547</v>
      </c>
      <c r="P24" s="39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135802.781458285</v>
      </c>
      <c r="Q24" s="29">
        <v>4.5</v>
      </c>
      <c r="R24" s="40" t="s">
        <v>115</v>
      </c>
      <c r="S24" s="40" t="s">
        <v>91</v>
      </c>
      <c r="T24" s="40" t="s">
        <v>152</v>
      </c>
      <c r="U24" s="40" t="s">
        <v>106</v>
      </c>
      <c r="V24" s="40" t="s">
        <v>81</v>
      </c>
      <c r="W24" s="40" t="s">
        <v>100</v>
      </c>
      <c r="X24" s="40" t="s">
        <v>80</v>
      </c>
      <c r="Y24" s="40" t="s">
        <v>80</v>
      </c>
      <c r="Z24" s="40" t="s">
        <v>110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80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s="40" t="s">
        <v>80</v>
      </c>
      <c r="AM24" t="str">
        <f>VLOOKUP($R24,武学奇术!$A:$ZZ,25,FALSE)</f>
        <v>伞</v>
      </c>
      <c r="AN24" s="24">
        <f>VLOOKUP($R24,武学奇术!$A:$ZZ,26,FALSE)</f>
        <v>1.0217</v>
      </c>
      <c r="AO24" s="25">
        <f>VLOOKUP($R24,武学奇术!$A:$ZZ,27,FALSE)*(1+IF(OR($AM24=$F$4,$AM24=$F$5),$B$21,0))</f>
        <v>451.2</v>
      </c>
      <c r="AP24" s="24">
        <f>VLOOKUP($R24,武学奇术!$A:$ZZ,28,FALSE)</f>
        <v>1.5325</v>
      </c>
      <c r="AQ24" s="25">
        <f>VLOOKUP($R24,武学奇术!$A:$ZZ,29,FALSE)*(1+IF(OR($AM24=$F$4,$AM24=$F$5),$B$21,0))</f>
        <v>246.4</v>
      </c>
      <c r="AR24" s="24" cm="1">
        <f t="array" ref="AR24">$G$3+IFERROR(VLOOKUP($AM24,$F$4:$G$7,2,FALSE),0)+VLOOKUP($R24,武学奇术!$A:$ZZ,2,FALSE)+SUM(_xlfn.XLOOKUP($S24:$AL24,增益!$A:$A,增益!$B:$B,0))</f>
        <v>0.9743</v>
      </c>
      <c r="AS24" s="24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4126.3125</v>
      </c>
      <c r="AU24" cm="1">
        <f t="array" ref="AU24">$E$10*(1+$AS24)+VLOOKUP($R24,武学奇术!$A:$ZZ,4,FALSE)+SUM(_xlfn.XLOOKUP($S24:$AL24,增益!$A:$A,增益!$D:$D,0))-$I$2</f>
        <v>4126.3125</v>
      </c>
      <c r="AV24" s="33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0.3189</v>
      </c>
      <c r="AW24" s="33" cm="1">
        <f t="array" ref="AW24">$G$10+VLOOKUP($R24,武学奇术!$A:$ZZ,7,FALSE)+SUM(_xlfn.XLOOKUP($S24:$AL24,增益!$A:$A,增益!$G:$G,0))</f>
        <v>0.125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3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3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3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3" cm="1">
        <f t="array" ref="BF24">$G$12+VLOOKUP($R24,武学奇术!$A:$ZZ,12,FALSE)+SUM(_xlfn.XLOOKUP($S24:$AL24,增益!$A:$A,增益!$L:$L,0))</f>
        <v>0</v>
      </c>
      <c r="BG24">
        <f t="shared" si="5"/>
        <v>618.2</v>
      </c>
      <c r="BH24">
        <f t="shared" si="6"/>
        <v>1567.4</v>
      </c>
      <c r="BI24" s="33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</v>
      </c>
      <c r="BJ24" s="33" cm="1">
        <f t="array" ref="BJ24">$G$13+VLOOKUP($R24,武学奇术!$A:$ZZ,14,FALSE)+SUM(_xlfn.XLOOKUP($S24:$AL24,增益!$A:$A,增益!$N:$N,0))</f>
        <v>0.25</v>
      </c>
      <c r="BK24">
        <f t="shared" si="7"/>
        <v>0</v>
      </c>
      <c r="BL24">
        <f t="shared" si="8"/>
        <v>0</v>
      </c>
      <c r="BM24" s="33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3" cm="1">
        <f t="array" ref="BN24">$G$14+VLOOKUP($R24,武学奇术!$A:$ZZ,16,FALSE)+SUM(_xlfn.XLOOKUP($S24:$AL24,增益!$A:$A,增益!$P:$P,0))</f>
        <v>0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4" cm="1">
        <f t="array" ref="BQ24">1+$B$13+VLOOKUP($R24,武学奇术!$A:$ZZ,18,FALSE)+SUM(_xlfn.XLOOKUP($S24:$AL24,增益!$A:$A,增益!$R:$R,0))</f>
        <v>1.91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0.8865</v>
      </c>
      <c r="BU24" s="24">
        <f t="shared" si="10"/>
        <v>0.0222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0.06</v>
      </c>
      <c r="BX24" s="24" cm="1">
        <f t="array" ref="BX24">VLOOKUP($R24,武学奇术!$A:$ZZ,32,FALSE)+SUM(_xlfn.XLOOKUP($S24:$AL24,增益!$A:$A,增益!$X:$X,0))</f>
        <v>0.25</v>
      </c>
    </row>
    <row r="25" spans="1:76">
      <c r="K25" s="39">
        <f>$L25*VLOOKUP($R25,武学奇术!$A:$ZY,31,FALSE)</f>
        <v>361309.747135708</v>
      </c>
      <c r="L25" s="39">
        <f t="shared" si="0"/>
        <v>344104.521081626</v>
      </c>
      <c r="M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355167.247500376</v>
      </c>
      <c r="N25" s="39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275379.352391234</v>
      </c>
      <c r="O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184982.941406446</v>
      </c>
      <c r="P25" s="39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165981.177337904</v>
      </c>
      <c r="Q25" s="29">
        <v>5.5</v>
      </c>
      <c r="R25" s="40" t="s">
        <v>115</v>
      </c>
      <c r="S25" s="40" t="s">
        <v>91</v>
      </c>
      <c r="T25" s="40" t="s">
        <v>154</v>
      </c>
      <c r="U25" s="40" t="s">
        <v>106</v>
      </c>
      <c r="V25" s="40" t="s">
        <v>81</v>
      </c>
      <c r="W25" s="40" t="s">
        <v>100</v>
      </c>
      <c r="X25" s="40" t="s">
        <v>80</v>
      </c>
      <c r="Y25" s="40" t="s">
        <v>80</v>
      </c>
      <c r="Z25" s="40" t="s">
        <v>110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80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s="40" t="s">
        <v>80</v>
      </c>
      <c r="AM25" t="str">
        <f>VLOOKUP($R25,武学奇术!$A:$ZZ,25,FALSE)</f>
        <v>伞</v>
      </c>
      <c r="AN25" s="24">
        <f>VLOOKUP($R25,武学奇术!$A:$ZZ,26,FALSE)</f>
        <v>1.0217</v>
      </c>
      <c r="AO25" s="25">
        <f>VLOOKUP($R25,武学奇术!$A:$ZZ,27,FALSE)*(1+IF(OR($AM25=$F$4,$AM25=$F$5),$B$21,0))</f>
        <v>451.2</v>
      </c>
      <c r="AP25" s="24">
        <f>VLOOKUP($R25,武学奇术!$A:$ZZ,28,FALSE)</f>
        <v>1.5325</v>
      </c>
      <c r="AQ25" s="25">
        <f>VLOOKUP($R25,武学奇术!$A:$ZZ,29,FALSE)*(1+IF(OR($AM25=$F$4,$AM25=$F$5),$B$21,0))</f>
        <v>246.4</v>
      </c>
      <c r="AR25" s="24" cm="1">
        <f t="array" ref="AR25">$G$3+IFERROR(VLOOKUP($AM25,$F$4:$G$7,2,FALSE),0)+VLOOKUP($R25,武学奇术!$A:$ZZ,2,FALSE)+SUM(_xlfn.XLOOKUP($S25:$AL25,增益!$A:$A,增益!$B:$B,0))</f>
        <v>0.9743</v>
      </c>
      <c r="AS25" s="24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4126.3125</v>
      </c>
      <c r="AU25" cm="1">
        <f t="array" ref="AU25">$E$10*(1+$AS25)+VLOOKUP($R25,武学奇术!$A:$ZZ,4,FALSE)+SUM(_xlfn.XLOOKUP($S25:$AL25,增益!$A:$A,增益!$D:$D,0))-$I$2</f>
        <v>4126.3125</v>
      </c>
      <c r="AV25" s="33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0.3189</v>
      </c>
      <c r="AW25" s="33" cm="1">
        <f t="array" ref="AW25">$G$10+VLOOKUP($R25,武学奇术!$A:$ZZ,7,FALSE)+SUM(_xlfn.XLOOKUP($S25:$AL25,增益!$A:$A,增益!$G:$G,0))</f>
        <v>0.125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3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3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3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3" cm="1">
        <f t="array" ref="BF25">$G$12+VLOOKUP($R25,武学奇术!$A:$ZZ,12,FALSE)+SUM(_xlfn.XLOOKUP($S25:$AL25,增益!$A:$A,增益!$L:$L,0))</f>
        <v>0</v>
      </c>
      <c r="BG25">
        <f t="shared" si="5"/>
        <v>618.2</v>
      </c>
      <c r="BH25">
        <f t="shared" si="6"/>
        <v>1567.4</v>
      </c>
      <c r="BI25" s="33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</v>
      </c>
      <c r="BJ25" s="33" cm="1">
        <f t="array" ref="BJ25">$G$13+VLOOKUP($R25,武学奇术!$A:$ZZ,14,FALSE)+SUM(_xlfn.XLOOKUP($S25:$AL25,增益!$A:$A,增益!$N:$N,0))</f>
        <v>0.25</v>
      </c>
      <c r="BK25">
        <f t="shared" si="7"/>
        <v>0</v>
      </c>
      <c r="BL25">
        <f t="shared" si="8"/>
        <v>0</v>
      </c>
      <c r="BM25" s="33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3" cm="1">
        <f t="array" ref="BN25">$G$14+VLOOKUP($R25,武学奇术!$A:$ZZ,16,FALSE)+SUM(_xlfn.XLOOKUP($S25:$AL25,增益!$A:$A,增益!$P:$P,0))</f>
        <v>0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4" cm="1">
        <f t="array" ref="BQ25">1+$B$13+VLOOKUP($R25,武学奇术!$A:$ZZ,18,FALSE)+SUM(_xlfn.XLOOKUP($S25:$AL25,增益!$A:$A,增益!$R:$R,0))</f>
        <v>1.92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0.8865</v>
      </c>
      <c r="BU25" s="24">
        <f t="shared" si="10"/>
        <v>0.0222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0.06</v>
      </c>
      <c r="BX25" s="24" cm="1">
        <f t="array" ref="BX25">VLOOKUP($R25,武学奇术!$A:$ZZ,32,FALSE)+SUM(_xlfn.XLOOKUP($S25:$AL25,增益!$A:$A,增益!$X:$X,0))</f>
        <v>0.25</v>
      </c>
    </row>
    <row r="26" spans="1:76">
      <c r="K26" s="39">
        <f>$L26*VLOOKUP($R26,武学奇术!$A:$ZY,31,FALSE)</f>
        <v>17777.9861857197</v>
      </c>
      <c r="L26" s="39">
        <f t="shared" si="0"/>
        <v>16931.4154149712</v>
      </c>
      <c r="M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17126.8518794294</v>
      </c>
      <c r="N26" s="39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16463.9704996296</v>
      </c>
      <c r="O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11049.5818576964</v>
      </c>
      <c r="P26" s="39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9903.6300119634</v>
      </c>
      <c r="Q26" s="29">
        <v>1</v>
      </c>
      <c r="R26" s="40" t="s">
        <v>155</v>
      </c>
      <c r="S26" s="40" t="s">
        <v>121</v>
      </c>
      <c r="T26" s="40" t="s">
        <v>152</v>
      </c>
      <c r="U26" s="40" t="s">
        <v>80</v>
      </c>
      <c r="V26" s="40" t="s">
        <v>81</v>
      </c>
      <c r="W26" s="40" t="s">
        <v>80</v>
      </c>
      <c r="X26" s="40" t="s">
        <v>80</v>
      </c>
      <c r="Y26" s="40" t="s">
        <v>80</v>
      </c>
      <c r="Z26" s="40" t="s">
        <v>110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80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s="40" t="s">
        <v>80</v>
      </c>
      <c r="AM26" t="str">
        <f>VLOOKUP($R26,武学奇术!$A:$ZZ,25,FALSE)</f>
        <v>扇</v>
      </c>
      <c r="AN26" s="24">
        <f>VLOOKUP($R26,武学奇术!$A:$ZZ,26,FALSE)</f>
        <v>0.9271</v>
      </c>
      <c r="AO26" s="25">
        <f>VLOOKUP($R26,武学奇术!$A:$ZZ,27,FALSE)*(1+IF(OR($AM26=$F$4,$AM26=$F$5),$B$21,0))</f>
        <v>411.2</v>
      </c>
      <c r="AP26" s="24">
        <f>VLOOKUP($R26,武学奇术!$A:$ZZ,28,FALSE)</f>
        <v>1.3907</v>
      </c>
      <c r="AQ26" s="25">
        <f>VLOOKUP($R26,武学奇术!$A:$ZZ,29,FALSE)*(1+IF(OR($AM26=$F$4,$AM26=$F$5),$B$21,0))</f>
        <v>224</v>
      </c>
      <c r="AR26" s="24" cm="1">
        <f t="array" ref="AR26">$G$3+IFERROR(VLOOKUP($AM26,$F$4:$G$7,2,FALSE),0)+VLOOKUP($R26,武学奇术!$A:$ZZ,2,FALSE)+SUM(_xlfn.XLOOKUP($S26:$AL26,增益!$A:$A,增益!$B:$B,0))</f>
        <v>0.4243</v>
      </c>
      <c r="AS26" s="24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4126.3125</v>
      </c>
      <c r="AU26" cm="1">
        <f t="array" ref="AU26">$E$10*(1+$AS26)+VLOOKUP($R26,武学奇术!$A:$ZZ,4,FALSE)+SUM(_xlfn.XLOOKUP($S26:$AL26,增益!$A:$A,增益!$D:$D,0))-$I$2</f>
        <v>4126.3125</v>
      </c>
      <c r="AV26" s="33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0.1939</v>
      </c>
      <c r="AW26" s="33" cm="1">
        <f t="array" ref="AW26">$G$10+VLOOKUP($R26,武学奇术!$A:$ZZ,7,FALSE)+SUM(_xlfn.XLOOKUP($S26:$AL26,增益!$A:$A,增益!$G:$G,0))</f>
        <v>0.025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3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3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3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3" cm="1">
        <f t="array" ref="BF26">$G$12+VLOOKUP($R26,武学奇术!$A:$ZZ,12,FALSE)+SUM(_xlfn.XLOOKUP($S26:$AL26,增益!$A:$A,增益!$L:$L,0))</f>
        <v>0</v>
      </c>
      <c r="BG26">
        <f t="shared" si="5"/>
        <v>618.2</v>
      </c>
      <c r="BH26">
        <f t="shared" si="6"/>
        <v>1567.4</v>
      </c>
      <c r="BI26" s="33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3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3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3" cm="1">
        <f t="array" ref="BN26">$G$14+VLOOKUP($R26,武学奇术!$A:$ZZ,16,FALSE)+SUM(_xlfn.XLOOKUP($S26:$AL26,增益!$A:$A,增益!$P:$P,0))</f>
        <v>0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4" cm="1">
        <f t="array" ref="BQ26">1+$B$13+VLOOKUP($R26,武学奇术!$A:$ZZ,18,FALSE)+SUM(_xlfn.XLOOKUP($S26:$AL26,增益!$A:$A,增益!$R:$R,0))</f>
        <v>1.55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0.8865</v>
      </c>
      <c r="BU26" s="24">
        <f t="shared" si="10"/>
        <v>0.0222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0.06</v>
      </c>
      <c r="BX26" s="24" cm="1">
        <f t="array" ref="BX26">VLOOKUP($R26,武学奇术!$A:$ZZ,32,FALSE)+SUM(_xlfn.XLOOKUP($S26:$AL26,增益!$A:$A,增益!$X:$X,0))</f>
        <v>0</v>
      </c>
    </row>
    <row r="27" spans="1:76">
      <c r="A27" t="s">
        <v>177</v>
      </c>
      <c r="B27">
        <v>-5</v>
      </c>
      <c r="K27" s="39">
        <f>$L27*VLOOKUP($R27,武学奇术!$A:$ZY,31,FALSE)</f>
        <v>0</v>
      </c>
      <c r="L27" s="39">
        <f t="shared" si="0"/>
        <v>0</v>
      </c>
      <c r="M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0</v>
      </c>
      <c r="N27" s="39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0</v>
      </c>
      <c r="O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0</v>
      </c>
      <c r="P27" s="39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0</v>
      </c>
      <c r="Q27" s="86">
        <f>IF($E$24="龙卷",1,0)</f>
        <v>0</v>
      </c>
      <c r="R27" s="40" t="s">
        <v>138</v>
      </c>
      <c r="S27" s="40" t="s">
        <v>121</v>
      </c>
      <c r="T27" s="40" t="s">
        <v>154</v>
      </c>
      <c r="U27" s="40" t="s">
        <v>80</v>
      </c>
      <c r="V27" s="40" t="s">
        <v>81</v>
      </c>
      <c r="W27" s="40" t="s">
        <v>100</v>
      </c>
      <c r="X27" s="40" t="s">
        <v>157</v>
      </c>
      <c r="Y27" s="40" t="s">
        <v>80</v>
      </c>
      <c r="Z27" s="40" t="s">
        <v>110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80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s="40" t="s">
        <v>80</v>
      </c>
      <c r="AM27" t="str">
        <f>VLOOKUP($R27,武学奇术!$A:$ZZ,25,FALSE)</f>
        <v>扇</v>
      </c>
      <c r="AN27" s="24">
        <f>VLOOKUP($R27,武学奇术!$A:$ZZ,26,FALSE)</f>
        <v>1.9044</v>
      </c>
      <c r="AO27" s="25">
        <f>VLOOKUP($R27,武学奇术!$A:$ZZ,27,FALSE)*(1+IF(OR($AM27=$F$4,$AM27=$F$5),$B$21,0))</f>
        <v>843.2</v>
      </c>
      <c r="AP27" s="24">
        <f>VLOOKUP($R27,武学奇术!$A:$ZZ,28,FALSE)</f>
        <v>2.8566</v>
      </c>
      <c r="AQ27" s="25">
        <f>VLOOKUP($R27,武学奇术!$A:$ZZ,29,FALSE)*(1+IF(OR($AM27=$F$4,$AM27=$F$5),$B$21,0))</f>
        <v>459.2</v>
      </c>
      <c r="AR27" s="24" cm="1">
        <f t="array" ref="AR27">$G$3+IFERROR(VLOOKUP($AM27,$F$4:$G$7,2,FALSE),0)+VLOOKUP($R27,武学奇术!$A:$ZZ,2,FALSE)+SUM(_xlfn.XLOOKUP($S27:$AL27,增益!$A:$A,增益!$B:$B,0))</f>
        <v>0.9243</v>
      </c>
      <c r="AS27" s="24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4126.3125</v>
      </c>
      <c r="AU27" cm="1">
        <f t="array" ref="AU27">$E$10*(1+$AS27)+VLOOKUP($R27,武学奇术!$A:$ZZ,4,FALSE)+SUM(_xlfn.XLOOKUP($S27:$AL27,增益!$A:$A,增益!$D:$D,0))-$I$2</f>
        <v>4126.3125</v>
      </c>
      <c r="AV27" s="33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0.2939</v>
      </c>
      <c r="AW27" s="33" cm="1">
        <f t="array" ref="AW27">$G$10+VLOOKUP($R27,武学奇术!$A:$ZZ,7,FALSE)+SUM(_xlfn.XLOOKUP($S27:$AL27,增益!$A:$A,增益!$G:$G,0))</f>
        <v>0.125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3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3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3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3" cm="1">
        <f t="array" ref="BF27">$G$12+VLOOKUP($R27,武学奇术!$A:$ZZ,12,FALSE)+SUM(_xlfn.XLOOKUP($S27:$AL27,增益!$A:$A,增益!$L:$L,0))</f>
        <v>0</v>
      </c>
      <c r="BG27">
        <f t="shared" si="5"/>
        <v>618.2</v>
      </c>
      <c r="BH27">
        <f t="shared" si="6"/>
        <v>1567.4</v>
      </c>
      <c r="BI27" s="33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</v>
      </c>
      <c r="BJ27" s="33" cm="1">
        <f t="array" ref="BJ27">$G$13+VLOOKUP($R27,武学奇术!$A:$ZZ,14,FALSE)+SUM(_xlfn.XLOOKUP($S27:$AL27,增益!$A:$A,增益!$N:$N,0))</f>
        <v>0.25</v>
      </c>
      <c r="BK27">
        <f t="shared" si="7"/>
        <v>0</v>
      </c>
      <c r="BL27">
        <f t="shared" si="8"/>
        <v>0</v>
      </c>
      <c r="BM27" s="33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3" cm="1">
        <f t="array" ref="BN27">$G$14+VLOOKUP($R27,武学奇术!$A:$ZZ,16,FALSE)+SUM(_xlfn.XLOOKUP($S27:$AL27,增益!$A:$A,增益!$P:$P,0))</f>
        <v>0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4" cm="1">
        <f t="array" ref="BQ27">1+$B$13+VLOOKUP($R27,武学奇术!$A:$ZZ,18,FALSE)+SUM(_xlfn.XLOOKUP($S27:$AL27,增益!$A:$A,增益!$R:$R,0))</f>
        <v>1.56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0.8865</v>
      </c>
      <c r="BU27" s="24">
        <f t="shared" si="10"/>
        <v>0.0222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0.06</v>
      </c>
      <c r="BX27" s="24" cm="1">
        <f t="array" ref="BX27">VLOOKUP($R27,武学奇术!$A:$ZZ,32,FALSE)+SUM(_xlfn.XLOOKUP($S27:$AL27,增益!$A:$A,增益!$X:$X,0))</f>
        <v>0.55</v>
      </c>
    </row>
    <row r="28" spans="1:76">
      <c r="A28" t="s">
        <v>194</v>
      </c>
      <c r="B28">
        <v>2.3</v>
      </c>
      <c r="K28" s="39">
        <f>$L28*VLOOKUP($R28,武学奇术!$A:$ZY,31,FALSE)</f>
        <v>230158.072407828</v>
      </c>
      <c r="L28" s="39">
        <f t="shared" si="0"/>
        <v>219198.164197931</v>
      </c>
      <c r="M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226224.328832676</v>
      </c>
      <c r="N28" s="39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175625.168517371</v>
      </c>
      <c r="O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117825.171267019</v>
      </c>
      <c r="P28" s="39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105557.625113762</v>
      </c>
      <c r="Q28" s="29">
        <v>1</v>
      </c>
      <c r="R28" s="40" t="s">
        <v>141</v>
      </c>
      <c r="S28" s="40" t="s">
        <v>91</v>
      </c>
      <c r="T28" s="40" t="s">
        <v>154</v>
      </c>
      <c r="U28" s="40" t="s">
        <v>80</v>
      </c>
      <c r="V28" s="40" t="s">
        <v>81</v>
      </c>
      <c r="W28" s="40" t="s">
        <v>142</v>
      </c>
      <c r="X28" s="40" t="s">
        <v>80</v>
      </c>
      <c r="Y28" s="40" t="s">
        <v>80</v>
      </c>
      <c r="Z28" s="40" t="s">
        <v>110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80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s="40" t="s">
        <v>80</v>
      </c>
      <c r="AM28" t="str">
        <f>VLOOKUP($R28,武学奇术!$A:$ZZ,25,FALSE)</f>
        <v>扇</v>
      </c>
      <c r="AN28" s="24">
        <f>VLOOKUP($R28,武学奇术!$A:$ZZ,26,FALSE)</f>
        <v>7.5463</v>
      </c>
      <c r="AO28" s="25">
        <f>VLOOKUP($R28,武学奇术!$A:$ZZ,27,FALSE)*(1+IF(OR($AM28=$F$4,$AM28=$F$5),$B$21,0))</f>
        <v>3339.2</v>
      </c>
      <c r="AP28" s="24">
        <f>VLOOKUP($R28,武学奇术!$A:$ZZ,28,FALSE)</f>
        <v>11.3195</v>
      </c>
      <c r="AQ28" s="25">
        <f>VLOOKUP($R28,武学奇术!$A:$ZZ,29,FALSE)*(1+IF(OR($AM28=$F$4,$AM28=$F$5),$B$21,0))</f>
        <v>1819.2</v>
      </c>
      <c r="AR28" s="24" cm="1">
        <f t="array" ref="AR28">$G$3+IFERROR(VLOOKUP($AM28,$F$4:$G$7,2,FALSE),0)+VLOOKUP($R28,武学奇术!$A:$ZZ,2,FALSE)+SUM(_xlfn.XLOOKUP($S28:$AL28,增益!$A:$A,增益!$B:$B,0))</f>
        <v>0.4243</v>
      </c>
      <c r="AS28" s="24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4126.3125</v>
      </c>
      <c r="AU28" cm="1">
        <f t="array" ref="AU28">$E$10*(1+$AS28)+VLOOKUP($R28,武学奇术!$A:$ZZ,4,FALSE)+SUM(_xlfn.XLOOKUP($S28:$AL28,增益!$A:$A,增益!$D:$D,0))-$I$2</f>
        <v>4126.3125</v>
      </c>
      <c r="AV28" s="33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0.2939</v>
      </c>
      <c r="AW28" s="33" cm="1">
        <f t="array" ref="AW28">$G$10+VLOOKUP($R28,武学奇术!$A:$ZZ,7,FALSE)+SUM(_xlfn.XLOOKUP($S28:$AL28,增益!$A:$A,增益!$G:$G,0))</f>
        <v>0.125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3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3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3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3" cm="1">
        <f t="array" ref="BF28">$G$12+VLOOKUP($R28,武学奇术!$A:$ZZ,12,FALSE)+SUM(_xlfn.XLOOKUP($S28:$AL28,增益!$A:$A,增益!$L:$L,0))</f>
        <v>0</v>
      </c>
      <c r="BG28">
        <f t="shared" si="5"/>
        <v>618.2</v>
      </c>
      <c r="BH28">
        <f t="shared" si="6"/>
        <v>1567.4</v>
      </c>
      <c r="BI28" s="33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</v>
      </c>
      <c r="BJ28" s="33" cm="1">
        <f t="array" ref="BJ28">$G$13+VLOOKUP($R28,武学奇术!$A:$ZZ,14,FALSE)+SUM(_xlfn.XLOOKUP($S28:$AL28,增益!$A:$A,增益!$N:$N,0))</f>
        <v>0.25</v>
      </c>
      <c r="BK28">
        <f t="shared" si="7"/>
        <v>0</v>
      </c>
      <c r="BL28">
        <f t="shared" si="8"/>
        <v>0</v>
      </c>
      <c r="BM28" s="33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3" cm="1">
        <f t="array" ref="BN28">$G$14+VLOOKUP($R28,武学奇术!$A:$ZZ,16,FALSE)+SUM(_xlfn.XLOOKUP($S28:$AL28,增益!$A:$A,增益!$P:$P,0))</f>
        <v>0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4" cm="1">
        <f t="array" ref="BQ28">1+$B$13+VLOOKUP($R28,武学奇术!$A:$ZZ,18,FALSE)+SUM(_xlfn.XLOOKUP($S28:$AL28,增益!$A:$A,增益!$R:$R,0))</f>
        <v>1.92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0.8865</v>
      </c>
      <c r="BU28" s="24">
        <f t="shared" si="10"/>
        <v>0.0222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0.06</v>
      </c>
      <c r="BX28" s="24" cm="1">
        <f t="array" ref="BX28">VLOOKUP($R28,武学奇术!$A:$ZZ,32,FALSE)+SUM(_xlfn.XLOOKUP($S28:$AL28,增益!$A:$A,增益!$X:$X,0))</f>
        <v>0.1</v>
      </c>
    </row>
    <row r="29" spans="1:76">
      <c r="A29" s="4" t="s">
        <v>159</v>
      </c>
      <c r="B29" s="4">
        <v>0.3</v>
      </c>
      <c r="K29" s="39">
        <f>$L29*VLOOKUP($R29,武学奇术!$A:$ZY,31,FALSE)</f>
        <v>47942.2820616284</v>
      </c>
      <c r="L29" s="39">
        <f t="shared" si="0"/>
        <v>45659.3162491699</v>
      </c>
      <c r="M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46925.3723581027</v>
      </c>
      <c r="N29" s="39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38199.2031065664</v>
      </c>
      <c r="O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25783.1716253311</v>
      </c>
      <c r="P29" s="39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23270.6372457983</v>
      </c>
      <c r="Q29" s="29">
        <v>1</v>
      </c>
      <c r="R29" s="40" t="s">
        <v>108</v>
      </c>
      <c r="S29" s="40" t="s">
        <v>91</v>
      </c>
      <c r="T29" s="40" t="s">
        <v>160</v>
      </c>
      <c r="U29" s="40" t="s">
        <v>80</v>
      </c>
      <c r="V29" s="40" t="s">
        <v>81</v>
      </c>
      <c r="W29" s="40" t="s">
        <v>80</v>
      </c>
      <c r="X29" s="40" t="s">
        <v>80</v>
      </c>
      <c r="Y29" s="40" t="s">
        <v>109</v>
      </c>
      <c r="Z29" s="40" t="s">
        <v>110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80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s="40" t="s">
        <v>80</v>
      </c>
      <c r="AM29" t="str">
        <f>VLOOKUP($R29,武学奇术!$A:$ZZ,25,FALSE)</f>
        <v>伞</v>
      </c>
      <c r="AN29" s="24">
        <f>VLOOKUP($R29,武学奇术!$A:$ZZ,26,FALSE)</f>
        <v>1.7001</v>
      </c>
      <c r="AO29" s="25">
        <f>VLOOKUP($R29,武学奇术!$A:$ZZ,27,FALSE)*(1+IF(OR($AM29=$F$4,$AM29=$F$5),$B$21,0))</f>
        <v>753.6</v>
      </c>
      <c r="AP29" s="24">
        <f>VLOOKUP($R29,武学奇术!$A:$ZZ,28,FALSE)</f>
        <v>2.5502</v>
      </c>
      <c r="AQ29" s="25">
        <f>VLOOKUP($R29,武学奇术!$A:$ZZ,29,FALSE)*(1+IF(OR($AM29=$F$4,$AM29=$F$5),$B$21,0))</f>
        <v>409.6</v>
      </c>
      <c r="AR29" s="24" cm="1">
        <f t="array" ref="AR29">$G$3+IFERROR(VLOOKUP($AM29,$F$4:$G$7,2,FALSE),0)+VLOOKUP($R29,武学奇术!$A:$ZZ,2,FALSE)+SUM(_xlfn.XLOOKUP($S29:$AL29,增益!$A:$A,增益!$B:$B,0))</f>
        <v>0.4243</v>
      </c>
      <c r="AS29" s="24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4126.3125</v>
      </c>
      <c r="AU29" cm="1">
        <f t="array" ref="AU29">$E$10*(1+$AS29)+VLOOKUP($R29,武学奇术!$A:$ZZ,4,FALSE)+SUM(_xlfn.XLOOKUP($S29:$AL29,增益!$A:$A,增益!$D:$D,0))-$I$2</f>
        <v>4126.3125</v>
      </c>
      <c r="AV29" s="33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0.4189</v>
      </c>
      <c r="AW29" s="33" cm="1">
        <f t="array" ref="AW29">$G$10+VLOOKUP($R29,武学奇术!$A:$ZZ,7,FALSE)+SUM(_xlfn.XLOOKUP($S29:$AL29,增益!$A:$A,增益!$G:$G,0))</f>
        <v>0.125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3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3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3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3" cm="1">
        <f t="array" ref="BF29">$G$12+VLOOKUP($R29,武学奇术!$A:$ZZ,12,FALSE)+SUM(_xlfn.XLOOKUP($S29:$AL29,增益!$A:$A,增益!$L:$L,0))</f>
        <v>0</v>
      </c>
      <c r="BG29">
        <f t="shared" si="5"/>
        <v>618.2</v>
      </c>
      <c r="BH29">
        <f t="shared" si="6"/>
        <v>1567.4</v>
      </c>
      <c r="BI29" s="33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3" cm="1">
        <f t="array" ref="BJ29">$G$13+VLOOKUP($R29,武学奇术!$A:$ZZ,14,FALSE)+SUM(_xlfn.XLOOKUP($S29:$AL29,增益!$A:$A,增益!$N:$N,0))</f>
        <v>0.25</v>
      </c>
      <c r="BK29">
        <f t="shared" si="7"/>
        <v>0</v>
      </c>
      <c r="BL29">
        <f t="shared" si="8"/>
        <v>0</v>
      </c>
      <c r="BM29" s="33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3" cm="1">
        <f t="array" ref="BN29">$G$14+VLOOKUP($R29,武学奇术!$A:$ZZ,16,FALSE)+SUM(_xlfn.XLOOKUP($S29:$AL29,增益!$A:$A,增益!$P:$P,0))</f>
        <v>0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4" cm="1">
        <f t="array" ref="BQ29">1+$B$13+VLOOKUP($R29,武学奇术!$A:$ZZ,18,FALSE)+SUM(_xlfn.XLOOKUP($S29:$AL29,增益!$A:$A,增益!$R:$R,0))</f>
        <v>1.82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0.8865</v>
      </c>
      <c r="BU29" s="24">
        <f t="shared" si="10"/>
        <v>0.0222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0.06</v>
      </c>
      <c r="BX29" s="24" cm="1">
        <f t="array" ref="BX29">VLOOKUP($R29,武学奇术!$A:$ZZ,32,FALSE)+SUM(_xlfn.XLOOKUP($S29:$AL29,增益!$A:$A,增益!$X:$X,0))</f>
        <v>0</v>
      </c>
    </row>
    <row r="30" spans="1:76">
      <c r="A30" s="4" t="s">
        <v>99</v>
      </c>
      <c r="B30" s="4">
        <v>0.95</v>
      </c>
      <c r="K30" s="39">
        <f>$L30*VLOOKUP($R30,武学奇术!$A:$ZY,31,FALSE)</f>
        <v>120250.76763519</v>
      </c>
      <c r="L30" s="39">
        <f t="shared" si="0"/>
        <v>114524.540604943</v>
      </c>
      <c r="M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119462.900917879</v>
      </c>
      <c r="N30" s="39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81096.7155939839</v>
      </c>
      <c r="O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54799.4958338895</v>
      </c>
      <c r="P30" s="39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49527.3504870501</v>
      </c>
      <c r="Q30" s="29">
        <v>1</v>
      </c>
      <c r="R30" s="40" t="s">
        <v>99</v>
      </c>
      <c r="S30" s="40" t="s">
        <v>91</v>
      </c>
      <c r="T30" s="40" t="s">
        <v>160</v>
      </c>
      <c r="U30" s="40" t="s">
        <v>106</v>
      </c>
      <c r="V30" s="40" t="s">
        <v>81</v>
      </c>
      <c r="W30" s="40" t="s">
        <v>100</v>
      </c>
      <c r="X30" s="40" t="s">
        <v>80</v>
      </c>
      <c r="Y30" s="40" t="s">
        <v>109</v>
      </c>
      <c r="Z30" s="40" t="s">
        <v>110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80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s="40" t="s">
        <v>80</v>
      </c>
      <c r="AM30" t="str">
        <f>VLOOKUP($R30,武学奇术!$A:$ZZ,25,FALSE)</f>
        <v>伞</v>
      </c>
      <c r="AN30" s="24">
        <f>VLOOKUP($R30,武学奇术!$A:$ZZ,26,FALSE)</f>
        <v>2.3397</v>
      </c>
      <c r="AO30" s="25">
        <f>VLOOKUP($R30,武学奇术!$A:$ZZ,27,FALSE)*(1+IF(OR($AM30=$F$4,$AM30=$F$5),$B$21,0))</f>
        <v>1036.8</v>
      </c>
      <c r="AP30" s="24">
        <f>VLOOKUP($R30,武学奇术!$A:$ZZ,28,FALSE)</f>
        <v>3.5095</v>
      </c>
      <c r="AQ30" s="25">
        <f>VLOOKUP($R30,武学奇术!$A:$ZZ,29,FALSE)*(1+IF(OR($AM30=$F$4,$AM30=$F$5),$B$21,0))</f>
        <v>564.8</v>
      </c>
      <c r="AR30" s="24" cm="1">
        <f t="array" ref="AR30">$G$3+IFERROR(VLOOKUP($AM30,$F$4:$G$7,2,FALSE),0)+VLOOKUP($R30,武学奇术!$A:$ZZ,2,FALSE)+SUM(_xlfn.XLOOKUP($S30:$AL30,增益!$A:$A,增益!$B:$B,0))</f>
        <v>0.9743</v>
      </c>
      <c r="AS30" s="24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4126.3125</v>
      </c>
      <c r="AU30" cm="1">
        <f t="array" ref="AU30">$E$10*(1+$AS30)+VLOOKUP($R30,武学奇术!$A:$ZZ,4,FALSE)+SUM(_xlfn.XLOOKUP($S30:$AL30,增益!$A:$A,增益!$D:$D,0))-$I$2</f>
        <v>4126.3125</v>
      </c>
      <c r="AV30" s="33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0.4439</v>
      </c>
      <c r="AW30" s="33" cm="1">
        <f t="array" ref="AW30">$G$10+VLOOKUP($R30,武学奇术!$A:$ZZ,7,FALSE)+SUM(_xlfn.XLOOKUP($S30:$AL30,增益!$A:$A,增益!$G:$G,0))</f>
        <v>0.125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3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3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3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3" cm="1">
        <f t="array" ref="BF30">$G$12+VLOOKUP($R30,武学奇术!$A:$ZZ,12,FALSE)+SUM(_xlfn.XLOOKUP($S30:$AL30,增益!$A:$A,增益!$L:$L,0))</f>
        <v>0</v>
      </c>
      <c r="BG30">
        <f t="shared" si="5"/>
        <v>618.2</v>
      </c>
      <c r="BH30">
        <f t="shared" si="6"/>
        <v>1567.4</v>
      </c>
      <c r="BI30" s="33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3" cm="1">
        <f t="array" ref="BJ30">$G$13+VLOOKUP($R30,武学奇术!$A:$ZZ,14,FALSE)+SUM(_xlfn.XLOOKUP($S30:$AL30,增益!$A:$A,增益!$N:$N,0))</f>
        <v>0.25</v>
      </c>
      <c r="BK30">
        <f t="shared" si="7"/>
        <v>0</v>
      </c>
      <c r="BL30">
        <f t="shared" si="8"/>
        <v>0</v>
      </c>
      <c r="BM30" s="33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3" cm="1">
        <f t="array" ref="BN30">$G$14+VLOOKUP($R30,武学奇术!$A:$ZZ,16,FALSE)+SUM(_xlfn.XLOOKUP($S30:$AL30,增益!$A:$A,增益!$P:$P,0))</f>
        <v>0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4" cm="1">
        <f t="array" ref="BQ30">1+$B$13+VLOOKUP($R30,武学奇术!$A:$ZZ,18,FALSE)+SUM(_xlfn.XLOOKUP($S30:$AL30,增益!$A:$A,增益!$R:$R,0))</f>
        <v>2.18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0.8865</v>
      </c>
      <c r="BU30" s="24">
        <f t="shared" si="10"/>
        <v>0.0222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0.06</v>
      </c>
      <c r="BX30" s="24" cm="1">
        <f t="array" ref="BX30">VLOOKUP($R30,武学奇术!$A:$ZZ,32,FALSE)+SUM(_xlfn.XLOOKUP($S30:$AL30,增益!$A:$A,增益!$X:$X,0))</f>
        <v>0.1</v>
      </c>
    </row>
    <row r="31" spans="1:76">
      <c r="A31" s="4" t="s">
        <v>99</v>
      </c>
      <c r="B31" s="4">
        <v>1.25</v>
      </c>
      <c r="K31" s="39">
        <f>$L31*VLOOKUP($R31,武学奇术!$A:$ZY,31,FALSE)</f>
        <v>20197.5835262752</v>
      </c>
      <c r="L31" s="39">
        <f t="shared" si="0"/>
        <v>19235.7938345478</v>
      </c>
      <c r="M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19778.6969177252</v>
      </c>
      <c r="N31" s="39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16013.5895564851</v>
      </c>
      <c r="O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10808.0311025821</v>
      </c>
      <c r="P31" s="39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9754.14401517522</v>
      </c>
      <c r="Q31" s="29">
        <v>1</v>
      </c>
      <c r="R31" s="40" t="s">
        <v>113</v>
      </c>
      <c r="S31" s="40" t="s">
        <v>91</v>
      </c>
      <c r="T31" s="40" t="s">
        <v>161</v>
      </c>
      <c r="U31" s="40" t="s">
        <v>80</v>
      </c>
      <c r="V31" s="40" t="s">
        <v>81</v>
      </c>
      <c r="W31" s="40" t="s">
        <v>80</v>
      </c>
      <c r="X31" s="40" t="s">
        <v>80</v>
      </c>
      <c r="Y31" s="40" t="s">
        <v>109</v>
      </c>
      <c r="Z31" s="40" t="s">
        <v>110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80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s="40" t="s">
        <v>80</v>
      </c>
      <c r="AM31" t="str">
        <f>VLOOKUP($R31,武学奇术!$A:$ZZ,25,FALSE)</f>
        <v>伞</v>
      </c>
      <c r="AN31" s="24">
        <f>VLOOKUP($R31,武学奇术!$A:$ZZ,26,FALSE)</f>
        <v>0.54</v>
      </c>
      <c r="AO31" s="25">
        <f>VLOOKUP($R31,武学奇术!$A:$ZZ,27,FALSE)*(1+IF(OR($AM31=$F$4,$AM31=$F$5),$B$21,0))</f>
        <v>236.8</v>
      </c>
      <c r="AP31" s="24">
        <f>VLOOKUP($R31,武学奇术!$A:$ZZ,28,FALSE)</f>
        <v>0.81</v>
      </c>
      <c r="AQ31" s="25">
        <f>VLOOKUP($R31,武学奇术!$A:$ZZ,29,FALSE)*(1+IF(OR($AM31=$F$4,$AM31=$F$5),$B$21,0))</f>
        <v>130.4</v>
      </c>
      <c r="AR31" s="24" cm="1">
        <f t="array" ref="AR31">$G$3+IFERROR(VLOOKUP($AM31,$F$4:$G$7,2,FALSE),0)+VLOOKUP($R31,武学奇术!$A:$ZZ,2,FALSE)+SUM(_xlfn.XLOOKUP($S31:$AL31,增益!$A:$A,增益!$B:$B,0))</f>
        <v>0.4243</v>
      </c>
      <c r="AS31" s="24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4126.3125</v>
      </c>
      <c r="AU31" cm="1">
        <f t="array" ref="AU31">$E$10*(1+$AS31)+VLOOKUP($R31,武学奇术!$A:$ZZ,4,FALSE)+SUM(_xlfn.XLOOKUP($S31:$AL31,增益!$A:$A,增益!$D:$D,0))-$I$2</f>
        <v>4126.3125</v>
      </c>
      <c r="AV31" s="33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0.4189</v>
      </c>
      <c r="AW31" s="33" cm="1">
        <f t="array" ref="AW31">$G$10+VLOOKUP($R31,武学奇术!$A:$ZZ,7,FALSE)+SUM(_xlfn.XLOOKUP($S31:$AL31,增益!$A:$A,增益!$G:$G,0))</f>
        <v>0.125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3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3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3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3" cm="1">
        <f t="array" ref="BF31">$G$12+VLOOKUP($R31,武学奇术!$A:$ZZ,12,FALSE)+SUM(_xlfn.XLOOKUP($S31:$AL31,增益!$A:$A,增益!$L:$L,0))</f>
        <v>0</v>
      </c>
      <c r="BG31">
        <f t="shared" si="5"/>
        <v>618.2</v>
      </c>
      <c r="BH31">
        <f t="shared" si="6"/>
        <v>1567.4</v>
      </c>
      <c r="BI31" s="33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3" cm="1">
        <f t="array" ref="BJ31">$G$13+VLOOKUP($R31,武学奇术!$A:$ZZ,14,FALSE)+SUM(_xlfn.XLOOKUP($S31:$AL31,增益!$A:$A,增益!$N:$N,0))</f>
        <v>0.25</v>
      </c>
      <c r="BK31">
        <f t="shared" si="7"/>
        <v>0</v>
      </c>
      <c r="BL31">
        <f t="shared" si="8"/>
        <v>0</v>
      </c>
      <c r="BM31" s="33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3" cm="1">
        <f t="array" ref="BN31">$G$14+VLOOKUP($R31,武学奇术!$A:$ZZ,16,FALSE)+SUM(_xlfn.XLOOKUP($S31:$AL31,增益!$A:$A,增益!$P:$P,0))</f>
        <v>0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4" cm="1">
        <f t="array" ref="BQ31">1+$B$13+VLOOKUP($R31,武学奇术!$A:$ZZ,18,FALSE)+SUM(_xlfn.XLOOKUP($S31:$AL31,增益!$A:$A,增益!$R:$R,0))</f>
        <v>1.83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0.8865</v>
      </c>
      <c r="BU31" s="24">
        <f t="shared" si="10"/>
        <v>0.0222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0.06</v>
      </c>
      <c r="BX31" s="24" cm="1">
        <f t="array" ref="BX31">VLOOKUP($R31,武学奇术!$A:$ZZ,32,FALSE)+SUM(_xlfn.XLOOKUP($S31:$AL31,增益!$A:$A,增益!$X:$X,0))</f>
        <v>0</v>
      </c>
    </row>
    <row r="32" spans="1:76">
      <c r="A32" s="4" t="s">
        <v>162</v>
      </c>
      <c r="B32" s="91">
        <v>1.3</v>
      </c>
      <c r="K32" s="39">
        <f>$L32*VLOOKUP($R32,武学奇术!$A:$ZY,31,FALSE)</f>
        <v>118670.449167745</v>
      </c>
      <c r="L32" s="39">
        <f t="shared" si="0"/>
        <v>113019.475397852</v>
      </c>
      <c r="M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117933.288820267</v>
      </c>
      <c r="N32" s="39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79694.7067408428</v>
      </c>
      <c r="O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53850.8168129075</v>
      </c>
      <c r="P32" s="39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48668.5175214869</v>
      </c>
      <c r="Q32" s="29">
        <v>1.5</v>
      </c>
      <c r="R32" s="40" t="s">
        <v>115</v>
      </c>
      <c r="S32" s="40" t="s">
        <v>91</v>
      </c>
      <c r="T32" s="40" t="s">
        <v>161</v>
      </c>
      <c r="U32" s="40" t="s">
        <v>106</v>
      </c>
      <c r="V32" s="40" t="s">
        <v>81</v>
      </c>
      <c r="W32" s="40" t="s">
        <v>100</v>
      </c>
      <c r="X32" s="40" t="s">
        <v>80</v>
      </c>
      <c r="Y32" s="40" t="s">
        <v>109</v>
      </c>
      <c r="Z32" s="40" t="s">
        <v>110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80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s="40" t="s">
        <v>80</v>
      </c>
      <c r="AM32" t="str">
        <f>VLOOKUP($R32,武学奇术!$A:$ZZ,25,FALSE)</f>
        <v>伞</v>
      </c>
      <c r="AN32" s="24">
        <f>VLOOKUP($R32,武学奇术!$A:$ZZ,26,FALSE)</f>
        <v>1.0217</v>
      </c>
      <c r="AO32" s="25">
        <f>VLOOKUP($R32,武学奇术!$A:$ZZ,27,FALSE)*(1+IF(OR($AM32=$F$4,$AM32=$F$5),$B$21,0))</f>
        <v>451.2</v>
      </c>
      <c r="AP32" s="24">
        <f>VLOOKUP($R32,武学奇术!$A:$ZZ,28,FALSE)</f>
        <v>1.5325</v>
      </c>
      <c r="AQ32" s="25">
        <f>VLOOKUP($R32,武学奇术!$A:$ZZ,29,FALSE)*(1+IF(OR($AM32=$F$4,$AM32=$F$5),$B$21,0))</f>
        <v>246.4</v>
      </c>
      <c r="AR32" s="24" cm="1">
        <f t="array" ref="AR32">$G$3+IFERROR(VLOOKUP($AM32,$F$4:$G$7,2,FALSE),0)+VLOOKUP($R32,武学奇术!$A:$ZZ,2,FALSE)+SUM(_xlfn.XLOOKUP($S32:$AL32,增益!$A:$A,增益!$B:$B,0))</f>
        <v>0.9743</v>
      </c>
      <c r="AS32" s="24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4126.3125</v>
      </c>
      <c r="AU32" cm="1">
        <f t="array" ref="AU32">$E$10*(1+$AS32)+VLOOKUP($R32,武学奇术!$A:$ZZ,4,FALSE)+SUM(_xlfn.XLOOKUP($S32:$AL32,增益!$A:$A,增益!$D:$D,0))-$I$2</f>
        <v>4126.3125</v>
      </c>
      <c r="AV32" s="33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0.4439</v>
      </c>
      <c r="AW32" s="33" cm="1">
        <f t="array" ref="AW32">$G$10+VLOOKUP($R32,武学奇术!$A:$ZZ,7,FALSE)+SUM(_xlfn.XLOOKUP($S32:$AL32,增益!$A:$A,增益!$G:$G,0))</f>
        <v>0.125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3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3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3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3" cm="1">
        <f t="array" ref="BF32">$G$12+VLOOKUP($R32,武学奇术!$A:$ZZ,12,FALSE)+SUM(_xlfn.XLOOKUP($S32:$AL32,增益!$A:$A,增益!$L:$L,0))</f>
        <v>0</v>
      </c>
      <c r="BG32">
        <f t="shared" si="5"/>
        <v>618.2</v>
      </c>
      <c r="BH32">
        <f t="shared" si="6"/>
        <v>1567.4</v>
      </c>
      <c r="BI32" s="33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3" cm="1">
        <f t="array" ref="BJ32">$G$13+VLOOKUP($R32,武学奇术!$A:$ZZ,14,FALSE)+SUM(_xlfn.XLOOKUP($S32:$AL32,增益!$A:$A,增益!$N:$N,0))</f>
        <v>0.25</v>
      </c>
      <c r="BK32">
        <f t="shared" si="7"/>
        <v>0</v>
      </c>
      <c r="BL32">
        <f t="shared" si="8"/>
        <v>0</v>
      </c>
      <c r="BM32" s="33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3" cm="1">
        <f t="array" ref="BN32">$G$14+VLOOKUP($R32,武学奇术!$A:$ZZ,16,FALSE)+SUM(_xlfn.XLOOKUP($S32:$AL32,增益!$A:$A,增益!$P:$P,0))</f>
        <v>0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4" cm="1">
        <f t="array" ref="BQ32">1+$B$13+VLOOKUP($R32,武学奇术!$A:$ZZ,18,FALSE)+SUM(_xlfn.XLOOKUP($S32:$AL32,增益!$A:$A,增益!$R:$R,0))</f>
        <v>2.19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0.8865</v>
      </c>
      <c r="BU32" s="24">
        <f t="shared" si="10"/>
        <v>0.0222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0.06</v>
      </c>
      <c r="BX32" s="24" cm="1">
        <f t="array" ref="BX32">VLOOKUP($R32,武学奇术!$A:$ZZ,32,FALSE)+SUM(_xlfn.XLOOKUP($S32:$AL32,增益!$A:$A,增益!$X:$X,0))</f>
        <v>0.25</v>
      </c>
    </row>
    <row r="33" spans="1:76">
      <c r="A33" s="4" t="s">
        <v>113</v>
      </c>
      <c r="B33" s="91">
        <v>1.16</v>
      </c>
      <c r="K33" s="39">
        <f>$L33*VLOOKUP($R33,武学奇术!$A:$ZY,31,FALSE)</f>
        <v>249997.59345274</v>
      </c>
      <c r="L33" s="39">
        <f t="shared" si="0"/>
        <v>238092.946145467</v>
      </c>
      <c r="M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248516.142215562</v>
      </c>
      <c r="N33" s="39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167187.090274511</v>
      </c>
      <c r="O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113477.690509389</v>
      </c>
      <c r="P33" s="39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103113.091926548</v>
      </c>
      <c r="Q33" s="29">
        <v>3</v>
      </c>
      <c r="R33" s="40" t="s">
        <v>115</v>
      </c>
      <c r="S33" s="40" t="s">
        <v>91</v>
      </c>
      <c r="T33" s="40" t="s">
        <v>161</v>
      </c>
      <c r="U33" s="40" t="s">
        <v>106</v>
      </c>
      <c r="V33" s="40" t="s">
        <v>166</v>
      </c>
      <c r="W33" s="40" t="s">
        <v>100</v>
      </c>
      <c r="X33" s="40" t="s">
        <v>80</v>
      </c>
      <c r="Y33" s="40" t="s">
        <v>109</v>
      </c>
      <c r="Z33" s="40" t="s">
        <v>110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80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s="40" t="s">
        <v>80</v>
      </c>
      <c r="AM33" t="str">
        <f>VLOOKUP($R33,武学奇术!$A:$ZZ,25,FALSE)</f>
        <v>伞</v>
      </c>
      <c r="AN33" s="24">
        <f>VLOOKUP($R33,武学奇术!$A:$ZZ,26,FALSE)</f>
        <v>1.0217</v>
      </c>
      <c r="AO33" s="25">
        <f>VLOOKUP($R33,武学奇术!$A:$ZZ,27,FALSE)*(1+IF(OR($AM33=$F$4,$AM33=$F$5),$B$21,0))</f>
        <v>451.2</v>
      </c>
      <c r="AP33" s="24">
        <f>VLOOKUP($R33,武学奇术!$A:$ZZ,28,FALSE)</f>
        <v>1.5325</v>
      </c>
      <c r="AQ33" s="25">
        <f>VLOOKUP($R33,武学奇术!$A:$ZZ,29,FALSE)*(1+IF(OR($AM33=$F$4,$AM33=$F$5),$B$21,0))</f>
        <v>246.4</v>
      </c>
      <c r="AR33" s="24" cm="1">
        <f t="array" ref="AR33">$G$3+IFERROR(VLOOKUP($AM33,$F$4:$G$7,2,FALSE),0)+VLOOKUP($R33,武学奇术!$A:$ZZ,2,FALSE)+SUM(_xlfn.XLOOKUP($S33:$AL33,增益!$A:$A,增益!$B:$B,0))</f>
        <v>0.9743</v>
      </c>
      <c r="AS33" s="24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4462.125</v>
      </c>
      <c r="AU33" cm="1">
        <f t="array" ref="AU33">$E$10*(1+$AS33)+VLOOKUP($R33,武学奇术!$A:$ZZ,4,FALSE)+SUM(_xlfn.XLOOKUP($S33:$AL33,增益!$A:$A,增益!$D:$D,0))-$I$2</f>
        <v>4462.125</v>
      </c>
      <c r="AV33" s="33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0.4439</v>
      </c>
      <c r="AW33" s="33" cm="1">
        <f t="array" ref="AW33">$G$10+VLOOKUP($R33,武学奇术!$A:$ZZ,7,FALSE)+SUM(_xlfn.XLOOKUP($S33:$AL33,增益!$A:$A,增益!$G:$G,0))</f>
        <v>0.125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3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3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3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3" cm="1">
        <f t="array" ref="BF33">$G$12+VLOOKUP($R33,武学奇术!$A:$ZZ,12,FALSE)+SUM(_xlfn.XLOOKUP($S33:$AL33,增益!$A:$A,增益!$L:$L,0))</f>
        <v>0</v>
      </c>
      <c r="BG33">
        <f t="shared" si="5"/>
        <v>618.2</v>
      </c>
      <c r="BH33">
        <f t="shared" si="6"/>
        <v>1567.4</v>
      </c>
      <c r="BI33" s="33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</v>
      </c>
      <c r="BJ33" s="33" cm="1">
        <f t="array" ref="BJ33">$G$13+VLOOKUP($R33,武学奇术!$A:$ZZ,14,FALSE)+SUM(_xlfn.XLOOKUP($S33:$AL33,增益!$A:$A,增益!$N:$N,0))</f>
        <v>0.25</v>
      </c>
      <c r="BK33">
        <f t="shared" si="7"/>
        <v>0</v>
      </c>
      <c r="BL33">
        <f t="shared" si="8"/>
        <v>0</v>
      </c>
      <c r="BM33" s="33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3" cm="1">
        <f t="array" ref="BN33">$G$14+VLOOKUP($R33,武学奇术!$A:$ZZ,16,FALSE)+SUM(_xlfn.XLOOKUP($S33:$AL33,增益!$A:$A,增益!$P:$P,0))</f>
        <v>0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4" cm="1">
        <f t="array" ref="BQ33">1+$B$13+VLOOKUP($R33,武学奇术!$A:$ZZ,18,FALSE)+SUM(_xlfn.XLOOKUP($S33:$AL33,增益!$A:$A,增益!$R:$R,0))</f>
        <v>2.19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0.8865</v>
      </c>
      <c r="BU33" s="24">
        <f t="shared" si="10"/>
        <v>0.0222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0.06</v>
      </c>
      <c r="BX33" s="24" cm="1">
        <f t="array" ref="BX33">VLOOKUP($R33,武学奇术!$A:$ZZ,32,FALSE)+SUM(_xlfn.XLOOKUP($S33:$AL33,增益!$A:$A,增益!$X:$X,0))</f>
        <v>0.25</v>
      </c>
    </row>
    <row r="34" spans="1:76">
      <c r="A34" s="4" t="s">
        <v>167</v>
      </c>
      <c r="B34" s="4">
        <v>0.1</v>
      </c>
      <c r="K34" s="39">
        <f>$L34*VLOOKUP($R34,武学奇术!$A:$ZY,31,FALSE)</f>
        <v>385509.638571588</v>
      </c>
      <c r="L34" s="39">
        <f t="shared" si="0"/>
        <v>367152.036734846</v>
      </c>
      <c r="M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379578.497699694</v>
      </c>
      <c r="N34" s="39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288437.495284627</v>
      </c>
      <c r="O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194655.639845997</v>
      </c>
      <c r="P34" s="39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175653.875777455</v>
      </c>
      <c r="Q34" s="29">
        <v>5.5</v>
      </c>
      <c r="R34" s="40" t="s">
        <v>115</v>
      </c>
      <c r="S34" s="40" t="s">
        <v>91</v>
      </c>
      <c r="T34" s="40" t="s">
        <v>168</v>
      </c>
      <c r="U34" s="40" t="s">
        <v>106</v>
      </c>
      <c r="V34" s="40" t="s">
        <v>166</v>
      </c>
      <c r="W34" s="40" t="s">
        <v>100</v>
      </c>
      <c r="X34" s="40" t="s">
        <v>80</v>
      </c>
      <c r="Y34" s="40" t="s">
        <v>80</v>
      </c>
      <c r="Z34" s="40" t="s">
        <v>110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80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s="40" t="s">
        <v>80</v>
      </c>
      <c r="AM34" t="str">
        <f>VLOOKUP($R34,武学奇术!$A:$ZZ,25,FALSE)</f>
        <v>伞</v>
      </c>
      <c r="AN34" s="24">
        <f>VLOOKUP($R34,武学奇术!$A:$ZZ,26,FALSE)</f>
        <v>1.0217</v>
      </c>
      <c r="AO34" s="25">
        <f>VLOOKUP($R34,武学奇术!$A:$ZZ,27,FALSE)*(1+IF(OR($AM34=$F$4,$AM34=$F$5),$B$21,0))</f>
        <v>451.2</v>
      </c>
      <c r="AP34" s="24">
        <f>VLOOKUP($R34,武学奇术!$A:$ZZ,28,FALSE)</f>
        <v>1.5325</v>
      </c>
      <c r="AQ34" s="25">
        <f>VLOOKUP($R34,武学奇术!$A:$ZZ,29,FALSE)*(1+IF(OR($AM34=$F$4,$AM34=$F$5),$B$21,0))</f>
        <v>246.4</v>
      </c>
      <c r="AR34" s="24" cm="1">
        <f t="array" ref="AR34">$G$3+IFERROR(VLOOKUP($AM34,$F$4:$G$7,2,FALSE),0)+VLOOKUP($R34,武学奇术!$A:$ZZ,2,FALSE)+SUM(_xlfn.XLOOKUP($S34:$AL34,增益!$A:$A,增益!$B:$B,0))</f>
        <v>0.9743</v>
      </c>
      <c r="AS34" s="24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4462.125</v>
      </c>
      <c r="AU34" cm="1">
        <f t="array" ref="AU34">$E$10*(1+$AS34)+VLOOKUP($R34,武学奇术!$A:$ZZ,4,FALSE)+SUM(_xlfn.XLOOKUP($S34:$AL34,增益!$A:$A,增益!$D:$D,0))-$I$2</f>
        <v>4462.125</v>
      </c>
      <c r="AV34" s="33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0.3189</v>
      </c>
      <c r="AW34" s="33" cm="1">
        <f t="array" ref="AW34">$G$10+VLOOKUP($R34,武学奇术!$A:$ZZ,7,FALSE)+SUM(_xlfn.XLOOKUP($S34:$AL34,增益!$A:$A,增益!$G:$G,0))</f>
        <v>0.125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3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3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3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3" cm="1">
        <f t="array" ref="BF34">$G$12+VLOOKUP($R34,武学奇术!$A:$ZZ,12,FALSE)+SUM(_xlfn.XLOOKUP($S34:$AL34,增益!$A:$A,增益!$L:$L,0))</f>
        <v>0</v>
      </c>
      <c r="BG34">
        <f t="shared" si="5"/>
        <v>618.2</v>
      </c>
      <c r="BH34">
        <f t="shared" si="6"/>
        <v>1567.4</v>
      </c>
      <c r="BI34" s="33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</v>
      </c>
      <c r="BJ34" s="33" cm="1">
        <f t="array" ref="BJ34">$G$13+VLOOKUP($R34,武学奇术!$A:$ZZ,14,FALSE)+SUM(_xlfn.XLOOKUP($S34:$AL34,增益!$A:$A,增益!$N:$N,0))</f>
        <v>0.25</v>
      </c>
      <c r="BK34">
        <f t="shared" si="7"/>
        <v>0</v>
      </c>
      <c r="BL34">
        <f t="shared" si="8"/>
        <v>0</v>
      </c>
      <c r="BM34" s="33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3" cm="1">
        <f t="array" ref="BN34">$G$14+VLOOKUP($R34,武学奇术!$A:$ZZ,16,FALSE)+SUM(_xlfn.XLOOKUP($S34:$AL34,增益!$A:$A,增益!$P:$P,0))</f>
        <v>0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4" cm="1">
        <f t="array" ref="BQ34">1+$B$13+VLOOKUP($R34,武学奇术!$A:$ZZ,18,FALSE)+SUM(_xlfn.XLOOKUP($S34:$AL34,增益!$A:$A,增益!$R:$R,0))</f>
        <v>1.95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0.8865</v>
      </c>
      <c r="BU34" s="24">
        <f t="shared" si="10"/>
        <v>0.0222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0.06</v>
      </c>
      <c r="BX34" s="24" cm="1">
        <f t="array" ref="BX34">VLOOKUP($R34,武学奇术!$A:$ZZ,32,FALSE)+SUM(_xlfn.XLOOKUP($S34:$AL34,增益!$A:$A,增益!$X:$X,0))</f>
        <v>0.25</v>
      </c>
    </row>
    <row r="35" spans="1:76">
      <c r="A35" s="4" t="s">
        <v>195</v>
      </c>
      <c r="B35" s="4">
        <v>0.5</v>
      </c>
      <c r="K35" s="39">
        <f>$L35*VLOOKUP($R35,武学奇术!$A:$ZY,31,FALSE)</f>
        <v>24966.3851575475</v>
      </c>
      <c r="L35" s="39">
        <f t="shared" si="0"/>
        <v>23777.5096738548</v>
      </c>
      <c r="M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24099.2225941045</v>
      </c>
      <c r="N35" s="39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22726.610230684</v>
      </c>
      <c r="O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15252.6725279142</v>
      </c>
      <c r="P35" s="39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13670.8189590255</v>
      </c>
      <c r="Q35" s="29">
        <v>1</v>
      </c>
      <c r="R35" s="40" t="s">
        <v>134</v>
      </c>
      <c r="S35" s="40" t="s">
        <v>91</v>
      </c>
      <c r="T35" s="40" t="s">
        <v>161</v>
      </c>
      <c r="U35" s="40" t="s">
        <v>80</v>
      </c>
      <c r="V35" s="40" t="s">
        <v>81</v>
      </c>
      <c r="W35" s="40" t="s">
        <v>80</v>
      </c>
      <c r="X35" s="40" t="s">
        <v>80</v>
      </c>
      <c r="Y35" s="40" t="s">
        <v>80</v>
      </c>
      <c r="Z35" s="40" t="s">
        <v>110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80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s="40" t="s">
        <v>80</v>
      </c>
      <c r="AM35" t="str">
        <f>VLOOKUP($R35,武学奇术!$A:$ZZ,25,FALSE)</f>
        <v>扇</v>
      </c>
      <c r="AN35" s="24">
        <f>VLOOKUP($R35,武学奇术!$A:$ZZ,26,FALSE)</f>
        <v>1.2798</v>
      </c>
      <c r="AO35" s="25">
        <f>VLOOKUP($R35,武学奇术!$A:$ZZ,27,FALSE)*(1+IF(OR($AM35=$F$4,$AM35=$F$5),$B$21,0))</f>
        <v>568</v>
      </c>
      <c r="AP35" s="24">
        <f>VLOOKUP($R35,武学奇术!$A:$ZZ,28,FALSE)</f>
        <v>1.9197</v>
      </c>
      <c r="AQ35" s="25">
        <f>VLOOKUP($R35,武学奇术!$A:$ZZ,29,FALSE)*(1+IF(OR($AM35=$F$4,$AM35=$F$5),$B$21,0))</f>
        <v>308.8</v>
      </c>
      <c r="AR35" s="24" cm="1">
        <f t="array" ref="AR35">$G$3+IFERROR(VLOOKUP($AM35,$F$4:$G$7,2,FALSE),0)+VLOOKUP($R35,武学奇术!$A:$ZZ,2,FALSE)+SUM(_xlfn.XLOOKUP($S35:$AL35,增益!$A:$A,增益!$B:$B,0))</f>
        <v>0.4243</v>
      </c>
      <c r="AS35" s="24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4126.3125</v>
      </c>
      <c r="AU35" cm="1">
        <f t="array" ref="AU35">$E$10*(1+$AS35)+VLOOKUP($R35,武学奇术!$A:$ZZ,4,FALSE)+SUM(_xlfn.XLOOKUP($S35:$AL35,增益!$A:$A,增益!$D:$D,0))-$I$2</f>
        <v>4126.3125</v>
      </c>
      <c r="AV35" s="33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0.1939</v>
      </c>
      <c r="AW35" s="33" cm="1">
        <f t="array" ref="AW35">$G$10+VLOOKUP($R35,武学奇术!$A:$ZZ,7,FALSE)+SUM(_xlfn.XLOOKUP($S35:$AL35,增益!$A:$A,增益!$G:$G,0))</f>
        <v>0.025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3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3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3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3" cm="1">
        <f t="array" ref="BF35">$G$12+VLOOKUP($R35,武学奇术!$A:$ZZ,12,FALSE)+SUM(_xlfn.XLOOKUP($S35:$AL35,增益!$A:$A,增益!$L:$L,0))</f>
        <v>0</v>
      </c>
      <c r="BG35">
        <f t="shared" si="5"/>
        <v>618.2</v>
      </c>
      <c r="BH35">
        <f t="shared" si="6"/>
        <v>1567.4</v>
      </c>
      <c r="BI35" s="33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3" cm="1">
        <f t="array" ref="BJ35">$G$13+VLOOKUP($R35,武学奇术!$A:$ZZ,14,FALSE)+SUM(_xlfn.XLOOKUP($S35:$AL35,增益!$A:$A,增益!$N:$N,0))</f>
        <v>0.15</v>
      </c>
      <c r="BK35">
        <f t="shared" si="7"/>
        <v>0</v>
      </c>
      <c r="BL35">
        <f t="shared" si="8"/>
        <v>0</v>
      </c>
      <c r="BM35" s="33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3" cm="1">
        <f t="array" ref="BN35">$G$14+VLOOKUP($R35,武学奇术!$A:$ZZ,16,FALSE)+SUM(_xlfn.XLOOKUP($S35:$AL35,增益!$A:$A,增益!$P:$P,0))</f>
        <v>0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4" cm="1">
        <f t="array" ref="BQ35">1+$B$13+VLOOKUP($R35,武学奇术!$A:$ZZ,18,FALSE)+SUM(_xlfn.XLOOKUP($S35:$AL35,增益!$A:$A,增益!$R:$R,0))</f>
        <v>1.58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0.8865</v>
      </c>
      <c r="BU35" s="24">
        <f t="shared" si="10"/>
        <v>0.0222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0.06</v>
      </c>
      <c r="BX35" s="24" cm="1">
        <f t="array" ref="BX35">VLOOKUP($R35,武学奇术!$A:$ZZ,32,FALSE)+SUM(_xlfn.XLOOKUP($S35:$AL35,增益!$A:$A,增益!$X:$X,0))</f>
        <v>0</v>
      </c>
    </row>
    <row r="36" spans="1:76">
      <c r="A36" s="4" t="s">
        <v>134</v>
      </c>
      <c r="B36" s="4">
        <v>0.8</v>
      </c>
      <c r="K36" s="39">
        <f>$L36*VLOOKUP($R36,武学奇术!$A:$ZY,31,FALSE)</f>
        <v>0</v>
      </c>
      <c r="L36" s="39">
        <f t="shared" si="0"/>
        <v>0</v>
      </c>
      <c r="M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0</v>
      </c>
      <c r="N36" s="39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0</v>
      </c>
      <c r="O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0</v>
      </c>
      <c r="P36" s="39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0</v>
      </c>
      <c r="Q36" s="86">
        <f>IF($E$24="龙卷",1,0)</f>
        <v>0</v>
      </c>
      <c r="R36" s="40" t="s">
        <v>138</v>
      </c>
      <c r="S36" s="40" t="s">
        <v>91</v>
      </c>
      <c r="T36" s="40" t="s">
        <v>161</v>
      </c>
      <c r="U36" s="40" t="s">
        <v>80</v>
      </c>
      <c r="V36" s="40" t="s">
        <v>166</v>
      </c>
      <c r="W36" s="40" t="s">
        <v>100</v>
      </c>
      <c r="X36" s="40" t="s">
        <v>157</v>
      </c>
      <c r="Y36" s="40" t="s">
        <v>80</v>
      </c>
      <c r="Z36" s="40" t="s">
        <v>110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80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s="40" t="s">
        <v>80</v>
      </c>
      <c r="AM36" t="str">
        <f>VLOOKUP($R36,武学奇术!$A:$ZZ,25,FALSE)</f>
        <v>扇</v>
      </c>
      <c r="AN36" s="24">
        <f>VLOOKUP($R36,武学奇术!$A:$ZZ,26,FALSE)</f>
        <v>1.9044</v>
      </c>
      <c r="AO36" s="25">
        <f>VLOOKUP($R36,武学奇术!$A:$ZZ,27,FALSE)*(1+IF(OR($AM36=$F$4,$AM36=$F$5),$B$21,0))</f>
        <v>843.2</v>
      </c>
      <c r="AP36" s="24">
        <f>VLOOKUP($R36,武学奇术!$A:$ZZ,28,FALSE)</f>
        <v>2.8566</v>
      </c>
      <c r="AQ36" s="25">
        <f>VLOOKUP($R36,武学奇术!$A:$ZZ,29,FALSE)*(1+IF(OR($AM36=$F$4,$AM36=$F$5),$B$21,0))</f>
        <v>459.2</v>
      </c>
      <c r="AR36" s="24" cm="1">
        <f t="array" ref="AR36">$G$3+IFERROR(VLOOKUP($AM36,$F$4:$G$7,2,FALSE),0)+VLOOKUP($R36,武学奇术!$A:$ZZ,2,FALSE)+SUM(_xlfn.XLOOKUP($S36:$AL36,增益!$A:$A,增益!$B:$B,0))</f>
        <v>0.9243</v>
      </c>
      <c r="AS36" s="24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4462.125</v>
      </c>
      <c r="AU36" cm="1">
        <f t="array" ref="AU36">$E$10*(1+$AS36)+VLOOKUP($R36,武学奇术!$A:$ZZ,4,FALSE)+SUM(_xlfn.XLOOKUP($S36:$AL36,增益!$A:$A,增益!$D:$D,0))-$I$2</f>
        <v>4462.125</v>
      </c>
      <c r="AV36" s="33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0.2939</v>
      </c>
      <c r="AW36" s="33" cm="1">
        <f t="array" ref="AW36">$G$10+VLOOKUP($R36,武学奇术!$A:$ZZ,7,FALSE)+SUM(_xlfn.XLOOKUP($S36:$AL36,增益!$A:$A,增益!$G:$G,0))</f>
        <v>0.125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3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3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3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3" cm="1">
        <f t="array" ref="BF36">$G$12+VLOOKUP($R36,武学奇术!$A:$ZZ,12,FALSE)+SUM(_xlfn.XLOOKUP($S36:$AL36,增益!$A:$A,增益!$L:$L,0))</f>
        <v>0</v>
      </c>
      <c r="BG36">
        <f t="shared" si="5"/>
        <v>618.2</v>
      </c>
      <c r="BH36">
        <f t="shared" si="6"/>
        <v>1567.4</v>
      </c>
      <c r="BI36" s="33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</v>
      </c>
      <c r="BJ36" s="33" cm="1">
        <f t="array" ref="BJ36">$G$13+VLOOKUP($R36,武学奇术!$A:$ZZ,14,FALSE)+SUM(_xlfn.XLOOKUP($S36:$AL36,增益!$A:$A,增益!$N:$N,0))</f>
        <v>0.25</v>
      </c>
      <c r="BK36">
        <f t="shared" si="7"/>
        <v>0</v>
      </c>
      <c r="BL36">
        <f t="shared" si="8"/>
        <v>0</v>
      </c>
      <c r="BM36" s="33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3" cm="1">
        <f t="array" ref="BN36">$G$14+VLOOKUP($R36,武学奇术!$A:$ZZ,16,FALSE)+SUM(_xlfn.XLOOKUP($S36:$AL36,增益!$A:$A,增益!$P:$P,0))</f>
        <v>0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4" cm="1">
        <f t="array" ref="BQ36">1+$B$13+VLOOKUP($R36,武学奇术!$A:$ZZ,18,FALSE)+SUM(_xlfn.XLOOKUP($S36:$AL36,增益!$A:$A,增益!$R:$R,0))</f>
        <v>1.58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0.8865</v>
      </c>
      <c r="BU36" s="24">
        <f t="shared" si="10"/>
        <v>0.0222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0.06</v>
      </c>
      <c r="BX36" s="24" cm="1">
        <f t="array" ref="BX36">VLOOKUP($R36,武学奇术!$A:$ZZ,32,FALSE)+SUM(_xlfn.XLOOKUP($S36:$AL36,增益!$A:$A,增益!$X:$X,0))</f>
        <v>0.55</v>
      </c>
    </row>
    <row r="37" spans="1:76">
      <c r="A37" t="s">
        <v>177</v>
      </c>
      <c r="B37">
        <v>1</v>
      </c>
      <c r="K37" s="39">
        <f>$L37*VLOOKUP($R37,武学奇术!$A:$ZY,31,FALSE)</f>
        <v>277571.516311624</v>
      </c>
      <c r="L37" s="39">
        <f t="shared" si="0"/>
        <v>264353.82505869</v>
      </c>
      <c r="M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274918.057320062</v>
      </c>
      <c r="N37" s="39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194224.431966047</v>
      </c>
      <c r="O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130913.360628601</v>
      </c>
      <c r="P37" s="39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117956.771652722</v>
      </c>
      <c r="Q37" s="29">
        <v>1</v>
      </c>
      <c r="R37" s="40" t="s">
        <v>141</v>
      </c>
      <c r="S37" s="40" t="s">
        <v>91</v>
      </c>
      <c r="T37" s="40" t="s">
        <v>168</v>
      </c>
      <c r="U37" s="40" t="s">
        <v>80</v>
      </c>
      <c r="V37" s="40" t="s">
        <v>166</v>
      </c>
      <c r="W37" s="40" t="s">
        <v>142</v>
      </c>
      <c r="X37" s="40" t="s">
        <v>171</v>
      </c>
      <c r="Y37" s="40" t="s">
        <v>80</v>
      </c>
      <c r="Z37" s="40" t="s">
        <v>110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80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s="40" t="s">
        <v>80</v>
      </c>
      <c r="AM37" t="str">
        <f>VLOOKUP($R37,武学奇术!$A:$ZZ,25,FALSE)</f>
        <v>扇</v>
      </c>
      <c r="AN37" s="24">
        <f>VLOOKUP($R37,武学奇术!$A:$ZZ,26,FALSE)</f>
        <v>7.5463</v>
      </c>
      <c r="AO37" s="25">
        <f>VLOOKUP($R37,武学奇术!$A:$ZZ,27,FALSE)*(1+IF(OR($AM37=$F$4,$AM37=$F$5),$B$21,0))</f>
        <v>3339.2</v>
      </c>
      <c r="AP37" s="24">
        <f>VLOOKUP($R37,武学奇术!$A:$ZZ,28,FALSE)</f>
        <v>11.3195</v>
      </c>
      <c r="AQ37" s="25">
        <f>VLOOKUP($R37,武学奇术!$A:$ZZ,29,FALSE)*(1+IF(OR($AM37=$F$4,$AM37=$F$5),$B$21,0))</f>
        <v>1819.2</v>
      </c>
      <c r="AR37" s="24" cm="1">
        <f t="array" ref="AR37">$G$3+IFERROR(VLOOKUP($AM37,$F$4:$G$7,2,FALSE),0)+VLOOKUP($R37,武学奇术!$A:$ZZ,2,FALSE)+SUM(_xlfn.XLOOKUP($S37:$AL37,增益!$A:$A,增益!$B:$B,0))</f>
        <v>0.5043</v>
      </c>
      <c r="AS37" s="24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4462.125</v>
      </c>
      <c r="AU37" cm="1">
        <f t="array" ref="AU37">$E$10*(1+$AS37)+VLOOKUP($R37,武学奇术!$A:$ZZ,4,FALSE)+SUM(_xlfn.XLOOKUP($S37:$AL37,增益!$A:$A,增益!$D:$D,0))-$I$2</f>
        <v>4462.125</v>
      </c>
      <c r="AV37" s="33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0.2939</v>
      </c>
      <c r="AW37" s="33" cm="1">
        <f t="array" ref="AW37">$G$10+VLOOKUP($R37,武学奇术!$A:$ZZ,7,FALSE)+SUM(_xlfn.XLOOKUP($S37:$AL37,增益!$A:$A,增益!$G:$G,0))</f>
        <v>0.125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3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3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3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3" cm="1">
        <f t="array" ref="BF37">$G$12+VLOOKUP($R37,武学奇术!$A:$ZZ,12,FALSE)+SUM(_xlfn.XLOOKUP($S37:$AL37,增益!$A:$A,增益!$L:$L,0))</f>
        <v>0</v>
      </c>
      <c r="BG37">
        <f t="shared" si="5"/>
        <v>618.2</v>
      </c>
      <c r="BH37">
        <f t="shared" si="6"/>
        <v>1567.4</v>
      </c>
      <c r="BI37" s="33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</v>
      </c>
      <c r="BJ37" s="33" cm="1">
        <f t="array" ref="BJ37">$G$13+VLOOKUP($R37,武学奇术!$A:$ZZ,14,FALSE)+SUM(_xlfn.XLOOKUP($S37:$AL37,增益!$A:$A,增益!$N:$N,0))</f>
        <v>0.25</v>
      </c>
      <c r="BK37">
        <f t="shared" si="7"/>
        <v>0</v>
      </c>
      <c r="BL37">
        <f t="shared" si="8"/>
        <v>0</v>
      </c>
      <c r="BM37" s="33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3" cm="1">
        <f t="array" ref="BN37">$G$14+VLOOKUP($R37,武学奇术!$A:$ZZ,16,FALSE)+SUM(_xlfn.XLOOKUP($S37:$AL37,增益!$A:$A,增益!$P:$P,0))</f>
        <v>0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4" cm="1">
        <f t="array" ref="BQ37">1+$B$13+VLOOKUP($R37,武学奇术!$A:$ZZ,18,FALSE)+SUM(_xlfn.XLOOKUP($S37:$AL37,增益!$A:$A,增益!$R:$R,0))</f>
        <v>2.1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0.8865</v>
      </c>
      <c r="BU37" s="24">
        <f t="shared" si="10"/>
        <v>0.0222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0.06</v>
      </c>
      <c r="BX37" s="24" cm="1">
        <f t="array" ref="BX37">VLOOKUP($R37,武学奇术!$A:$ZZ,32,FALSE)+SUM(_xlfn.XLOOKUP($S37:$AL37,增益!$A:$A,增益!$X:$X,0))</f>
        <v>0.1</v>
      </c>
    </row>
    <row r="38" spans="1:76">
      <c r="A38" t="s">
        <v>170</v>
      </c>
      <c r="B38">
        <v>2.5</v>
      </c>
      <c r="K38" s="39">
        <f>$L38*VLOOKUP($R38,武学奇术!$A:$ZY,31,FALSE)</f>
        <v>99325.2085190245</v>
      </c>
      <c r="L38" s="39">
        <f t="shared" si="0"/>
        <v>94595.4366847852</v>
      </c>
      <c r="M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97838.9102587628</v>
      </c>
      <c r="N38" s="39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73965.6881519981</v>
      </c>
      <c r="O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49917.8113565116</v>
      </c>
      <c r="P38" s="39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45046.2240819136</v>
      </c>
      <c r="Q38" s="29">
        <v>1</v>
      </c>
      <c r="R38" s="40" t="s">
        <v>99</v>
      </c>
      <c r="S38" s="40" t="s">
        <v>91</v>
      </c>
      <c r="T38" s="40" t="s">
        <v>172</v>
      </c>
      <c r="U38" s="40" t="s">
        <v>106</v>
      </c>
      <c r="V38" s="40" t="s">
        <v>166</v>
      </c>
      <c r="W38" s="40" t="s">
        <v>100</v>
      </c>
      <c r="X38" s="40" t="s">
        <v>80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80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s="40" t="s">
        <v>80</v>
      </c>
      <c r="AM38" t="str">
        <f>VLOOKUP($R38,武学奇术!$A:$ZZ,25,FALSE)</f>
        <v>伞</v>
      </c>
      <c r="AN38" s="24">
        <f>VLOOKUP($R38,武学奇术!$A:$ZZ,26,FALSE)</f>
        <v>2.3397</v>
      </c>
      <c r="AO38" s="25">
        <f>VLOOKUP($R38,武学奇术!$A:$ZZ,27,FALSE)*(1+IF(OR($AM38=$F$4,$AM38=$F$5),$B$21,0))</f>
        <v>1036.8</v>
      </c>
      <c r="AP38" s="24">
        <f>VLOOKUP($R38,武学奇术!$A:$ZZ,28,FALSE)</f>
        <v>3.5095</v>
      </c>
      <c r="AQ38" s="25">
        <f>VLOOKUP($R38,武学奇术!$A:$ZZ,29,FALSE)*(1+IF(OR($AM38=$F$4,$AM38=$F$5),$B$21,0))</f>
        <v>564.8</v>
      </c>
      <c r="AR38" s="24" cm="1">
        <f t="array" ref="AR38">$G$3+IFERROR(VLOOKUP($AM38,$F$4:$G$7,2,FALSE),0)+VLOOKUP($R38,武学奇术!$A:$ZZ,2,FALSE)+SUM(_xlfn.XLOOKUP($S38:$AL38,增益!$A:$A,增益!$B:$B,0))</f>
        <v>0.8243</v>
      </c>
      <c r="AS38" s="24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4462.125</v>
      </c>
      <c r="AU38" cm="1">
        <f t="array" ref="AU38">$E$10*(1+$AS38)+VLOOKUP($R38,武学奇术!$A:$ZZ,4,FALSE)+SUM(_xlfn.XLOOKUP($S38:$AL38,增益!$A:$A,增益!$D:$D,0))-$I$2</f>
        <v>4462.125</v>
      </c>
      <c r="AV38" s="33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0.3189</v>
      </c>
      <c r="AW38" s="33" cm="1">
        <f t="array" ref="AW38">$G$10+VLOOKUP($R38,武学奇术!$A:$ZZ,7,FALSE)+SUM(_xlfn.XLOOKUP($S38:$AL38,增益!$A:$A,增益!$G:$G,0))</f>
        <v>0.125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3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3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3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3" cm="1">
        <f t="array" ref="BF38">$G$12+VLOOKUP($R38,武学奇术!$A:$ZZ,12,FALSE)+SUM(_xlfn.XLOOKUP($S38:$AL38,增益!$A:$A,增益!$L:$L,0))</f>
        <v>0</v>
      </c>
      <c r="BG38">
        <f t="shared" si="5"/>
        <v>618.2</v>
      </c>
      <c r="BH38">
        <f t="shared" si="6"/>
        <v>1567.4</v>
      </c>
      <c r="BI38" s="33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</v>
      </c>
      <c r="BJ38" s="33" cm="1">
        <f t="array" ref="BJ38">$G$13+VLOOKUP($R38,武学奇术!$A:$ZZ,14,FALSE)+SUM(_xlfn.XLOOKUP($S38:$AL38,增益!$A:$A,增益!$N:$N,0))</f>
        <v>0.25</v>
      </c>
      <c r="BK38">
        <f t="shared" si="7"/>
        <v>0</v>
      </c>
      <c r="BL38">
        <f t="shared" si="8"/>
        <v>0</v>
      </c>
      <c r="BM38" s="33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3" cm="1">
        <f t="array" ref="BN38">$G$14+VLOOKUP($R38,武学奇术!$A:$ZZ,16,FALSE)+SUM(_xlfn.XLOOKUP($S38:$AL38,增益!$A:$A,增益!$P:$P,0))</f>
        <v>0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4" cm="1">
        <f t="array" ref="BQ38">1+$B$13+VLOOKUP($R38,武学奇术!$A:$ZZ,18,FALSE)+SUM(_xlfn.XLOOKUP($S38:$AL38,增益!$A:$A,增益!$R:$R,0))</f>
        <v>1.96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0.8865</v>
      </c>
      <c r="BU38" s="24">
        <f t="shared" si="10"/>
        <v>0.0222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0.06</v>
      </c>
      <c r="BX38" s="24" cm="1">
        <f t="array" ref="BX38">VLOOKUP($R38,武学奇术!$A:$ZZ,32,FALSE)+SUM(_xlfn.XLOOKUP($S38:$AL38,增益!$A:$A,增益!$X:$X,0))</f>
        <v>0.1</v>
      </c>
    </row>
    <row r="39" spans="1:76">
      <c r="A39" s="4" t="s">
        <v>167</v>
      </c>
      <c r="B39" s="4">
        <v>0.1</v>
      </c>
      <c r="E39" s="4"/>
      <c r="F39" s="4"/>
      <c r="K39" s="39">
        <f>$L39*VLOOKUP($R39,武学奇术!$A:$ZY,31,FALSE)</f>
        <v>42014.244435953</v>
      </c>
      <c r="L39" s="39">
        <f t="shared" si="0"/>
        <v>40013.566129479</v>
      </c>
      <c r="M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40621.5499053605</v>
      </c>
      <c r="N39" s="39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37666.3541450173</v>
      </c>
      <c r="O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25388.4686908503</v>
      </c>
      <c r="P39" s="39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22875.9343113174</v>
      </c>
      <c r="Q39" s="29">
        <v>1</v>
      </c>
      <c r="R39" s="40" t="s">
        <v>108</v>
      </c>
      <c r="S39" s="40" t="s">
        <v>91</v>
      </c>
      <c r="T39" s="40" t="s">
        <v>172</v>
      </c>
      <c r="U39" s="40" t="s">
        <v>80</v>
      </c>
      <c r="V39" s="40" t="s">
        <v>166</v>
      </c>
      <c r="W39" s="40" t="s">
        <v>80</v>
      </c>
      <c r="X39" s="40" t="s">
        <v>80</v>
      </c>
      <c r="Y39" s="40" t="s">
        <v>80</v>
      </c>
      <c r="Z39" s="40" t="s">
        <v>110</v>
      </c>
      <c r="AA39" s="40" t="s">
        <v>80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80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s="40" t="s">
        <v>80</v>
      </c>
      <c r="AM39" t="str">
        <f>VLOOKUP($R39,武学奇术!$A:$ZZ,25,FALSE)</f>
        <v>伞</v>
      </c>
      <c r="AN39" s="24">
        <f>VLOOKUP($R39,武学奇术!$A:$ZZ,26,FALSE)</f>
        <v>1.7001</v>
      </c>
      <c r="AO39" s="25">
        <f>VLOOKUP($R39,武学奇术!$A:$ZZ,27,FALSE)*(1+IF(OR($AM39=$F$4,$AM39=$F$5),$B$21,0))</f>
        <v>753.6</v>
      </c>
      <c r="AP39" s="24">
        <f>VLOOKUP($R39,武学奇术!$A:$ZZ,28,FALSE)</f>
        <v>2.5502</v>
      </c>
      <c r="AQ39" s="25">
        <f>VLOOKUP($R39,武学奇术!$A:$ZZ,29,FALSE)*(1+IF(OR($AM39=$F$4,$AM39=$F$5),$B$21,0))</f>
        <v>409.6</v>
      </c>
      <c r="AR39" s="24" cm="1">
        <f t="array" ref="AR39">$G$3+IFERROR(VLOOKUP($AM39,$F$4:$G$7,2,FALSE),0)+VLOOKUP($R39,武学奇术!$A:$ZZ,2,FALSE)+SUM(_xlfn.XLOOKUP($S39:$AL39,增益!$A:$A,增益!$B:$B,0))</f>
        <v>0.4243</v>
      </c>
      <c r="AS39" s="24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4462.125</v>
      </c>
      <c r="AU39" cm="1">
        <f t="array" ref="AU39">$E$10*(1+$AS39)+VLOOKUP($R39,武学奇术!$A:$ZZ,4,FALSE)+SUM(_xlfn.XLOOKUP($S39:$AL39,增益!$A:$A,增益!$D:$D,0))-$I$2</f>
        <v>4462.125</v>
      </c>
      <c r="AV39" s="33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0.2939</v>
      </c>
      <c r="AW39" s="33" cm="1">
        <f t="array" ref="AW39">$G$10+VLOOKUP($R39,武学奇术!$A:$ZZ,7,FALSE)+SUM(_xlfn.XLOOKUP($S39:$AL39,增益!$A:$A,增益!$G:$G,0))</f>
        <v>0.125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3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3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3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3" cm="1">
        <f t="array" ref="BF39">$G$12+VLOOKUP($R39,武学奇术!$A:$ZZ,12,FALSE)+SUM(_xlfn.XLOOKUP($S39:$AL39,增益!$A:$A,增益!$L:$L,0))</f>
        <v>0</v>
      </c>
      <c r="BG39">
        <f t="shared" si="5"/>
        <v>618.2</v>
      </c>
      <c r="BH39">
        <f t="shared" si="6"/>
        <v>1567.4</v>
      </c>
      <c r="BI39" s="33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</v>
      </c>
      <c r="BJ39" s="33" cm="1">
        <f t="array" ref="BJ39">$G$13+VLOOKUP($R39,武学奇术!$A:$ZZ,14,FALSE)+SUM(_xlfn.XLOOKUP($S39:$AL39,增益!$A:$A,增益!$N:$N,0))</f>
        <v>0.25</v>
      </c>
      <c r="BK39">
        <f t="shared" si="7"/>
        <v>0</v>
      </c>
      <c r="BL39">
        <f t="shared" si="8"/>
        <v>0</v>
      </c>
      <c r="BM39" s="33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3" cm="1">
        <f t="array" ref="BN39">$G$14+VLOOKUP($R39,武学奇术!$A:$ZZ,16,FALSE)+SUM(_xlfn.XLOOKUP($S39:$AL39,增益!$A:$A,增益!$P:$P,0))</f>
        <v>0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4" cm="1">
        <f t="array" ref="BQ39">1+$B$13+VLOOKUP($R39,武学奇术!$A:$ZZ,18,FALSE)+SUM(_xlfn.XLOOKUP($S39:$AL39,增益!$A:$A,增益!$R:$R,0))</f>
        <v>1.6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0.8865</v>
      </c>
      <c r="BU39" s="24">
        <f t="shared" si="10"/>
        <v>0.0222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0.06</v>
      </c>
      <c r="BX39" s="24" cm="1">
        <f t="array" ref="BX39">VLOOKUP($R39,武学奇术!$A:$ZZ,32,FALSE)+SUM(_xlfn.XLOOKUP($S39:$AL39,增益!$A:$A,增益!$X:$X,0))</f>
        <v>0</v>
      </c>
    </row>
    <row r="40" spans="1:76">
      <c r="A40" s="4" t="s">
        <v>99</v>
      </c>
      <c r="B40" s="4">
        <v>1.25</v>
      </c>
      <c r="K40" s="39">
        <f>$L40*VLOOKUP($R40,武学奇术!$A:$ZY,31,FALSE)</f>
        <v>17613.0147518668</v>
      </c>
      <c r="L40" s="39">
        <f t="shared" si="0"/>
        <v>16774.2997636827</v>
      </c>
      <c r="M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17029.1009442429</v>
      </c>
      <c r="N40" s="39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15791.0514897042</v>
      </c>
      <c r="O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10643.1880901518</v>
      </c>
      <c r="P40" s="39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9589.30100274492</v>
      </c>
      <c r="Q40" s="29">
        <v>1</v>
      </c>
      <c r="R40" s="40" t="s">
        <v>113</v>
      </c>
      <c r="S40" s="40" t="s">
        <v>91</v>
      </c>
      <c r="T40" s="40" t="s">
        <v>172</v>
      </c>
      <c r="U40" s="40" t="s">
        <v>80</v>
      </c>
      <c r="V40" s="40" t="s">
        <v>166</v>
      </c>
      <c r="W40" s="40" t="s">
        <v>80</v>
      </c>
      <c r="X40" s="40" t="s">
        <v>80</v>
      </c>
      <c r="Y40" s="40" t="s">
        <v>80</v>
      </c>
      <c r="Z40" s="40" t="s">
        <v>110</v>
      </c>
      <c r="AA40" s="40" t="s">
        <v>80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80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s="40" t="s">
        <v>80</v>
      </c>
      <c r="AM40" t="str">
        <f>VLOOKUP($R40,武学奇术!$A:$ZZ,25,FALSE)</f>
        <v>伞</v>
      </c>
      <c r="AN40" s="24">
        <f>VLOOKUP($R40,武学奇术!$A:$ZZ,26,FALSE)</f>
        <v>0.54</v>
      </c>
      <c r="AO40" s="25">
        <f>VLOOKUP($R40,武学奇术!$A:$ZZ,27,FALSE)*(1+IF(OR($AM40=$F$4,$AM40=$F$5),$B$21,0))</f>
        <v>236.8</v>
      </c>
      <c r="AP40" s="24">
        <f>VLOOKUP($R40,武学奇术!$A:$ZZ,28,FALSE)</f>
        <v>0.81</v>
      </c>
      <c r="AQ40" s="25">
        <f>VLOOKUP($R40,武学奇术!$A:$ZZ,29,FALSE)*(1+IF(OR($AM40=$F$4,$AM40=$F$5),$B$21,0))</f>
        <v>130.4</v>
      </c>
      <c r="AR40" s="24" cm="1">
        <f t="array" ref="AR40">$G$3+IFERROR(VLOOKUP($AM40,$F$4:$G$7,2,FALSE),0)+VLOOKUP($R40,武学奇术!$A:$ZZ,2,FALSE)+SUM(_xlfn.XLOOKUP($S40:$AL40,增益!$A:$A,增益!$B:$B,0))</f>
        <v>0.4243</v>
      </c>
      <c r="AS40" s="24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4462.125</v>
      </c>
      <c r="AU40" cm="1">
        <f t="array" ref="AU40">$E$10*(1+$AS40)+VLOOKUP($R40,武学奇术!$A:$ZZ,4,FALSE)+SUM(_xlfn.XLOOKUP($S40:$AL40,增益!$A:$A,增益!$D:$D,0))-$I$2</f>
        <v>4462.125</v>
      </c>
      <c r="AV40" s="33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0.2939</v>
      </c>
      <c r="AW40" s="33" cm="1">
        <f t="array" ref="AW40">$G$10+VLOOKUP($R40,武学奇术!$A:$ZZ,7,FALSE)+SUM(_xlfn.XLOOKUP($S40:$AL40,增益!$A:$A,增益!$G:$G,0))</f>
        <v>0.125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3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3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3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3" cm="1">
        <f t="array" ref="BF40">$G$12+VLOOKUP($R40,武学奇术!$A:$ZZ,12,FALSE)+SUM(_xlfn.XLOOKUP($S40:$AL40,增益!$A:$A,增益!$L:$L,0))</f>
        <v>0</v>
      </c>
      <c r="BG40">
        <f t="shared" si="5"/>
        <v>618.2</v>
      </c>
      <c r="BH40">
        <f t="shared" si="6"/>
        <v>1567.4</v>
      </c>
      <c r="BI40" s="33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</v>
      </c>
      <c r="BJ40" s="33" cm="1">
        <f t="array" ref="BJ40">$G$13+VLOOKUP($R40,武学奇术!$A:$ZZ,14,FALSE)+SUM(_xlfn.XLOOKUP($S40:$AL40,增益!$A:$A,增益!$N:$N,0))</f>
        <v>0.25</v>
      </c>
      <c r="BK40">
        <f t="shared" si="7"/>
        <v>0</v>
      </c>
      <c r="BL40">
        <f t="shared" si="8"/>
        <v>0</v>
      </c>
      <c r="BM40" s="33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3" cm="1">
        <f t="array" ref="BN40">$G$14+VLOOKUP($R40,武学奇术!$A:$ZZ,16,FALSE)+SUM(_xlfn.XLOOKUP($S40:$AL40,增益!$A:$A,增益!$P:$P,0))</f>
        <v>0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4" cm="1">
        <f t="array" ref="BQ40">1+$B$13+VLOOKUP($R40,武学奇术!$A:$ZZ,18,FALSE)+SUM(_xlfn.XLOOKUP($S40:$AL40,增益!$A:$A,增益!$R:$R,0))</f>
        <v>1.6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0.8865</v>
      </c>
      <c r="BU40" s="24">
        <f t="shared" si="10"/>
        <v>0.0222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0.06</v>
      </c>
      <c r="BX40" s="24" cm="1">
        <f t="array" ref="BX40">VLOOKUP($R40,武学奇术!$A:$ZZ,32,FALSE)+SUM(_xlfn.XLOOKUP($S40:$AL40,增益!$A:$A,增益!$X:$X,0))</f>
        <v>0</v>
      </c>
    </row>
    <row r="41" spans="1:76">
      <c r="A41" s="4" t="s">
        <v>162</v>
      </c>
      <c r="B41" s="91">
        <v>1.3</v>
      </c>
      <c r="K41" s="39">
        <f>$L41*VLOOKUP($R41,武学奇术!$A:$ZY,31,FALSE)</f>
        <v>94293.7550941809</v>
      </c>
      <c r="L41" s="39">
        <f t="shared" si="0"/>
        <v>89803.5762801722</v>
      </c>
      <c r="M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93798.3850305535</v>
      </c>
      <c r="N41" s="39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62530.9948462782</v>
      </c>
      <c r="O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42442.7081586215</v>
      </c>
      <c r="P41" s="39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38566.1608755554</v>
      </c>
      <c r="Q41" s="29">
        <v>1</v>
      </c>
      <c r="R41" s="40" t="s">
        <v>115</v>
      </c>
      <c r="S41" s="40" t="s">
        <v>91</v>
      </c>
      <c r="T41" s="40" t="s">
        <v>172</v>
      </c>
      <c r="U41" s="40" t="s">
        <v>174</v>
      </c>
      <c r="V41" s="40" t="s">
        <v>166</v>
      </c>
      <c r="W41" s="40" t="s">
        <v>100</v>
      </c>
      <c r="X41" s="40" t="s">
        <v>80</v>
      </c>
      <c r="Y41" s="40" t="s">
        <v>109</v>
      </c>
      <c r="Z41" s="40" t="s">
        <v>110</v>
      </c>
      <c r="AA41" s="40" t="s">
        <v>175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80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s="40" t="s">
        <v>80</v>
      </c>
      <c r="AM41" t="str">
        <f>VLOOKUP($R41,武学奇术!$A:$ZZ,25,FALSE)</f>
        <v>伞</v>
      </c>
      <c r="AN41" s="24">
        <f>VLOOKUP($R41,武学奇术!$A:$ZZ,26,FALSE)</f>
        <v>1.0217</v>
      </c>
      <c r="AO41" s="25">
        <f>VLOOKUP($R41,武学奇术!$A:$ZZ,27,FALSE)*(1+IF(OR($AM41=$F$4,$AM41=$F$5),$B$21,0))</f>
        <v>451.2</v>
      </c>
      <c r="AP41" s="24">
        <f>VLOOKUP($R41,武学奇术!$A:$ZZ,28,FALSE)</f>
        <v>1.5325</v>
      </c>
      <c r="AQ41" s="25">
        <f>VLOOKUP($R41,武学奇术!$A:$ZZ,29,FALSE)*(1+IF(OR($AM41=$F$4,$AM41=$F$5),$B$21,0))</f>
        <v>246.4</v>
      </c>
      <c r="AR41" s="24" cm="1">
        <f t="array" ref="AR41">$G$3+IFERROR(VLOOKUP($AM41,$F$4:$G$7,2,FALSE),0)+VLOOKUP($R41,武学奇术!$A:$ZZ,2,FALSE)+SUM(_xlfn.XLOOKUP($S41:$AL41,增益!$A:$A,增益!$B:$B,0))</f>
        <v>1.0243</v>
      </c>
      <c r="AS41" s="24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4462.125</v>
      </c>
      <c r="AU41" cm="1">
        <f t="array" ref="AU41">$E$10*(1+$AS41)+VLOOKUP($R41,武学奇术!$A:$ZZ,4,FALSE)+SUM(_xlfn.XLOOKUP($S41:$AL41,增益!$A:$A,增益!$D:$D,0))-$I$2</f>
        <v>4462.125</v>
      </c>
      <c r="AV41" s="33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0.4439</v>
      </c>
      <c r="AW41" s="33" cm="1">
        <f t="array" ref="AW41">$G$10+VLOOKUP($R41,武学奇术!$A:$ZZ,7,FALSE)+SUM(_xlfn.XLOOKUP($S41:$AL41,增益!$A:$A,增益!$G:$G,0))</f>
        <v>0.125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3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3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3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3" cm="1">
        <f t="array" ref="BF41">$G$12+VLOOKUP($R41,武学奇术!$A:$ZZ,12,FALSE)+SUM(_xlfn.XLOOKUP($S41:$AL41,增益!$A:$A,增益!$L:$L,0))</f>
        <v>0</v>
      </c>
      <c r="BG41">
        <f t="shared" si="5"/>
        <v>618.2</v>
      </c>
      <c r="BH41">
        <f t="shared" si="6"/>
        <v>1567.4</v>
      </c>
      <c r="BI41" s="33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</v>
      </c>
      <c r="BJ41" s="33" cm="1">
        <f t="array" ref="BJ41">$G$13+VLOOKUP($R41,武学奇术!$A:$ZZ,14,FALSE)+SUM(_xlfn.XLOOKUP($S41:$AL41,增益!$A:$A,增益!$N:$N,0))</f>
        <v>0.25</v>
      </c>
      <c r="BK41">
        <f t="shared" si="7"/>
        <v>0</v>
      </c>
      <c r="BL41">
        <f t="shared" si="8"/>
        <v>0</v>
      </c>
      <c r="BM41" s="33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3" cm="1">
        <f t="array" ref="BN41">$G$14+VLOOKUP($R41,武学奇术!$A:$ZZ,16,FALSE)+SUM(_xlfn.XLOOKUP($S41:$AL41,增益!$A:$A,增益!$P:$P,0))</f>
        <v>0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4" cm="1">
        <f t="array" ref="BQ41">1+$B$13+VLOOKUP($R41,武学奇术!$A:$ZZ,18,FALSE)+SUM(_xlfn.XLOOKUP($S41:$AL41,增益!$A:$A,增益!$R:$R,0))</f>
        <v>2.21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0.8865</v>
      </c>
      <c r="BU41" s="24">
        <f t="shared" si="10"/>
        <v>0.0222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0.16</v>
      </c>
      <c r="BX41" s="24" cm="1">
        <f t="array" ref="BX41">VLOOKUP($R41,武学奇术!$A:$ZZ,32,FALSE)+SUM(_xlfn.XLOOKUP($S41:$AL41,增益!$A:$A,增益!$X:$X,0))</f>
        <v>0.25</v>
      </c>
    </row>
    <row r="42" spans="1:76">
      <c r="A42" s="4" t="s">
        <v>113</v>
      </c>
      <c r="B42" s="91">
        <v>1.16</v>
      </c>
      <c r="K42" s="39">
        <f>$L42*VLOOKUP($R42,武学奇术!$A:$ZY,31,FALSE)</f>
        <v>1037231.30603599</v>
      </c>
      <c r="L42" s="39">
        <f t="shared" si="0"/>
        <v>987839.339081894</v>
      </c>
      <c r="M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1031782.23533609</v>
      </c>
      <c r="N42" s="39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687840.94330906</v>
      </c>
      <c r="O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466869.789744836</v>
      </c>
      <c r="P42" s="39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424227.769631109</v>
      </c>
      <c r="Q42" s="29">
        <v>11</v>
      </c>
      <c r="R42" s="40" t="s">
        <v>115</v>
      </c>
      <c r="S42" s="40" t="s">
        <v>91</v>
      </c>
      <c r="T42" s="40" t="s">
        <v>172</v>
      </c>
      <c r="U42" s="40" t="s">
        <v>174</v>
      </c>
      <c r="V42" s="40" t="s">
        <v>166</v>
      </c>
      <c r="W42" s="40" t="s">
        <v>100</v>
      </c>
      <c r="X42" s="40" t="s">
        <v>80</v>
      </c>
      <c r="Y42" s="40" t="s">
        <v>109</v>
      </c>
      <c r="Z42" s="40" t="s">
        <v>110</v>
      </c>
      <c r="AA42" s="40" t="s">
        <v>175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80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s="40" t="s">
        <v>80</v>
      </c>
      <c r="AM42" t="str">
        <f>VLOOKUP($R42,武学奇术!$A:$ZZ,25,FALSE)</f>
        <v>伞</v>
      </c>
      <c r="AN42" s="24">
        <f>VLOOKUP($R42,武学奇术!$A:$ZZ,26,FALSE)</f>
        <v>1.0217</v>
      </c>
      <c r="AO42" s="25">
        <f>VLOOKUP($R42,武学奇术!$A:$ZZ,27,FALSE)*(1+IF(OR($AM42=$F$4,$AM42=$F$5),$B$21,0))</f>
        <v>451.2</v>
      </c>
      <c r="AP42" s="24">
        <f>VLOOKUP($R42,武学奇术!$A:$ZZ,28,FALSE)</f>
        <v>1.5325</v>
      </c>
      <c r="AQ42" s="25">
        <f>VLOOKUP($R42,武学奇术!$A:$ZZ,29,FALSE)*(1+IF(OR($AM42=$F$4,$AM42=$F$5),$B$21,0))</f>
        <v>246.4</v>
      </c>
      <c r="AR42" s="24" cm="1">
        <f t="array" ref="AR42">$G$3+IFERROR(VLOOKUP($AM42,$F$4:$G$7,2,FALSE),0)+VLOOKUP($R42,武学奇术!$A:$ZZ,2,FALSE)+SUM(_xlfn.XLOOKUP($S42:$AL42,增益!$A:$A,增益!$B:$B,0))</f>
        <v>1.0243</v>
      </c>
      <c r="AS42" s="24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4462.125</v>
      </c>
      <c r="AU42" cm="1">
        <f t="array" ref="AU42">$E$10*(1+$AS42)+VLOOKUP($R42,武学奇术!$A:$ZZ,4,FALSE)+SUM(_xlfn.XLOOKUP($S42:$AL42,增益!$A:$A,增益!$D:$D,0))-$I$2</f>
        <v>4462.125</v>
      </c>
      <c r="AV42" s="33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0.4439</v>
      </c>
      <c r="AW42" s="33" cm="1">
        <f t="array" ref="AW42">$G$10+VLOOKUP($R42,武学奇术!$A:$ZZ,7,FALSE)+SUM(_xlfn.XLOOKUP($S42:$AL42,增益!$A:$A,增益!$G:$G,0))</f>
        <v>0.125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3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3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3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3" cm="1">
        <f t="array" ref="BF42">$G$12+VLOOKUP($R42,武学奇术!$A:$ZZ,12,FALSE)+SUM(_xlfn.XLOOKUP($S42:$AL42,增益!$A:$A,增益!$L:$L,0))</f>
        <v>0</v>
      </c>
      <c r="BG42">
        <f t="shared" si="5"/>
        <v>618.2</v>
      </c>
      <c r="BH42">
        <f t="shared" si="6"/>
        <v>1567.4</v>
      </c>
      <c r="BI42" s="33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</v>
      </c>
      <c r="BJ42" s="33" cm="1">
        <f t="array" ref="BJ42">$G$13+VLOOKUP($R42,武学奇术!$A:$ZZ,14,FALSE)+SUM(_xlfn.XLOOKUP($S42:$AL42,增益!$A:$A,增益!$N:$N,0))</f>
        <v>0.25</v>
      </c>
      <c r="BK42">
        <f t="shared" si="7"/>
        <v>0</v>
      </c>
      <c r="BL42">
        <f t="shared" si="8"/>
        <v>0</v>
      </c>
      <c r="BM42" s="33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3" cm="1">
        <f t="array" ref="BN42">$G$14+VLOOKUP($R42,武学奇术!$A:$ZZ,16,FALSE)+SUM(_xlfn.XLOOKUP($S42:$AL42,增益!$A:$A,增益!$P:$P,0))</f>
        <v>0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4" cm="1">
        <f t="array" ref="BQ42">1+$B$13+VLOOKUP($R42,武学奇术!$A:$ZZ,18,FALSE)+SUM(_xlfn.XLOOKUP($S42:$AL42,增益!$A:$A,增益!$R:$R,0))</f>
        <v>2.21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0.8865</v>
      </c>
      <c r="BU42" s="24">
        <f t="shared" si="10"/>
        <v>0.0222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0.16</v>
      </c>
      <c r="BX42" s="24" cm="1">
        <f t="array" ref="BX42">VLOOKUP($R42,武学奇术!$A:$ZZ,32,FALSE)+SUM(_xlfn.XLOOKUP($S42:$AL42,增益!$A:$A,增益!$X:$X,0))</f>
        <v>0.25</v>
      </c>
    </row>
    <row r="43" spans="1:76">
      <c r="A43" s="4" t="s">
        <v>167</v>
      </c>
      <c r="B43" s="4">
        <v>0.1</v>
      </c>
      <c r="K43" s="39">
        <f>$L43*VLOOKUP($R43,武学奇术!$A:$ZY,31,FALSE)</f>
        <v>349226.468750725</v>
      </c>
      <c r="L43" s="39">
        <f t="shared" si="0"/>
        <v>332596.636905452</v>
      </c>
      <c r="M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347391.815566401</v>
      </c>
      <c r="N43" s="39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231589.870355934</v>
      </c>
      <c r="O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157190.866772127</v>
      </c>
      <c r="P43" s="39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142833.681428748</v>
      </c>
      <c r="Q43" s="29">
        <v>4</v>
      </c>
      <c r="R43" s="40" t="s">
        <v>115</v>
      </c>
      <c r="S43" s="40" t="s">
        <v>91</v>
      </c>
      <c r="T43" s="40" t="s">
        <v>172</v>
      </c>
      <c r="U43" s="40" t="s">
        <v>174</v>
      </c>
      <c r="V43" s="40" t="s">
        <v>166</v>
      </c>
      <c r="W43" s="40" t="s">
        <v>100</v>
      </c>
      <c r="X43" s="40" t="s">
        <v>80</v>
      </c>
      <c r="Y43" s="40" t="s">
        <v>109</v>
      </c>
      <c r="Z43" s="40" t="s">
        <v>80</v>
      </c>
      <c r="AA43" s="40" t="s">
        <v>175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80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s="40" t="s">
        <v>80</v>
      </c>
      <c r="AM43" t="str">
        <f>VLOOKUP($R43,武学奇术!$A:$ZZ,25,FALSE)</f>
        <v>伞</v>
      </c>
      <c r="AN43" s="24">
        <f>VLOOKUP($R43,武学奇术!$A:$ZZ,26,FALSE)</f>
        <v>1.0217</v>
      </c>
      <c r="AO43" s="25">
        <f>VLOOKUP($R43,武学奇术!$A:$ZZ,27,FALSE)*(1+IF(OR($AM43=$F$4,$AM43=$F$5),$B$21,0))</f>
        <v>451.2</v>
      </c>
      <c r="AP43" s="24">
        <f>VLOOKUP($R43,武学奇术!$A:$ZZ,28,FALSE)</f>
        <v>1.5325</v>
      </c>
      <c r="AQ43" s="25">
        <f>VLOOKUP($R43,武学奇术!$A:$ZZ,29,FALSE)*(1+IF(OR($AM43=$F$4,$AM43=$F$5),$B$21,0))</f>
        <v>246.4</v>
      </c>
      <c r="AR43" s="24" cm="1">
        <f t="array" ref="AR43">$G$3+IFERROR(VLOOKUP($AM43,$F$4:$G$7,2,FALSE),0)+VLOOKUP($R43,武学奇术!$A:$ZZ,2,FALSE)+SUM(_xlfn.XLOOKUP($S43:$AL43,增益!$A:$A,增益!$B:$B,0))</f>
        <v>0.8743</v>
      </c>
      <c r="AS43" s="24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4462.125</v>
      </c>
      <c r="AU43" cm="1">
        <f t="array" ref="AU43">$E$10*(1+$AS43)+VLOOKUP($R43,武学奇术!$A:$ZZ,4,FALSE)+SUM(_xlfn.XLOOKUP($S43:$AL43,增益!$A:$A,增益!$D:$D,0))-$I$2</f>
        <v>4462.125</v>
      </c>
      <c r="AV43" s="33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0.4439</v>
      </c>
      <c r="AW43" s="33" cm="1">
        <f t="array" ref="AW43">$G$10+VLOOKUP($R43,武学奇术!$A:$ZZ,7,FALSE)+SUM(_xlfn.XLOOKUP($S43:$AL43,增益!$A:$A,增益!$G:$G,0))</f>
        <v>0.125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3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3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3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3" cm="1">
        <f t="array" ref="BF43">$G$12+VLOOKUP($R43,武学奇术!$A:$ZZ,12,FALSE)+SUM(_xlfn.XLOOKUP($S43:$AL43,增益!$A:$A,增益!$L:$L,0))</f>
        <v>0</v>
      </c>
      <c r="BG43">
        <f t="shared" si="5"/>
        <v>618.2</v>
      </c>
      <c r="BH43">
        <f t="shared" si="6"/>
        <v>1567.4</v>
      </c>
      <c r="BI43" s="33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</v>
      </c>
      <c r="BJ43" s="33" cm="1">
        <f t="array" ref="BJ43">$G$13+VLOOKUP($R43,武学奇术!$A:$ZZ,14,FALSE)+SUM(_xlfn.XLOOKUP($S43:$AL43,增益!$A:$A,增益!$N:$N,0))</f>
        <v>0.25</v>
      </c>
      <c r="BK43">
        <f t="shared" si="7"/>
        <v>0</v>
      </c>
      <c r="BL43">
        <f t="shared" si="8"/>
        <v>0</v>
      </c>
      <c r="BM43" s="33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3" cm="1">
        <f t="array" ref="BN43">$G$14+VLOOKUP($R43,武学奇术!$A:$ZZ,16,FALSE)+SUM(_xlfn.XLOOKUP($S43:$AL43,增益!$A:$A,增益!$P:$P,0))</f>
        <v>0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4" cm="1">
        <f t="array" ref="BQ43">1+$B$13+VLOOKUP($R43,武学奇术!$A:$ZZ,18,FALSE)+SUM(_xlfn.XLOOKUP($S43:$AL43,增益!$A:$A,增益!$R:$R,0))</f>
        <v>2.21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0.8865</v>
      </c>
      <c r="BU43" s="24">
        <f t="shared" si="10"/>
        <v>0.0222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0.16</v>
      </c>
      <c r="BX43" s="24" cm="1">
        <f t="array" ref="BX43">VLOOKUP($R43,武学奇术!$A:$ZZ,32,FALSE)+SUM(_xlfn.XLOOKUP($S43:$AL43,增益!$A:$A,增益!$X:$X,0))</f>
        <v>0.25</v>
      </c>
    </row>
    <row r="44" spans="1:76">
      <c r="A44" t="s">
        <v>177</v>
      </c>
      <c r="B44">
        <v>1</v>
      </c>
      <c r="K44" s="39">
        <f>$L44*VLOOKUP($R44,武学奇术!$A:$ZY,31,FALSE)</f>
        <v>349226.468750725</v>
      </c>
      <c r="L44" s="39">
        <f t="shared" si="0"/>
        <v>332596.636905452</v>
      </c>
      <c r="M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347391.815566401</v>
      </c>
      <c r="N44" s="39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231589.870355934</v>
      </c>
      <c r="O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157190.866772127</v>
      </c>
      <c r="P44" s="39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142833.681428748</v>
      </c>
      <c r="Q44" s="29">
        <v>4</v>
      </c>
      <c r="R44" s="40" t="s">
        <v>115</v>
      </c>
      <c r="S44" s="40" t="s">
        <v>91</v>
      </c>
      <c r="T44" s="40" t="s">
        <v>172</v>
      </c>
      <c r="U44" s="40" t="s">
        <v>174</v>
      </c>
      <c r="V44" s="40" t="s">
        <v>166</v>
      </c>
      <c r="W44" s="40" t="s">
        <v>100</v>
      </c>
      <c r="X44" s="40" t="s">
        <v>80</v>
      </c>
      <c r="Y44" s="40" t="s">
        <v>109</v>
      </c>
      <c r="Z44" s="40" t="s">
        <v>80</v>
      </c>
      <c r="AA44" s="40" t="s">
        <v>175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80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s="40" t="s">
        <v>80</v>
      </c>
      <c r="AM44" t="str">
        <f>VLOOKUP($R44,武学奇术!$A:$ZZ,25,FALSE)</f>
        <v>伞</v>
      </c>
      <c r="AN44" s="24">
        <f>VLOOKUP($R44,武学奇术!$A:$ZZ,26,FALSE)</f>
        <v>1.0217</v>
      </c>
      <c r="AO44" s="25">
        <f>VLOOKUP($R44,武学奇术!$A:$ZZ,27,FALSE)*(1+IF(OR($AM44=$F$4,$AM44=$F$5),$B$21,0))</f>
        <v>451.2</v>
      </c>
      <c r="AP44" s="24">
        <f>VLOOKUP($R44,武学奇术!$A:$ZZ,28,FALSE)</f>
        <v>1.5325</v>
      </c>
      <c r="AQ44" s="25">
        <f>VLOOKUP($R44,武学奇术!$A:$ZZ,29,FALSE)*(1+IF(OR($AM44=$F$4,$AM44=$F$5),$B$21,0))</f>
        <v>246.4</v>
      </c>
      <c r="AR44" s="24" cm="1">
        <f t="array" ref="AR44">$G$3+IFERROR(VLOOKUP($AM44,$F$4:$G$7,2,FALSE),0)+VLOOKUP($R44,武学奇术!$A:$ZZ,2,FALSE)+SUM(_xlfn.XLOOKUP($S44:$AL44,增益!$A:$A,增益!$B:$B,0))</f>
        <v>0.8743</v>
      </c>
      <c r="AS44" s="24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4462.125</v>
      </c>
      <c r="AU44" cm="1">
        <f t="array" ref="AU44">$E$10*(1+$AS44)+VLOOKUP($R44,武学奇术!$A:$ZZ,4,FALSE)+SUM(_xlfn.XLOOKUP($S44:$AL44,增益!$A:$A,增益!$D:$D,0))-$I$2</f>
        <v>4462.125</v>
      </c>
      <c r="AV44" s="33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0.4439</v>
      </c>
      <c r="AW44" s="33" cm="1">
        <f t="array" ref="AW44">$G$10+VLOOKUP($R44,武学奇术!$A:$ZZ,7,FALSE)+SUM(_xlfn.XLOOKUP($S44:$AL44,增益!$A:$A,增益!$G:$G,0))</f>
        <v>0.125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3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3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3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3" cm="1">
        <f t="array" ref="BF44">$G$12+VLOOKUP($R44,武学奇术!$A:$ZZ,12,FALSE)+SUM(_xlfn.XLOOKUP($S44:$AL44,增益!$A:$A,增益!$L:$L,0))</f>
        <v>0</v>
      </c>
      <c r="BG44">
        <f t="shared" si="5"/>
        <v>618.2</v>
      </c>
      <c r="BH44">
        <f t="shared" si="6"/>
        <v>1567.4</v>
      </c>
      <c r="BI44" s="33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3" cm="1">
        <f t="array" ref="BJ44">$G$13+VLOOKUP($R44,武学奇术!$A:$ZZ,14,FALSE)+SUM(_xlfn.XLOOKUP($S44:$AL44,增益!$A:$A,增益!$N:$N,0))</f>
        <v>0.25</v>
      </c>
      <c r="BK44">
        <f t="shared" si="7"/>
        <v>0</v>
      </c>
      <c r="BL44">
        <f t="shared" si="8"/>
        <v>0</v>
      </c>
      <c r="BM44" s="33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3" cm="1">
        <f t="array" ref="BN44">$G$14+VLOOKUP($R44,武学奇术!$A:$ZZ,16,FALSE)+SUM(_xlfn.XLOOKUP($S44:$AL44,增益!$A:$A,增益!$P:$P,0))</f>
        <v>0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4" cm="1">
        <f t="array" ref="BQ44">1+$B$13+VLOOKUP($R44,武学奇术!$A:$ZZ,18,FALSE)+SUM(_xlfn.XLOOKUP($S44:$AL44,增益!$A:$A,增益!$R:$R,0))</f>
        <v>2.21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0.8865</v>
      </c>
      <c r="BU44" s="24">
        <f t="shared" si="10"/>
        <v>0.0222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0.16</v>
      </c>
      <c r="BX44" s="24" cm="1">
        <f t="array" ref="BX44">VLOOKUP($R44,武学奇术!$A:$ZZ,32,FALSE)+SUM(_xlfn.XLOOKUP($S44:$AL44,增益!$A:$A,增益!$X:$X,0))</f>
        <v>0.25</v>
      </c>
    </row>
    <row r="45" spans="1:76">
      <c r="A45" s="4" t="s">
        <v>169</v>
      </c>
      <c r="B45" s="4">
        <v>1.4</v>
      </c>
      <c r="K45" s="39">
        <f>$L45*VLOOKUP($R45,武学奇术!$A:$ZY,31,FALSE)</f>
        <v>25816.8495343876</v>
      </c>
      <c r="L45" s="39">
        <f t="shared" si="0"/>
        <v>24587.4757470358</v>
      </c>
      <c r="M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25315.8125881126</v>
      </c>
      <c r="N45" s="39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20166.6827668853</v>
      </c>
      <c r="O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13684.2230206014</v>
      </c>
      <c r="P45" s="39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12430.1625101766</v>
      </c>
      <c r="Q45" s="29">
        <v>1</v>
      </c>
      <c r="R45" s="40" t="s">
        <v>155</v>
      </c>
      <c r="S45" s="40" t="s">
        <v>91</v>
      </c>
      <c r="T45" s="40" t="s">
        <v>172</v>
      </c>
      <c r="U45" s="40" t="s">
        <v>80</v>
      </c>
      <c r="V45" s="40" t="s">
        <v>166</v>
      </c>
      <c r="W45" s="40" t="s">
        <v>80</v>
      </c>
      <c r="X45" s="40" t="s">
        <v>80</v>
      </c>
      <c r="Y45" s="40" t="s">
        <v>109</v>
      </c>
      <c r="Z45" s="40" t="s">
        <v>110</v>
      </c>
      <c r="AA45" s="40" t="s">
        <v>175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80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s="40" t="s">
        <v>80</v>
      </c>
      <c r="AM45" t="str">
        <f>VLOOKUP($R45,武学奇术!$A:$ZZ,25,FALSE)</f>
        <v>扇</v>
      </c>
      <c r="AN45" s="24">
        <f>VLOOKUP($R45,武学奇术!$A:$ZZ,26,FALSE)</f>
        <v>0.9271</v>
      </c>
      <c r="AO45" s="25">
        <f>VLOOKUP($R45,武学奇术!$A:$ZZ,27,FALSE)*(1+IF(OR($AM45=$F$4,$AM45=$F$5),$B$21,0))</f>
        <v>411.2</v>
      </c>
      <c r="AP45" s="24">
        <f>VLOOKUP($R45,武学奇术!$A:$ZZ,28,FALSE)</f>
        <v>1.3907</v>
      </c>
      <c r="AQ45" s="25">
        <f>VLOOKUP($R45,武学奇术!$A:$ZZ,29,FALSE)*(1+IF(OR($AM45=$F$4,$AM45=$F$5),$B$21,0))</f>
        <v>224</v>
      </c>
      <c r="AR45" s="24" cm="1">
        <f t="array" ref="AR45">$G$3+IFERROR(VLOOKUP($AM45,$F$4:$G$7,2,FALSE),0)+VLOOKUP($R45,武学奇术!$A:$ZZ,2,FALSE)+SUM(_xlfn.XLOOKUP($S45:$AL45,增益!$A:$A,增益!$B:$B,0))</f>
        <v>0.4243</v>
      </c>
      <c r="AS45" s="24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4462.125</v>
      </c>
      <c r="AU45" cm="1">
        <f t="array" ref="AU45">$E$10*(1+$AS45)+VLOOKUP($R45,武学奇术!$A:$ZZ,4,FALSE)+SUM(_xlfn.XLOOKUP($S45:$AL45,增益!$A:$A,增益!$D:$D,0))-$I$2</f>
        <v>4462.125</v>
      </c>
      <c r="AV45" s="33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0.3189</v>
      </c>
      <c r="AW45" s="33" cm="1">
        <f t="array" ref="AW45">$G$10+VLOOKUP($R45,武学奇术!$A:$ZZ,7,FALSE)+SUM(_xlfn.XLOOKUP($S45:$AL45,增益!$A:$A,增益!$G:$G,0))</f>
        <v>0.025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3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3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3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3" cm="1">
        <f t="array" ref="BF45">$G$12+VLOOKUP($R45,武学奇术!$A:$ZZ,12,FALSE)+SUM(_xlfn.XLOOKUP($S45:$AL45,增益!$A:$A,增益!$L:$L,0))</f>
        <v>0</v>
      </c>
      <c r="BG45">
        <f t="shared" si="5"/>
        <v>618.2</v>
      </c>
      <c r="BH45">
        <f t="shared" si="6"/>
        <v>1567.4</v>
      </c>
      <c r="BI45" s="33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3" cm="1">
        <f t="array" ref="BJ45">$G$13+VLOOKUP($R45,武学奇术!$A:$ZZ,14,FALSE)+SUM(_xlfn.XLOOKUP($S45:$AL45,增益!$A:$A,增益!$N:$N,0))</f>
        <v>0.15</v>
      </c>
      <c r="BK45">
        <f t="shared" si="7"/>
        <v>0</v>
      </c>
      <c r="BL45">
        <f t="shared" si="8"/>
        <v>0</v>
      </c>
      <c r="BM45" s="33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3" cm="1">
        <f t="array" ref="BN45">$G$14+VLOOKUP($R45,武学奇术!$A:$ZZ,16,FALSE)+SUM(_xlfn.XLOOKUP($S45:$AL45,增益!$A:$A,增益!$P:$P,0))</f>
        <v>0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4" cm="1">
        <f t="array" ref="BQ45">1+$B$13+VLOOKUP($R45,武学奇术!$A:$ZZ,18,FALSE)+SUM(_xlfn.XLOOKUP($S45:$AL45,增益!$A:$A,增益!$R:$R,0))</f>
        <v>1.85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0.8865</v>
      </c>
      <c r="BU45" s="24">
        <f t="shared" si="10"/>
        <v>0.0222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0.16</v>
      </c>
      <c r="BX45" s="24" cm="1">
        <f t="array" ref="BX45">VLOOKUP($R45,武学奇术!$A:$ZZ,32,FALSE)+SUM(_xlfn.XLOOKUP($S45:$AL45,增益!$A:$A,增益!$X:$X,0))</f>
        <v>0</v>
      </c>
    </row>
    <row r="46" spans="1:76">
      <c r="A46" t="s">
        <v>170</v>
      </c>
      <c r="B46">
        <v>2.5</v>
      </c>
      <c r="K46" s="39">
        <f>$L46*VLOOKUP($R46,武学奇术!$A:$ZY,31,FALSE)</f>
        <v>361901.816315926</v>
      </c>
      <c r="L46" s="39">
        <f t="shared" si="0"/>
        <v>344668.396491358</v>
      </c>
      <c r="M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361679.852358292</v>
      </c>
      <c r="N46" s="39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226034.66261521</v>
      </c>
      <c r="O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153254.17472809</v>
      </c>
      <c r="P46" s="39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139075.266037506</v>
      </c>
      <c r="Q46" s="29">
        <v>1</v>
      </c>
      <c r="R46" s="40" t="s">
        <v>141</v>
      </c>
      <c r="S46" s="40" t="s">
        <v>91</v>
      </c>
      <c r="T46" s="40" t="s">
        <v>172</v>
      </c>
      <c r="U46" s="40" t="s">
        <v>80</v>
      </c>
      <c r="V46" s="40" t="s">
        <v>166</v>
      </c>
      <c r="W46" s="40" t="s">
        <v>142</v>
      </c>
      <c r="X46" s="40" t="s">
        <v>171</v>
      </c>
      <c r="Y46" s="40" t="s">
        <v>109</v>
      </c>
      <c r="Z46" s="40" t="s">
        <v>110</v>
      </c>
      <c r="AA46" s="40" t="s">
        <v>175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80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s="40" t="s">
        <v>80</v>
      </c>
      <c r="AM46" t="str">
        <f>VLOOKUP($R46,武学奇术!$A:$ZZ,25,FALSE)</f>
        <v>扇</v>
      </c>
      <c r="AN46" s="24">
        <f>VLOOKUP($R46,武学奇术!$A:$ZZ,26,FALSE)</f>
        <v>7.5463</v>
      </c>
      <c r="AO46" s="25">
        <f>VLOOKUP($R46,武学奇术!$A:$ZZ,27,FALSE)*(1+IF(OR($AM46=$F$4,$AM46=$F$5),$B$21,0))</f>
        <v>3339.2</v>
      </c>
      <c r="AP46" s="24">
        <f>VLOOKUP($R46,武学奇术!$A:$ZZ,28,FALSE)</f>
        <v>11.3195</v>
      </c>
      <c r="AQ46" s="25">
        <f>VLOOKUP($R46,武学奇术!$A:$ZZ,29,FALSE)*(1+IF(OR($AM46=$F$4,$AM46=$F$5),$B$21,0))</f>
        <v>1819.2</v>
      </c>
      <c r="AR46" s="24" cm="1">
        <f t="array" ref="AR46">$G$3+IFERROR(VLOOKUP($AM46,$F$4:$G$7,2,FALSE),0)+VLOOKUP($R46,武学奇术!$A:$ZZ,2,FALSE)+SUM(_xlfn.XLOOKUP($S46:$AL46,增益!$A:$A,增益!$B:$B,0))</f>
        <v>0.5043</v>
      </c>
      <c r="AS46" s="24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4462.125</v>
      </c>
      <c r="AU46" cm="1">
        <f t="array" ref="AU46">$E$10*(1+$AS46)+VLOOKUP($R46,武学奇术!$A:$ZZ,4,FALSE)+SUM(_xlfn.XLOOKUP($S46:$AL46,增益!$A:$A,增益!$D:$D,0))-$I$2</f>
        <v>4462.125</v>
      </c>
      <c r="AV46" s="33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0.4189</v>
      </c>
      <c r="AW46" s="33" cm="1">
        <f t="array" ref="AW46">$G$10+VLOOKUP($R46,武学奇术!$A:$ZZ,7,FALSE)+SUM(_xlfn.XLOOKUP($S46:$AL46,增益!$A:$A,增益!$G:$G,0))</f>
        <v>0.125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3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3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3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3" cm="1">
        <f t="array" ref="BF46">$G$12+VLOOKUP($R46,武学奇术!$A:$ZZ,12,FALSE)+SUM(_xlfn.XLOOKUP($S46:$AL46,增益!$A:$A,增益!$L:$L,0))</f>
        <v>0</v>
      </c>
      <c r="BG46">
        <f t="shared" si="5"/>
        <v>618.2</v>
      </c>
      <c r="BH46">
        <f t="shared" si="6"/>
        <v>1567.4</v>
      </c>
      <c r="BI46" s="33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</v>
      </c>
      <c r="BJ46" s="33" cm="1">
        <f t="array" ref="BJ46">$G$13+VLOOKUP($R46,武学奇术!$A:$ZZ,14,FALSE)+SUM(_xlfn.XLOOKUP($S46:$AL46,增益!$A:$A,增益!$N:$N,0))</f>
        <v>0.25</v>
      </c>
      <c r="BK46">
        <f t="shared" si="7"/>
        <v>0</v>
      </c>
      <c r="BL46">
        <f t="shared" si="8"/>
        <v>0</v>
      </c>
      <c r="BM46" s="33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3" cm="1">
        <f t="array" ref="BN46">$G$14+VLOOKUP($R46,武学奇术!$A:$ZZ,16,FALSE)+SUM(_xlfn.XLOOKUP($S46:$AL46,增益!$A:$A,增益!$P:$P,0))</f>
        <v>0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4" cm="1">
        <f t="array" ref="BQ46">1+$B$13+VLOOKUP($R46,武学奇术!$A:$ZZ,18,FALSE)+SUM(_xlfn.XLOOKUP($S46:$AL46,增益!$A:$A,增益!$R:$R,0))</f>
        <v>2.36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0.8865</v>
      </c>
      <c r="BU46" s="24">
        <f t="shared" si="10"/>
        <v>0.0222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0.16</v>
      </c>
      <c r="BX46" s="24" cm="1">
        <f t="array" ref="BX46">VLOOKUP($R46,武学奇术!$A:$ZZ,32,FALSE)+SUM(_xlfn.XLOOKUP($S46:$AL46,增益!$A:$A,增益!$X:$X,0))</f>
        <v>0.1</v>
      </c>
    </row>
    <row r="47" spans="1:76">
      <c r="A47" s="4" t="s">
        <v>167</v>
      </c>
      <c r="B47" s="4">
        <v>0.1</v>
      </c>
      <c r="C47" s="27"/>
      <c r="K47" s="39">
        <f>$L47*VLOOKUP($R47,武学奇术!$A:$ZY,31,FALSE)</f>
        <v>281512.883969587</v>
      </c>
      <c r="L47" s="39">
        <f t="shared" si="0"/>
        <v>268107.508542464</v>
      </c>
      <c r="M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275891.679448906</v>
      </c>
      <c r="N47" s="39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221454.92396081</v>
      </c>
      <c r="O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149130.637539949</v>
      </c>
      <c r="P47" s="39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134220.590664483</v>
      </c>
      <c r="Q47" s="29">
        <v>1</v>
      </c>
      <c r="R47" s="40" t="s">
        <v>178</v>
      </c>
      <c r="S47" s="40" t="s">
        <v>91</v>
      </c>
      <c r="T47" s="40" t="s">
        <v>172</v>
      </c>
      <c r="U47" s="40" t="s">
        <v>80</v>
      </c>
      <c r="V47" s="40" t="s">
        <v>166</v>
      </c>
      <c r="W47" s="40" t="s">
        <v>80</v>
      </c>
      <c r="X47" s="40" t="s">
        <v>80</v>
      </c>
      <c r="Y47" s="40" t="s">
        <v>109</v>
      </c>
      <c r="Z47" s="40" t="s">
        <v>110</v>
      </c>
      <c r="AA47" s="40" t="s">
        <v>175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80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s="40" t="s">
        <v>80</v>
      </c>
      <c r="AM47" t="str">
        <f>VLOOKUP($R47,武学奇术!$A:$ZZ,25,FALSE)</f>
        <v>群体奇术</v>
      </c>
      <c r="AN47" s="24">
        <f>VLOOKUP($R47,武学奇术!$A:$ZZ,26,FALSE)</f>
        <v>10.31616</v>
      </c>
      <c r="AO47" s="25">
        <f>VLOOKUP($R47,武学奇术!$A:$ZZ,27,FALSE)*(1+IF(OR($AM47=$F$4,$AM47=$F$5),$B$21,0))</f>
        <v>2069.55</v>
      </c>
      <c r="AP47" s="24">
        <f>VLOOKUP($R47,武学奇术!$A:$ZZ,28,FALSE)</f>
        <v>15.47424</v>
      </c>
      <c r="AQ47" s="25">
        <f>VLOOKUP($R47,武学奇术!$A:$ZZ,29,FALSE)*(1+IF(OR($AM47=$F$4,$AM47=$F$5),$B$21,0))</f>
        <v>0</v>
      </c>
      <c r="AR47" s="24" cm="1">
        <f t="array" ref="AR47">$G$3+IFERROR(VLOOKUP($AM47,$F$4:$G$7,2,FALSE),0)+VLOOKUP($R47,武学奇术!$A:$ZZ,2,FALSE)+SUM(_xlfn.XLOOKUP($S47:$AL47,增益!$A:$A,增益!$B:$B,0))</f>
        <v>0.5219</v>
      </c>
      <c r="AS47" s="24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4462.125</v>
      </c>
      <c r="AU47" cm="1">
        <f t="array" ref="AU47">$E$10*(1+$AS47)+VLOOKUP($R47,武学奇术!$A:$ZZ,4,FALSE)+SUM(_xlfn.XLOOKUP($S47:$AL47,增益!$A:$A,增益!$D:$D,0))-$I$2</f>
        <v>4462.125</v>
      </c>
      <c r="AV47" s="33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0.3189</v>
      </c>
      <c r="AW47" s="33" cm="1">
        <f t="array" ref="AW47">$G$10+VLOOKUP($R47,武学奇术!$A:$ZZ,7,FALSE)+SUM(_xlfn.XLOOKUP($S47:$AL47,增益!$A:$A,增益!$G:$G,0))</f>
        <v>0.025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3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3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3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3" cm="1">
        <f t="array" ref="BF47">$G$12+VLOOKUP($R47,武学奇术!$A:$ZZ,12,FALSE)+SUM(_xlfn.XLOOKUP($S47:$AL47,增益!$A:$A,增益!$L:$L,0))</f>
        <v>0</v>
      </c>
      <c r="BG47">
        <f t="shared" si="5"/>
        <v>618.2</v>
      </c>
      <c r="BH47">
        <f t="shared" si="6"/>
        <v>1567.4</v>
      </c>
      <c r="BI47" s="33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3" cm="1">
        <f t="array" ref="BJ47">$G$13+VLOOKUP($R47,武学奇术!$A:$ZZ,14,FALSE)+SUM(_xlfn.XLOOKUP($S47:$AL47,增益!$A:$A,增益!$N:$N,0))</f>
        <v>0.15</v>
      </c>
      <c r="BK47">
        <f t="shared" si="7"/>
        <v>0</v>
      </c>
      <c r="BL47">
        <f t="shared" si="8"/>
        <v>0</v>
      </c>
      <c r="BM47" s="33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3" cm="1">
        <f t="array" ref="BN47">$G$14+VLOOKUP($R47,武学奇术!$A:$ZZ,16,FALSE)+SUM(_xlfn.XLOOKUP($S47:$AL47,增益!$A:$A,增益!$P:$P,0))</f>
        <v>0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4" cm="1">
        <f t="array" ref="BQ47">1+$B$13+VLOOKUP($R47,武学奇术!$A:$ZZ,18,FALSE)+SUM(_xlfn.XLOOKUP($S47:$AL47,增益!$A:$A,增益!$R:$R,0))</f>
        <v>1.85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0.8865</v>
      </c>
      <c r="BU47" s="24">
        <f t="shared" si="10"/>
        <v>0.0222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0.16</v>
      </c>
      <c r="BX47" s="24" cm="1">
        <f t="array" ref="BX47">VLOOKUP($R47,武学奇术!$A:$ZZ,32,FALSE)+SUM(_xlfn.XLOOKUP($S47:$AL47,增益!$A:$A,增益!$X:$X,0))</f>
        <v>0</v>
      </c>
    </row>
    <row r="48" spans="1:76">
      <c r="A48" s="4" t="s">
        <v>162</v>
      </c>
      <c r="B48" s="91">
        <v>1.3</v>
      </c>
      <c r="C48" s="27"/>
      <c r="K48" s="39">
        <f>$L48*VLOOKUP($R48,武学奇术!$A:$ZY,31,FALSE)</f>
        <v>0</v>
      </c>
      <c r="L48" s="39">
        <f t="shared" si="0"/>
        <v>0</v>
      </c>
      <c r="M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39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39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29">
        <v>1</v>
      </c>
      <c r="R48" s="40" t="s">
        <v>80</v>
      </c>
      <c r="S48" s="40" t="s">
        <v>91</v>
      </c>
      <c r="T48" s="40" t="s">
        <v>172</v>
      </c>
      <c r="U48" s="40" t="s">
        <v>80</v>
      </c>
      <c r="V48" s="40" t="s">
        <v>166</v>
      </c>
      <c r="W48" s="40" t="s">
        <v>80</v>
      </c>
      <c r="X48" s="40" t="s">
        <v>80</v>
      </c>
      <c r="Y48" s="40" t="s">
        <v>109</v>
      </c>
      <c r="Z48" s="40" t="s">
        <v>80</v>
      </c>
      <c r="AA48" s="40" t="s">
        <v>175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80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s="40" t="s">
        <v>80</v>
      </c>
      <c r="AM48" t="str">
        <f>VLOOKUP($R48,武学奇术!$A:$ZZ,25,FALSE)</f>
        <v>心法</v>
      </c>
      <c r="AN48" s="24">
        <f>VLOOKUP($R48,武学奇术!$A:$ZZ,26,FALSE)</f>
        <v>0</v>
      </c>
      <c r="AO48" s="25">
        <f>VLOOKUP($R48,武学奇术!$A:$ZZ,27,FALSE)*(1+IF(OR($AM48=$F$4,$AM48=$F$5),$B$21,0))</f>
        <v>0</v>
      </c>
      <c r="AP48" s="24">
        <f>VLOOKUP($R48,武学奇术!$A:$ZZ,28,FALSE)</f>
        <v>0</v>
      </c>
      <c r="AQ48" s="25">
        <f>VLOOKUP($R48,武学奇术!$A:$ZZ,29,FALSE)*(1+IF(OR($AM48=$F$4,$AM48=$F$5),$B$21,0))</f>
        <v>0</v>
      </c>
      <c r="AR48" s="24" cm="1">
        <f t="array" ref="AR48">$G$3+IFERROR(VLOOKUP($AM48,$F$4:$G$7,2,FALSE),0)+VLOOKUP($R48,武学奇术!$A:$ZZ,2,FALSE)+SUM(_xlfn.XLOOKUP($S48:$AL48,增益!$A:$A,增益!$B:$B,0))</f>
        <v>0.1042</v>
      </c>
      <c r="AS48" s="24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4462.125</v>
      </c>
      <c r="AU48" cm="1">
        <f t="array" ref="AU48">$E$10*(1+$AS48)+VLOOKUP($R48,武学奇术!$A:$ZZ,4,FALSE)+SUM(_xlfn.XLOOKUP($S48:$AL48,增益!$A:$A,增益!$D:$D,0))-$I$2</f>
        <v>4462.125</v>
      </c>
      <c r="AV48" s="33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0.3189</v>
      </c>
      <c r="AW48" s="33" cm="1">
        <f t="array" ref="AW48">$G$10+VLOOKUP($R48,武学奇术!$A:$ZZ,7,FALSE)+SUM(_xlfn.XLOOKUP($S48:$AL48,增益!$A:$A,增益!$G:$G,0))</f>
        <v>0.025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3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3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3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3" cm="1">
        <f t="array" ref="BF48">$G$12+VLOOKUP($R48,武学奇术!$A:$ZZ,12,FALSE)+SUM(_xlfn.XLOOKUP($S48:$AL48,增益!$A:$A,增益!$L:$L,0))</f>
        <v>0</v>
      </c>
      <c r="BG48">
        <f t="shared" si="5"/>
        <v>618.2</v>
      </c>
      <c r="BH48">
        <f t="shared" si="6"/>
        <v>1567.4</v>
      </c>
      <c r="BI48" s="33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3" cm="1">
        <f t="array" ref="BJ48">$G$13+VLOOKUP($R48,武学奇术!$A:$ZZ,14,FALSE)+SUM(_xlfn.XLOOKUP($S48:$AL48,增益!$A:$A,增益!$N:$N,0))</f>
        <v>0.15</v>
      </c>
      <c r="BK48">
        <f t="shared" si="7"/>
        <v>0</v>
      </c>
      <c r="BL48">
        <f t="shared" si="8"/>
        <v>0</v>
      </c>
      <c r="BM48" s="33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3" cm="1">
        <f t="array" ref="BN48">$G$14+VLOOKUP($R48,武学奇术!$A:$ZZ,16,FALSE)+SUM(_xlfn.XLOOKUP($S48:$AL48,增益!$A:$A,增益!$P:$P,0))</f>
        <v>0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4" cm="1">
        <f t="array" ref="BQ48">1+$B$13+VLOOKUP($R48,武学奇术!$A:$ZZ,18,FALSE)+SUM(_xlfn.XLOOKUP($S48:$AL48,增益!$A:$A,增益!$R:$R,0))</f>
        <v>1.85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0.8865</v>
      </c>
      <c r="BU48" s="24">
        <f t="shared" si="10"/>
        <v>0.0222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0.16</v>
      </c>
      <c r="BX48" s="24" cm="1">
        <f t="array" ref="BX48">VLOOKUP($R48,武学奇术!$A:$ZZ,32,FALSE)+SUM(_xlfn.XLOOKUP($S48:$AL48,增益!$A:$A,增益!$X:$X,0))</f>
        <v>0</v>
      </c>
    </row>
    <row r="49" spans="1:76">
      <c r="A49" s="4" t="s">
        <v>99</v>
      </c>
      <c r="B49" s="4">
        <v>1.25</v>
      </c>
      <c r="K49" s="39">
        <f>$L49*VLOOKUP($R49,武学奇术!$A:$ZY,31,FALSE)</f>
        <v>31884.3160662458</v>
      </c>
      <c r="L49" s="39">
        <f t="shared" si="0"/>
        <v>30366.0153011865</v>
      </c>
      <c r="M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31265.5273048411</v>
      </c>
      <c r="N49" s="39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24906.2323963504</v>
      </c>
      <c r="O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16900.2850296438</v>
      </c>
      <c r="P49" s="39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15351.509024954</v>
      </c>
      <c r="Q49" s="29">
        <v>1</v>
      </c>
      <c r="R49" s="40" t="s">
        <v>134</v>
      </c>
      <c r="S49" s="40" t="s">
        <v>91</v>
      </c>
      <c r="T49" s="40" t="s">
        <v>172</v>
      </c>
      <c r="U49" s="40" t="s">
        <v>80</v>
      </c>
      <c r="V49" s="40" t="s">
        <v>166</v>
      </c>
      <c r="W49" s="40" t="s">
        <v>80</v>
      </c>
      <c r="X49" s="40" t="s">
        <v>80</v>
      </c>
      <c r="Y49" s="40" t="s">
        <v>109</v>
      </c>
      <c r="Z49" s="40" t="s">
        <v>80</v>
      </c>
      <c r="AA49" s="40" t="s">
        <v>175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80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s="40" t="s">
        <v>80</v>
      </c>
      <c r="AM49" t="str">
        <f>VLOOKUP($R49,武学奇术!$A:$ZZ,25,FALSE)</f>
        <v>扇</v>
      </c>
      <c r="AN49" s="24">
        <f>VLOOKUP($R49,武学奇术!$A:$ZZ,26,FALSE)</f>
        <v>1.2798</v>
      </c>
      <c r="AO49" s="25">
        <f>VLOOKUP($R49,武学奇术!$A:$ZZ,27,FALSE)*(1+IF(OR($AM49=$F$4,$AM49=$F$5),$B$21,0))</f>
        <v>568</v>
      </c>
      <c r="AP49" s="24">
        <f>VLOOKUP($R49,武学奇术!$A:$ZZ,28,FALSE)</f>
        <v>1.9197</v>
      </c>
      <c r="AQ49" s="25">
        <f>VLOOKUP($R49,武学奇术!$A:$ZZ,29,FALSE)*(1+IF(OR($AM49=$F$4,$AM49=$F$5),$B$21,0))</f>
        <v>308.8</v>
      </c>
      <c r="AR49" s="24" cm="1">
        <f t="array" ref="AR49">$G$3+IFERROR(VLOOKUP($AM49,$F$4:$G$7,2,FALSE),0)+VLOOKUP($R49,武学奇术!$A:$ZZ,2,FALSE)+SUM(_xlfn.XLOOKUP($S49:$AL49,增益!$A:$A,增益!$B:$B,0))</f>
        <v>0.2743</v>
      </c>
      <c r="AS49" s="24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4462.125</v>
      </c>
      <c r="AU49" cm="1">
        <f t="array" ref="AU49">$E$10*(1+$AS49)+VLOOKUP($R49,武学奇术!$A:$ZZ,4,FALSE)+SUM(_xlfn.XLOOKUP($S49:$AL49,增益!$A:$A,增益!$D:$D,0))-$I$2</f>
        <v>4462.125</v>
      </c>
      <c r="AV49" s="33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0.3189</v>
      </c>
      <c r="AW49" s="33" cm="1">
        <f t="array" ref="AW49">$G$10+VLOOKUP($R49,武学奇术!$A:$ZZ,7,FALSE)+SUM(_xlfn.XLOOKUP($S49:$AL49,增益!$A:$A,增益!$G:$G,0))</f>
        <v>0.025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3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3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3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3" cm="1">
        <f t="array" ref="BF49">$G$12+VLOOKUP($R49,武学奇术!$A:$ZZ,12,FALSE)+SUM(_xlfn.XLOOKUP($S49:$AL49,增益!$A:$A,增益!$L:$L,0))</f>
        <v>0</v>
      </c>
      <c r="BG49">
        <f t="shared" si="5"/>
        <v>618.2</v>
      </c>
      <c r="BH49">
        <f t="shared" si="6"/>
        <v>1567.4</v>
      </c>
      <c r="BI49" s="33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3" cm="1">
        <f t="array" ref="BJ49">$G$13+VLOOKUP($R49,武学奇术!$A:$ZZ,14,FALSE)+SUM(_xlfn.XLOOKUP($S49:$AL49,增益!$A:$A,增益!$N:$N,0))</f>
        <v>0.15</v>
      </c>
      <c r="BK49">
        <f t="shared" si="7"/>
        <v>0</v>
      </c>
      <c r="BL49">
        <f t="shared" si="8"/>
        <v>0</v>
      </c>
      <c r="BM49" s="33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3" cm="1">
        <f t="array" ref="BN49">$G$14+VLOOKUP($R49,武学奇术!$A:$ZZ,16,FALSE)+SUM(_xlfn.XLOOKUP($S49:$AL49,增益!$A:$A,增益!$P:$P,0))</f>
        <v>0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4" cm="1">
        <f t="array" ref="BQ49">1+$B$13+VLOOKUP($R49,武学奇术!$A:$ZZ,18,FALSE)+SUM(_xlfn.XLOOKUP($S49:$AL49,增益!$A:$A,增益!$R:$R,0))</f>
        <v>1.85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0.8865</v>
      </c>
      <c r="BU49" s="24">
        <f t="shared" si="10"/>
        <v>0.0222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0.16</v>
      </c>
      <c r="BX49" s="24" cm="1">
        <f t="array" ref="BX49">VLOOKUP($R49,武学奇术!$A:$ZZ,32,FALSE)+SUM(_xlfn.XLOOKUP($S49:$AL49,增益!$A:$A,增益!$X:$X,0))</f>
        <v>0</v>
      </c>
    </row>
    <row r="50" spans="1:76">
      <c r="A50" s="4" t="s">
        <v>113</v>
      </c>
      <c r="B50" s="91">
        <v>1.16</v>
      </c>
      <c r="K50" s="39">
        <f>$L50*VLOOKUP($R50,武学奇术!$A:$ZY,31,FALSE)</f>
        <v>325815.083318925</v>
      </c>
      <c r="L50" s="39">
        <f t="shared" si="0"/>
        <v>310300.079351357</v>
      </c>
      <c r="M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325615.25230927</v>
      </c>
      <c r="N50" s="39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203495.807737671</v>
      </c>
      <c r="O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137972.564537826</v>
      </c>
      <c r="P50" s="39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125207.493714415</v>
      </c>
      <c r="Q50" s="29">
        <v>1</v>
      </c>
      <c r="R50" s="40" t="s">
        <v>141</v>
      </c>
      <c r="S50" s="40" t="s">
        <v>91</v>
      </c>
      <c r="T50" s="40" t="s">
        <v>172</v>
      </c>
      <c r="U50" s="40" t="s">
        <v>80</v>
      </c>
      <c r="V50" s="40" t="s">
        <v>166</v>
      </c>
      <c r="W50" s="40" t="s">
        <v>142</v>
      </c>
      <c r="X50" s="40" t="s">
        <v>171</v>
      </c>
      <c r="Y50" s="40" t="s">
        <v>109</v>
      </c>
      <c r="Z50" s="40" t="s">
        <v>80</v>
      </c>
      <c r="AA50" s="40" t="s">
        <v>175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80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s="40" t="s">
        <v>80</v>
      </c>
      <c r="AM50" t="str">
        <f>VLOOKUP($R50,武学奇术!$A:$ZZ,25,FALSE)</f>
        <v>扇</v>
      </c>
      <c r="AN50" s="24">
        <f>VLOOKUP($R50,武学奇术!$A:$ZZ,26,FALSE)</f>
        <v>7.5463</v>
      </c>
      <c r="AO50" s="25">
        <f>VLOOKUP($R50,武学奇术!$A:$ZZ,27,FALSE)*(1+IF(OR($AM50=$F$4,$AM50=$F$5),$B$21,0))</f>
        <v>3339.2</v>
      </c>
      <c r="AP50" s="24">
        <f>VLOOKUP($R50,武学奇术!$A:$ZZ,28,FALSE)</f>
        <v>11.3195</v>
      </c>
      <c r="AQ50" s="25">
        <f>VLOOKUP($R50,武学奇术!$A:$ZZ,29,FALSE)*(1+IF(OR($AM50=$F$4,$AM50=$F$5),$B$21,0))</f>
        <v>1819.2</v>
      </c>
      <c r="AR50" s="24" cm="1">
        <f t="array" ref="AR50">$G$3+IFERROR(VLOOKUP($AM50,$F$4:$G$7,2,FALSE),0)+VLOOKUP($R50,武学奇术!$A:$ZZ,2,FALSE)+SUM(_xlfn.XLOOKUP($S50:$AL50,增益!$A:$A,增益!$B:$B,0))</f>
        <v>0.3543</v>
      </c>
      <c r="AS50" s="24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4462.125</v>
      </c>
      <c r="AU50" cm="1">
        <f t="array" ref="AU50">$E$10*(1+$AS50)+VLOOKUP($R50,武学奇术!$A:$ZZ,4,FALSE)+SUM(_xlfn.XLOOKUP($S50:$AL50,增益!$A:$A,增益!$D:$D,0))-$I$2</f>
        <v>4462.125</v>
      </c>
      <c r="AV50" s="33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0.4189</v>
      </c>
      <c r="AW50" s="33" cm="1">
        <f t="array" ref="AW50">$G$10+VLOOKUP($R50,武学奇术!$A:$ZZ,7,FALSE)+SUM(_xlfn.XLOOKUP($S50:$AL50,增益!$A:$A,增益!$G:$G,0))</f>
        <v>0.125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3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3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3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3" cm="1">
        <f t="array" ref="BF50">$G$12+VLOOKUP($R50,武学奇术!$A:$ZZ,12,FALSE)+SUM(_xlfn.XLOOKUP($S50:$AL50,增益!$A:$A,增益!$L:$L,0))</f>
        <v>0</v>
      </c>
      <c r="BG50">
        <f t="shared" si="5"/>
        <v>618.2</v>
      </c>
      <c r="BH50">
        <f t="shared" si="6"/>
        <v>1567.4</v>
      </c>
      <c r="BI50" s="33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3" cm="1">
        <f t="array" ref="BJ50">$G$13+VLOOKUP($R50,武学奇术!$A:$ZZ,14,FALSE)+SUM(_xlfn.XLOOKUP($S50:$AL50,增益!$A:$A,增益!$N:$N,0))</f>
        <v>0.25</v>
      </c>
      <c r="BK50">
        <f t="shared" si="7"/>
        <v>0</v>
      </c>
      <c r="BL50">
        <f t="shared" si="8"/>
        <v>0</v>
      </c>
      <c r="BM50" s="33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3" cm="1">
        <f t="array" ref="BN50">$G$14+VLOOKUP($R50,武学奇术!$A:$ZZ,16,FALSE)+SUM(_xlfn.XLOOKUP($S50:$AL50,增益!$A:$A,增益!$P:$P,0))</f>
        <v>0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4" cm="1">
        <f t="array" ref="BQ50">1+$B$13+VLOOKUP($R50,武学奇术!$A:$ZZ,18,FALSE)+SUM(_xlfn.XLOOKUP($S50:$AL50,增益!$A:$A,增益!$R:$R,0))</f>
        <v>2.36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0.8865</v>
      </c>
      <c r="BU50" s="24">
        <f t="shared" si="10"/>
        <v>0.0222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0.16</v>
      </c>
      <c r="BX50" s="24" cm="1">
        <f t="array" ref="BX50">VLOOKUP($R50,武学奇术!$A:$ZZ,32,FALSE)+SUM(_xlfn.XLOOKUP($S50:$AL50,增益!$A:$A,增益!$X:$X,0))</f>
        <v>0.1</v>
      </c>
    </row>
    <row r="51" spans="1:76">
      <c r="A51" s="4" t="s">
        <v>167</v>
      </c>
      <c r="B51" s="4">
        <v>0.1</v>
      </c>
      <c r="K51" s="39">
        <f>$L51*VLOOKUP($R51,武学奇术!$A:$ZY,31,FALSE)</f>
        <v>53436.578632629</v>
      </c>
      <c r="L51" s="39">
        <f t="shared" si="0"/>
        <v>50891.9796501228</v>
      </c>
      <c r="M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52369.5421901841</v>
      </c>
      <c r="N51" s="39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42036.6483268605</v>
      </c>
      <c r="O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28307.8606433428</v>
      </c>
      <c r="P51" s="39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25477.4632667889</v>
      </c>
      <c r="Q51" s="29">
        <v>1</v>
      </c>
      <c r="R51" s="40" t="s">
        <v>77</v>
      </c>
      <c r="S51" s="40" t="s">
        <v>91</v>
      </c>
      <c r="T51" s="40" t="s">
        <v>172</v>
      </c>
      <c r="U51" s="40" t="s">
        <v>80</v>
      </c>
      <c r="V51" s="40" t="s">
        <v>166</v>
      </c>
      <c r="W51" s="40" t="s">
        <v>80</v>
      </c>
      <c r="X51" s="40" t="s">
        <v>80</v>
      </c>
      <c r="Y51" s="40" t="s">
        <v>109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80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s="40" t="s">
        <v>80</v>
      </c>
      <c r="AM51" t="str">
        <f>VLOOKUP($R51,武学奇术!$A:$ZZ,25,FALSE)</f>
        <v>群体奇术</v>
      </c>
      <c r="AN51" s="24">
        <f>VLOOKUP($R51,武学奇术!$A:$ZZ,26,FALSE)</f>
        <v>2.3774</v>
      </c>
      <c r="AO51" s="25">
        <f>VLOOKUP($R51,武学奇术!$A:$ZZ,27,FALSE)*(1+IF(OR($AM51=$F$4,$AM51=$F$5),$B$21,0))</f>
        <v>476</v>
      </c>
      <c r="AP51" s="24">
        <f>VLOOKUP($R51,武学奇术!$A:$ZZ,28,FALSE)</f>
        <v>3.5661</v>
      </c>
      <c r="AQ51" s="25">
        <f>VLOOKUP($R51,武学奇术!$A:$ZZ,29,FALSE)*(1+IF(OR($AM51=$F$4,$AM51=$F$5),$B$21,0))</f>
        <v>0</v>
      </c>
      <c r="AR51" s="24" cm="1">
        <f t="array" ref="AR51">$G$3+IFERROR(VLOOKUP($AM51,$F$4:$G$7,2,FALSE),0)+VLOOKUP($R51,武学奇术!$A:$ZZ,2,FALSE)+SUM(_xlfn.XLOOKUP($S51:$AL51,增益!$A:$A,增益!$B:$B,0))</f>
        <v>0.3719</v>
      </c>
      <c r="AS51" s="24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4462.125</v>
      </c>
      <c r="AU51" cm="1">
        <f t="array" ref="AU51">$E$10*(1+$AS51)+VLOOKUP($R51,武学奇术!$A:$ZZ,4,FALSE)+SUM(_xlfn.XLOOKUP($S51:$AL51,增益!$A:$A,增益!$D:$D,0))-$I$2</f>
        <v>4462.125</v>
      </c>
      <c r="AV51" s="33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0.3189</v>
      </c>
      <c r="AW51" s="33" cm="1">
        <f t="array" ref="AW51">$G$10+VLOOKUP($R51,武学奇术!$A:$ZZ,7,FALSE)+SUM(_xlfn.XLOOKUP($S51:$AL51,增益!$A:$A,增益!$G:$G,0))</f>
        <v>0.025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3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3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3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3" cm="1">
        <f t="array" ref="BF51">$G$12+VLOOKUP($R51,武学奇术!$A:$ZZ,12,FALSE)+SUM(_xlfn.XLOOKUP($S51:$AL51,增益!$A:$A,增益!$L:$L,0))</f>
        <v>0</v>
      </c>
      <c r="BG51">
        <f t="shared" si="5"/>
        <v>618.2</v>
      </c>
      <c r="BH51">
        <f t="shared" si="6"/>
        <v>1567.4</v>
      </c>
      <c r="BI51" s="33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3" cm="1">
        <f t="array" ref="BJ51">$G$13+VLOOKUP($R51,武学奇术!$A:$ZZ,14,FALSE)+SUM(_xlfn.XLOOKUP($S51:$AL51,增益!$A:$A,增益!$N:$N,0))</f>
        <v>0.15</v>
      </c>
      <c r="BK51">
        <f t="shared" si="7"/>
        <v>0</v>
      </c>
      <c r="BL51">
        <f t="shared" si="8"/>
        <v>0</v>
      </c>
      <c r="BM51" s="33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3" cm="1">
        <f t="array" ref="BN51">$G$14+VLOOKUP($R51,武学奇术!$A:$ZZ,16,FALSE)+SUM(_xlfn.XLOOKUP($S51:$AL51,增益!$A:$A,增益!$P:$P,0))</f>
        <v>0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4" cm="1">
        <f t="array" ref="BQ51">1+$B$13+VLOOKUP($R51,武学奇术!$A:$ZZ,18,FALSE)+SUM(_xlfn.XLOOKUP($S51:$AL51,增益!$A:$A,增益!$R:$R,0))</f>
        <v>1.85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0.8865</v>
      </c>
      <c r="BU51" s="24">
        <f t="shared" si="10"/>
        <v>0.0222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0.06</v>
      </c>
      <c r="BX51" s="24" cm="1">
        <f t="array" ref="BX51">VLOOKUP($R51,武学奇术!$A:$ZZ,32,FALSE)+SUM(_xlfn.XLOOKUP($S51:$AL51,增益!$A:$A,增益!$X:$X,0))</f>
        <v>0</v>
      </c>
    </row>
    <row r="52" spans="1:76">
      <c r="A52" t="s">
        <v>196</v>
      </c>
      <c r="B52">
        <v>1</v>
      </c>
      <c r="K52" s="39">
        <f>$L52*VLOOKUP($R52,武学奇术!$A:$ZY,31,FALSE)</f>
        <v>213746.314530516</v>
      </c>
      <c r="L52" s="39">
        <f t="shared" si="0"/>
        <v>203567.918600491</v>
      </c>
      <c r="M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209478.168760737</v>
      </c>
      <c r="N52" s="39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168146.593307442</v>
      </c>
      <c r="O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113231.442573371</v>
      </c>
      <c r="P52" s="39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101909.853067156</v>
      </c>
      <c r="Q52" s="29">
        <v>4</v>
      </c>
      <c r="R52" s="40" t="s">
        <v>77</v>
      </c>
      <c r="S52" s="40" t="s">
        <v>91</v>
      </c>
      <c r="T52" s="40" t="s">
        <v>172</v>
      </c>
      <c r="U52" s="40" t="s">
        <v>80</v>
      </c>
      <c r="V52" s="40" t="s">
        <v>166</v>
      </c>
      <c r="W52" s="40" t="s">
        <v>80</v>
      </c>
      <c r="X52" s="40" t="s">
        <v>80</v>
      </c>
      <c r="Y52" s="40" t="s">
        <v>109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80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s="40" t="s">
        <v>80</v>
      </c>
      <c r="AM52" t="str">
        <f>VLOOKUP($R52,武学奇术!$A:$ZZ,25,FALSE)</f>
        <v>群体奇术</v>
      </c>
      <c r="AN52" s="24">
        <f>VLOOKUP($R52,武学奇术!$A:$ZZ,26,FALSE)</f>
        <v>2.3774</v>
      </c>
      <c r="AO52" s="25">
        <f>VLOOKUP($R52,武学奇术!$A:$ZZ,27,FALSE)*(1+IF(OR($AM52=$F$4,$AM52=$F$5),$B$21,0))</f>
        <v>476</v>
      </c>
      <c r="AP52" s="24">
        <f>VLOOKUP($R52,武学奇术!$A:$ZZ,28,FALSE)</f>
        <v>3.5661</v>
      </c>
      <c r="AQ52" s="25">
        <f>VLOOKUP($R52,武学奇术!$A:$ZZ,29,FALSE)*(1+IF(OR($AM52=$F$4,$AM52=$F$5),$B$21,0))</f>
        <v>0</v>
      </c>
      <c r="AR52" s="24" cm="1">
        <f t="array" ref="AR52">$G$3+IFERROR(VLOOKUP($AM52,$F$4:$G$7,2,FALSE),0)+VLOOKUP($R52,武学奇术!$A:$ZZ,2,FALSE)+SUM(_xlfn.XLOOKUP($S52:$AL52,增益!$A:$A,增益!$B:$B,0))</f>
        <v>0.3719</v>
      </c>
      <c r="AS52" s="24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4462.125</v>
      </c>
      <c r="AU52" cm="1">
        <f t="array" ref="AU52">$E$10*(1+$AS52)+VLOOKUP($R52,武学奇术!$A:$ZZ,4,FALSE)+SUM(_xlfn.XLOOKUP($S52:$AL52,增益!$A:$A,增益!$D:$D,0))-$I$2</f>
        <v>4462.125</v>
      </c>
      <c r="AV52" s="33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0.3189</v>
      </c>
      <c r="AW52" s="33" cm="1">
        <f t="array" ref="AW52">$G$10+VLOOKUP($R52,武学奇术!$A:$ZZ,7,FALSE)+SUM(_xlfn.XLOOKUP($S52:$AL52,增益!$A:$A,增益!$G:$G,0))</f>
        <v>0.025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3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3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3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3" cm="1">
        <f t="array" ref="BF52">$G$12+VLOOKUP($R52,武学奇术!$A:$ZZ,12,FALSE)+SUM(_xlfn.XLOOKUP($S52:$AL52,增益!$A:$A,增益!$L:$L,0))</f>
        <v>0</v>
      </c>
      <c r="BG52">
        <f t="shared" si="5"/>
        <v>618.2</v>
      </c>
      <c r="BH52">
        <f t="shared" si="6"/>
        <v>1567.4</v>
      </c>
      <c r="BI52" s="33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3" cm="1">
        <f t="array" ref="BJ52">$G$13+VLOOKUP($R52,武学奇术!$A:$ZZ,14,FALSE)+SUM(_xlfn.XLOOKUP($S52:$AL52,增益!$A:$A,增益!$N:$N,0))</f>
        <v>0.15</v>
      </c>
      <c r="BK52">
        <f t="shared" si="7"/>
        <v>0</v>
      </c>
      <c r="BL52">
        <f t="shared" si="8"/>
        <v>0</v>
      </c>
      <c r="BM52" s="33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3" cm="1">
        <f t="array" ref="BN52">$G$14+VLOOKUP($R52,武学奇术!$A:$ZZ,16,FALSE)+SUM(_xlfn.XLOOKUP($S52:$AL52,增益!$A:$A,增益!$P:$P,0))</f>
        <v>0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4" cm="1">
        <f t="array" ref="BQ52">1+$B$13+VLOOKUP($R52,武学奇术!$A:$ZZ,18,FALSE)+SUM(_xlfn.XLOOKUP($S52:$AL52,增益!$A:$A,增益!$R:$R,0))</f>
        <v>1.85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0.8865</v>
      </c>
      <c r="BU52" s="24">
        <f t="shared" si="10"/>
        <v>0.0222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0.06</v>
      </c>
      <c r="BX52" s="24" cm="1">
        <f t="array" ref="BX52">VLOOKUP($R52,武学奇术!$A:$ZZ,32,FALSE)+SUM(_xlfn.XLOOKUP($S52:$AL52,增益!$A:$A,增益!$X:$X,0))</f>
        <v>0</v>
      </c>
    </row>
    <row r="53" spans="1:76">
      <c r="A53" s="4" t="s">
        <v>134</v>
      </c>
      <c r="B53" s="4">
        <v>0.8</v>
      </c>
      <c r="K53" s="39">
        <f>$L53*VLOOKUP($R53,武学奇术!$A:$ZY,31,FALSE)</f>
        <v>31938.8667846672</v>
      </c>
      <c r="L53" s="39">
        <f t="shared" si="0"/>
        <v>30417.9683663498</v>
      </c>
      <c r="M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31311.62868216</v>
      </c>
      <c r="N53" s="39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25021.5771678969</v>
      </c>
      <c r="O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16925.2046930595</v>
      </c>
      <c r="P53" s="39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15315.9077802694</v>
      </c>
      <c r="Q53" s="29">
        <v>1</v>
      </c>
      <c r="R53" s="40" t="s">
        <v>179</v>
      </c>
      <c r="S53" s="40" t="s">
        <v>91</v>
      </c>
      <c r="T53" s="40" t="s">
        <v>172</v>
      </c>
      <c r="U53" s="40" t="s">
        <v>80</v>
      </c>
      <c r="V53" s="40" t="s">
        <v>166</v>
      </c>
      <c r="W53" s="40" t="s">
        <v>80</v>
      </c>
      <c r="X53" s="40" t="s">
        <v>80</v>
      </c>
      <c r="Y53" s="40" t="s">
        <v>109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80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s="40" t="s">
        <v>80</v>
      </c>
      <c r="AM53" t="str">
        <f>VLOOKUP($R53,武学奇术!$A:$ZZ,25,FALSE)</f>
        <v>单体奇术</v>
      </c>
      <c r="AN53" s="24">
        <f>VLOOKUP($R53,武学奇术!$A:$ZZ,26,FALSE)</f>
        <v>1.3517</v>
      </c>
      <c r="AO53" s="25">
        <f>VLOOKUP($R53,武学奇术!$A:$ZZ,27,FALSE)*(1+IF(OR($AM53=$F$4,$AM53=$F$5),$B$21,0))</f>
        <v>693</v>
      </c>
      <c r="AP53" s="24">
        <f>VLOOKUP($R53,武学奇术!$A:$ZZ,28,FALSE)</f>
        <v>2.0276</v>
      </c>
      <c r="AQ53" s="25">
        <f>VLOOKUP($R53,武学奇术!$A:$ZZ,29,FALSE)*(1+IF(OR($AM53=$F$4,$AM53=$F$5),$B$21,0))</f>
        <v>0</v>
      </c>
      <c r="AR53" s="24" cm="1">
        <f t="array" ref="AR53">$G$3+IFERROR(VLOOKUP($AM53,$F$4:$G$7,2,FALSE),0)+VLOOKUP($R53,武学奇术!$A:$ZZ,2,FALSE)+SUM(_xlfn.XLOOKUP($S53:$AL53,增益!$A:$A,增益!$B:$B,0))</f>
        <v>0.3719</v>
      </c>
      <c r="AS53" s="24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4462.125</v>
      </c>
      <c r="AU53" cm="1">
        <f t="array" ref="AU53">$E$10*(1+$AS53)+VLOOKUP($R53,武学奇术!$A:$ZZ,4,FALSE)+SUM(_xlfn.XLOOKUP($S53:$AL53,增益!$A:$A,增益!$D:$D,0))-$I$2</f>
        <v>4462.125</v>
      </c>
      <c r="AV53" s="33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0.3189</v>
      </c>
      <c r="AW53" s="33" cm="1">
        <f t="array" ref="AW53">$G$10+VLOOKUP($R53,武学奇术!$A:$ZZ,7,FALSE)+SUM(_xlfn.XLOOKUP($S53:$AL53,增益!$A:$A,增益!$G:$G,0))</f>
        <v>0.025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3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3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3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3" cm="1">
        <f t="array" ref="BF53">$G$12+VLOOKUP($R53,武学奇术!$A:$ZZ,12,FALSE)+SUM(_xlfn.XLOOKUP($S53:$AL53,增益!$A:$A,增益!$L:$L,0))</f>
        <v>0</v>
      </c>
      <c r="BG53">
        <f t="shared" si="5"/>
        <v>618.2</v>
      </c>
      <c r="BH53">
        <f t="shared" si="6"/>
        <v>1567.4</v>
      </c>
      <c r="BI53" s="33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3" cm="1">
        <f t="array" ref="BJ53">$G$13+VLOOKUP($R53,武学奇术!$A:$ZZ,14,FALSE)+SUM(_xlfn.XLOOKUP($S53:$AL53,增益!$A:$A,增益!$N:$N,0))</f>
        <v>0.15</v>
      </c>
      <c r="BK53">
        <f t="shared" si="7"/>
        <v>0</v>
      </c>
      <c r="BL53">
        <f t="shared" si="8"/>
        <v>0</v>
      </c>
      <c r="BM53" s="33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3" cm="1">
        <f t="array" ref="BN53">$G$14+VLOOKUP($R53,武学奇术!$A:$ZZ,16,FALSE)+SUM(_xlfn.XLOOKUP($S53:$AL53,增益!$A:$A,增益!$P:$P,0))</f>
        <v>0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4" cm="1">
        <f t="array" ref="BQ53">1+$B$13+VLOOKUP($R53,武学奇术!$A:$ZZ,18,FALSE)+SUM(_xlfn.XLOOKUP($S53:$AL53,增益!$A:$A,增益!$R:$R,0))</f>
        <v>1.85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0.8865</v>
      </c>
      <c r="BU53" s="24">
        <f t="shared" si="10"/>
        <v>0.0222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0.06</v>
      </c>
      <c r="BX53" s="24" cm="1">
        <f t="array" ref="BX53">VLOOKUP($R53,武学奇术!$A:$ZZ,32,FALSE)+SUM(_xlfn.XLOOKUP($S53:$AL53,增益!$A:$A,增益!$X:$X,0))</f>
        <v>0</v>
      </c>
    </row>
    <row r="54" spans="1:76">
      <c r="A54" t="s">
        <v>170</v>
      </c>
      <c r="B54">
        <v>2.5</v>
      </c>
      <c r="K54" s="39">
        <f>$L54*VLOOKUP($R54,武学奇术!$A:$ZY,31,FALSE)</f>
        <v>77651.9185275681</v>
      </c>
      <c r="L54" s="39">
        <f t="shared" si="0"/>
        <v>73954.2081214934</v>
      </c>
      <c r="M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77243.9759678156</v>
      </c>
      <c r="N54" s="39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51494.944839148</v>
      </c>
      <c r="O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34952.0253248034</v>
      </c>
      <c r="P54" s="39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31759.6470650528</v>
      </c>
      <c r="Q54" s="29">
        <v>1</v>
      </c>
      <c r="R54" s="40" t="s">
        <v>115</v>
      </c>
      <c r="S54" s="40" t="s">
        <v>91</v>
      </c>
      <c r="T54" s="40" t="s">
        <v>172</v>
      </c>
      <c r="U54" s="40" t="s">
        <v>106</v>
      </c>
      <c r="V54" s="40" t="s">
        <v>166</v>
      </c>
      <c r="W54" s="40" t="s">
        <v>100</v>
      </c>
      <c r="X54" s="40" t="s">
        <v>80</v>
      </c>
      <c r="Y54" s="40" t="s">
        <v>109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80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s="40" t="s">
        <v>80</v>
      </c>
      <c r="AM54" t="str">
        <f>VLOOKUP($R54,武学奇术!$A:$ZZ,25,FALSE)</f>
        <v>伞</v>
      </c>
      <c r="AN54" s="24">
        <f>VLOOKUP($R54,武学奇术!$A:$ZZ,26,FALSE)</f>
        <v>1.0217</v>
      </c>
      <c r="AO54" s="25">
        <f>VLOOKUP($R54,武学奇术!$A:$ZZ,27,FALSE)*(1+IF(OR($AM54=$F$4,$AM54=$F$5),$B$21,0))</f>
        <v>451.2</v>
      </c>
      <c r="AP54" s="24">
        <f>VLOOKUP($R54,武学奇术!$A:$ZZ,28,FALSE)</f>
        <v>1.5325</v>
      </c>
      <c r="AQ54" s="25">
        <f>VLOOKUP($R54,武学奇术!$A:$ZZ,29,FALSE)*(1+IF(OR($AM54=$F$4,$AM54=$F$5),$B$21,0))</f>
        <v>246.4</v>
      </c>
      <c r="AR54" s="24" cm="1">
        <f t="array" ref="AR54">$G$3+IFERROR(VLOOKUP($AM54,$F$4:$G$7,2,FALSE),0)+VLOOKUP($R54,武学奇术!$A:$ZZ,2,FALSE)+SUM(_xlfn.XLOOKUP($S54:$AL54,增益!$A:$A,增益!$B:$B,0))</f>
        <v>0.8243</v>
      </c>
      <c r="AS54" s="24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4462.125</v>
      </c>
      <c r="AU54" cm="1">
        <f t="array" ref="AU54">$E$10*(1+$AS54)+VLOOKUP($R54,武学奇术!$A:$ZZ,4,FALSE)+SUM(_xlfn.XLOOKUP($S54:$AL54,增益!$A:$A,增益!$D:$D,0))-$I$2</f>
        <v>4462.125</v>
      </c>
      <c r="AV54" s="33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0.4439</v>
      </c>
      <c r="AW54" s="33" cm="1">
        <f t="array" ref="AW54">$G$10+VLOOKUP($R54,武学奇术!$A:$ZZ,7,FALSE)+SUM(_xlfn.XLOOKUP($S54:$AL54,增益!$A:$A,增益!$G:$G,0))</f>
        <v>0.125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3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3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3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3" cm="1">
        <f t="array" ref="BF54">$G$12+VLOOKUP($R54,武学奇术!$A:$ZZ,12,FALSE)+SUM(_xlfn.XLOOKUP($S54:$AL54,增益!$A:$A,增益!$L:$L,0))</f>
        <v>0</v>
      </c>
      <c r="BG54">
        <f t="shared" si="5"/>
        <v>618.2</v>
      </c>
      <c r="BH54">
        <f t="shared" si="6"/>
        <v>1567.4</v>
      </c>
      <c r="BI54" s="33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3" cm="1">
        <f t="array" ref="BJ54">$G$13+VLOOKUP($R54,武学奇术!$A:$ZZ,14,FALSE)+SUM(_xlfn.XLOOKUP($S54:$AL54,增益!$A:$A,增益!$N:$N,0))</f>
        <v>0.25</v>
      </c>
      <c r="BK54">
        <f t="shared" si="7"/>
        <v>0</v>
      </c>
      <c r="BL54">
        <f t="shared" si="8"/>
        <v>0</v>
      </c>
      <c r="BM54" s="33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3" cm="1">
        <f t="array" ref="BN54">$G$14+VLOOKUP($R54,武学奇术!$A:$ZZ,16,FALSE)+SUM(_xlfn.XLOOKUP($S54:$AL54,增益!$A:$A,增益!$P:$P,0))</f>
        <v>0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4" cm="1">
        <f t="array" ref="BQ54">1+$B$13+VLOOKUP($R54,武学奇术!$A:$ZZ,18,FALSE)+SUM(_xlfn.XLOOKUP($S54:$AL54,增益!$A:$A,增益!$R:$R,0))</f>
        <v>2.21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0.8865</v>
      </c>
      <c r="BU54" s="24">
        <f t="shared" si="10"/>
        <v>0.0222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0.06</v>
      </c>
      <c r="BX54" s="24" cm="1">
        <f t="array" ref="BX54">VLOOKUP($R54,武学奇术!$A:$ZZ,32,FALSE)+SUM(_xlfn.XLOOKUP($S54:$AL54,增益!$A:$A,增益!$X:$X,0))</f>
        <v>0.25</v>
      </c>
    </row>
    <row r="55" spans="1:76">
      <c r="A55" s="4" t="s">
        <v>167</v>
      </c>
      <c r="B55" s="4">
        <v>0.1</v>
      </c>
      <c r="K55" s="39">
        <f>$L55*VLOOKUP($R55,武学奇术!$A:$ZY,31,FALSE)</f>
        <v>118527.912134107</v>
      </c>
      <c r="L55" s="39">
        <f t="shared" si="0"/>
        <v>112883.725842007</v>
      </c>
      <c r="M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117905.39154763</v>
      </c>
      <c r="N55" s="39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78600.2982909792</v>
      </c>
      <c r="O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53350.855903905</v>
      </c>
      <c r="P55" s="39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48479.2686293069</v>
      </c>
      <c r="Q55" s="29">
        <v>1</v>
      </c>
      <c r="R55" s="40" t="s">
        <v>99</v>
      </c>
      <c r="S55" s="40" t="s">
        <v>91</v>
      </c>
      <c r="T55" s="40" t="s">
        <v>172</v>
      </c>
      <c r="U55" s="40" t="s">
        <v>106</v>
      </c>
      <c r="V55" s="40" t="s">
        <v>166</v>
      </c>
      <c r="W55" s="40" t="s">
        <v>100</v>
      </c>
      <c r="X55" s="40" t="s">
        <v>80</v>
      </c>
      <c r="Y55" s="40" t="s">
        <v>109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80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s="40" t="s">
        <v>80</v>
      </c>
      <c r="AM55" t="str">
        <f>VLOOKUP($R55,武学奇术!$A:$ZZ,25,FALSE)</f>
        <v>伞</v>
      </c>
      <c r="AN55" s="24">
        <f>VLOOKUP($R55,武学奇术!$A:$ZZ,26,FALSE)</f>
        <v>2.3397</v>
      </c>
      <c r="AO55" s="25">
        <f>VLOOKUP($R55,武学奇术!$A:$ZZ,27,FALSE)*(1+IF(OR($AM55=$F$4,$AM55=$F$5),$B$21,0))</f>
        <v>1036.8</v>
      </c>
      <c r="AP55" s="24">
        <f>VLOOKUP($R55,武学奇术!$A:$ZZ,28,FALSE)</f>
        <v>3.5095</v>
      </c>
      <c r="AQ55" s="25">
        <f>VLOOKUP($R55,武学奇术!$A:$ZZ,29,FALSE)*(1+IF(OR($AM55=$F$4,$AM55=$F$5),$B$21,0))</f>
        <v>564.8</v>
      </c>
      <c r="AR55" s="24" cm="1">
        <f t="array" ref="AR55">$G$3+IFERROR(VLOOKUP($AM55,$F$4:$G$7,2,FALSE),0)+VLOOKUP($R55,武学奇术!$A:$ZZ,2,FALSE)+SUM(_xlfn.XLOOKUP($S55:$AL55,增益!$A:$A,增益!$B:$B,0))</f>
        <v>0.8243</v>
      </c>
      <c r="AS55" s="24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4462.125</v>
      </c>
      <c r="AU55" cm="1">
        <f t="array" ref="AU55">$E$10*(1+$AS55)+VLOOKUP($R55,武学奇术!$A:$ZZ,4,FALSE)+SUM(_xlfn.XLOOKUP($S55:$AL55,增益!$A:$A,增益!$D:$D,0))-$I$2</f>
        <v>4462.125</v>
      </c>
      <c r="AV55" s="33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0.4439</v>
      </c>
      <c r="AW55" s="33" cm="1">
        <f t="array" ref="AW55">$G$10+VLOOKUP($R55,武学奇术!$A:$ZZ,7,FALSE)+SUM(_xlfn.XLOOKUP($S55:$AL55,增益!$A:$A,增益!$G:$G,0))</f>
        <v>0.125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3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3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3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3" cm="1">
        <f t="array" ref="BF55">$G$12+VLOOKUP($R55,武学奇术!$A:$ZZ,12,FALSE)+SUM(_xlfn.XLOOKUP($S55:$AL55,增益!$A:$A,增益!$L:$L,0))</f>
        <v>0</v>
      </c>
      <c r="BG55">
        <f t="shared" si="5"/>
        <v>618.2</v>
      </c>
      <c r="BH55">
        <f t="shared" si="6"/>
        <v>1567.4</v>
      </c>
      <c r="BI55" s="33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3" cm="1">
        <f t="array" ref="BJ55">$G$13+VLOOKUP($R55,武学奇术!$A:$ZZ,14,FALSE)+SUM(_xlfn.XLOOKUP($S55:$AL55,增益!$A:$A,增益!$N:$N,0))</f>
        <v>0.25</v>
      </c>
      <c r="BK55">
        <f t="shared" si="7"/>
        <v>0</v>
      </c>
      <c r="BL55">
        <f t="shared" si="8"/>
        <v>0</v>
      </c>
      <c r="BM55" s="33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3" cm="1">
        <f t="array" ref="BN55">$G$14+VLOOKUP($R55,武学奇术!$A:$ZZ,16,FALSE)+SUM(_xlfn.XLOOKUP($S55:$AL55,增益!$A:$A,增益!$P:$P,0))</f>
        <v>0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4" cm="1">
        <f t="array" ref="BQ55">1+$B$13+VLOOKUP($R55,武学奇术!$A:$ZZ,18,FALSE)+SUM(_xlfn.XLOOKUP($S55:$AL55,增益!$A:$A,增益!$R:$R,0))</f>
        <v>2.21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0.8865</v>
      </c>
      <c r="BU55" s="24">
        <f t="shared" si="10"/>
        <v>0.0222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0.06</v>
      </c>
      <c r="BX55" s="24" cm="1">
        <f t="array" ref="BX55">VLOOKUP($R55,武学奇术!$A:$ZZ,32,FALSE)+SUM(_xlfn.XLOOKUP($S55:$AL55,增益!$A:$A,增益!$X:$X,0))</f>
        <v>0.1</v>
      </c>
    </row>
    <row r="56" spans="1:76">
      <c r="A56" s="4" t="s">
        <v>162</v>
      </c>
      <c r="B56" s="4">
        <v>1.3</v>
      </c>
      <c r="K56" s="39">
        <f>$L56*VLOOKUP($R56,武学奇术!$A:$ZY,31,FALSE)</f>
        <v>45845.2052301561</v>
      </c>
      <c r="L56" s="39">
        <f t="shared" si="0"/>
        <v>43662.1002191963</v>
      </c>
      <c r="M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44952.7909221554</v>
      </c>
      <c r="N56" s="39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35838.0895469837</v>
      </c>
      <c r="O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24298.8059038678</v>
      </c>
      <c r="P56" s="39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22050.8788099699</v>
      </c>
      <c r="Q56" s="29">
        <v>1</v>
      </c>
      <c r="R56" s="40" t="s">
        <v>108</v>
      </c>
      <c r="S56" s="40" t="s">
        <v>91</v>
      </c>
      <c r="T56" s="40" t="s">
        <v>172</v>
      </c>
      <c r="U56" s="40" t="s">
        <v>80</v>
      </c>
      <c r="V56" s="40" t="s">
        <v>166</v>
      </c>
      <c r="W56" s="40" t="s">
        <v>80</v>
      </c>
      <c r="X56" s="40" t="s">
        <v>80</v>
      </c>
      <c r="Y56" s="40" t="s">
        <v>109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80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s="40" t="s">
        <v>80</v>
      </c>
      <c r="AM56" t="str">
        <f>VLOOKUP($R56,武学奇术!$A:$ZZ,25,FALSE)</f>
        <v>伞</v>
      </c>
      <c r="AN56" s="24">
        <f>VLOOKUP($R56,武学奇术!$A:$ZZ,26,FALSE)</f>
        <v>1.7001</v>
      </c>
      <c r="AO56" s="25">
        <f>VLOOKUP($R56,武学奇术!$A:$ZZ,27,FALSE)*(1+IF(OR($AM56=$F$4,$AM56=$F$5),$B$21,0))</f>
        <v>753.6</v>
      </c>
      <c r="AP56" s="24">
        <f>VLOOKUP($R56,武学奇术!$A:$ZZ,28,FALSE)</f>
        <v>2.5502</v>
      </c>
      <c r="AQ56" s="25">
        <f>VLOOKUP($R56,武学奇术!$A:$ZZ,29,FALSE)*(1+IF(OR($AM56=$F$4,$AM56=$F$5),$B$21,0))</f>
        <v>409.6</v>
      </c>
      <c r="AR56" s="24" cm="1">
        <f t="array" ref="AR56">$G$3+IFERROR(VLOOKUP($AM56,$F$4:$G$7,2,FALSE),0)+VLOOKUP($R56,武学奇术!$A:$ZZ,2,FALSE)+SUM(_xlfn.XLOOKUP($S56:$AL56,增益!$A:$A,增益!$B:$B,0))</f>
        <v>0.2743</v>
      </c>
      <c r="AS56" s="24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4462.125</v>
      </c>
      <c r="AU56" cm="1">
        <f t="array" ref="AU56">$E$10*(1+$AS56)+VLOOKUP($R56,武学奇术!$A:$ZZ,4,FALSE)+SUM(_xlfn.XLOOKUP($S56:$AL56,增益!$A:$A,增益!$D:$D,0))-$I$2</f>
        <v>4462.125</v>
      </c>
      <c r="AV56" s="33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0.4189</v>
      </c>
      <c r="AW56" s="33" cm="1">
        <f t="array" ref="AW56">$G$10+VLOOKUP($R56,武学奇术!$A:$ZZ,7,FALSE)+SUM(_xlfn.XLOOKUP($S56:$AL56,增益!$A:$A,增益!$G:$G,0))</f>
        <v>0.125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3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3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3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3" cm="1">
        <f t="array" ref="BF56">$G$12+VLOOKUP($R56,武学奇术!$A:$ZZ,12,FALSE)+SUM(_xlfn.XLOOKUP($S56:$AL56,增益!$A:$A,增益!$L:$L,0))</f>
        <v>0</v>
      </c>
      <c r="BG56">
        <f t="shared" si="5"/>
        <v>618.2</v>
      </c>
      <c r="BH56">
        <f t="shared" si="6"/>
        <v>1567.4</v>
      </c>
      <c r="BI56" s="33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3" cm="1">
        <f t="array" ref="BJ56">$G$13+VLOOKUP($R56,武学奇术!$A:$ZZ,14,FALSE)+SUM(_xlfn.XLOOKUP($S56:$AL56,增益!$A:$A,增益!$N:$N,0))</f>
        <v>0.25</v>
      </c>
      <c r="BK56">
        <f t="shared" si="7"/>
        <v>0</v>
      </c>
      <c r="BL56">
        <f t="shared" si="8"/>
        <v>0</v>
      </c>
      <c r="BM56" s="33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3" cm="1">
        <f t="array" ref="BN56">$G$14+VLOOKUP($R56,武学奇术!$A:$ZZ,16,FALSE)+SUM(_xlfn.XLOOKUP($S56:$AL56,增益!$A:$A,增益!$P:$P,0))</f>
        <v>0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4" cm="1">
        <f t="array" ref="BQ56">1+$B$13+VLOOKUP($R56,武学奇术!$A:$ZZ,18,FALSE)+SUM(_xlfn.XLOOKUP($S56:$AL56,增益!$A:$A,增益!$R:$R,0))</f>
        <v>1.85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0.8865</v>
      </c>
      <c r="BU56" s="24">
        <f t="shared" si="10"/>
        <v>0.0222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0.06</v>
      </c>
      <c r="BX56" s="24" cm="1">
        <f t="array" ref="BX56">VLOOKUP($R56,武学奇术!$A:$ZZ,32,FALSE)+SUM(_xlfn.XLOOKUP($S56:$AL56,增益!$A:$A,增益!$X:$X,0))</f>
        <v>0</v>
      </c>
    </row>
    <row r="57" spans="1:76">
      <c r="A57" s="4" t="s">
        <v>113</v>
      </c>
      <c r="B57" s="91">
        <v>1.16</v>
      </c>
      <c r="E57" s="4"/>
      <c r="K57" s="39">
        <f>$L57*VLOOKUP($R57,武学奇术!$A:$ZY,31,FALSE)</f>
        <v>19218.5230623277</v>
      </c>
      <c r="L57" s="39">
        <f t="shared" si="0"/>
        <v>18303.3552974549</v>
      </c>
      <c r="M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18844.3478825467</v>
      </c>
      <c r="N57" s="39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15024.1919494709</v>
      </c>
      <c r="O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10186.1339905658</v>
      </c>
      <c r="P57" s="39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9243.23690744948</v>
      </c>
      <c r="Q57" s="29">
        <v>1</v>
      </c>
      <c r="R57" s="40" t="s">
        <v>113</v>
      </c>
      <c r="S57" s="40" t="s">
        <v>91</v>
      </c>
      <c r="T57" s="40" t="s">
        <v>172</v>
      </c>
      <c r="U57" s="40" t="s">
        <v>80</v>
      </c>
      <c r="V57" s="40" t="s">
        <v>166</v>
      </c>
      <c r="W57" s="40" t="s">
        <v>80</v>
      </c>
      <c r="X57" s="40" t="s">
        <v>80</v>
      </c>
      <c r="Y57" s="40" t="s">
        <v>109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80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s="40" t="s">
        <v>80</v>
      </c>
      <c r="AM57" t="str">
        <f>VLOOKUP($R57,武学奇术!$A:$ZZ,25,FALSE)</f>
        <v>伞</v>
      </c>
      <c r="AN57" s="24">
        <f>VLOOKUP($R57,武学奇术!$A:$ZZ,26,FALSE)</f>
        <v>0.54</v>
      </c>
      <c r="AO57" s="25">
        <f>VLOOKUP($R57,武学奇术!$A:$ZZ,27,FALSE)*(1+IF(OR($AM57=$F$4,$AM57=$F$5),$B$21,0))</f>
        <v>236.8</v>
      </c>
      <c r="AP57" s="24">
        <f>VLOOKUP($R57,武学奇术!$A:$ZZ,28,FALSE)</f>
        <v>0.81</v>
      </c>
      <c r="AQ57" s="25">
        <f>VLOOKUP($R57,武学奇术!$A:$ZZ,29,FALSE)*(1+IF(OR($AM57=$F$4,$AM57=$F$5),$B$21,0))</f>
        <v>130.4</v>
      </c>
      <c r="AR57" s="24" cm="1">
        <f t="array" ref="AR57">$G$3+IFERROR(VLOOKUP($AM57,$F$4:$G$7,2,FALSE),0)+VLOOKUP($R57,武学奇术!$A:$ZZ,2,FALSE)+SUM(_xlfn.XLOOKUP($S57:$AL57,增益!$A:$A,增益!$B:$B,0))</f>
        <v>0.2743</v>
      </c>
      <c r="AS57" s="24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4462.125</v>
      </c>
      <c r="AU57" cm="1">
        <f t="array" ref="AU57">$E$10*(1+$AS57)+VLOOKUP($R57,武学奇术!$A:$ZZ,4,FALSE)+SUM(_xlfn.XLOOKUP($S57:$AL57,增益!$A:$A,增益!$D:$D,0))-$I$2</f>
        <v>4462.125</v>
      </c>
      <c r="AV57" s="33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0.4189</v>
      </c>
      <c r="AW57" s="33" cm="1">
        <f t="array" ref="AW57">$G$10+VLOOKUP($R57,武学奇术!$A:$ZZ,7,FALSE)+SUM(_xlfn.XLOOKUP($S57:$AL57,增益!$A:$A,增益!$G:$G,0))</f>
        <v>0.125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3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3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3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3" cm="1">
        <f t="array" ref="BF57">$G$12+VLOOKUP($R57,武学奇术!$A:$ZZ,12,FALSE)+SUM(_xlfn.XLOOKUP($S57:$AL57,增益!$A:$A,增益!$L:$L,0))</f>
        <v>0</v>
      </c>
      <c r="BG57">
        <f t="shared" si="5"/>
        <v>618.2</v>
      </c>
      <c r="BH57">
        <f t="shared" si="6"/>
        <v>1567.4</v>
      </c>
      <c r="BI57" s="33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</v>
      </c>
      <c r="BJ57" s="33" cm="1">
        <f t="array" ref="BJ57">$G$13+VLOOKUP($R57,武学奇术!$A:$ZZ,14,FALSE)+SUM(_xlfn.XLOOKUP($S57:$AL57,增益!$A:$A,增益!$N:$N,0))</f>
        <v>0.25</v>
      </c>
      <c r="BK57">
        <f t="shared" si="7"/>
        <v>0</v>
      </c>
      <c r="BL57">
        <f t="shared" si="8"/>
        <v>0</v>
      </c>
      <c r="BM57" s="33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3" cm="1">
        <f t="array" ref="BN57">$G$14+VLOOKUP($R57,武学奇术!$A:$ZZ,16,FALSE)+SUM(_xlfn.XLOOKUP($S57:$AL57,增益!$A:$A,增益!$P:$P,0))</f>
        <v>0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4" cm="1">
        <f t="array" ref="BQ57">1+$B$13+VLOOKUP($R57,武学奇术!$A:$ZZ,18,FALSE)+SUM(_xlfn.XLOOKUP($S57:$AL57,增益!$A:$A,增益!$R:$R,0))</f>
        <v>1.85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0.8865</v>
      </c>
      <c r="BU57" s="24">
        <f t="shared" si="10"/>
        <v>0.0222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0.06</v>
      </c>
      <c r="BX57" s="24" cm="1">
        <f t="array" ref="BX57">VLOOKUP($R57,武学奇术!$A:$ZZ,32,FALSE)+SUM(_xlfn.XLOOKUP($S57:$AL57,增益!$A:$A,增益!$X:$X,0))</f>
        <v>0</v>
      </c>
    </row>
    <row r="58" spans="1:76">
      <c r="A58" s="4" t="s">
        <v>167</v>
      </c>
      <c r="B58" s="4">
        <v>0.1</v>
      </c>
      <c r="K58" s="39">
        <f>$L58*VLOOKUP($R58,武学奇术!$A:$ZY,31,FALSE)</f>
        <v>21106.7481687134</v>
      </c>
      <c r="L58" s="39">
        <f t="shared" si="0"/>
        <v>20101.6649225842</v>
      </c>
      <c r="M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20697.1218650019</v>
      </c>
      <c r="N58" s="39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16487.4143141292</v>
      </c>
      <c r="O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11187.6334405416</v>
      </c>
      <c r="P58" s="39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10162.3673891356</v>
      </c>
      <c r="Q58" s="29">
        <v>1</v>
      </c>
      <c r="R58" s="40" t="s">
        <v>155</v>
      </c>
      <c r="S58" s="40" t="s">
        <v>91</v>
      </c>
      <c r="T58" s="40" t="s">
        <v>172</v>
      </c>
      <c r="U58" s="40" t="s">
        <v>80</v>
      </c>
      <c r="V58" s="40" t="s">
        <v>166</v>
      </c>
      <c r="W58" s="40" t="s">
        <v>80</v>
      </c>
      <c r="X58" s="40" t="s">
        <v>80</v>
      </c>
      <c r="Y58" s="40" t="s">
        <v>109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80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s="40" t="s">
        <v>80</v>
      </c>
      <c r="AM58" t="str">
        <f>VLOOKUP($R58,武学奇术!$A:$ZZ,25,FALSE)</f>
        <v>扇</v>
      </c>
      <c r="AN58" s="24">
        <f>VLOOKUP($R58,武学奇术!$A:$ZZ,26,FALSE)</f>
        <v>0.9271</v>
      </c>
      <c r="AO58" s="25">
        <f>VLOOKUP($R58,武学奇术!$A:$ZZ,27,FALSE)*(1+IF(OR($AM58=$F$4,$AM58=$F$5),$B$21,0))</f>
        <v>411.2</v>
      </c>
      <c r="AP58" s="24">
        <f>VLOOKUP($R58,武学奇术!$A:$ZZ,28,FALSE)</f>
        <v>1.3907</v>
      </c>
      <c r="AQ58" s="25">
        <f>VLOOKUP($R58,武学奇术!$A:$ZZ,29,FALSE)*(1+IF(OR($AM58=$F$4,$AM58=$F$5),$B$21,0))</f>
        <v>224</v>
      </c>
      <c r="AR58" s="24" cm="1">
        <f t="array" ref="AR58">$G$3+IFERROR(VLOOKUP($AM58,$F$4:$G$7,2,FALSE),0)+VLOOKUP($R58,武学奇术!$A:$ZZ,2,FALSE)+SUM(_xlfn.XLOOKUP($S58:$AL58,增益!$A:$A,增益!$B:$B,0))</f>
        <v>0.2743</v>
      </c>
      <c r="AS58" s="24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4462.125</v>
      </c>
      <c r="AU58" cm="1">
        <f t="array" ref="AU58">$E$10*(1+$AS58)+VLOOKUP($R58,武学奇术!$A:$ZZ,4,FALSE)+SUM(_xlfn.XLOOKUP($S58:$AL58,增益!$A:$A,增益!$D:$D,0))-$I$2</f>
        <v>4462.125</v>
      </c>
      <c r="AV58" s="33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0.3189</v>
      </c>
      <c r="AW58" s="33" cm="1">
        <f t="array" ref="AW58">$G$10+VLOOKUP($R58,武学奇术!$A:$ZZ,7,FALSE)+SUM(_xlfn.XLOOKUP($S58:$AL58,增益!$A:$A,增益!$G:$G,0))</f>
        <v>0.025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3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3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3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3" cm="1">
        <f t="array" ref="BF58">$G$12+VLOOKUP($R58,武学奇术!$A:$ZZ,12,FALSE)+SUM(_xlfn.XLOOKUP($S58:$AL58,增益!$A:$A,增益!$L:$L,0))</f>
        <v>0</v>
      </c>
      <c r="BG58">
        <f t="shared" si="5"/>
        <v>618.2</v>
      </c>
      <c r="BH58">
        <f t="shared" si="6"/>
        <v>1567.4</v>
      </c>
      <c r="BI58" s="33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3" cm="1">
        <f t="array" ref="BJ58">$G$13+VLOOKUP($R58,武学奇术!$A:$ZZ,14,FALSE)+SUM(_xlfn.XLOOKUP($S58:$AL58,增益!$A:$A,增益!$N:$N,0))</f>
        <v>0.15</v>
      </c>
      <c r="BK58">
        <f t="shared" si="7"/>
        <v>0</v>
      </c>
      <c r="BL58">
        <f t="shared" si="8"/>
        <v>0</v>
      </c>
      <c r="BM58" s="33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3" cm="1">
        <f t="array" ref="BN58">$G$14+VLOOKUP($R58,武学奇术!$A:$ZZ,16,FALSE)+SUM(_xlfn.XLOOKUP($S58:$AL58,增益!$A:$A,增益!$P:$P,0))</f>
        <v>0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4" cm="1">
        <f t="array" ref="BQ58">1+$B$13+VLOOKUP($R58,武学奇术!$A:$ZZ,18,FALSE)+SUM(_xlfn.XLOOKUP($S58:$AL58,增益!$A:$A,增益!$R:$R,0))</f>
        <v>1.85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0.8865</v>
      </c>
      <c r="BU58" s="24">
        <f t="shared" si="10"/>
        <v>0.0222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0.06</v>
      </c>
      <c r="BX58" s="24" cm="1">
        <f t="array" ref="BX58">VLOOKUP($R58,武学奇术!$A:$ZZ,32,FALSE)+SUM(_xlfn.XLOOKUP($S58:$AL58,增益!$A:$A,增益!$X:$X,0))</f>
        <v>0</v>
      </c>
    </row>
    <row r="59" spans="1:76">
      <c r="A59" s="4" t="s">
        <v>197</v>
      </c>
      <c r="B59" s="91">
        <v>2</v>
      </c>
      <c r="K59" s="39">
        <f>$L59*VLOOKUP($R59,武学奇术!$A:$ZY,31,FALSE)</f>
        <v>504737.470429192</v>
      </c>
      <c r="L59" s="39">
        <f t="shared" si="0"/>
        <v>480702.352789707</v>
      </c>
      <c r="M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502085.843790802</v>
      </c>
      <c r="N59" s="39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334717.141454462</v>
      </c>
      <c r="O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227188.164611222</v>
      </c>
      <c r="P59" s="39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206437.705922843</v>
      </c>
      <c r="Q59" s="29">
        <v>6.5</v>
      </c>
      <c r="R59" s="40" t="s">
        <v>115</v>
      </c>
      <c r="S59" s="40" t="s">
        <v>91</v>
      </c>
      <c r="T59" s="40" t="s">
        <v>172</v>
      </c>
      <c r="U59" s="40" t="s">
        <v>106</v>
      </c>
      <c r="V59" s="40" t="s">
        <v>166</v>
      </c>
      <c r="W59" s="40" t="s">
        <v>100</v>
      </c>
      <c r="X59" s="40" t="s">
        <v>80</v>
      </c>
      <c r="Y59" s="40" t="s">
        <v>109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80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s="40" t="s">
        <v>80</v>
      </c>
      <c r="AM59" t="str">
        <f>VLOOKUP($R59,武学奇术!$A:$ZZ,25,FALSE)</f>
        <v>伞</v>
      </c>
      <c r="AN59" s="24">
        <f>VLOOKUP($R59,武学奇术!$A:$ZZ,26,FALSE)</f>
        <v>1.0217</v>
      </c>
      <c r="AO59" s="25">
        <f>VLOOKUP($R59,武学奇术!$A:$ZZ,27,FALSE)*(1+IF(OR($AM59=$F$4,$AM59=$F$5),$B$21,0))</f>
        <v>451.2</v>
      </c>
      <c r="AP59" s="24">
        <f>VLOOKUP($R59,武学奇术!$A:$ZZ,28,FALSE)</f>
        <v>1.5325</v>
      </c>
      <c r="AQ59" s="25">
        <f>VLOOKUP($R59,武学奇术!$A:$ZZ,29,FALSE)*(1+IF(OR($AM59=$F$4,$AM59=$F$5),$B$21,0))</f>
        <v>246.4</v>
      </c>
      <c r="AR59" s="24" cm="1">
        <f t="array" ref="AR59">$G$3+IFERROR(VLOOKUP($AM59,$F$4:$G$7,2,FALSE),0)+VLOOKUP($R59,武学奇术!$A:$ZZ,2,FALSE)+SUM(_xlfn.XLOOKUP($S59:$AL59,增益!$A:$A,增益!$B:$B,0))</f>
        <v>0.8243</v>
      </c>
      <c r="AS59" s="24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4462.125</v>
      </c>
      <c r="AU59" cm="1">
        <f t="array" ref="AU59">$E$10*(1+$AS59)+VLOOKUP($R59,武学奇术!$A:$ZZ,4,FALSE)+SUM(_xlfn.XLOOKUP($S59:$AL59,增益!$A:$A,增益!$D:$D,0))-$I$2</f>
        <v>4462.125</v>
      </c>
      <c r="AV59" s="33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0.4439</v>
      </c>
      <c r="AW59" s="33" cm="1">
        <f t="array" ref="AW59">$G$10+VLOOKUP($R59,武学奇术!$A:$ZZ,7,FALSE)+SUM(_xlfn.XLOOKUP($S59:$AL59,增益!$A:$A,增益!$G:$G,0))</f>
        <v>0.125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3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3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3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3" cm="1">
        <f t="array" ref="BF59">$G$12+VLOOKUP($R59,武学奇术!$A:$ZZ,12,FALSE)+SUM(_xlfn.XLOOKUP($S59:$AL59,增益!$A:$A,增益!$L:$L,0))</f>
        <v>0</v>
      </c>
      <c r="BG59">
        <f t="shared" si="5"/>
        <v>618.2</v>
      </c>
      <c r="BH59">
        <f t="shared" si="6"/>
        <v>1567.4</v>
      </c>
      <c r="BI59" s="33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</v>
      </c>
      <c r="BJ59" s="33" cm="1">
        <f t="array" ref="BJ59">$G$13+VLOOKUP($R59,武学奇术!$A:$ZZ,14,FALSE)+SUM(_xlfn.XLOOKUP($S59:$AL59,增益!$A:$A,增益!$N:$N,0))</f>
        <v>0.25</v>
      </c>
      <c r="BK59">
        <f t="shared" si="7"/>
        <v>0</v>
      </c>
      <c r="BL59">
        <f t="shared" si="8"/>
        <v>0</v>
      </c>
      <c r="BM59" s="33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3" cm="1">
        <f t="array" ref="BN59">$G$14+VLOOKUP($R59,武学奇术!$A:$ZZ,16,FALSE)+SUM(_xlfn.XLOOKUP($S59:$AL59,增益!$A:$A,增益!$P:$P,0))</f>
        <v>0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4" cm="1">
        <f t="array" ref="BQ59">1+$B$13+VLOOKUP($R59,武学奇术!$A:$ZZ,18,FALSE)+SUM(_xlfn.XLOOKUP($S59:$AL59,增益!$A:$A,增益!$R:$R,0))</f>
        <v>2.21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0.8865</v>
      </c>
      <c r="BU59" s="24">
        <f t="shared" si="10"/>
        <v>0.0222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0.06</v>
      </c>
      <c r="BX59" s="24" cm="1">
        <f t="array" ref="BX59">VLOOKUP($R59,武学奇术!$A:$ZZ,32,FALSE)+SUM(_xlfn.XLOOKUP($S59:$AL59,增益!$A:$A,增益!$X:$X,0))</f>
        <v>0.25</v>
      </c>
    </row>
    <row r="60" spans="1:76">
      <c r="A60" s="4" t="s">
        <v>177</v>
      </c>
      <c r="B60" s="4">
        <v>1</v>
      </c>
      <c r="K60" s="39">
        <f>$L60*VLOOKUP($R60,武学奇术!$A:$ZY,31,FALSE)</f>
        <v>227750.909303432</v>
      </c>
      <c r="L60" s="39">
        <f t="shared" si="0"/>
        <v>216905.627908031</v>
      </c>
      <c r="M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224342.487019051</v>
      </c>
      <c r="N60" s="39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169605.598234321</v>
      </c>
      <c r="O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114460.45256074</v>
      </c>
      <c r="P60" s="39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103287.128651613</v>
      </c>
      <c r="Q60" s="29">
        <v>3.5</v>
      </c>
      <c r="R60" s="40" t="s">
        <v>115</v>
      </c>
      <c r="S60" s="40" t="s">
        <v>91</v>
      </c>
      <c r="T60" s="40" t="s">
        <v>172</v>
      </c>
      <c r="U60" s="40" t="s">
        <v>106</v>
      </c>
      <c r="V60" s="40" t="s">
        <v>166</v>
      </c>
      <c r="W60" s="40" t="s">
        <v>100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80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s="40" t="s">
        <v>80</v>
      </c>
      <c r="AM60" t="str">
        <f>VLOOKUP($R60,武学奇术!$A:$ZZ,25,FALSE)</f>
        <v>伞</v>
      </c>
      <c r="AN60" s="24">
        <f>VLOOKUP($R60,武学奇术!$A:$ZZ,26,FALSE)</f>
        <v>1.0217</v>
      </c>
      <c r="AO60" s="25">
        <f>VLOOKUP($R60,武学奇术!$A:$ZZ,27,FALSE)*(1+IF(OR($AM60=$F$4,$AM60=$F$5),$B$21,0))</f>
        <v>451.2</v>
      </c>
      <c r="AP60" s="24">
        <f>VLOOKUP($R60,武学奇术!$A:$ZZ,28,FALSE)</f>
        <v>1.5325</v>
      </c>
      <c r="AQ60" s="25">
        <f>VLOOKUP($R60,武学奇术!$A:$ZZ,29,FALSE)*(1+IF(OR($AM60=$F$4,$AM60=$F$5),$B$21,0))</f>
        <v>246.4</v>
      </c>
      <c r="AR60" s="24" cm="1">
        <f t="array" ref="AR60">$G$3+IFERROR(VLOOKUP($AM60,$F$4:$G$7,2,FALSE),0)+VLOOKUP($R60,武学奇术!$A:$ZZ,2,FALSE)+SUM(_xlfn.XLOOKUP($S60:$AL60,增益!$A:$A,增益!$B:$B,0))</f>
        <v>0.8243</v>
      </c>
      <c r="AS60" s="24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4462.125</v>
      </c>
      <c r="AU60" cm="1">
        <f t="array" ref="AU60">$E$10*(1+$AS60)+VLOOKUP($R60,武学奇术!$A:$ZZ,4,FALSE)+SUM(_xlfn.XLOOKUP($S60:$AL60,增益!$A:$A,增益!$D:$D,0))-$I$2</f>
        <v>4462.125</v>
      </c>
      <c r="AV60" s="33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0.3189</v>
      </c>
      <c r="AW60" s="33" cm="1">
        <f t="array" ref="AW60">$G$10+VLOOKUP($R60,武学奇术!$A:$ZZ,7,FALSE)+SUM(_xlfn.XLOOKUP($S60:$AL60,增益!$A:$A,增益!$G:$G,0))</f>
        <v>0.125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3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3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3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3" cm="1">
        <f t="array" ref="BF60">$G$12+VLOOKUP($R60,武学奇术!$A:$ZZ,12,FALSE)+SUM(_xlfn.XLOOKUP($S60:$AL60,增益!$A:$A,增益!$L:$L,0))</f>
        <v>0</v>
      </c>
      <c r="BG60">
        <f t="shared" si="5"/>
        <v>618.2</v>
      </c>
      <c r="BH60">
        <f t="shared" si="6"/>
        <v>1567.4</v>
      </c>
      <c r="BI60" s="33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</v>
      </c>
      <c r="BJ60" s="33" cm="1">
        <f t="array" ref="BJ60">$G$13+VLOOKUP($R60,武学奇术!$A:$ZZ,14,FALSE)+SUM(_xlfn.XLOOKUP($S60:$AL60,增益!$A:$A,增益!$N:$N,0))</f>
        <v>0.25</v>
      </c>
      <c r="BK60">
        <f t="shared" si="7"/>
        <v>0</v>
      </c>
      <c r="BL60">
        <f t="shared" si="8"/>
        <v>0</v>
      </c>
      <c r="BM60" s="33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3" cm="1">
        <f t="array" ref="BN60">$G$14+VLOOKUP($R60,武学奇术!$A:$ZZ,16,FALSE)+SUM(_xlfn.XLOOKUP($S60:$AL60,增益!$A:$A,增益!$P:$P,0))</f>
        <v>0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4" cm="1">
        <f t="array" ref="BQ60">1+$B$13+VLOOKUP($R60,武学奇术!$A:$ZZ,18,FALSE)+SUM(_xlfn.XLOOKUP($S60:$AL60,增益!$A:$A,增益!$R:$R,0))</f>
        <v>1.96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0.8865</v>
      </c>
      <c r="BU60" s="24">
        <f t="shared" si="10"/>
        <v>0.0222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0.06</v>
      </c>
      <c r="BX60" s="24" cm="1">
        <f t="array" ref="BX60">VLOOKUP($R60,武学奇术!$A:$ZZ,32,FALSE)+SUM(_xlfn.XLOOKUP($S60:$AL60,增益!$A:$A,增益!$X:$X,0))</f>
        <v>0.25</v>
      </c>
    </row>
    <row r="61" spans="1:76">
      <c r="A61" s="4" t="s">
        <v>167</v>
      </c>
      <c r="B61" s="4">
        <v>0.1</v>
      </c>
      <c r="K61" s="39">
        <f>$L61*VLOOKUP($R61,武学奇术!$A:$ZY,31,FALSE)</f>
        <v>110827.300494403</v>
      </c>
      <c r="L61" s="39">
        <f t="shared" si="0"/>
        <v>105549.809994669</v>
      </c>
      <c r="M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108669.94164702</v>
      </c>
      <c r="N61" s="39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86636.0068436094</v>
      </c>
      <c r="O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58740.5089983893</v>
      </c>
      <c r="P61" s="39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53306.1981126235</v>
      </c>
      <c r="Q61" s="29">
        <v>1</v>
      </c>
      <c r="R61" s="40" t="s">
        <v>138</v>
      </c>
      <c r="S61" s="40" t="s">
        <v>91</v>
      </c>
      <c r="T61" s="40" t="s">
        <v>172</v>
      </c>
      <c r="U61" s="40" t="s">
        <v>80</v>
      </c>
      <c r="V61" s="40" t="s">
        <v>166</v>
      </c>
      <c r="W61" s="40" t="s">
        <v>100</v>
      </c>
      <c r="X61" s="40" t="s">
        <v>157</v>
      </c>
      <c r="Y61" s="40" t="s">
        <v>109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80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s="40" t="s">
        <v>80</v>
      </c>
      <c r="AM61" t="str">
        <f>VLOOKUP($R61,武学奇术!$A:$ZZ,25,FALSE)</f>
        <v>扇</v>
      </c>
      <c r="AN61" s="24">
        <f>VLOOKUP($R61,武学奇术!$A:$ZZ,26,FALSE)</f>
        <v>1.9044</v>
      </c>
      <c r="AO61" s="25">
        <f>VLOOKUP($R61,武学奇术!$A:$ZZ,27,FALSE)*(1+IF(OR($AM61=$F$4,$AM61=$F$5),$B$21,0))</f>
        <v>843.2</v>
      </c>
      <c r="AP61" s="24">
        <f>VLOOKUP($R61,武学奇术!$A:$ZZ,28,FALSE)</f>
        <v>2.8566</v>
      </c>
      <c r="AQ61" s="25">
        <f>VLOOKUP($R61,武学奇术!$A:$ZZ,29,FALSE)*(1+IF(OR($AM61=$F$4,$AM61=$F$5),$B$21,0))</f>
        <v>459.2</v>
      </c>
      <c r="AR61" s="24" cm="1">
        <f t="array" ref="AR61">$G$3+IFERROR(VLOOKUP($AM61,$F$4:$G$7,2,FALSE),0)+VLOOKUP($R61,武学奇术!$A:$ZZ,2,FALSE)+SUM(_xlfn.XLOOKUP($S61:$AL61,增益!$A:$A,增益!$B:$B,0))</f>
        <v>0.7743</v>
      </c>
      <c r="AS61" s="24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4462.125</v>
      </c>
      <c r="AU61" cm="1">
        <f t="array" ref="AU61">$E$10*(1+$AS61)+VLOOKUP($R61,武学奇术!$A:$ZZ,4,FALSE)+SUM(_xlfn.XLOOKUP($S61:$AL61,增益!$A:$A,增益!$D:$D,0))-$I$2</f>
        <v>4462.125</v>
      </c>
      <c r="AV61" s="33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0.4189</v>
      </c>
      <c r="AW61" s="33" cm="1">
        <f t="array" ref="AW61">$G$10+VLOOKUP($R61,武学奇术!$A:$ZZ,7,FALSE)+SUM(_xlfn.XLOOKUP($S61:$AL61,增益!$A:$A,增益!$G:$G,0))</f>
        <v>0.125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3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3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3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3" cm="1">
        <f t="array" ref="BF61">$G$12+VLOOKUP($R61,武学奇术!$A:$ZZ,12,FALSE)+SUM(_xlfn.XLOOKUP($S61:$AL61,增益!$A:$A,增益!$L:$L,0))</f>
        <v>0</v>
      </c>
      <c r="BG61">
        <f t="shared" si="5"/>
        <v>618.2</v>
      </c>
      <c r="BH61">
        <f t="shared" si="6"/>
        <v>1567.4</v>
      </c>
      <c r="BI61" s="33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</v>
      </c>
      <c r="BJ61" s="33" cm="1">
        <f t="array" ref="BJ61">$G$13+VLOOKUP($R61,武学奇术!$A:$ZZ,14,FALSE)+SUM(_xlfn.XLOOKUP($S61:$AL61,增益!$A:$A,增益!$N:$N,0))</f>
        <v>0.25</v>
      </c>
      <c r="BK61">
        <f t="shared" si="7"/>
        <v>0</v>
      </c>
      <c r="BL61">
        <f t="shared" si="8"/>
        <v>0</v>
      </c>
      <c r="BM61" s="33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3" cm="1">
        <f t="array" ref="BN61">$G$14+VLOOKUP($R61,武学奇术!$A:$ZZ,16,FALSE)+SUM(_xlfn.XLOOKUP($S61:$AL61,增益!$A:$A,增益!$P:$P,0))</f>
        <v>0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4" cm="1">
        <f t="array" ref="BQ61">1+$B$13+VLOOKUP($R61,武学奇术!$A:$ZZ,18,FALSE)+SUM(_xlfn.XLOOKUP($S61:$AL61,增益!$A:$A,增益!$R:$R,0))</f>
        <v>1.85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0.8865</v>
      </c>
      <c r="BU61" s="24">
        <f t="shared" si="10"/>
        <v>0.0222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0.06</v>
      </c>
      <c r="BX61" s="24" cm="1">
        <f t="array" ref="BX61">VLOOKUP($R61,武学奇术!$A:$ZZ,32,FALSE)+SUM(_xlfn.XLOOKUP($S61:$AL61,增益!$A:$A,增益!$X:$X,0))</f>
        <v>0.55</v>
      </c>
    </row>
    <row r="62" spans="1:76">
      <c r="A62" s="4" t="s">
        <v>162</v>
      </c>
      <c r="B62" s="91">
        <v>1.3</v>
      </c>
      <c r="K62" s="39">
        <f>$L62*VLOOKUP($R62,武学奇术!$A:$ZY,31,FALSE)</f>
        <v>220680.565182487</v>
      </c>
      <c r="L62" s="39">
        <f t="shared" si="0"/>
        <v>210171.966840464</v>
      </c>
      <c r="M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217358.821431956</v>
      </c>
      <c r="N62" s="39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164528.480791288</v>
      </c>
      <c r="O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110897.357873447</v>
      </c>
      <c r="P62" s="39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99921.7670126067</v>
      </c>
      <c r="Q62" s="29">
        <v>1</v>
      </c>
      <c r="R62" s="40" t="s">
        <v>141</v>
      </c>
      <c r="S62" s="40" t="s">
        <v>91</v>
      </c>
      <c r="T62" s="40" t="s">
        <v>172</v>
      </c>
      <c r="U62" s="40" t="s">
        <v>80</v>
      </c>
      <c r="V62" s="40" t="s">
        <v>166</v>
      </c>
      <c r="W62" s="40" t="s">
        <v>142</v>
      </c>
      <c r="X62" s="40" t="s">
        <v>80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80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s="40" t="s">
        <v>80</v>
      </c>
      <c r="AM62" t="str">
        <f>VLOOKUP($R62,武学奇术!$A:$ZZ,25,FALSE)</f>
        <v>扇</v>
      </c>
      <c r="AN62" s="24">
        <f>VLOOKUP($R62,武学奇术!$A:$ZZ,26,FALSE)</f>
        <v>7.5463</v>
      </c>
      <c r="AO62" s="25">
        <f>VLOOKUP($R62,武学奇术!$A:$ZZ,27,FALSE)*(1+IF(OR($AM62=$F$4,$AM62=$F$5),$B$21,0))</f>
        <v>3339.2</v>
      </c>
      <c r="AP62" s="24">
        <f>VLOOKUP($R62,武学奇术!$A:$ZZ,28,FALSE)</f>
        <v>11.3195</v>
      </c>
      <c r="AQ62" s="25">
        <f>VLOOKUP($R62,武学奇术!$A:$ZZ,29,FALSE)*(1+IF(OR($AM62=$F$4,$AM62=$F$5),$B$21,0))</f>
        <v>1819.2</v>
      </c>
      <c r="AR62" s="24" cm="1">
        <f t="array" ref="AR62">$G$3+IFERROR(VLOOKUP($AM62,$F$4:$G$7,2,FALSE),0)+VLOOKUP($R62,武学奇术!$A:$ZZ,2,FALSE)+SUM(_xlfn.XLOOKUP($S62:$AL62,增益!$A:$A,增益!$B:$B,0))</f>
        <v>0.2743</v>
      </c>
      <c r="AS62" s="24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4462.125</v>
      </c>
      <c r="AU62" cm="1">
        <f t="array" ref="AU62">$E$10*(1+$AS62)+VLOOKUP($R62,武学奇术!$A:$ZZ,4,FALSE)+SUM(_xlfn.XLOOKUP($S62:$AL62,增益!$A:$A,增益!$D:$D,0))-$I$2</f>
        <v>4462.125</v>
      </c>
      <c r="AV62" s="33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0.2939</v>
      </c>
      <c r="AW62" s="33" cm="1">
        <f t="array" ref="AW62">$G$10+VLOOKUP($R62,武学奇术!$A:$ZZ,7,FALSE)+SUM(_xlfn.XLOOKUP($S62:$AL62,增益!$A:$A,增益!$G:$G,0))</f>
        <v>0.125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3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3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3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3" cm="1">
        <f t="array" ref="BF62">$G$12+VLOOKUP($R62,武学奇术!$A:$ZZ,12,FALSE)+SUM(_xlfn.XLOOKUP($S62:$AL62,增益!$A:$A,增益!$L:$L,0))</f>
        <v>0</v>
      </c>
      <c r="BG62">
        <f t="shared" si="5"/>
        <v>618.2</v>
      </c>
      <c r="BH62">
        <f t="shared" si="6"/>
        <v>1567.4</v>
      </c>
      <c r="BI62" s="33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</v>
      </c>
      <c r="BJ62" s="33" cm="1">
        <f t="array" ref="BJ62">$G$13+VLOOKUP($R62,武学奇术!$A:$ZZ,14,FALSE)+SUM(_xlfn.XLOOKUP($S62:$AL62,增益!$A:$A,增益!$N:$N,0))</f>
        <v>0.25</v>
      </c>
      <c r="BK62">
        <f t="shared" si="7"/>
        <v>0</v>
      </c>
      <c r="BL62">
        <f t="shared" si="8"/>
        <v>0</v>
      </c>
      <c r="BM62" s="33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3" cm="1">
        <f t="array" ref="BN62">$G$14+VLOOKUP($R62,武学奇术!$A:$ZZ,16,FALSE)+SUM(_xlfn.XLOOKUP($S62:$AL62,增益!$A:$A,增益!$P:$P,0))</f>
        <v>0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4" cm="1">
        <f t="array" ref="BQ62">1+$B$13+VLOOKUP($R62,武学奇术!$A:$ZZ,18,FALSE)+SUM(_xlfn.XLOOKUP($S62:$AL62,增益!$A:$A,增益!$R:$R,0))</f>
        <v>1.96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0.8865</v>
      </c>
      <c r="BU62" s="24">
        <f t="shared" si="10"/>
        <v>0.0222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0.06</v>
      </c>
      <c r="BX62" s="24" cm="1">
        <f t="array" ref="BX62">VLOOKUP($R62,武学奇术!$A:$ZZ,32,FALSE)+SUM(_xlfn.XLOOKUP($S62:$AL62,增益!$A:$A,增益!$X:$X,0))</f>
        <v>0.1</v>
      </c>
    </row>
    <row r="63" spans="1:76">
      <c r="A63" s="4" t="s">
        <v>99</v>
      </c>
      <c r="B63" s="4">
        <v>1.25</v>
      </c>
      <c r="K63" s="39">
        <f>$L63*VLOOKUP($R63,武学奇术!$A:$ZY,31,FALSE)</f>
        <v>99325.2085190245</v>
      </c>
      <c r="L63" s="39">
        <f t="shared" si="0"/>
        <v>94595.4366847852</v>
      </c>
      <c r="M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97838.9102587628</v>
      </c>
      <c r="N63" s="39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73965.6881519981</v>
      </c>
      <c r="O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49917.8113565116</v>
      </c>
      <c r="P63" s="39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45046.2240819136</v>
      </c>
      <c r="Q63" s="29">
        <v>1</v>
      </c>
      <c r="R63" s="40" t="s">
        <v>99</v>
      </c>
      <c r="S63" s="40" t="s">
        <v>91</v>
      </c>
      <c r="T63" s="40" t="s">
        <v>172</v>
      </c>
      <c r="U63" s="40" t="s">
        <v>106</v>
      </c>
      <c r="V63" s="40" t="s">
        <v>166</v>
      </c>
      <c r="W63" s="40" t="s">
        <v>100</v>
      </c>
      <c r="X63" s="40" t="s">
        <v>80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80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s="40" t="s">
        <v>80</v>
      </c>
      <c r="AM63" t="str">
        <f>VLOOKUP($R63,武学奇术!$A:$ZZ,25,FALSE)</f>
        <v>伞</v>
      </c>
      <c r="AN63" s="24">
        <f>VLOOKUP($R63,武学奇术!$A:$ZZ,26,FALSE)</f>
        <v>2.3397</v>
      </c>
      <c r="AO63" s="25">
        <f>VLOOKUP($R63,武学奇术!$A:$ZZ,27,FALSE)*(1+IF(OR($AM63=$F$4,$AM63=$F$5),$B$21,0))</f>
        <v>1036.8</v>
      </c>
      <c r="AP63" s="24">
        <f>VLOOKUP($R63,武学奇术!$A:$ZZ,28,FALSE)</f>
        <v>3.5095</v>
      </c>
      <c r="AQ63" s="25">
        <f>VLOOKUP($R63,武学奇术!$A:$ZZ,29,FALSE)*(1+IF(OR($AM63=$F$4,$AM63=$F$5),$B$21,0))</f>
        <v>564.8</v>
      </c>
      <c r="AR63" s="24" cm="1">
        <f t="array" ref="AR63">$G$3+IFERROR(VLOOKUP($AM63,$F$4:$G$7,2,FALSE),0)+VLOOKUP($R63,武学奇术!$A:$ZZ,2,FALSE)+SUM(_xlfn.XLOOKUP($S63:$AL63,增益!$A:$A,增益!$B:$B,0))</f>
        <v>0.8243</v>
      </c>
      <c r="AS63" s="24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4462.125</v>
      </c>
      <c r="AU63" cm="1">
        <f t="array" ref="AU63">$E$10*(1+$AS63)+VLOOKUP($R63,武学奇术!$A:$ZZ,4,FALSE)+SUM(_xlfn.XLOOKUP($S63:$AL63,增益!$A:$A,增益!$D:$D,0))-$I$2</f>
        <v>4462.125</v>
      </c>
      <c r="AV63" s="33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0.3189</v>
      </c>
      <c r="AW63" s="33" cm="1">
        <f t="array" ref="AW63">$G$10+VLOOKUP($R63,武学奇术!$A:$ZZ,7,FALSE)+SUM(_xlfn.XLOOKUP($S63:$AL63,增益!$A:$A,增益!$G:$G,0))</f>
        <v>0.125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3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3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3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3" cm="1">
        <f t="array" ref="BF63">$G$12+VLOOKUP($R63,武学奇术!$A:$ZZ,12,FALSE)+SUM(_xlfn.XLOOKUP($S63:$AL63,增益!$A:$A,增益!$L:$L,0))</f>
        <v>0</v>
      </c>
      <c r="BG63">
        <f t="shared" si="5"/>
        <v>618.2</v>
      </c>
      <c r="BH63">
        <f t="shared" si="6"/>
        <v>1567.4</v>
      </c>
      <c r="BI63" s="33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</v>
      </c>
      <c r="BJ63" s="33" cm="1">
        <f t="array" ref="BJ63">$G$13+VLOOKUP($R63,武学奇术!$A:$ZZ,14,FALSE)+SUM(_xlfn.XLOOKUP($S63:$AL63,增益!$A:$A,增益!$N:$N,0))</f>
        <v>0.25</v>
      </c>
      <c r="BK63">
        <f t="shared" si="7"/>
        <v>0</v>
      </c>
      <c r="BL63">
        <f t="shared" si="8"/>
        <v>0</v>
      </c>
      <c r="BM63" s="33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3" cm="1">
        <f t="array" ref="BN63">$G$14+VLOOKUP($R63,武学奇术!$A:$ZZ,16,FALSE)+SUM(_xlfn.XLOOKUP($S63:$AL63,增益!$A:$A,增益!$P:$P,0))</f>
        <v>0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4" cm="1">
        <f t="array" ref="BQ63">1+$B$13+VLOOKUP($R63,武学奇术!$A:$ZZ,18,FALSE)+SUM(_xlfn.XLOOKUP($S63:$AL63,增益!$A:$A,增益!$R:$R,0))</f>
        <v>1.96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0.8865</v>
      </c>
      <c r="BU63" s="24">
        <f t="shared" si="10"/>
        <v>0.0222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0.06</v>
      </c>
      <c r="BX63" s="24" cm="1">
        <f t="array" ref="BX63">VLOOKUP($R63,武学奇术!$A:$ZZ,32,FALSE)+SUM(_xlfn.XLOOKUP($S63:$AL63,增益!$A:$A,增益!$X:$X,0))</f>
        <v>0.1</v>
      </c>
    </row>
    <row r="64" spans="1:76">
      <c r="A64" s="4" t="s">
        <v>113</v>
      </c>
      <c r="B64" s="91">
        <v>1.16</v>
      </c>
      <c r="K64" s="39">
        <f>$L64*VLOOKUP($R64,武学奇术!$A:$ZY,31,FALSE)</f>
        <v>37589.5188406479</v>
      </c>
      <c r="L64" s="39">
        <f t="shared" si="0"/>
        <v>35799.541752998</v>
      </c>
      <c r="M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36343.4957834732</v>
      </c>
      <c r="N64" s="39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33699.5261440676</v>
      </c>
      <c r="O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22714.6848646707</v>
      </c>
      <c r="P64" s="39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20466.7577707729</v>
      </c>
      <c r="Q64" s="29">
        <v>1</v>
      </c>
      <c r="R64" s="40" t="s">
        <v>108</v>
      </c>
      <c r="S64" s="40" t="s">
        <v>91</v>
      </c>
      <c r="T64" s="40" t="s">
        <v>172</v>
      </c>
      <c r="U64" s="40" t="s">
        <v>80</v>
      </c>
      <c r="V64" s="40" t="s">
        <v>166</v>
      </c>
      <c r="W64" s="40" t="s">
        <v>80</v>
      </c>
      <c r="X64" s="40" t="s">
        <v>80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80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s="40" t="s">
        <v>80</v>
      </c>
      <c r="AM64" t="str">
        <f>VLOOKUP($R64,武学奇术!$A:$ZZ,25,FALSE)</f>
        <v>伞</v>
      </c>
      <c r="AN64" s="24">
        <f>VLOOKUP($R64,武学奇术!$A:$ZZ,26,FALSE)</f>
        <v>1.7001</v>
      </c>
      <c r="AO64" s="25">
        <f>VLOOKUP($R64,武学奇术!$A:$ZZ,27,FALSE)*(1+IF(OR($AM64=$F$4,$AM64=$F$5),$B$21,0))</f>
        <v>753.6</v>
      </c>
      <c r="AP64" s="24">
        <f>VLOOKUP($R64,武学奇术!$A:$ZZ,28,FALSE)</f>
        <v>2.5502</v>
      </c>
      <c r="AQ64" s="25">
        <f>VLOOKUP($R64,武学奇术!$A:$ZZ,29,FALSE)*(1+IF(OR($AM64=$F$4,$AM64=$F$5),$B$21,0))</f>
        <v>409.6</v>
      </c>
      <c r="AR64" s="24" cm="1">
        <f t="array" ref="AR64">$G$3+IFERROR(VLOOKUP($AM64,$F$4:$G$7,2,FALSE),0)+VLOOKUP($R64,武学奇术!$A:$ZZ,2,FALSE)+SUM(_xlfn.XLOOKUP($S64:$AL64,增益!$A:$A,增益!$B:$B,0))</f>
        <v>0.2743</v>
      </c>
      <c r="AS64" s="24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4462.125</v>
      </c>
      <c r="AU64" cm="1">
        <f t="array" ref="AU64">$E$10*(1+$AS64)+VLOOKUP($R64,武学奇术!$A:$ZZ,4,FALSE)+SUM(_xlfn.XLOOKUP($S64:$AL64,增益!$A:$A,增益!$D:$D,0))-$I$2</f>
        <v>4462.125</v>
      </c>
      <c r="AV64" s="33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0.2939</v>
      </c>
      <c r="AW64" s="33" cm="1">
        <f t="array" ref="AW64">$G$10+VLOOKUP($R64,武学奇术!$A:$ZZ,7,FALSE)+SUM(_xlfn.XLOOKUP($S64:$AL64,增益!$A:$A,增益!$G:$G,0))</f>
        <v>0.125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3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3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3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3" cm="1">
        <f t="array" ref="BF64">$G$12+VLOOKUP($R64,武学奇术!$A:$ZZ,12,FALSE)+SUM(_xlfn.XLOOKUP($S64:$AL64,增益!$A:$A,增益!$L:$L,0))</f>
        <v>0</v>
      </c>
      <c r="BG64">
        <f t="shared" si="5"/>
        <v>618.2</v>
      </c>
      <c r="BH64">
        <f t="shared" si="6"/>
        <v>1567.4</v>
      </c>
      <c r="BI64" s="33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</v>
      </c>
      <c r="BJ64" s="33" cm="1">
        <f t="array" ref="BJ64">$G$13+VLOOKUP($R64,武学奇术!$A:$ZZ,14,FALSE)+SUM(_xlfn.XLOOKUP($S64:$AL64,增益!$A:$A,增益!$N:$N,0))</f>
        <v>0.25</v>
      </c>
      <c r="BK64">
        <f t="shared" si="7"/>
        <v>0</v>
      </c>
      <c r="BL64">
        <f t="shared" si="8"/>
        <v>0</v>
      </c>
      <c r="BM64" s="33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3" cm="1">
        <f t="array" ref="BN64">$G$14+VLOOKUP($R64,武学奇术!$A:$ZZ,16,FALSE)+SUM(_xlfn.XLOOKUP($S64:$AL64,增益!$A:$A,增益!$P:$P,0))</f>
        <v>0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4" cm="1">
        <f t="array" ref="BQ64">1+$B$13+VLOOKUP($R64,武学奇术!$A:$ZZ,18,FALSE)+SUM(_xlfn.XLOOKUP($S64:$AL64,增益!$A:$A,增益!$R:$R,0))</f>
        <v>1.6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0.8865</v>
      </c>
      <c r="BU64" s="24">
        <f t="shared" si="10"/>
        <v>0.0222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0.06</v>
      </c>
      <c r="BX64" s="24" cm="1">
        <f t="array" ref="BX64">VLOOKUP($R64,武学奇术!$A:$ZZ,32,FALSE)+SUM(_xlfn.XLOOKUP($S64:$AL64,增益!$A:$A,增益!$X:$X,0))</f>
        <v>0</v>
      </c>
    </row>
    <row r="65" spans="1:76">
      <c r="A65" s="4" t="s">
        <v>198</v>
      </c>
      <c r="B65" s="4">
        <v>1</v>
      </c>
      <c r="K65" s="39">
        <f>$L65*VLOOKUP($R65,武学奇术!$A:$ZY,31,FALSE)</f>
        <v>14984.9258149894</v>
      </c>
      <c r="L65" s="39">
        <f t="shared" si="0"/>
        <v>14271.3579190375</v>
      </c>
      <c r="M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14482.3054710909</v>
      </c>
      <c r="N65" s="39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13492.35630344</v>
      </c>
      <c r="O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9051.44091943181</v>
      </c>
      <c r="P65" s="39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8108.54383631549</v>
      </c>
      <c r="Q65" s="29">
        <v>1</v>
      </c>
      <c r="R65" s="40" t="s">
        <v>113</v>
      </c>
      <c r="S65" s="40" t="s">
        <v>91</v>
      </c>
      <c r="T65" s="40" t="s">
        <v>172</v>
      </c>
      <c r="U65" s="40" t="s">
        <v>80</v>
      </c>
      <c r="V65" s="40" t="s">
        <v>81</v>
      </c>
      <c r="W65" s="40" t="s">
        <v>80</v>
      </c>
      <c r="X65" s="40" t="s">
        <v>80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80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s="40" t="s">
        <v>80</v>
      </c>
      <c r="AM65" t="str">
        <f>VLOOKUP($R65,武学奇术!$A:$ZZ,25,FALSE)</f>
        <v>伞</v>
      </c>
      <c r="AN65" s="24">
        <f>VLOOKUP($R65,武学奇术!$A:$ZZ,26,FALSE)</f>
        <v>0.54</v>
      </c>
      <c r="AO65" s="25">
        <f>VLOOKUP($R65,武学奇术!$A:$ZZ,27,FALSE)*(1+IF(OR($AM65=$F$4,$AM65=$F$5),$B$21,0))</f>
        <v>236.8</v>
      </c>
      <c r="AP65" s="24">
        <f>VLOOKUP($R65,武学奇术!$A:$ZZ,28,FALSE)</f>
        <v>0.81</v>
      </c>
      <c r="AQ65" s="25">
        <f>VLOOKUP($R65,武学奇术!$A:$ZZ,29,FALSE)*(1+IF(OR($AM65=$F$4,$AM65=$F$5),$B$21,0))</f>
        <v>130.4</v>
      </c>
      <c r="AR65" s="24" cm="1">
        <f t="array" ref="AR65">$G$3+IFERROR(VLOOKUP($AM65,$F$4:$G$7,2,FALSE),0)+VLOOKUP($R65,武学奇术!$A:$ZZ,2,FALSE)+SUM(_xlfn.XLOOKUP($S65:$AL65,增益!$A:$A,增益!$B:$B,0))</f>
        <v>0.2743</v>
      </c>
      <c r="AS65" s="24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4126.3125</v>
      </c>
      <c r="AU65" cm="1">
        <f t="array" ref="AU65">$E$10*(1+$AS65)+VLOOKUP($R65,武学奇术!$A:$ZZ,4,FALSE)+SUM(_xlfn.XLOOKUP($S65:$AL65,增益!$A:$A,增益!$D:$D,0))-$I$2</f>
        <v>4126.3125</v>
      </c>
      <c r="AV65" s="33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0.2939</v>
      </c>
      <c r="AW65" s="33" cm="1">
        <f t="array" ref="AW65">$G$10+VLOOKUP($R65,武学奇术!$A:$ZZ,7,FALSE)+SUM(_xlfn.XLOOKUP($S65:$AL65,增益!$A:$A,增益!$G:$G,0))</f>
        <v>0.125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3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3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3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3" cm="1">
        <f t="array" ref="BF65">$G$12+VLOOKUP($R65,武学奇术!$A:$ZZ,12,FALSE)+SUM(_xlfn.XLOOKUP($S65:$AL65,增益!$A:$A,增益!$L:$L,0))</f>
        <v>0</v>
      </c>
      <c r="BG65">
        <f t="shared" si="5"/>
        <v>618.2</v>
      </c>
      <c r="BH65">
        <f t="shared" si="6"/>
        <v>1567.4</v>
      </c>
      <c r="BI65" s="33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</v>
      </c>
      <c r="BJ65" s="33" cm="1">
        <f t="array" ref="BJ65">$G$13+VLOOKUP($R65,武学奇术!$A:$ZZ,14,FALSE)+SUM(_xlfn.XLOOKUP($S65:$AL65,增益!$A:$A,增益!$N:$N,0))</f>
        <v>0.25</v>
      </c>
      <c r="BK65">
        <f t="shared" si="7"/>
        <v>0</v>
      </c>
      <c r="BL65">
        <f t="shared" si="8"/>
        <v>0</v>
      </c>
      <c r="BM65" s="33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3" cm="1">
        <f t="array" ref="BN65">$G$14+VLOOKUP($R65,武学奇术!$A:$ZZ,16,FALSE)+SUM(_xlfn.XLOOKUP($S65:$AL65,增益!$A:$A,增益!$P:$P,0))</f>
        <v>0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4" cm="1">
        <f t="array" ref="BQ65">1+$B$13+VLOOKUP($R65,武学奇术!$A:$ZZ,18,FALSE)+SUM(_xlfn.XLOOKUP($S65:$AL65,增益!$A:$A,增益!$R:$R,0))</f>
        <v>1.6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0.8865</v>
      </c>
      <c r="BU65" s="24">
        <f t="shared" si="10"/>
        <v>0.0222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0.06</v>
      </c>
      <c r="BX65" s="24" cm="1">
        <f t="array" ref="BX65">VLOOKUP($R65,武学奇术!$A:$ZZ,32,FALSE)+SUM(_xlfn.XLOOKUP($S65:$AL65,增益!$A:$A,增益!$X:$X,0))</f>
        <v>0</v>
      </c>
    </row>
    <row r="66" spans="1:76">
      <c r="A66" s="4" t="s">
        <v>199</v>
      </c>
      <c r="B66" s="4">
        <v>1.5</v>
      </c>
      <c r="K66" s="39">
        <f>$L66*VLOOKUP($R66,武学奇术!$A:$ZY,31,FALSE)</f>
        <v>22591.1000824236</v>
      </c>
      <c r="L66" s="39">
        <f t="shared" ref="L66:L129" si="11">($M66*$BT66+$N66*$BR66+$O66*$BU66+$P66*$BV66)</f>
        <v>21515.333411832</v>
      </c>
      <c r="M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21834.1423602568</v>
      </c>
      <c r="N66" s="39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20333.1597394935</v>
      </c>
      <c r="O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13646.3389751605</v>
      </c>
      <c r="P66" s="39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12231.0781432887</v>
      </c>
      <c r="Q66" s="29">
        <v>1</v>
      </c>
      <c r="R66" s="40" t="s">
        <v>134</v>
      </c>
      <c r="S66" s="40" t="s">
        <v>91</v>
      </c>
      <c r="T66" s="40" t="s">
        <v>172</v>
      </c>
      <c r="U66" s="40" t="s">
        <v>80</v>
      </c>
      <c r="V66" s="40" t="s">
        <v>81</v>
      </c>
      <c r="W66" s="40" t="s">
        <v>80</v>
      </c>
      <c r="X66" s="40" t="s">
        <v>80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80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s="40" t="s">
        <v>80</v>
      </c>
      <c r="AM66" t="str">
        <f>VLOOKUP($R66,武学奇术!$A:$ZZ,25,FALSE)</f>
        <v>扇</v>
      </c>
      <c r="AN66" s="24">
        <f>VLOOKUP($R66,武学奇术!$A:$ZZ,26,FALSE)</f>
        <v>1.2798</v>
      </c>
      <c r="AO66" s="25">
        <f>VLOOKUP($R66,武学奇术!$A:$ZZ,27,FALSE)*(1+IF(OR($AM66=$F$4,$AM66=$F$5),$B$21,0))</f>
        <v>568</v>
      </c>
      <c r="AP66" s="24">
        <f>VLOOKUP($R66,武学奇术!$A:$ZZ,28,FALSE)</f>
        <v>1.9197</v>
      </c>
      <c r="AQ66" s="25">
        <f>VLOOKUP($R66,武学奇术!$A:$ZZ,29,FALSE)*(1+IF(OR($AM66=$F$4,$AM66=$F$5),$B$21,0))</f>
        <v>308.8</v>
      </c>
      <c r="AR66" s="24" cm="1">
        <f t="array" ref="AR66">$G$3+IFERROR(VLOOKUP($AM66,$F$4:$G$7,2,FALSE),0)+VLOOKUP($R66,武学奇术!$A:$ZZ,2,FALSE)+SUM(_xlfn.XLOOKUP($S66:$AL66,增益!$A:$A,增益!$B:$B,0))</f>
        <v>0.2743</v>
      </c>
      <c r="AS66" s="24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4126.3125</v>
      </c>
      <c r="AU66" cm="1">
        <f t="array" ref="AU66">$E$10*(1+$AS66)+VLOOKUP($R66,武学奇术!$A:$ZZ,4,FALSE)+SUM(_xlfn.XLOOKUP($S66:$AL66,增益!$A:$A,增益!$D:$D,0))-$I$2</f>
        <v>4126.3125</v>
      </c>
      <c r="AV66" s="33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0.1939</v>
      </c>
      <c r="AW66" s="33" cm="1">
        <f t="array" ref="AW66">$G$10+VLOOKUP($R66,武学奇术!$A:$ZZ,7,FALSE)+SUM(_xlfn.XLOOKUP($S66:$AL66,增益!$A:$A,增益!$G:$G,0))</f>
        <v>0.025</v>
      </c>
      <c r="AX66" s="24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3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3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3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3" cm="1">
        <f t="array" ref="BF66">$G$12+VLOOKUP($R66,武学奇术!$A:$ZZ,12,FALSE)+SUM(_xlfn.XLOOKUP($S66:$AL66,增益!$A:$A,增益!$L:$L,0))</f>
        <v>0</v>
      </c>
      <c r="BG66">
        <f t="shared" ref="BG66:BG129" si="16">$D$13*(1+$AX66)</f>
        <v>618.2</v>
      </c>
      <c r="BH66">
        <f t="shared" ref="BH66:BH129" si="17">$E$13*(1+$AX66)</f>
        <v>1567.4</v>
      </c>
      <c r="BI66" s="33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3" cm="1">
        <f t="array" ref="BJ66">$G$13+VLOOKUP($R66,武学奇术!$A:$ZZ,14,FALSE)+SUM(_xlfn.XLOOKUP($S66:$AL66,增益!$A:$A,增益!$N:$N,0))</f>
        <v>0.15</v>
      </c>
      <c r="BK66">
        <f t="shared" ref="BK66:BK129" si="18">$D$14*(1+$AX66)</f>
        <v>0</v>
      </c>
      <c r="BL66">
        <f t="shared" ref="BL66:BL129" si="19">$E$14*(1+$AX66)</f>
        <v>0</v>
      </c>
      <c r="BM66" s="33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3" cm="1">
        <f t="array" ref="BN66">$G$14+VLOOKUP($R66,武学奇术!$A:$ZZ,16,FALSE)+SUM(_xlfn.XLOOKUP($S66:$AL66,增益!$A:$A,增益!$P:$P,0))</f>
        <v>0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4" cm="1">
        <f t="array" ref="BQ66">1+$B$13+VLOOKUP($R66,武学奇术!$A:$ZZ,18,FALSE)+SUM(_xlfn.XLOOKUP($S66:$AL66,增益!$A:$A,增益!$R:$R,0))</f>
        <v>1.6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0">MIN((1-BR66)*BO66,BO66*BP66)</f>
        <v>0.8865</v>
      </c>
      <c r="BU66" s="24">
        <f t="shared" ref="BU66:BU129" si="21">1-BR66-BT66-BV66</f>
        <v>0.0222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0.06</v>
      </c>
      <c r="BX66" s="24" cm="1">
        <f t="array" ref="BX66">VLOOKUP($R66,武学奇术!$A:$ZZ,32,FALSE)+SUM(_xlfn.XLOOKUP($S66:$AL66,增益!$A:$A,增益!$X:$X,0))</f>
        <v>0</v>
      </c>
    </row>
    <row r="67" spans="1:76">
      <c r="A67" s="4" t="s">
        <v>200</v>
      </c>
      <c r="B67" s="4">
        <v>3.3</v>
      </c>
      <c r="K67" s="39">
        <f>$L67*VLOOKUP($R67,武学奇术!$A:$ZY,31,FALSE)</f>
        <v>0</v>
      </c>
      <c r="L67" s="39">
        <f t="shared" si="11"/>
        <v>0</v>
      </c>
      <c r="M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0</v>
      </c>
      <c r="N67" s="39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0</v>
      </c>
      <c r="O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0</v>
      </c>
      <c r="P67" s="39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0</v>
      </c>
      <c r="Q67" s="86">
        <f>IF($E$24="龙卷",1,0)</f>
        <v>0</v>
      </c>
      <c r="R67" s="40" t="s">
        <v>138</v>
      </c>
      <c r="S67" s="40" t="s">
        <v>91</v>
      </c>
      <c r="T67" s="40" t="s">
        <v>172</v>
      </c>
      <c r="U67" s="40" t="s">
        <v>80</v>
      </c>
      <c r="V67" s="40" t="s">
        <v>81</v>
      </c>
      <c r="W67" s="40" t="s">
        <v>100</v>
      </c>
      <c r="X67" s="40" t="s">
        <v>157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80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s="40" t="s">
        <v>80</v>
      </c>
      <c r="AM67" t="str">
        <f>VLOOKUP($R67,武学奇术!$A:$ZZ,25,FALSE)</f>
        <v>扇</v>
      </c>
      <c r="AN67" s="24">
        <f>VLOOKUP($R67,武学奇术!$A:$ZZ,26,FALSE)</f>
        <v>1.9044</v>
      </c>
      <c r="AO67" s="25">
        <f>VLOOKUP($R67,武学奇术!$A:$ZZ,27,FALSE)*(1+IF(OR($AM67=$F$4,$AM67=$F$5),$B$21,0))</f>
        <v>843.2</v>
      </c>
      <c r="AP67" s="24">
        <f>VLOOKUP($R67,武学奇术!$A:$ZZ,28,FALSE)</f>
        <v>2.8566</v>
      </c>
      <c r="AQ67" s="25">
        <f>VLOOKUP($R67,武学奇术!$A:$ZZ,29,FALSE)*(1+IF(OR($AM67=$F$4,$AM67=$F$5),$B$21,0))</f>
        <v>459.2</v>
      </c>
      <c r="AR67" s="24" cm="1">
        <f t="array" ref="AR67">$G$3+IFERROR(VLOOKUP($AM67,$F$4:$G$7,2,FALSE),0)+VLOOKUP($R67,武学奇术!$A:$ZZ,2,FALSE)+SUM(_xlfn.XLOOKUP($S67:$AL67,增益!$A:$A,增益!$B:$B,0))</f>
        <v>0.7743</v>
      </c>
      <c r="AS67" s="24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4126.3125</v>
      </c>
      <c r="AU67" cm="1">
        <f t="array" ref="AU67">$E$10*(1+$AS67)+VLOOKUP($R67,武学奇术!$A:$ZZ,4,FALSE)+SUM(_xlfn.XLOOKUP($S67:$AL67,增益!$A:$A,增益!$D:$D,0))-$I$2</f>
        <v>4126.3125</v>
      </c>
      <c r="AV67" s="33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0.2939</v>
      </c>
      <c r="AW67" s="33" cm="1">
        <f t="array" ref="AW67">$G$10+VLOOKUP($R67,武学奇术!$A:$ZZ,7,FALSE)+SUM(_xlfn.XLOOKUP($S67:$AL67,增益!$A:$A,增益!$G:$G,0))</f>
        <v>0.125</v>
      </c>
      <c r="AX67" s="24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3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3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3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3" cm="1">
        <f t="array" ref="BF67">$G$12+VLOOKUP($R67,武学奇术!$A:$ZZ,12,FALSE)+SUM(_xlfn.XLOOKUP($S67:$AL67,增益!$A:$A,增益!$L:$L,0))</f>
        <v>0</v>
      </c>
      <c r="BG67">
        <f t="shared" si="16"/>
        <v>618.2</v>
      </c>
      <c r="BH67">
        <f t="shared" si="17"/>
        <v>1567.4</v>
      </c>
      <c r="BI67" s="33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</v>
      </c>
      <c r="BJ67" s="33" cm="1">
        <f t="array" ref="BJ67">$G$13+VLOOKUP($R67,武学奇术!$A:$ZZ,14,FALSE)+SUM(_xlfn.XLOOKUP($S67:$AL67,增益!$A:$A,增益!$N:$N,0))</f>
        <v>0.25</v>
      </c>
      <c r="BK67">
        <f t="shared" si="18"/>
        <v>0</v>
      </c>
      <c r="BL67">
        <f t="shared" si="19"/>
        <v>0</v>
      </c>
      <c r="BM67" s="33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3" cm="1">
        <f t="array" ref="BN67">$G$14+VLOOKUP($R67,武学奇术!$A:$ZZ,16,FALSE)+SUM(_xlfn.XLOOKUP($S67:$AL67,增益!$A:$A,增益!$P:$P,0))</f>
        <v>0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4" cm="1">
        <f t="array" ref="BQ67">1+$B$13+VLOOKUP($R67,武学奇术!$A:$ZZ,18,FALSE)+SUM(_xlfn.XLOOKUP($S67:$AL67,增益!$A:$A,增益!$R:$R,0))</f>
        <v>1.6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0"/>
        <v>0.8865</v>
      </c>
      <c r="BU67" s="24">
        <f t="shared" si="21"/>
        <v>0.0222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0.06</v>
      </c>
      <c r="BX67" s="24" cm="1">
        <f t="array" ref="BX67">VLOOKUP($R67,武学奇术!$A:$ZZ,32,FALSE)+SUM(_xlfn.XLOOKUP($S67:$AL67,增益!$A:$A,增益!$X:$X,0))</f>
        <v>0.55</v>
      </c>
    </row>
    <row r="68" spans="1:76">
      <c r="A68" s="4" t="s">
        <v>200</v>
      </c>
      <c r="B68" s="4">
        <v>3.3</v>
      </c>
      <c r="K68" s="39">
        <f>$L68*VLOOKUP($R68,武学奇术!$A:$ZY,31,FALSE)</f>
        <v>209843.969772765</v>
      </c>
      <c r="L68" s="39">
        <f t="shared" si="11"/>
        <v>199851.399783586</v>
      </c>
      <c r="M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206616.195226639</v>
      </c>
      <c r="N68" s="39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157129.222945788</v>
      </c>
      <c r="O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105416.42613604</v>
      </c>
      <c r="P68" s="39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94440.8352751999</v>
      </c>
      <c r="Q68" s="29">
        <v>1</v>
      </c>
      <c r="R68" s="40" t="s">
        <v>141</v>
      </c>
      <c r="S68" s="40" t="s">
        <v>91</v>
      </c>
      <c r="T68" s="40" t="s">
        <v>172</v>
      </c>
      <c r="U68" s="40" t="s">
        <v>80</v>
      </c>
      <c r="V68" s="40" t="s">
        <v>81</v>
      </c>
      <c r="W68" s="40" t="s">
        <v>142</v>
      </c>
      <c r="X68" s="40" t="s">
        <v>80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80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s="40" t="s">
        <v>80</v>
      </c>
      <c r="AM68" t="str">
        <f>VLOOKUP($R68,武学奇术!$A:$ZZ,25,FALSE)</f>
        <v>扇</v>
      </c>
      <c r="AN68" s="24">
        <f>VLOOKUP($R68,武学奇术!$A:$ZZ,26,FALSE)</f>
        <v>7.5463</v>
      </c>
      <c r="AO68" s="25">
        <f>VLOOKUP($R68,武学奇术!$A:$ZZ,27,FALSE)*(1+IF(OR($AM68=$F$4,$AM68=$F$5),$B$21,0))</f>
        <v>3339.2</v>
      </c>
      <c r="AP68" s="24">
        <f>VLOOKUP($R68,武学奇术!$A:$ZZ,28,FALSE)</f>
        <v>11.3195</v>
      </c>
      <c r="AQ68" s="25">
        <f>VLOOKUP($R68,武学奇术!$A:$ZZ,29,FALSE)*(1+IF(OR($AM68=$F$4,$AM68=$F$5),$B$21,0))</f>
        <v>1819.2</v>
      </c>
      <c r="AR68" s="24" cm="1">
        <f t="array" ref="AR68">$G$3+IFERROR(VLOOKUP($AM68,$F$4:$G$7,2,FALSE),0)+VLOOKUP($R68,武学奇术!$A:$ZZ,2,FALSE)+SUM(_xlfn.XLOOKUP($S68:$AL68,增益!$A:$A,增益!$B:$B,0))</f>
        <v>0.2743</v>
      </c>
      <c r="AS68" s="24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4126.3125</v>
      </c>
      <c r="AU68" cm="1">
        <f t="array" ref="AU68">$E$10*(1+$AS68)+VLOOKUP($R68,武学奇术!$A:$ZZ,4,FALSE)+SUM(_xlfn.XLOOKUP($S68:$AL68,增益!$A:$A,增益!$D:$D,0))-$I$2</f>
        <v>4126.3125</v>
      </c>
      <c r="AV68" s="33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0.2939</v>
      </c>
      <c r="AW68" s="33" cm="1">
        <f t="array" ref="AW68">$G$10+VLOOKUP($R68,武学奇术!$A:$ZZ,7,FALSE)+SUM(_xlfn.XLOOKUP($S68:$AL68,增益!$A:$A,增益!$G:$G,0))</f>
        <v>0.125</v>
      </c>
      <c r="AX68" s="24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3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3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3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3" cm="1">
        <f t="array" ref="BF68">$G$12+VLOOKUP($R68,武学奇术!$A:$ZZ,12,FALSE)+SUM(_xlfn.XLOOKUP($S68:$AL68,增益!$A:$A,增益!$L:$L,0))</f>
        <v>0</v>
      </c>
      <c r="BG68">
        <f t="shared" si="16"/>
        <v>618.2</v>
      </c>
      <c r="BH68">
        <f t="shared" si="17"/>
        <v>1567.4</v>
      </c>
      <c r="BI68" s="33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</v>
      </c>
      <c r="BJ68" s="33" cm="1">
        <f t="array" ref="BJ68">$G$13+VLOOKUP($R68,武学奇术!$A:$ZZ,14,FALSE)+SUM(_xlfn.XLOOKUP($S68:$AL68,增益!$A:$A,增益!$N:$N,0))</f>
        <v>0.25</v>
      </c>
      <c r="BK68">
        <f t="shared" si="18"/>
        <v>0</v>
      </c>
      <c r="BL68">
        <f t="shared" si="19"/>
        <v>0</v>
      </c>
      <c r="BM68" s="33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3" cm="1">
        <f t="array" ref="BN68">$G$14+VLOOKUP($R68,武学奇术!$A:$ZZ,16,FALSE)+SUM(_xlfn.XLOOKUP($S68:$AL68,增益!$A:$A,增益!$P:$P,0))</f>
        <v>0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4" cm="1">
        <f t="array" ref="BQ68">1+$B$13+VLOOKUP($R68,武学奇术!$A:$ZZ,18,FALSE)+SUM(_xlfn.XLOOKUP($S68:$AL68,增益!$A:$A,增益!$R:$R,0))</f>
        <v>1.96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0"/>
        <v>0.8865</v>
      </c>
      <c r="BU68" s="24">
        <f t="shared" si="21"/>
        <v>0.0222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0.06</v>
      </c>
      <c r="BX68" s="24" cm="1">
        <f t="array" ref="BX68">VLOOKUP($R68,武学奇术!$A:$ZZ,32,FALSE)+SUM(_xlfn.XLOOKUP($S68:$AL68,增益!$A:$A,增益!$X:$X,0))</f>
        <v>0.1</v>
      </c>
    </row>
    <row r="69" spans="1:76">
      <c r="A69" s="4" t="s">
        <v>197</v>
      </c>
      <c r="B69" s="4">
        <v>2</v>
      </c>
      <c r="K69" s="39">
        <f>$L69*VLOOKUP($R69,武学奇术!$A:$ZY,31,FALSE)</f>
        <v>618587.193583458</v>
      </c>
      <c r="L69" s="39">
        <f t="shared" si="11"/>
        <v>589130.660555674</v>
      </c>
      <c r="M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609127.455821164</v>
      </c>
      <c r="N69" s="39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462649.18066917</v>
      </c>
      <c r="O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310779.314194471</v>
      </c>
      <c r="P69" s="39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278855.531596965</v>
      </c>
      <c r="Q69" s="29">
        <v>10</v>
      </c>
      <c r="R69" s="40" t="s">
        <v>115</v>
      </c>
      <c r="S69" s="40" t="s">
        <v>91</v>
      </c>
      <c r="T69" s="40" t="s">
        <v>172</v>
      </c>
      <c r="U69" s="40" t="s">
        <v>106</v>
      </c>
      <c r="V69" s="40" t="s">
        <v>81</v>
      </c>
      <c r="W69" s="40" t="s">
        <v>100</v>
      </c>
      <c r="X69" s="40" t="s">
        <v>80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80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s="40" t="s">
        <v>80</v>
      </c>
      <c r="AM69" t="str">
        <f>VLOOKUP($R69,武学奇术!$A:$ZZ,25,FALSE)</f>
        <v>伞</v>
      </c>
      <c r="AN69" s="24">
        <f>VLOOKUP($R69,武学奇术!$A:$ZZ,26,FALSE)</f>
        <v>1.0217</v>
      </c>
      <c r="AO69" s="25">
        <f>VLOOKUP($R69,武学奇术!$A:$ZZ,27,FALSE)*(1+IF(OR($AM69=$F$4,$AM69=$F$5),$B$21,0))</f>
        <v>451.2</v>
      </c>
      <c r="AP69" s="24">
        <f>VLOOKUP($R69,武学奇术!$A:$ZZ,28,FALSE)</f>
        <v>1.5325</v>
      </c>
      <c r="AQ69" s="25">
        <f>VLOOKUP($R69,武学奇术!$A:$ZZ,29,FALSE)*(1+IF(OR($AM69=$F$4,$AM69=$F$5),$B$21,0))</f>
        <v>246.4</v>
      </c>
      <c r="AR69" s="24" cm="1">
        <f t="array" ref="AR69">$G$3+IFERROR(VLOOKUP($AM69,$F$4:$G$7,2,FALSE),0)+VLOOKUP($R69,武学奇术!$A:$ZZ,2,FALSE)+SUM(_xlfn.XLOOKUP($S69:$AL69,增益!$A:$A,增益!$B:$B,0))</f>
        <v>0.8243</v>
      </c>
      <c r="AS69" s="24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4126.3125</v>
      </c>
      <c r="AU69" cm="1">
        <f t="array" ref="AU69">$E$10*(1+$AS69)+VLOOKUP($R69,武学奇术!$A:$ZZ,4,FALSE)+SUM(_xlfn.XLOOKUP($S69:$AL69,增益!$A:$A,增益!$D:$D,0))-$I$2</f>
        <v>4126.3125</v>
      </c>
      <c r="AV69" s="33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0.3189</v>
      </c>
      <c r="AW69" s="33" cm="1">
        <f t="array" ref="AW69">$G$10+VLOOKUP($R69,武学奇术!$A:$ZZ,7,FALSE)+SUM(_xlfn.XLOOKUP($S69:$AL69,增益!$A:$A,增益!$G:$G,0))</f>
        <v>0.125</v>
      </c>
      <c r="AX69" s="24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3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3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3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3" cm="1">
        <f t="array" ref="BF69">$G$12+VLOOKUP($R69,武学奇术!$A:$ZZ,12,FALSE)+SUM(_xlfn.XLOOKUP($S69:$AL69,增益!$A:$A,增益!$L:$L,0))</f>
        <v>0</v>
      </c>
      <c r="BG69">
        <f t="shared" si="16"/>
        <v>618.2</v>
      </c>
      <c r="BH69">
        <f t="shared" si="17"/>
        <v>1567.4</v>
      </c>
      <c r="BI69" s="33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</v>
      </c>
      <c r="BJ69" s="33" cm="1">
        <f t="array" ref="BJ69">$G$13+VLOOKUP($R69,武学奇术!$A:$ZZ,14,FALSE)+SUM(_xlfn.XLOOKUP($S69:$AL69,增益!$A:$A,增益!$N:$N,0))</f>
        <v>0.25</v>
      </c>
      <c r="BK69">
        <f t="shared" si="18"/>
        <v>0</v>
      </c>
      <c r="BL69">
        <f t="shared" si="19"/>
        <v>0</v>
      </c>
      <c r="BM69" s="33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3" cm="1">
        <f t="array" ref="BN69">$G$14+VLOOKUP($R69,武学奇术!$A:$ZZ,16,FALSE)+SUM(_xlfn.XLOOKUP($S69:$AL69,增益!$A:$A,增益!$P:$P,0))</f>
        <v>0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4" cm="1">
        <f t="array" ref="BQ69">1+$B$13+VLOOKUP($R69,武学奇术!$A:$ZZ,18,FALSE)+SUM(_xlfn.XLOOKUP($S69:$AL69,增益!$A:$A,增益!$R:$R,0))</f>
        <v>1.96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0"/>
        <v>0.8865</v>
      </c>
      <c r="BU69" s="24">
        <f t="shared" si="21"/>
        <v>0.0222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0.06</v>
      </c>
      <c r="BX69" s="24" cm="1">
        <f t="array" ref="BX69">VLOOKUP($R69,武学奇术!$A:$ZZ,32,FALSE)+SUM(_xlfn.XLOOKUP($S69:$AL69,增益!$A:$A,增益!$X:$X,0))</f>
        <v>0.25</v>
      </c>
    </row>
    <row r="70" spans="1:76">
      <c r="A70" s="4" t="s">
        <v>99</v>
      </c>
      <c r="B70" s="4">
        <v>1.25</v>
      </c>
      <c r="K70" s="39">
        <f>$L70*VLOOKUP($R70,武学奇术!$A:$ZY,31,FALSE)</f>
        <v>95457.4516158097</v>
      </c>
      <c r="L70" s="39">
        <f t="shared" si="11"/>
        <v>90911.8586817235</v>
      </c>
      <c r="M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93997.8405172791</v>
      </c>
      <c r="N70" s="39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71392.1538340817</v>
      </c>
      <c r="O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47958.081896571</v>
      </c>
      <c r="P70" s="39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43033.0868790074</v>
      </c>
      <c r="Q70" s="29">
        <v>1</v>
      </c>
      <c r="R70" s="40" t="s">
        <v>99</v>
      </c>
      <c r="S70" s="40" t="s">
        <v>91</v>
      </c>
      <c r="T70" s="40" t="s">
        <v>172</v>
      </c>
      <c r="U70" s="40" t="s">
        <v>106</v>
      </c>
      <c r="V70" s="40" t="s">
        <v>81</v>
      </c>
      <c r="W70" s="40" t="s">
        <v>100</v>
      </c>
      <c r="X70" s="40" t="s">
        <v>80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183</v>
      </c>
      <c r="AE70" s="40" t="s">
        <v>80</v>
      </c>
      <c r="AF70" s="40" t="s">
        <v>80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s="40" t="s">
        <v>80</v>
      </c>
      <c r="AM70" t="str">
        <f>VLOOKUP($R70,武学奇术!$A:$ZZ,25,FALSE)</f>
        <v>伞</v>
      </c>
      <c r="AN70" s="24">
        <f>VLOOKUP($R70,武学奇术!$A:$ZZ,26,FALSE)</f>
        <v>2.3397</v>
      </c>
      <c r="AO70" s="25">
        <f>VLOOKUP($R70,武学奇术!$A:$ZZ,27,FALSE)*(1+IF(OR($AM70=$F$4,$AM70=$F$5),$B$21,0))</f>
        <v>1036.8</v>
      </c>
      <c r="AP70" s="24">
        <f>VLOOKUP($R70,武学奇术!$A:$ZZ,28,FALSE)</f>
        <v>3.5095</v>
      </c>
      <c r="AQ70" s="25">
        <f>VLOOKUP($R70,武学奇术!$A:$ZZ,29,FALSE)*(1+IF(OR($AM70=$F$4,$AM70=$F$5),$B$21,0))</f>
        <v>564.8</v>
      </c>
      <c r="AR70" s="24" cm="1">
        <f t="array" ref="AR70">$G$3+IFERROR(VLOOKUP($AM70,$F$4:$G$7,2,FALSE),0)+VLOOKUP($R70,武学奇术!$A:$ZZ,2,FALSE)+SUM(_xlfn.XLOOKUP($S70:$AL70,增益!$A:$A,增益!$B:$B,0))</f>
        <v>0.8443</v>
      </c>
      <c r="AS70" s="24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4126.3125</v>
      </c>
      <c r="AU70" cm="1">
        <f t="array" ref="AU70">$E$10*(1+$AS70)+VLOOKUP($R70,武学奇术!$A:$ZZ,4,FALSE)+SUM(_xlfn.XLOOKUP($S70:$AL70,增益!$A:$A,增益!$D:$D,0))-$I$2</f>
        <v>4126.3125</v>
      </c>
      <c r="AV70" s="33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0.3189</v>
      </c>
      <c r="AW70" s="33" cm="1">
        <f t="array" ref="AW70">$G$10+VLOOKUP($R70,武学奇术!$A:$ZZ,7,FALSE)+SUM(_xlfn.XLOOKUP($S70:$AL70,增益!$A:$A,增益!$G:$G,0))</f>
        <v>0.125</v>
      </c>
      <c r="AX70" s="24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3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3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3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3" cm="1">
        <f t="array" ref="BF70">$G$12+VLOOKUP($R70,武学奇术!$A:$ZZ,12,FALSE)+SUM(_xlfn.XLOOKUP($S70:$AL70,增益!$A:$A,增益!$L:$L,0))</f>
        <v>0</v>
      </c>
      <c r="BG70">
        <f t="shared" si="16"/>
        <v>618.2</v>
      </c>
      <c r="BH70">
        <f t="shared" si="17"/>
        <v>1567.4</v>
      </c>
      <c r="BI70" s="33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3" cm="1">
        <f t="array" ref="BJ70">$G$13+VLOOKUP($R70,武学奇术!$A:$ZZ,14,FALSE)+SUM(_xlfn.XLOOKUP($S70:$AL70,增益!$A:$A,增益!$N:$N,0))</f>
        <v>0.25</v>
      </c>
      <c r="BK70">
        <f t="shared" si="18"/>
        <v>0</v>
      </c>
      <c r="BL70">
        <f t="shared" si="19"/>
        <v>0</v>
      </c>
      <c r="BM70" s="33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3" cm="1">
        <f t="array" ref="BN70">$G$14+VLOOKUP($R70,武学奇术!$A:$ZZ,16,FALSE)+SUM(_xlfn.XLOOKUP($S70:$AL70,增益!$A:$A,增益!$P:$P,0))</f>
        <v>0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4" cm="1">
        <f t="array" ref="BQ70">1+$B$13+VLOOKUP($R70,武学奇术!$A:$ZZ,18,FALSE)+SUM(_xlfn.XLOOKUP($S70:$AL70,增益!$A:$A,增益!$R:$R,0))</f>
        <v>1.96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0"/>
        <v>0.8865</v>
      </c>
      <c r="BU70" s="24">
        <f t="shared" si="21"/>
        <v>0.0222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0.06</v>
      </c>
      <c r="BX70" s="24" cm="1">
        <f t="array" ref="BX70">VLOOKUP($R70,武学奇术!$A:$ZZ,32,FALSE)+SUM(_xlfn.XLOOKUP($S70:$AL70,增益!$A:$A,增益!$X:$X,0))</f>
        <v>0.1</v>
      </c>
    </row>
    <row r="71" spans="1:76">
      <c r="A71" s="4" t="s">
        <v>162</v>
      </c>
      <c r="B71" s="91">
        <v>1.3</v>
      </c>
      <c r="K71" s="39">
        <f>$L71*VLOOKUP($R71,武学奇术!$A:$ZY,31,FALSE)</f>
        <v>15220.1125969872</v>
      </c>
      <c r="L71" s="39">
        <f t="shared" si="11"/>
        <v>14495.345330464</v>
      </c>
      <c r="M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14709.6036814196</v>
      </c>
      <c r="N71" s="39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13704.1173691771</v>
      </c>
      <c r="O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9193.50230088723</v>
      </c>
      <c r="P71" s="39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8235.80655053217</v>
      </c>
      <c r="Q71" s="29">
        <v>1</v>
      </c>
      <c r="R71" s="40" t="s">
        <v>113</v>
      </c>
      <c r="S71" s="40" t="s">
        <v>91</v>
      </c>
      <c r="T71" s="40" t="s">
        <v>172</v>
      </c>
      <c r="U71" s="40" t="s">
        <v>80</v>
      </c>
      <c r="V71" s="40" t="s">
        <v>81</v>
      </c>
      <c r="W71" s="40" t="s">
        <v>80</v>
      </c>
      <c r="X71" s="40" t="s">
        <v>80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183</v>
      </c>
      <c r="AE71" s="40" t="s">
        <v>80</v>
      </c>
      <c r="AF71" s="40" t="s">
        <v>80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80</v>
      </c>
      <c r="AL71" s="40" t="s">
        <v>80</v>
      </c>
      <c r="AM71" t="str">
        <f>VLOOKUP($R71,武学奇术!$A:$ZZ,25,FALSE)</f>
        <v>伞</v>
      </c>
      <c r="AN71" s="24">
        <f>VLOOKUP($R71,武学奇术!$A:$ZZ,26,FALSE)</f>
        <v>0.54</v>
      </c>
      <c r="AO71" s="25">
        <f>VLOOKUP($R71,武学奇术!$A:$ZZ,27,FALSE)*(1+IF(OR($AM71=$F$4,$AM71=$F$5),$B$21,0))</f>
        <v>236.8</v>
      </c>
      <c r="AP71" s="24">
        <f>VLOOKUP($R71,武学奇术!$A:$ZZ,28,FALSE)</f>
        <v>0.81</v>
      </c>
      <c r="AQ71" s="25">
        <f>VLOOKUP($R71,武学奇术!$A:$ZZ,29,FALSE)*(1+IF(OR($AM71=$F$4,$AM71=$F$5),$B$21,0))</f>
        <v>130.4</v>
      </c>
      <c r="AR71" s="24" cm="1">
        <f t="array" ref="AR71">$G$3+IFERROR(VLOOKUP($AM71,$F$4:$G$7,2,FALSE),0)+VLOOKUP($R71,武学奇术!$A:$ZZ,2,FALSE)+SUM(_xlfn.XLOOKUP($S71:$AL71,增益!$A:$A,增益!$B:$B,0))</f>
        <v>0.2943</v>
      </c>
      <c r="AS71" s="24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4126.3125</v>
      </c>
      <c r="AU71" cm="1">
        <f t="array" ref="AU71">$E$10*(1+$AS71)+VLOOKUP($R71,武学奇术!$A:$ZZ,4,FALSE)+SUM(_xlfn.XLOOKUP($S71:$AL71,增益!$A:$A,增益!$D:$D,0))-$I$2</f>
        <v>4126.3125</v>
      </c>
      <c r="AV71" s="33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0.2939</v>
      </c>
      <c r="AW71" s="33" cm="1">
        <f t="array" ref="AW71">$G$10+VLOOKUP($R71,武学奇术!$A:$ZZ,7,FALSE)+SUM(_xlfn.XLOOKUP($S71:$AL71,增益!$A:$A,增益!$G:$G,0))</f>
        <v>0.125</v>
      </c>
      <c r="AX71" s="24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3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3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3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3" cm="1">
        <f t="array" ref="BF71">$G$12+VLOOKUP($R71,武学奇术!$A:$ZZ,12,FALSE)+SUM(_xlfn.XLOOKUP($S71:$AL71,增益!$A:$A,增益!$L:$L,0))</f>
        <v>0</v>
      </c>
      <c r="BG71">
        <f t="shared" si="16"/>
        <v>618.2</v>
      </c>
      <c r="BH71">
        <f t="shared" si="17"/>
        <v>1567.4</v>
      </c>
      <c r="BI71" s="33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3" cm="1">
        <f t="array" ref="BJ71">$G$13+VLOOKUP($R71,武学奇术!$A:$ZZ,14,FALSE)+SUM(_xlfn.XLOOKUP($S71:$AL71,增益!$A:$A,增益!$N:$N,0))</f>
        <v>0.25</v>
      </c>
      <c r="BK71">
        <f t="shared" si="18"/>
        <v>0</v>
      </c>
      <c r="BL71">
        <f t="shared" si="19"/>
        <v>0</v>
      </c>
      <c r="BM71" s="33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3" cm="1">
        <f t="array" ref="BN71">$G$14+VLOOKUP($R71,武学奇术!$A:$ZZ,16,FALSE)+SUM(_xlfn.XLOOKUP($S71:$AL71,增益!$A:$A,增益!$P:$P,0))</f>
        <v>0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4" cm="1">
        <f t="array" ref="BQ71">1+$B$13+VLOOKUP($R71,武学奇术!$A:$ZZ,18,FALSE)+SUM(_xlfn.XLOOKUP($S71:$AL71,增益!$A:$A,增益!$R:$R,0))</f>
        <v>1.6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0"/>
        <v>0.8865</v>
      </c>
      <c r="BU71" s="24">
        <f t="shared" si="21"/>
        <v>0.0222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0.06</v>
      </c>
      <c r="BX71" s="24" cm="1">
        <f t="array" ref="BX71">VLOOKUP($R71,武学奇术!$A:$ZZ,32,FALSE)+SUM(_xlfn.XLOOKUP($S71:$AL71,增益!$A:$A,增益!$X:$X,0))</f>
        <v>0</v>
      </c>
    </row>
    <row r="72" spans="1:76">
      <c r="A72" s="4" t="s">
        <v>113</v>
      </c>
      <c r="B72" s="91">
        <v>1.16</v>
      </c>
      <c r="K72" s="39">
        <f>$L72*VLOOKUP($R72,武学奇术!$A:$ZY,31,FALSE)</f>
        <v>168613.448107439</v>
      </c>
      <c r="L72" s="39">
        <f t="shared" si="11"/>
        <v>160584.236292799</v>
      </c>
      <c r="M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166034.928831842</v>
      </c>
      <c r="N72" s="39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126108.129017038</v>
      </c>
      <c r="O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84711.6983835926</v>
      </c>
      <c r="P72" s="39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76009.9678656757</v>
      </c>
      <c r="Q72" s="29">
        <v>3.5</v>
      </c>
      <c r="R72" s="40" t="s">
        <v>115</v>
      </c>
      <c r="S72" s="40" t="s">
        <v>91</v>
      </c>
      <c r="T72" s="40" t="s">
        <v>172</v>
      </c>
      <c r="U72" s="40" t="s">
        <v>106</v>
      </c>
      <c r="V72" s="40" t="s">
        <v>81</v>
      </c>
      <c r="W72" s="40" t="s">
        <v>80</v>
      </c>
      <c r="X72" s="40" t="s">
        <v>80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183</v>
      </c>
      <c r="AE72" s="40" t="s">
        <v>80</v>
      </c>
      <c r="AF72" s="40" t="s">
        <v>80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80</v>
      </c>
      <c r="AL72" s="40" t="s">
        <v>80</v>
      </c>
      <c r="AM72" t="str">
        <f>VLOOKUP($R72,武学奇术!$A:$ZZ,25,FALSE)</f>
        <v>伞</v>
      </c>
      <c r="AN72" s="24">
        <f>VLOOKUP($R72,武学奇术!$A:$ZZ,26,FALSE)</f>
        <v>1.0217</v>
      </c>
      <c r="AO72" s="25">
        <f>VLOOKUP($R72,武学奇术!$A:$ZZ,27,FALSE)*(1+IF(OR($AM72=$F$4,$AM72=$F$5),$B$21,0))</f>
        <v>451.2</v>
      </c>
      <c r="AP72" s="24">
        <f>VLOOKUP($R72,武学奇术!$A:$ZZ,28,FALSE)</f>
        <v>1.5325</v>
      </c>
      <c r="AQ72" s="25">
        <f>VLOOKUP($R72,武学奇术!$A:$ZZ,29,FALSE)*(1+IF(OR($AM72=$F$4,$AM72=$F$5),$B$21,0))</f>
        <v>246.4</v>
      </c>
      <c r="AR72" s="24" cm="1">
        <f t="array" ref="AR72">$G$3+IFERROR(VLOOKUP($AM72,$F$4:$G$7,2,FALSE),0)+VLOOKUP($R72,武学奇术!$A:$ZZ,2,FALSE)+SUM(_xlfn.XLOOKUP($S72:$AL72,增益!$A:$A,增益!$B:$B,0))</f>
        <v>0.5443</v>
      </c>
      <c r="AS72" s="24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4126.3125</v>
      </c>
      <c r="AU72" cm="1">
        <f t="array" ref="AU72">$E$10*(1+$AS72)+VLOOKUP($R72,武学奇术!$A:$ZZ,4,FALSE)+SUM(_xlfn.XLOOKUP($S72:$AL72,增益!$A:$A,增益!$D:$D,0))-$I$2</f>
        <v>4126.3125</v>
      </c>
      <c r="AV72" s="33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0.3189</v>
      </c>
      <c r="AW72" s="33" cm="1">
        <f t="array" ref="AW72">$G$10+VLOOKUP($R72,武学奇术!$A:$ZZ,7,FALSE)+SUM(_xlfn.XLOOKUP($S72:$AL72,增益!$A:$A,增益!$G:$G,0))</f>
        <v>0.125</v>
      </c>
      <c r="AX72" s="24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3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3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3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3" cm="1">
        <f t="array" ref="BF72">$G$12+VLOOKUP($R72,武学奇术!$A:$ZZ,12,FALSE)+SUM(_xlfn.XLOOKUP($S72:$AL72,增益!$A:$A,增益!$L:$L,0))</f>
        <v>0</v>
      </c>
      <c r="BG72">
        <f t="shared" si="16"/>
        <v>618.2</v>
      </c>
      <c r="BH72">
        <f t="shared" si="17"/>
        <v>1567.4</v>
      </c>
      <c r="BI72" s="33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3" cm="1">
        <f t="array" ref="BJ72">$G$13+VLOOKUP($R72,武学奇术!$A:$ZZ,14,FALSE)+SUM(_xlfn.XLOOKUP($S72:$AL72,增益!$A:$A,增益!$N:$N,0))</f>
        <v>0.25</v>
      </c>
      <c r="BK72">
        <f t="shared" si="18"/>
        <v>0</v>
      </c>
      <c r="BL72">
        <f t="shared" si="19"/>
        <v>0</v>
      </c>
      <c r="BM72" s="33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3" cm="1">
        <f t="array" ref="BN72">$G$14+VLOOKUP($R72,武学奇术!$A:$ZZ,16,FALSE)+SUM(_xlfn.XLOOKUP($S72:$AL72,增益!$A:$A,增益!$P:$P,0))</f>
        <v>0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4" cm="1">
        <f t="array" ref="BQ72">1+$B$13+VLOOKUP($R72,武学奇术!$A:$ZZ,18,FALSE)+SUM(_xlfn.XLOOKUP($S72:$AL72,增益!$A:$A,增益!$R:$R,0))</f>
        <v>1.96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0"/>
        <v>0.8865</v>
      </c>
      <c r="BU72" s="24">
        <f t="shared" si="21"/>
        <v>0.0222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0.06</v>
      </c>
      <c r="BX72" s="24" cm="1">
        <f t="array" ref="BX72">VLOOKUP($R72,武学奇术!$A:$ZZ,32,FALSE)+SUM(_xlfn.XLOOKUP($S72:$AL72,增益!$A:$A,增益!$X:$X,0))</f>
        <v>0.15</v>
      </c>
    </row>
    <row r="73" spans="1:76">
      <c r="A73" s="4" t="s">
        <v>167</v>
      </c>
      <c r="B73" s="4">
        <v>0.1</v>
      </c>
      <c r="K73" s="39">
        <f>$L73*VLOOKUP($R73,武学奇术!$A:$ZY,31,FALSE)</f>
        <v>156342.208124482</v>
      </c>
      <c r="L73" s="39">
        <f t="shared" si="11"/>
        <v>148897.341070935</v>
      </c>
      <c r="M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153951.346649533</v>
      </c>
      <c r="N73" s="39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116930.313532334</v>
      </c>
      <c r="O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78546.6054334352</v>
      </c>
      <c r="P73" s="39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70478.163805882</v>
      </c>
      <c r="Q73" s="29">
        <v>2.5</v>
      </c>
      <c r="R73" s="40" t="s">
        <v>115</v>
      </c>
      <c r="S73" s="40" t="s">
        <v>91</v>
      </c>
      <c r="T73" s="40" t="s">
        <v>172</v>
      </c>
      <c r="U73" s="40" t="s">
        <v>106</v>
      </c>
      <c r="V73" s="40" t="s">
        <v>81</v>
      </c>
      <c r="W73" s="40" t="s">
        <v>100</v>
      </c>
      <c r="X73" s="40" t="s">
        <v>80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183</v>
      </c>
      <c r="AE73" s="40" t="s">
        <v>80</v>
      </c>
      <c r="AF73" s="40" t="s">
        <v>80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80</v>
      </c>
      <c r="AL73" s="40" t="s">
        <v>80</v>
      </c>
      <c r="AM73" t="str">
        <f>VLOOKUP($R73,武学奇术!$A:$ZZ,25,FALSE)</f>
        <v>伞</v>
      </c>
      <c r="AN73" s="24">
        <f>VLOOKUP($R73,武学奇术!$A:$ZZ,26,FALSE)</f>
        <v>1.0217</v>
      </c>
      <c r="AO73" s="25">
        <f>VLOOKUP($R73,武学奇术!$A:$ZZ,27,FALSE)*(1+IF(OR($AM73=$F$4,$AM73=$F$5),$B$21,0))</f>
        <v>451.2</v>
      </c>
      <c r="AP73" s="24">
        <f>VLOOKUP($R73,武学奇术!$A:$ZZ,28,FALSE)</f>
        <v>1.5325</v>
      </c>
      <c r="AQ73" s="25">
        <f>VLOOKUP($R73,武学奇术!$A:$ZZ,29,FALSE)*(1+IF(OR($AM73=$F$4,$AM73=$F$5),$B$21,0))</f>
        <v>246.4</v>
      </c>
      <c r="AR73" s="24" cm="1">
        <f t="array" ref="AR73">$G$3+IFERROR(VLOOKUP($AM73,$F$4:$G$7,2,FALSE),0)+VLOOKUP($R73,武学奇术!$A:$ZZ,2,FALSE)+SUM(_xlfn.XLOOKUP($S73:$AL73,增益!$A:$A,增益!$B:$B,0))</f>
        <v>0.8443</v>
      </c>
      <c r="AS73" s="24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4126.3125</v>
      </c>
      <c r="AU73" cm="1">
        <f t="array" ref="AU73">$E$10*(1+$AS73)+VLOOKUP($R73,武学奇术!$A:$ZZ,4,FALSE)+SUM(_xlfn.XLOOKUP($S73:$AL73,增益!$A:$A,增益!$D:$D,0))-$I$2</f>
        <v>4126.3125</v>
      </c>
      <c r="AV73" s="33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0.3189</v>
      </c>
      <c r="AW73" s="33" cm="1">
        <f t="array" ref="AW73">$G$10+VLOOKUP($R73,武学奇术!$A:$ZZ,7,FALSE)+SUM(_xlfn.XLOOKUP($S73:$AL73,增益!$A:$A,增益!$G:$G,0))</f>
        <v>0.125</v>
      </c>
      <c r="AX73" s="24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3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3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3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3" cm="1">
        <f t="array" ref="BF73">$G$12+VLOOKUP($R73,武学奇术!$A:$ZZ,12,FALSE)+SUM(_xlfn.XLOOKUP($S73:$AL73,增益!$A:$A,增益!$L:$L,0))</f>
        <v>0</v>
      </c>
      <c r="BG73">
        <f t="shared" si="16"/>
        <v>618.2</v>
      </c>
      <c r="BH73">
        <f t="shared" si="17"/>
        <v>1567.4</v>
      </c>
      <c r="BI73" s="33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3" cm="1">
        <f t="array" ref="BJ73">$G$13+VLOOKUP($R73,武学奇术!$A:$ZZ,14,FALSE)+SUM(_xlfn.XLOOKUP($S73:$AL73,增益!$A:$A,增益!$N:$N,0))</f>
        <v>0.25</v>
      </c>
      <c r="BK73">
        <f t="shared" si="18"/>
        <v>0</v>
      </c>
      <c r="BL73">
        <f t="shared" si="19"/>
        <v>0</v>
      </c>
      <c r="BM73" s="33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3" cm="1">
        <f t="array" ref="BN73">$G$14+VLOOKUP($R73,武学奇术!$A:$ZZ,16,FALSE)+SUM(_xlfn.XLOOKUP($S73:$AL73,增益!$A:$A,增益!$P:$P,0))</f>
        <v>0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4" cm="1">
        <f t="array" ref="BQ73">1+$B$13+VLOOKUP($R73,武学奇术!$A:$ZZ,18,FALSE)+SUM(_xlfn.XLOOKUP($S73:$AL73,增益!$A:$A,增益!$R:$R,0))</f>
        <v>1.96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0"/>
        <v>0.8865</v>
      </c>
      <c r="BU73" s="24">
        <f t="shared" si="21"/>
        <v>0.0222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0.06</v>
      </c>
      <c r="BX73" s="24" cm="1">
        <f t="array" ref="BX73">VLOOKUP($R73,武学奇术!$A:$ZZ,32,FALSE)+SUM(_xlfn.XLOOKUP($S73:$AL73,增益!$A:$A,增益!$X:$X,0))</f>
        <v>0.25</v>
      </c>
    </row>
    <row r="74" spans="1:76">
      <c r="A74" s="4" t="s">
        <v>177</v>
      </c>
      <c r="B74" s="4">
        <v>1</v>
      </c>
      <c r="K74" s="39">
        <f>$L74*VLOOKUP($R74,武学奇术!$A:$ZY,31,FALSE)</f>
        <v>16622.6609475515</v>
      </c>
      <c r="L74" s="39">
        <f t="shared" si="11"/>
        <v>15831.1056643348</v>
      </c>
      <c r="M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16065.6870585314</v>
      </c>
      <c r="N74" s="39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14961.2560680128</v>
      </c>
      <c r="O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10041.0544115821</v>
      </c>
      <c r="P74" s="39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8999.69692093254</v>
      </c>
      <c r="Q74" s="29">
        <v>1</v>
      </c>
      <c r="R74" s="40" t="s">
        <v>155</v>
      </c>
      <c r="S74" s="40" t="s">
        <v>91</v>
      </c>
      <c r="T74" s="40" t="s">
        <v>172</v>
      </c>
      <c r="U74" s="40" t="s">
        <v>80</v>
      </c>
      <c r="V74" s="40" t="s">
        <v>81</v>
      </c>
      <c r="W74" s="40" t="s">
        <v>80</v>
      </c>
      <c r="X74" s="40" t="s">
        <v>80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183</v>
      </c>
      <c r="AE74" s="40" t="s">
        <v>80</v>
      </c>
      <c r="AF74" s="40" t="s">
        <v>80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80</v>
      </c>
      <c r="AL74" s="40" t="s">
        <v>80</v>
      </c>
      <c r="AM74" t="str">
        <f>VLOOKUP($R74,武学奇术!$A:$ZZ,25,FALSE)</f>
        <v>扇</v>
      </c>
      <c r="AN74" s="24">
        <f>VLOOKUP($R74,武学奇术!$A:$ZZ,26,FALSE)</f>
        <v>0.9271</v>
      </c>
      <c r="AO74" s="25">
        <f>VLOOKUP($R74,武学奇术!$A:$ZZ,27,FALSE)*(1+IF(OR($AM74=$F$4,$AM74=$F$5),$B$21,0))</f>
        <v>411.2</v>
      </c>
      <c r="AP74" s="24">
        <f>VLOOKUP($R74,武学奇术!$A:$ZZ,28,FALSE)</f>
        <v>1.3907</v>
      </c>
      <c r="AQ74" s="25">
        <f>VLOOKUP($R74,武学奇术!$A:$ZZ,29,FALSE)*(1+IF(OR($AM74=$F$4,$AM74=$F$5),$B$21,0))</f>
        <v>224</v>
      </c>
      <c r="AR74" s="24" cm="1">
        <f t="array" ref="AR74">$G$3+IFERROR(VLOOKUP($AM74,$F$4:$G$7,2,FALSE),0)+VLOOKUP($R74,武学奇术!$A:$ZZ,2,FALSE)+SUM(_xlfn.XLOOKUP($S74:$AL74,增益!$A:$A,增益!$B:$B,0))</f>
        <v>0.2943</v>
      </c>
      <c r="AS74" s="24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4126.3125</v>
      </c>
      <c r="AU74" cm="1">
        <f t="array" ref="AU74">$E$10*(1+$AS74)+VLOOKUP($R74,武学奇术!$A:$ZZ,4,FALSE)+SUM(_xlfn.XLOOKUP($S74:$AL74,增益!$A:$A,增益!$D:$D,0))-$I$2</f>
        <v>4126.3125</v>
      </c>
      <c r="AV74" s="33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0.1939</v>
      </c>
      <c r="AW74" s="33" cm="1">
        <f t="array" ref="AW74">$G$10+VLOOKUP($R74,武学奇术!$A:$ZZ,7,FALSE)+SUM(_xlfn.XLOOKUP($S74:$AL74,增益!$A:$A,增益!$G:$G,0))</f>
        <v>0.025</v>
      </c>
      <c r="AX74" s="24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3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3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3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3" cm="1">
        <f t="array" ref="BF74">$G$12+VLOOKUP($R74,武学奇术!$A:$ZZ,12,FALSE)+SUM(_xlfn.XLOOKUP($S74:$AL74,增益!$A:$A,增益!$L:$L,0))</f>
        <v>0</v>
      </c>
      <c r="BG74">
        <f t="shared" si="16"/>
        <v>618.2</v>
      </c>
      <c r="BH74">
        <f t="shared" si="17"/>
        <v>1567.4</v>
      </c>
      <c r="BI74" s="33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3" cm="1">
        <f t="array" ref="BJ74">$G$13+VLOOKUP($R74,武学奇术!$A:$ZZ,14,FALSE)+SUM(_xlfn.XLOOKUP($S74:$AL74,增益!$A:$A,增益!$N:$N,0))</f>
        <v>0.15</v>
      </c>
      <c r="BK74">
        <f t="shared" si="18"/>
        <v>0</v>
      </c>
      <c r="BL74">
        <f t="shared" si="19"/>
        <v>0</v>
      </c>
      <c r="BM74" s="33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3" cm="1">
        <f t="array" ref="BN74">$G$14+VLOOKUP($R74,武学奇术!$A:$ZZ,16,FALSE)+SUM(_xlfn.XLOOKUP($S74:$AL74,增益!$A:$A,增益!$P:$P,0))</f>
        <v>0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4" cm="1">
        <f t="array" ref="BQ74">1+$B$13+VLOOKUP($R74,武学奇术!$A:$ZZ,18,FALSE)+SUM(_xlfn.XLOOKUP($S74:$AL74,增益!$A:$A,增益!$R:$R,0))</f>
        <v>1.6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0"/>
        <v>0.8865</v>
      </c>
      <c r="BU74" s="24">
        <f t="shared" si="21"/>
        <v>0.0222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0.06</v>
      </c>
      <c r="BX74" s="24" cm="1">
        <f t="array" ref="BX74">VLOOKUP($R74,武学奇术!$A:$ZZ,32,FALSE)+SUM(_xlfn.XLOOKUP($S74:$AL74,增益!$A:$A,增益!$X:$X,0))</f>
        <v>0</v>
      </c>
    </row>
    <row r="75" spans="1:76">
      <c r="A75" s="4" t="s">
        <v>169</v>
      </c>
      <c r="B75" s="4">
        <v>1.4</v>
      </c>
      <c r="K75" s="39">
        <f>$L75*VLOOKUP($R75,武学奇术!$A:$ZY,31,FALSE)</f>
        <v>38179.4822533553</v>
      </c>
      <c r="L75" s="39">
        <f t="shared" si="11"/>
        <v>36361.4116698622</v>
      </c>
      <c r="M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36913.9029997248</v>
      </c>
      <c r="N75" s="39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34228.4365441943</v>
      </c>
      <c r="O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23071.189374828</v>
      </c>
      <c r="P75" s="39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20787.9813095121</v>
      </c>
      <c r="Q75" s="29">
        <v>1</v>
      </c>
      <c r="R75" s="40" t="s">
        <v>108</v>
      </c>
      <c r="S75" s="40" t="s">
        <v>91</v>
      </c>
      <c r="T75" s="40" t="s">
        <v>172</v>
      </c>
      <c r="U75" s="40" t="s">
        <v>80</v>
      </c>
      <c r="V75" s="40" t="s">
        <v>166</v>
      </c>
      <c r="W75" s="40" t="s">
        <v>80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183</v>
      </c>
      <c r="AE75" s="40" t="s">
        <v>80</v>
      </c>
      <c r="AF75" s="40" t="s">
        <v>80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80</v>
      </c>
      <c r="AL75" s="40" t="s">
        <v>80</v>
      </c>
      <c r="AM75" t="str">
        <f>VLOOKUP($R75,武学奇术!$A:$ZZ,25,FALSE)</f>
        <v>伞</v>
      </c>
      <c r="AN75" s="24">
        <f>VLOOKUP($R75,武学奇术!$A:$ZZ,26,FALSE)</f>
        <v>1.7001</v>
      </c>
      <c r="AO75" s="25">
        <f>VLOOKUP($R75,武学奇术!$A:$ZZ,27,FALSE)*(1+IF(OR($AM75=$F$4,$AM75=$F$5),$B$21,0))</f>
        <v>753.6</v>
      </c>
      <c r="AP75" s="24">
        <f>VLOOKUP($R75,武学奇术!$A:$ZZ,28,FALSE)</f>
        <v>2.5502</v>
      </c>
      <c r="AQ75" s="25">
        <f>VLOOKUP($R75,武学奇术!$A:$ZZ,29,FALSE)*(1+IF(OR($AM75=$F$4,$AM75=$F$5),$B$21,0))</f>
        <v>409.6</v>
      </c>
      <c r="AR75" s="24" cm="1">
        <f t="array" ref="AR75">$G$3+IFERROR(VLOOKUP($AM75,$F$4:$G$7,2,FALSE),0)+VLOOKUP($R75,武学奇术!$A:$ZZ,2,FALSE)+SUM(_xlfn.XLOOKUP($S75:$AL75,增益!$A:$A,增益!$B:$B,0))</f>
        <v>0.2943</v>
      </c>
      <c r="AS75" s="24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4462.125</v>
      </c>
      <c r="AU75" cm="1">
        <f t="array" ref="AU75">$E$10*(1+$AS75)+VLOOKUP($R75,武学奇术!$A:$ZZ,4,FALSE)+SUM(_xlfn.XLOOKUP($S75:$AL75,增益!$A:$A,增益!$D:$D,0))-$I$2</f>
        <v>4462.125</v>
      </c>
      <c r="AV75" s="33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0.2939</v>
      </c>
      <c r="AW75" s="33" cm="1">
        <f t="array" ref="AW75">$G$10+VLOOKUP($R75,武学奇术!$A:$ZZ,7,FALSE)+SUM(_xlfn.XLOOKUP($S75:$AL75,增益!$A:$A,增益!$G:$G,0))</f>
        <v>0.125</v>
      </c>
      <c r="AX75" s="24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3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3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3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3" cm="1">
        <f t="array" ref="BF75">$G$12+VLOOKUP($R75,武学奇术!$A:$ZZ,12,FALSE)+SUM(_xlfn.XLOOKUP($S75:$AL75,增益!$A:$A,增益!$L:$L,0))</f>
        <v>0</v>
      </c>
      <c r="BG75">
        <f t="shared" si="16"/>
        <v>618.2</v>
      </c>
      <c r="BH75">
        <f t="shared" si="17"/>
        <v>1567.4</v>
      </c>
      <c r="BI75" s="33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</v>
      </c>
      <c r="BJ75" s="33" cm="1">
        <f t="array" ref="BJ75">$G$13+VLOOKUP($R75,武学奇术!$A:$ZZ,14,FALSE)+SUM(_xlfn.XLOOKUP($S75:$AL75,增益!$A:$A,增益!$N:$N,0))</f>
        <v>0.25</v>
      </c>
      <c r="BK75">
        <f t="shared" si="18"/>
        <v>0</v>
      </c>
      <c r="BL75">
        <f t="shared" si="19"/>
        <v>0</v>
      </c>
      <c r="BM75" s="33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3" cm="1">
        <f t="array" ref="BN75">$G$14+VLOOKUP($R75,武学奇术!$A:$ZZ,16,FALSE)+SUM(_xlfn.XLOOKUP($S75:$AL75,增益!$A:$A,增益!$P:$P,0))</f>
        <v>0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4" cm="1">
        <f t="array" ref="BQ75">1+$B$13+VLOOKUP($R75,武学奇术!$A:$ZZ,18,FALSE)+SUM(_xlfn.XLOOKUP($S75:$AL75,增益!$A:$A,增益!$R:$R,0))</f>
        <v>1.6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0"/>
        <v>0.8865</v>
      </c>
      <c r="BU75" s="24">
        <f t="shared" si="21"/>
        <v>0.0222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0.06</v>
      </c>
      <c r="BX75" s="24" cm="1">
        <f t="array" ref="BX75">VLOOKUP($R75,武学奇术!$A:$ZZ,32,FALSE)+SUM(_xlfn.XLOOKUP($S75:$AL75,增益!$A:$A,增益!$X:$X,0))</f>
        <v>0</v>
      </c>
    </row>
    <row r="76" spans="1:76">
      <c r="A76" t="s">
        <v>170</v>
      </c>
      <c r="B76">
        <v>2.5</v>
      </c>
      <c r="K76" s="39">
        <f>$L76*VLOOKUP($R76,武学奇术!$A:$ZY,31,FALSE)</f>
        <v>100414.121620148</v>
      </c>
      <c r="L76" s="39">
        <f t="shared" si="11"/>
        <v>95632.4967810938</v>
      </c>
      <c r="M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98911.5289098483</v>
      </c>
      <c r="N76" s="39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74776.5820636574</v>
      </c>
      <c r="O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50465.0657703308</v>
      </c>
      <c r="P76" s="39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45540.0707527672</v>
      </c>
      <c r="Q76" s="29">
        <v>1</v>
      </c>
      <c r="R76" s="40" t="s">
        <v>99</v>
      </c>
      <c r="S76" s="40" t="s">
        <v>91</v>
      </c>
      <c r="T76" s="40" t="s">
        <v>172</v>
      </c>
      <c r="U76" s="40" t="s">
        <v>106</v>
      </c>
      <c r="V76" s="40" t="s">
        <v>166</v>
      </c>
      <c r="W76" s="40" t="s">
        <v>100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183</v>
      </c>
      <c r="AE76" s="40" t="s">
        <v>80</v>
      </c>
      <c r="AF76" s="40" t="s">
        <v>80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80</v>
      </c>
      <c r="AL76" s="40" t="s">
        <v>80</v>
      </c>
      <c r="AM76" t="str">
        <f>VLOOKUP($R76,武学奇术!$A:$ZZ,25,FALSE)</f>
        <v>伞</v>
      </c>
      <c r="AN76" s="24">
        <f>VLOOKUP($R76,武学奇术!$A:$ZZ,26,FALSE)</f>
        <v>2.3397</v>
      </c>
      <c r="AO76" s="25">
        <f>VLOOKUP($R76,武学奇术!$A:$ZZ,27,FALSE)*(1+IF(OR($AM76=$F$4,$AM76=$F$5),$B$21,0))</f>
        <v>1036.8</v>
      </c>
      <c r="AP76" s="24">
        <f>VLOOKUP($R76,武学奇术!$A:$ZZ,28,FALSE)</f>
        <v>3.5095</v>
      </c>
      <c r="AQ76" s="25">
        <f>VLOOKUP($R76,武学奇术!$A:$ZZ,29,FALSE)*(1+IF(OR($AM76=$F$4,$AM76=$F$5),$B$21,0))</f>
        <v>564.8</v>
      </c>
      <c r="AR76" s="24" cm="1">
        <f t="array" ref="AR76">$G$3+IFERROR(VLOOKUP($AM76,$F$4:$G$7,2,FALSE),0)+VLOOKUP($R76,武学奇术!$A:$ZZ,2,FALSE)+SUM(_xlfn.XLOOKUP($S76:$AL76,增益!$A:$A,增益!$B:$B,0))</f>
        <v>0.8443</v>
      </c>
      <c r="AS76" s="24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4462.125</v>
      </c>
      <c r="AU76" cm="1">
        <f t="array" ref="AU76">$E$10*(1+$AS76)+VLOOKUP($R76,武学奇术!$A:$ZZ,4,FALSE)+SUM(_xlfn.XLOOKUP($S76:$AL76,增益!$A:$A,增益!$D:$D,0))-$I$2</f>
        <v>4462.125</v>
      </c>
      <c r="AV76" s="33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0.3189</v>
      </c>
      <c r="AW76" s="33" cm="1">
        <f t="array" ref="AW76">$G$10+VLOOKUP($R76,武学奇术!$A:$ZZ,7,FALSE)+SUM(_xlfn.XLOOKUP($S76:$AL76,增益!$A:$A,增益!$G:$G,0))</f>
        <v>0.125</v>
      </c>
      <c r="AX76" s="24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3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3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3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3" cm="1">
        <f t="array" ref="BF76">$G$12+VLOOKUP($R76,武学奇术!$A:$ZZ,12,FALSE)+SUM(_xlfn.XLOOKUP($S76:$AL76,增益!$A:$A,增益!$L:$L,0))</f>
        <v>0</v>
      </c>
      <c r="BG76">
        <f t="shared" si="16"/>
        <v>618.2</v>
      </c>
      <c r="BH76">
        <f t="shared" si="17"/>
        <v>1567.4</v>
      </c>
      <c r="BI76" s="33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</v>
      </c>
      <c r="BJ76" s="33" cm="1">
        <f t="array" ref="BJ76">$G$13+VLOOKUP($R76,武学奇术!$A:$ZZ,14,FALSE)+SUM(_xlfn.XLOOKUP($S76:$AL76,增益!$A:$A,增益!$N:$N,0))</f>
        <v>0.25</v>
      </c>
      <c r="BK76">
        <f t="shared" si="18"/>
        <v>0</v>
      </c>
      <c r="BL76">
        <f t="shared" si="19"/>
        <v>0</v>
      </c>
      <c r="BM76" s="33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3" cm="1">
        <f t="array" ref="BN76">$G$14+VLOOKUP($R76,武学奇术!$A:$ZZ,16,FALSE)+SUM(_xlfn.XLOOKUP($S76:$AL76,增益!$A:$A,增益!$P:$P,0))</f>
        <v>0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4" cm="1">
        <f t="array" ref="BQ76">1+$B$13+VLOOKUP($R76,武学奇术!$A:$ZZ,18,FALSE)+SUM(_xlfn.XLOOKUP($S76:$AL76,增益!$A:$A,增益!$R:$R,0))</f>
        <v>1.96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0"/>
        <v>0.8865</v>
      </c>
      <c r="BU76" s="24">
        <f t="shared" si="21"/>
        <v>0.0222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0.06</v>
      </c>
      <c r="BX76" s="24" cm="1">
        <f t="array" ref="BX76">VLOOKUP($R76,武学奇术!$A:$ZZ,32,FALSE)+SUM(_xlfn.XLOOKUP($S76:$AL76,增益!$A:$A,增益!$X:$X,0))</f>
        <v>0.1</v>
      </c>
    </row>
    <row r="77" spans="1:76">
      <c r="A77" s="4" t="s">
        <v>167</v>
      </c>
      <c r="B77" s="4">
        <v>0.1</v>
      </c>
      <c r="K77" s="39">
        <f>$L77*VLOOKUP($R77,武学奇术!$A:$ZY,31,FALSE)</f>
        <v>16005.4237122384</v>
      </c>
      <c r="L77" s="39">
        <f t="shared" si="11"/>
        <v>15243.2606783223</v>
      </c>
      <c r="M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15474.8054146834</v>
      </c>
      <c r="N77" s="39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14349.7563316184</v>
      </c>
      <c r="O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9671.75338417711</v>
      </c>
      <c r="P77" s="39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8714.05763382205</v>
      </c>
      <c r="Q77" s="29">
        <v>1</v>
      </c>
      <c r="R77" s="40" t="s">
        <v>113</v>
      </c>
      <c r="S77" s="40" t="s">
        <v>91</v>
      </c>
      <c r="T77" s="40" t="s">
        <v>172</v>
      </c>
      <c r="U77" s="40" t="s">
        <v>80</v>
      </c>
      <c r="V77" s="40" t="s">
        <v>166</v>
      </c>
      <c r="W77" s="40" t="s">
        <v>80</v>
      </c>
      <c r="X77" s="40" t="s">
        <v>80</v>
      </c>
      <c r="Y77" s="40" t="s">
        <v>80</v>
      </c>
      <c r="Z77" s="40" t="s">
        <v>80</v>
      </c>
      <c r="AA77" s="40" t="s">
        <v>80</v>
      </c>
      <c r="AB77" s="40" t="s">
        <v>80</v>
      </c>
      <c r="AC77" s="40" t="s">
        <v>80</v>
      </c>
      <c r="AD77" s="40" t="s">
        <v>183</v>
      </c>
      <c r="AE77" s="40" t="s">
        <v>80</v>
      </c>
      <c r="AF77" s="40" t="s">
        <v>80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s="40" t="s">
        <v>80</v>
      </c>
      <c r="AM77" t="str">
        <f>VLOOKUP($R77,武学奇术!$A:$ZZ,25,FALSE)</f>
        <v>伞</v>
      </c>
      <c r="AN77" s="24">
        <f>VLOOKUP($R77,武学奇术!$A:$ZZ,26,FALSE)</f>
        <v>0.54</v>
      </c>
      <c r="AO77" s="25">
        <f>VLOOKUP($R77,武学奇术!$A:$ZZ,27,FALSE)*(1+IF(OR($AM77=$F$4,$AM77=$F$5),$B$21,0))</f>
        <v>236.8</v>
      </c>
      <c r="AP77" s="24">
        <f>VLOOKUP($R77,武学奇术!$A:$ZZ,28,FALSE)</f>
        <v>0.81</v>
      </c>
      <c r="AQ77" s="25">
        <f>VLOOKUP($R77,武学奇术!$A:$ZZ,29,FALSE)*(1+IF(OR($AM77=$F$4,$AM77=$F$5),$B$21,0))</f>
        <v>130.4</v>
      </c>
      <c r="AR77" s="24" cm="1">
        <f t="array" ref="AR77">$G$3+IFERROR(VLOOKUP($AM77,$F$4:$G$7,2,FALSE),0)+VLOOKUP($R77,武学奇术!$A:$ZZ,2,FALSE)+SUM(_xlfn.XLOOKUP($S77:$AL77,增益!$A:$A,增益!$B:$B,0))</f>
        <v>0.2943</v>
      </c>
      <c r="AS77" s="24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4462.125</v>
      </c>
      <c r="AU77" cm="1">
        <f t="array" ref="AU77">$E$10*(1+$AS77)+VLOOKUP($R77,武学奇术!$A:$ZZ,4,FALSE)+SUM(_xlfn.XLOOKUP($S77:$AL77,增益!$A:$A,增益!$D:$D,0))-$I$2</f>
        <v>4462.125</v>
      </c>
      <c r="AV77" s="33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0.2939</v>
      </c>
      <c r="AW77" s="33" cm="1">
        <f t="array" ref="AW77">$G$10+VLOOKUP($R77,武学奇术!$A:$ZZ,7,FALSE)+SUM(_xlfn.XLOOKUP($S77:$AL77,增益!$A:$A,增益!$G:$G,0))</f>
        <v>0.125</v>
      </c>
      <c r="AX77" s="24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3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3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3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3" cm="1">
        <f t="array" ref="BF77">$G$12+VLOOKUP($R77,武学奇术!$A:$ZZ,12,FALSE)+SUM(_xlfn.XLOOKUP($S77:$AL77,增益!$A:$A,增益!$L:$L,0))</f>
        <v>0</v>
      </c>
      <c r="BG77">
        <f t="shared" si="16"/>
        <v>618.2</v>
      </c>
      <c r="BH77">
        <f t="shared" si="17"/>
        <v>1567.4</v>
      </c>
      <c r="BI77" s="33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</v>
      </c>
      <c r="BJ77" s="33" cm="1">
        <f t="array" ref="BJ77">$G$13+VLOOKUP($R77,武学奇术!$A:$ZZ,14,FALSE)+SUM(_xlfn.XLOOKUP($S77:$AL77,增益!$A:$A,增益!$N:$N,0))</f>
        <v>0.25</v>
      </c>
      <c r="BK77">
        <f t="shared" si="18"/>
        <v>0</v>
      </c>
      <c r="BL77">
        <f t="shared" si="19"/>
        <v>0</v>
      </c>
      <c r="BM77" s="33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3" cm="1">
        <f t="array" ref="BN77">$G$14+VLOOKUP($R77,武学奇术!$A:$ZZ,16,FALSE)+SUM(_xlfn.XLOOKUP($S77:$AL77,增益!$A:$A,增益!$P:$P,0))</f>
        <v>0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4" cm="1">
        <f t="array" ref="BQ77">1+$B$13+VLOOKUP($R77,武学奇术!$A:$ZZ,18,FALSE)+SUM(_xlfn.XLOOKUP($S77:$AL77,增益!$A:$A,增益!$R:$R,0))</f>
        <v>1.6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0"/>
        <v>0.8865</v>
      </c>
      <c r="BU77" s="24">
        <f t="shared" si="21"/>
        <v>0.0222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0.06</v>
      </c>
      <c r="BX77" s="24" cm="1">
        <f t="array" ref="BX77">VLOOKUP($R77,武学奇术!$A:$ZZ,32,FALSE)+SUM(_xlfn.XLOOKUP($S77:$AL77,增益!$A:$A,增益!$X:$X,0))</f>
        <v>0</v>
      </c>
    </row>
    <row r="78" spans="1:76">
      <c r="A78" s="4" t="s">
        <v>99</v>
      </c>
      <c r="B78" s="4">
        <v>1.25</v>
      </c>
      <c r="K78" s="39">
        <f>$L78*VLOOKUP($R78,武学奇术!$A:$ZY,31,FALSE)</f>
        <v>24130.4985926079</v>
      </c>
      <c r="L78" s="39">
        <f t="shared" si="11"/>
        <v>22981.4272310552</v>
      </c>
      <c r="M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23331.3205863026</v>
      </c>
      <c r="N78" s="39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21626.3905603828</v>
      </c>
      <c r="O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14582.0753664391</v>
      </c>
      <c r="P78" s="39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13144.6021696318</v>
      </c>
      <c r="Q78" s="29">
        <v>1</v>
      </c>
      <c r="R78" s="40" t="s">
        <v>134</v>
      </c>
      <c r="S78" s="40" t="s">
        <v>91</v>
      </c>
      <c r="T78" s="40" t="s">
        <v>172</v>
      </c>
      <c r="U78" s="40" t="s">
        <v>80</v>
      </c>
      <c r="V78" s="40" t="s">
        <v>166</v>
      </c>
      <c r="W78" s="40" t="s">
        <v>80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183</v>
      </c>
      <c r="AE78" s="40" t="s">
        <v>80</v>
      </c>
      <c r="AF78" s="40" t="s">
        <v>80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s="40" t="s">
        <v>80</v>
      </c>
      <c r="AM78" t="str">
        <f>VLOOKUP($R78,武学奇术!$A:$ZZ,25,FALSE)</f>
        <v>扇</v>
      </c>
      <c r="AN78" s="24">
        <f>VLOOKUP($R78,武学奇术!$A:$ZZ,26,FALSE)</f>
        <v>1.2798</v>
      </c>
      <c r="AO78" s="25">
        <f>VLOOKUP($R78,武学奇术!$A:$ZZ,27,FALSE)*(1+IF(OR($AM78=$F$4,$AM78=$F$5),$B$21,0))</f>
        <v>568</v>
      </c>
      <c r="AP78" s="24">
        <f>VLOOKUP($R78,武学奇术!$A:$ZZ,28,FALSE)</f>
        <v>1.9197</v>
      </c>
      <c r="AQ78" s="25">
        <f>VLOOKUP($R78,武学奇术!$A:$ZZ,29,FALSE)*(1+IF(OR($AM78=$F$4,$AM78=$F$5),$B$21,0))</f>
        <v>308.8</v>
      </c>
      <c r="AR78" s="24" cm="1">
        <f t="array" ref="AR78">$G$3+IFERROR(VLOOKUP($AM78,$F$4:$G$7,2,FALSE),0)+VLOOKUP($R78,武学奇术!$A:$ZZ,2,FALSE)+SUM(_xlfn.XLOOKUP($S78:$AL78,增益!$A:$A,增益!$B:$B,0))</f>
        <v>0.2943</v>
      </c>
      <c r="AS78" s="24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4462.125</v>
      </c>
      <c r="AU78" cm="1">
        <f t="array" ref="AU78">$E$10*(1+$AS78)+VLOOKUP($R78,武学奇术!$A:$ZZ,4,FALSE)+SUM(_xlfn.XLOOKUP($S78:$AL78,增益!$A:$A,增益!$D:$D,0))-$I$2</f>
        <v>4462.125</v>
      </c>
      <c r="AV78" s="33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0.1939</v>
      </c>
      <c r="AW78" s="33" cm="1">
        <f t="array" ref="AW78">$G$10+VLOOKUP($R78,武学奇术!$A:$ZZ,7,FALSE)+SUM(_xlfn.XLOOKUP($S78:$AL78,增益!$A:$A,增益!$G:$G,0))</f>
        <v>0.025</v>
      </c>
      <c r="AX78" s="24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3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3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3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3" cm="1">
        <f t="array" ref="BF78">$G$12+VLOOKUP($R78,武学奇术!$A:$ZZ,12,FALSE)+SUM(_xlfn.XLOOKUP($S78:$AL78,增益!$A:$A,增益!$L:$L,0))</f>
        <v>0</v>
      </c>
      <c r="BG78">
        <f t="shared" si="16"/>
        <v>618.2</v>
      </c>
      <c r="BH78">
        <f t="shared" si="17"/>
        <v>1567.4</v>
      </c>
      <c r="BI78" s="33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3" cm="1">
        <f t="array" ref="BJ78">$G$13+VLOOKUP($R78,武学奇术!$A:$ZZ,14,FALSE)+SUM(_xlfn.XLOOKUP($S78:$AL78,增益!$A:$A,增益!$N:$N,0))</f>
        <v>0.15</v>
      </c>
      <c r="BK78">
        <f t="shared" si="18"/>
        <v>0</v>
      </c>
      <c r="BL78">
        <f t="shared" si="19"/>
        <v>0</v>
      </c>
      <c r="BM78" s="33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3" cm="1">
        <f t="array" ref="BN78">$G$14+VLOOKUP($R78,武学奇术!$A:$ZZ,16,FALSE)+SUM(_xlfn.XLOOKUP($S78:$AL78,增益!$A:$A,增益!$P:$P,0))</f>
        <v>0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4" cm="1">
        <f t="array" ref="BQ78">1+$B$13+VLOOKUP($R78,武学奇术!$A:$ZZ,18,FALSE)+SUM(_xlfn.XLOOKUP($S78:$AL78,增益!$A:$A,增益!$R:$R,0))</f>
        <v>1.6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20"/>
        <v>0.8865</v>
      </c>
      <c r="BU78" s="24">
        <f t="shared" si="21"/>
        <v>0.0222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0.06</v>
      </c>
      <c r="BX78" s="24" cm="1">
        <f t="array" ref="BX78">VLOOKUP($R78,武学奇术!$A:$ZZ,32,FALSE)+SUM(_xlfn.XLOOKUP($S78:$AL78,增益!$A:$A,增益!$X:$X,0))</f>
        <v>0</v>
      </c>
    </row>
    <row r="79" spans="1:76">
      <c r="A79" s="4" t="s">
        <v>162</v>
      </c>
      <c r="B79" s="91">
        <v>1.3</v>
      </c>
      <c r="K79" s="39">
        <f>$L79*VLOOKUP($R79,武学奇术!$A:$ZY,31,FALSE)</f>
        <v>250990.772917983</v>
      </c>
      <c r="L79" s="39">
        <f t="shared" si="11"/>
        <v>239038.83135046</v>
      </c>
      <c r="M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248683.430613277</v>
      </c>
      <c r="N79" s="39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174857.507286856</v>
      </c>
      <c r="O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117859.445788283</v>
      </c>
      <c r="P79" s="39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106194.812104821</v>
      </c>
      <c r="Q79" s="29">
        <v>1</v>
      </c>
      <c r="R79" s="40" t="s">
        <v>141</v>
      </c>
      <c r="S79" s="40" t="s">
        <v>91</v>
      </c>
      <c r="T79" s="40" t="s">
        <v>172</v>
      </c>
      <c r="U79" s="40" t="s">
        <v>80</v>
      </c>
      <c r="V79" s="40" t="s">
        <v>166</v>
      </c>
      <c r="W79" s="40" t="s">
        <v>142</v>
      </c>
      <c r="X79" s="40" t="s">
        <v>171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80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s="40" t="s">
        <v>80</v>
      </c>
      <c r="AM79" t="str">
        <f>VLOOKUP($R79,武学奇术!$A:$ZZ,25,FALSE)</f>
        <v>扇</v>
      </c>
      <c r="AN79" s="24">
        <f>VLOOKUP($R79,武学奇术!$A:$ZZ,26,FALSE)</f>
        <v>7.5463</v>
      </c>
      <c r="AO79" s="25">
        <f>VLOOKUP($R79,武学奇术!$A:$ZZ,27,FALSE)*(1+IF(OR($AM79=$F$4,$AM79=$F$5),$B$21,0))</f>
        <v>3339.2</v>
      </c>
      <c r="AP79" s="24">
        <f>VLOOKUP($R79,武学奇术!$A:$ZZ,28,FALSE)</f>
        <v>11.3195</v>
      </c>
      <c r="AQ79" s="25">
        <f>VLOOKUP($R79,武学奇术!$A:$ZZ,29,FALSE)*(1+IF(OR($AM79=$F$4,$AM79=$F$5),$B$21,0))</f>
        <v>1819.2</v>
      </c>
      <c r="AR79" s="24" cm="1">
        <f t="array" ref="AR79">$G$3+IFERROR(VLOOKUP($AM79,$F$4:$G$7,2,FALSE),0)+VLOOKUP($R79,武学奇术!$A:$ZZ,2,FALSE)+SUM(_xlfn.XLOOKUP($S79:$AL79,增益!$A:$A,增益!$B:$B,0))</f>
        <v>0.3543</v>
      </c>
      <c r="AS79" s="24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4462.125</v>
      </c>
      <c r="AU79" cm="1">
        <f t="array" ref="AU79">$E$10*(1+$AS79)+VLOOKUP($R79,武学奇术!$A:$ZZ,4,FALSE)+SUM(_xlfn.XLOOKUP($S79:$AL79,增益!$A:$A,增益!$D:$D,0))-$I$2</f>
        <v>4462.125</v>
      </c>
      <c r="AV79" s="33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0.2939</v>
      </c>
      <c r="AW79" s="33" cm="1">
        <f t="array" ref="AW79">$G$10+VLOOKUP($R79,武学奇术!$A:$ZZ,7,FALSE)+SUM(_xlfn.XLOOKUP($S79:$AL79,增益!$A:$A,增益!$G:$G,0))</f>
        <v>0.125</v>
      </c>
      <c r="AX79" s="24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3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3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3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3" cm="1">
        <f t="array" ref="BF79">$G$12+VLOOKUP($R79,武学奇术!$A:$ZZ,12,FALSE)+SUM(_xlfn.XLOOKUP($S79:$AL79,增益!$A:$A,增益!$L:$L,0))</f>
        <v>0</v>
      </c>
      <c r="BG79">
        <f t="shared" si="16"/>
        <v>618.2</v>
      </c>
      <c r="BH79">
        <f t="shared" si="17"/>
        <v>1567.4</v>
      </c>
      <c r="BI79" s="33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</v>
      </c>
      <c r="BJ79" s="33" cm="1">
        <f t="array" ref="BJ79">$G$13+VLOOKUP($R79,武学奇术!$A:$ZZ,14,FALSE)+SUM(_xlfn.XLOOKUP($S79:$AL79,增益!$A:$A,增益!$N:$N,0))</f>
        <v>0.25</v>
      </c>
      <c r="BK79">
        <f t="shared" si="18"/>
        <v>0</v>
      </c>
      <c r="BL79">
        <f t="shared" si="19"/>
        <v>0</v>
      </c>
      <c r="BM79" s="33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3" cm="1">
        <f t="array" ref="BN79">$G$14+VLOOKUP($R79,武学奇术!$A:$ZZ,16,FALSE)+SUM(_xlfn.XLOOKUP($S79:$AL79,增益!$A:$A,增益!$P:$P,0))</f>
        <v>0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4" cm="1">
        <f t="array" ref="BQ79">1+$B$13+VLOOKUP($R79,武学奇术!$A:$ZZ,18,FALSE)+SUM(_xlfn.XLOOKUP($S79:$AL79,增益!$A:$A,增益!$R:$R,0))</f>
        <v>2.11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0"/>
        <v>0.8865</v>
      </c>
      <c r="BU79" s="24">
        <f t="shared" si="21"/>
        <v>0.0222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0.06</v>
      </c>
      <c r="BX79" s="24" cm="1">
        <f t="array" ref="BX79">VLOOKUP($R79,武学奇术!$A:$ZZ,32,FALSE)+SUM(_xlfn.XLOOKUP($S79:$AL79,增益!$A:$A,增益!$X:$X,0))</f>
        <v>0.1</v>
      </c>
    </row>
    <row r="80" spans="1:76">
      <c r="A80" s="4" t="s">
        <v>113</v>
      </c>
      <c r="B80" s="91">
        <v>1.16</v>
      </c>
      <c r="K80" s="39">
        <f>$L80*VLOOKUP($R80,武学奇术!$A:$ZY,31,FALSE)</f>
        <v>328925.381969068</v>
      </c>
      <c r="L80" s="39">
        <f t="shared" si="11"/>
        <v>313262.26854197</v>
      </c>
      <c r="M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324002.825983536</v>
      </c>
      <c r="N80" s="39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244950.004168768</v>
      </c>
      <c r="O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165307.564277314</v>
      </c>
      <c r="P80" s="39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149170.681022208</v>
      </c>
      <c r="Q80" s="29">
        <v>5</v>
      </c>
      <c r="R80" s="40" t="s">
        <v>115</v>
      </c>
      <c r="S80" s="40" t="s">
        <v>91</v>
      </c>
      <c r="T80" s="40" t="s">
        <v>172</v>
      </c>
      <c r="U80" s="40" t="s">
        <v>106</v>
      </c>
      <c r="V80" s="40" t="s">
        <v>166</v>
      </c>
      <c r="W80" s="40" t="s">
        <v>100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183</v>
      </c>
      <c r="AE80" s="40" t="s">
        <v>80</v>
      </c>
      <c r="AF80" s="40" t="s">
        <v>80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s="40" t="s">
        <v>80</v>
      </c>
      <c r="AM80" t="str">
        <f>VLOOKUP($R80,武学奇术!$A:$ZZ,25,FALSE)</f>
        <v>伞</v>
      </c>
      <c r="AN80" s="24">
        <f>VLOOKUP($R80,武学奇术!$A:$ZZ,26,FALSE)</f>
        <v>1.0217</v>
      </c>
      <c r="AO80" s="25">
        <f>VLOOKUP($R80,武学奇术!$A:$ZZ,27,FALSE)*(1+IF(OR($AM80=$F$4,$AM80=$F$5),$B$21,0))</f>
        <v>451.2</v>
      </c>
      <c r="AP80" s="24">
        <f>VLOOKUP($R80,武学奇术!$A:$ZZ,28,FALSE)</f>
        <v>1.5325</v>
      </c>
      <c r="AQ80" s="25">
        <f>VLOOKUP($R80,武学奇术!$A:$ZZ,29,FALSE)*(1+IF(OR($AM80=$F$4,$AM80=$F$5),$B$21,0))</f>
        <v>246.4</v>
      </c>
      <c r="AR80" s="24" cm="1">
        <f t="array" ref="AR80">$G$3+IFERROR(VLOOKUP($AM80,$F$4:$G$7,2,FALSE),0)+VLOOKUP($R80,武学奇术!$A:$ZZ,2,FALSE)+SUM(_xlfn.XLOOKUP($S80:$AL80,增益!$A:$A,增益!$B:$B,0))</f>
        <v>0.8443</v>
      </c>
      <c r="AS80" s="24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4462.125</v>
      </c>
      <c r="AU80" cm="1">
        <f t="array" ref="AU80">$E$10*(1+$AS80)+VLOOKUP($R80,武学奇术!$A:$ZZ,4,FALSE)+SUM(_xlfn.XLOOKUP($S80:$AL80,增益!$A:$A,增益!$D:$D,0))-$I$2</f>
        <v>4462.125</v>
      </c>
      <c r="AV80" s="33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0.3189</v>
      </c>
      <c r="AW80" s="33" cm="1">
        <f t="array" ref="AW80">$G$10+VLOOKUP($R80,武学奇术!$A:$ZZ,7,FALSE)+SUM(_xlfn.XLOOKUP($S80:$AL80,增益!$A:$A,增益!$G:$G,0))</f>
        <v>0.125</v>
      </c>
      <c r="AX80" s="24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3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3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3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3" cm="1">
        <f t="array" ref="BF80">$G$12+VLOOKUP($R80,武学奇术!$A:$ZZ,12,FALSE)+SUM(_xlfn.XLOOKUP($S80:$AL80,增益!$A:$A,增益!$L:$L,0))</f>
        <v>0</v>
      </c>
      <c r="BG80">
        <f t="shared" si="16"/>
        <v>618.2</v>
      </c>
      <c r="BH80">
        <f t="shared" si="17"/>
        <v>1567.4</v>
      </c>
      <c r="BI80" s="33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</v>
      </c>
      <c r="BJ80" s="33" cm="1">
        <f t="array" ref="BJ80">$G$13+VLOOKUP($R80,武学奇术!$A:$ZZ,14,FALSE)+SUM(_xlfn.XLOOKUP($S80:$AL80,增益!$A:$A,增益!$N:$N,0))</f>
        <v>0.25</v>
      </c>
      <c r="BK80">
        <f t="shared" si="18"/>
        <v>0</v>
      </c>
      <c r="BL80">
        <f t="shared" si="19"/>
        <v>0</v>
      </c>
      <c r="BM80" s="33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3" cm="1">
        <f t="array" ref="BN80">$G$14+VLOOKUP($R80,武学奇术!$A:$ZZ,16,FALSE)+SUM(_xlfn.XLOOKUP($S80:$AL80,增益!$A:$A,增益!$P:$P,0))</f>
        <v>0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4" cm="1">
        <f t="array" ref="BQ80">1+$B$13+VLOOKUP($R80,武学奇术!$A:$ZZ,18,FALSE)+SUM(_xlfn.XLOOKUP($S80:$AL80,增益!$A:$A,增益!$R:$R,0))</f>
        <v>1.96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0"/>
        <v>0.8865</v>
      </c>
      <c r="BU80" s="24">
        <f t="shared" si="21"/>
        <v>0.0222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0.06</v>
      </c>
      <c r="BX80" s="24" cm="1">
        <f t="array" ref="BX80">VLOOKUP($R80,武学奇术!$A:$ZZ,32,FALSE)+SUM(_xlfn.XLOOKUP($S80:$AL80,增益!$A:$A,增益!$X:$X,0))</f>
        <v>0.25</v>
      </c>
    </row>
    <row r="81" spans="1:76">
      <c r="A81" s="4" t="s">
        <v>167</v>
      </c>
      <c r="B81" s="4">
        <v>0.1</v>
      </c>
      <c r="K81" s="39">
        <f>$L81*VLOOKUP($R81,武学奇术!$A:$ZY,31,FALSE)</f>
        <v>325358.441862046</v>
      </c>
      <c r="L81" s="39">
        <f t="shared" si="11"/>
        <v>309865.182725758</v>
      </c>
      <c r="M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320489.267170073</v>
      </c>
      <c r="N81" s="39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242293.711763316</v>
      </c>
      <c r="O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163514.932229629</v>
      </c>
      <c r="P81" s="39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147553.040930876</v>
      </c>
      <c r="Q81" s="29">
        <v>5</v>
      </c>
      <c r="R81" s="40" t="s">
        <v>115</v>
      </c>
      <c r="S81" s="40" t="s">
        <v>91</v>
      </c>
      <c r="T81" s="40" t="s">
        <v>172</v>
      </c>
      <c r="U81" s="40" t="s">
        <v>106</v>
      </c>
      <c r="V81" s="40" t="s">
        <v>166</v>
      </c>
      <c r="W81" s="40" t="s">
        <v>100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80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s="40" t="s">
        <v>80</v>
      </c>
      <c r="AM81" t="str">
        <f>VLOOKUP($R81,武学奇术!$A:$ZZ,25,FALSE)</f>
        <v>伞</v>
      </c>
      <c r="AN81" s="24">
        <f>VLOOKUP($R81,武学奇术!$A:$ZZ,26,FALSE)</f>
        <v>1.0217</v>
      </c>
      <c r="AO81" s="25">
        <f>VLOOKUP($R81,武学奇术!$A:$ZZ,27,FALSE)*(1+IF(OR($AM81=$F$4,$AM81=$F$5),$B$21,0))</f>
        <v>451.2</v>
      </c>
      <c r="AP81" s="24">
        <f>VLOOKUP($R81,武学奇术!$A:$ZZ,28,FALSE)</f>
        <v>1.5325</v>
      </c>
      <c r="AQ81" s="25">
        <f>VLOOKUP($R81,武学奇术!$A:$ZZ,29,FALSE)*(1+IF(OR($AM81=$F$4,$AM81=$F$5),$B$21,0))</f>
        <v>246.4</v>
      </c>
      <c r="AR81" s="24" cm="1">
        <f t="array" ref="AR81">$G$3+IFERROR(VLOOKUP($AM81,$F$4:$G$7,2,FALSE),0)+VLOOKUP($R81,武学奇术!$A:$ZZ,2,FALSE)+SUM(_xlfn.XLOOKUP($S81:$AL81,增益!$A:$A,增益!$B:$B,0))</f>
        <v>0.8243</v>
      </c>
      <c r="AS81" s="24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4462.125</v>
      </c>
      <c r="AU81" cm="1">
        <f t="array" ref="AU81">$E$10*(1+$AS81)+VLOOKUP($R81,武学奇术!$A:$ZZ,4,FALSE)+SUM(_xlfn.XLOOKUP($S81:$AL81,增益!$A:$A,增益!$D:$D,0))-$I$2</f>
        <v>4462.125</v>
      </c>
      <c r="AV81" s="33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0.3189</v>
      </c>
      <c r="AW81" s="33" cm="1">
        <f t="array" ref="AW81">$G$10+VLOOKUP($R81,武学奇术!$A:$ZZ,7,FALSE)+SUM(_xlfn.XLOOKUP($S81:$AL81,增益!$A:$A,增益!$G:$G,0))</f>
        <v>0.125</v>
      </c>
      <c r="AX81" s="24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3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3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3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3" cm="1">
        <f t="array" ref="BF81">$G$12+VLOOKUP($R81,武学奇术!$A:$ZZ,12,FALSE)+SUM(_xlfn.XLOOKUP($S81:$AL81,增益!$A:$A,增益!$L:$L,0))</f>
        <v>0</v>
      </c>
      <c r="BG81">
        <f t="shared" si="16"/>
        <v>618.2</v>
      </c>
      <c r="BH81">
        <f t="shared" si="17"/>
        <v>1567.4</v>
      </c>
      <c r="BI81" s="33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0.1</v>
      </c>
      <c r="BJ81" s="33" cm="1">
        <f t="array" ref="BJ81">$G$13+VLOOKUP($R81,武学奇术!$A:$ZZ,14,FALSE)+SUM(_xlfn.XLOOKUP($S81:$AL81,增益!$A:$A,增益!$N:$N,0))</f>
        <v>0.25</v>
      </c>
      <c r="BK81">
        <f t="shared" si="18"/>
        <v>0</v>
      </c>
      <c r="BL81">
        <f t="shared" si="19"/>
        <v>0</v>
      </c>
      <c r="BM81" s="33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3" cm="1">
        <f t="array" ref="BN81">$G$14+VLOOKUP($R81,武学奇术!$A:$ZZ,16,FALSE)+SUM(_xlfn.XLOOKUP($S81:$AL81,增益!$A:$A,增益!$P:$P,0))</f>
        <v>0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4" cm="1">
        <f t="array" ref="BQ81">1+$B$13+VLOOKUP($R81,武学奇术!$A:$ZZ,18,FALSE)+SUM(_xlfn.XLOOKUP($S81:$AL81,增益!$A:$A,增益!$R:$R,0))</f>
        <v>1.96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0"/>
        <v>0.8865</v>
      </c>
      <c r="BU81" s="24">
        <f t="shared" si="21"/>
        <v>0.0222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0.06</v>
      </c>
      <c r="BX81" s="24" cm="1">
        <f t="array" ref="BX81">VLOOKUP($R81,武学奇术!$A:$ZZ,32,FALSE)+SUM(_xlfn.XLOOKUP($S81:$AL81,增益!$A:$A,增益!$X:$X,0))</f>
        <v>0.25</v>
      </c>
    </row>
    <row r="82" spans="1:76">
      <c r="A82" s="4" t="s">
        <v>197</v>
      </c>
      <c r="B82" s="4">
        <v>2</v>
      </c>
      <c r="K82" s="39">
        <f>$L82*VLOOKUP($R82,武学奇术!$A:$ZY,31,FALSE)</f>
        <v>106873.157265258</v>
      </c>
      <c r="L82" s="39">
        <f t="shared" si="11"/>
        <v>101783.959300246</v>
      </c>
      <c r="M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104739.084380368</v>
      </c>
      <c r="N82" s="39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84073.2966537209</v>
      </c>
      <c r="O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56615.7212866856</v>
      </c>
      <c r="P82" s="39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50954.9265335778</v>
      </c>
      <c r="Q82" s="29">
        <v>2</v>
      </c>
      <c r="R82" s="40" t="s">
        <v>77</v>
      </c>
      <c r="S82" s="40" t="s">
        <v>91</v>
      </c>
      <c r="T82" s="40" t="s">
        <v>172</v>
      </c>
      <c r="U82" s="40" t="s">
        <v>80</v>
      </c>
      <c r="V82" s="40" t="s">
        <v>166</v>
      </c>
      <c r="W82" s="40" t="s">
        <v>80</v>
      </c>
      <c r="X82" s="40" t="s">
        <v>80</v>
      </c>
      <c r="Y82" s="40" t="s">
        <v>109</v>
      </c>
      <c r="Z82" s="40" t="s">
        <v>80</v>
      </c>
      <c r="AA82" s="40" t="s">
        <v>80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80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s="40" t="s">
        <v>80</v>
      </c>
      <c r="AM82" t="str">
        <f>VLOOKUP($R82,武学奇术!$A:$ZZ,25,FALSE)</f>
        <v>群体奇术</v>
      </c>
      <c r="AN82" s="24">
        <f>VLOOKUP($R82,武学奇术!$A:$ZZ,26,FALSE)</f>
        <v>2.3774</v>
      </c>
      <c r="AO82" s="25">
        <f>VLOOKUP($R82,武学奇术!$A:$ZZ,27,FALSE)*(1+IF(OR($AM82=$F$4,$AM82=$F$5),$B$21,0))</f>
        <v>476</v>
      </c>
      <c r="AP82" s="24">
        <f>VLOOKUP($R82,武学奇术!$A:$ZZ,28,FALSE)</f>
        <v>3.5661</v>
      </c>
      <c r="AQ82" s="25">
        <f>VLOOKUP($R82,武学奇术!$A:$ZZ,29,FALSE)*(1+IF(OR($AM82=$F$4,$AM82=$F$5),$B$21,0))</f>
        <v>0</v>
      </c>
      <c r="AR82" s="24" cm="1">
        <f t="array" ref="AR82">$G$3+IFERROR(VLOOKUP($AM82,$F$4:$G$7,2,FALSE),0)+VLOOKUP($R82,武学奇术!$A:$ZZ,2,FALSE)+SUM(_xlfn.XLOOKUP($S82:$AL82,增益!$A:$A,增益!$B:$B,0))</f>
        <v>0.3719</v>
      </c>
      <c r="AS82" s="24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4462.125</v>
      </c>
      <c r="AU82" cm="1">
        <f t="array" ref="AU82">$E$10*(1+$AS82)+VLOOKUP($R82,武学奇术!$A:$ZZ,4,FALSE)+SUM(_xlfn.XLOOKUP($S82:$AL82,增益!$A:$A,增益!$D:$D,0))-$I$2</f>
        <v>4462.125</v>
      </c>
      <c r="AV82" s="33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0.3189</v>
      </c>
      <c r="AW82" s="33" cm="1">
        <f t="array" ref="AW82">$G$10+VLOOKUP($R82,武学奇术!$A:$ZZ,7,FALSE)+SUM(_xlfn.XLOOKUP($S82:$AL82,增益!$A:$A,增益!$G:$G,0))</f>
        <v>0.025</v>
      </c>
      <c r="AX82" s="24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3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3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3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3" cm="1">
        <f t="array" ref="BF82">$G$12+VLOOKUP($R82,武学奇术!$A:$ZZ,12,FALSE)+SUM(_xlfn.XLOOKUP($S82:$AL82,增益!$A:$A,增益!$L:$L,0))</f>
        <v>0</v>
      </c>
      <c r="BG82">
        <f t="shared" si="16"/>
        <v>618.2</v>
      </c>
      <c r="BH82">
        <f t="shared" si="17"/>
        <v>1567.4</v>
      </c>
      <c r="BI82" s="33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3" cm="1">
        <f t="array" ref="BJ82">$G$13+VLOOKUP($R82,武学奇术!$A:$ZZ,14,FALSE)+SUM(_xlfn.XLOOKUP($S82:$AL82,增益!$A:$A,增益!$N:$N,0))</f>
        <v>0.15</v>
      </c>
      <c r="BK82">
        <f t="shared" si="18"/>
        <v>0</v>
      </c>
      <c r="BL82">
        <f t="shared" si="19"/>
        <v>0</v>
      </c>
      <c r="BM82" s="33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3" cm="1">
        <f t="array" ref="BN82">$G$14+VLOOKUP($R82,武学奇术!$A:$ZZ,16,FALSE)+SUM(_xlfn.XLOOKUP($S82:$AL82,增益!$A:$A,增益!$P:$P,0))</f>
        <v>0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4" cm="1">
        <f t="array" ref="BQ82">1+$B$13+VLOOKUP($R82,武学奇术!$A:$ZZ,18,FALSE)+SUM(_xlfn.XLOOKUP($S82:$AL82,增益!$A:$A,增益!$R:$R,0))</f>
        <v>1.85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0"/>
        <v>0.8865</v>
      </c>
      <c r="BU82" s="24">
        <f t="shared" si="21"/>
        <v>0.0222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0.06</v>
      </c>
      <c r="BX82" s="24" cm="1">
        <f t="array" ref="BX82">VLOOKUP($R82,武学奇术!$A:$ZZ,32,FALSE)+SUM(_xlfn.XLOOKUP($S82:$AL82,增益!$A:$A,增益!$X:$X,0))</f>
        <v>0</v>
      </c>
    </row>
    <row r="83" spans="1:76">
      <c r="A83" t="s">
        <v>201</v>
      </c>
      <c r="B83">
        <v>1.7</v>
      </c>
      <c r="K83" s="39">
        <f>$L83*VLOOKUP($R83,武学奇术!$A:$ZY,31,FALSE)</f>
        <v>106873.157265258</v>
      </c>
      <c r="L83" s="39">
        <f t="shared" si="11"/>
        <v>101783.959300246</v>
      </c>
      <c r="M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104739.084380368</v>
      </c>
      <c r="N83" s="39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84073.2966537209</v>
      </c>
      <c r="O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56615.7212866856</v>
      </c>
      <c r="P83" s="39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50954.9265335778</v>
      </c>
      <c r="Q83" s="29">
        <v>2</v>
      </c>
      <c r="R83" s="40" t="s">
        <v>77</v>
      </c>
      <c r="S83" s="40" t="s">
        <v>91</v>
      </c>
      <c r="T83" s="40" t="s">
        <v>172</v>
      </c>
      <c r="U83" s="40" t="s">
        <v>80</v>
      </c>
      <c r="V83" s="40" t="s">
        <v>166</v>
      </c>
      <c r="W83" s="40" t="s">
        <v>80</v>
      </c>
      <c r="X83" s="40" t="s">
        <v>80</v>
      </c>
      <c r="Y83" s="40" t="s">
        <v>109</v>
      </c>
      <c r="Z83" s="40" t="s">
        <v>80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80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s="40" t="s">
        <v>80</v>
      </c>
      <c r="AM83" t="str">
        <f>VLOOKUP($R83,武学奇术!$A:$ZZ,25,FALSE)</f>
        <v>群体奇术</v>
      </c>
      <c r="AN83" s="24">
        <f>VLOOKUP($R83,武学奇术!$A:$ZZ,26,FALSE)</f>
        <v>2.3774</v>
      </c>
      <c r="AO83" s="25">
        <f>VLOOKUP($R83,武学奇术!$A:$ZZ,27,FALSE)*(1+IF(OR($AM83=$F$4,$AM83=$F$5),$B$21,0))</f>
        <v>476</v>
      </c>
      <c r="AP83" s="24">
        <f>VLOOKUP($R83,武学奇术!$A:$ZZ,28,FALSE)</f>
        <v>3.5661</v>
      </c>
      <c r="AQ83" s="25">
        <f>VLOOKUP($R83,武学奇术!$A:$ZZ,29,FALSE)*(1+IF(OR($AM83=$F$4,$AM83=$F$5),$B$21,0))</f>
        <v>0</v>
      </c>
      <c r="AR83" s="24" cm="1">
        <f t="array" ref="AR83">$G$3+IFERROR(VLOOKUP($AM83,$F$4:$G$7,2,FALSE),0)+VLOOKUP($R83,武学奇术!$A:$ZZ,2,FALSE)+SUM(_xlfn.XLOOKUP($S83:$AL83,增益!$A:$A,增益!$B:$B,0))</f>
        <v>0.3719</v>
      </c>
      <c r="AS83" s="24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4462.125</v>
      </c>
      <c r="AU83" cm="1">
        <f t="array" ref="AU83">$E$10*(1+$AS83)+VLOOKUP($R83,武学奇术!$A:$ZZ,4,FALSE)+SUM(_xlfn.XLOOKUP($S83:$AL83,增益!$A:$A,增益!$D:$D,0))-$I$2</f>
        <v>4462.125</v>
      </c>
      <c r="AV83" s="33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0.3189</v>
      </c>
      <c r="AW83" s="33" cm="1">
        <f t="array" ref="AW83">$G$10+VLOOKUP($R83,武学奇术!$A:$ZZ,7,FALSE)+SUM(_xlfn.XLOOKUP($S83:$AL83,增益!$A:$A,增益!$G:$G,0))</f>
        <v>0.025</v>
      </c>
      <c r="AX83" s="24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3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3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3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3" cm="1">
        <f t="array" ref="BF83">$G$12+VLOOKUP($R83,武学奇术!$A:$ZZ,12,FALSE)+SUM(_xlfn.XLOOKUP($S83:$AL83,增益!$A:$A,增益!$L:$L,0))</f>
        <v>0</v>
      </c>
      <c r="BG83">
        <f t="shared" si="16"/>
        <v>618.2</v>
      </c>
      <c r="BH83">
        <f t="shared" si="17"/>
        <v>1567.4</v>
      </c>
      <c r="BI83" s="33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3" cm="1">
        <f t="array" ref="BJ83">$G$13+VLOOKUP($R83,武学奇术!$A:$ZZ,14,FALSE)+SUM(_xlfn.XLOOKUP($S83:$AL83,增益!$A:$A,增益!$N:$N,0))</f>
        <v>0.15</v>
      </c>
      <c r="BK83">
        <f t="shared" si="18"/>
        <v>0</v>
      </c>
      <c r="BL83">
        <f t="shared" si="19"/>
        <v>0</v>
      </c>
      <c r="BM83" s="33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3" cm="1">
        <f t="array" ref="BN83">$G$14+VLOOKUP($R83,武学奇术!$A:$ZZ,16,FALSE)+SUM(_xlfn.XLOOKUP($S83:$AL83,增益!$A:$A,增益!$P:$P,0))</f>
        <v>0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4" cm="1">
        <f t="array" ref="BQ83">1+$B$13+VLOOKUP($R83,武学奇术!$A:$ZZ,18,FALSE)+SUM(_xlfn.XLOOKUP($S83:$AL83,增益!$A:$A,增益!$R:$R,0))</f>
        <v>1.85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0"/>
        <v>0.8865</v>
      </c>
      <c r="BU83" s="24">
        <f t="shared" si="21"/>
        <v>0.0222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0.06</v>
      </c>
      <c r="BX83" s="24" cm="1">
        <f t="array" ref="BX83">VLOOKUP($R83,武学奇术!$A:$ZZ,32,FALSE)+SUM(_xlfn.XLOOKUP($S83:$AL83,增益!$A:$A,增益!$X:$X,0))</f>
        <v>0</v>
      </c>
    </row>
    <row r="84" spans="1:76">
      <c r="A84" s="4" t="s">
        <v>177</v>
      </c>
      <c r="B84" s="4">
        <v>1</v>
      </c>
      <c r="K84" s="39">
        <f>$L84*VLOOKUP($R84,武学奇术!$A:$ZY,31,FALSE)</f>
        <v>43457.9537530353</v>
      </c>
      <c r="L84" s="39">
        <f t="shared" si="11"/>
        <v>41388.5273838431</v>
      </c>
      <c r="M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41988.2065845706</v>
      </c>
      <c r="N84" s="39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39248.5857640791</v>
      </c>
      <c r="O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26242.6291153566</v>
      </c>
      <c r="P84" s="39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23412.2317388027</v>
      </c>
      <c r="Q84" s="29">
        <v>1</v>
      </c>
      <c r="R84" s="40" t="s">
        <v>77</v>
      </c>
      <c r="S84" s="40" t="s">
        <v>91</v>
      </c>
      <c r="T84" s="40" t="s">
        <v>172</v>
      </c>
      <c r="U84" s="40" t="s">
        <v>80</v>
      </c>
      <c r="V84" s="40" t="s">
        <v>166</v>
      </c>
      <c r="W84" s="40" t="s">
        <v>80</v>
      </c>
      <c r="X84" s="40" t="s">
        <v>80</v>
      </c>
      <c r="Y84" s="40" t="s">
        <v>80</v>
      </c>
      <c r="Z84" s="40" t="s">
        <v>80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80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s="40" t="s">
        <v>80</v>
      </c>
      <c r="AM84" t="str">
        <f>VLOOKUP($R84,武学奇术!$A:$ZZ,25,FALSE)</f>
        <v>群体奇术</v>
      </c>
      <c r="AN84" s="24">
        <f>VLOOKUP($R84,武学奇术!$A:$ZZ,26,FALSE)</f>
        <v>2.3774</v>
      </c>
      <c r="AO84" s="25">
        <f>VLOOKUP($R84,武学奇术!$A:$ZZ,27,FALSE)*(1+IF(OR($AM84=$F$4,$AM84=$F$5),$B$21,0))</f>
        <v>476</v>
      </c>
      <c r="AP84" s="24">
        <f>VLOOKUP($R84,武学奇术!$A:$ZZ,28,FALSE)</f>
        <v>3.5661</v>
      </c>
      <c r="AQ84" s="25">
        <f>VLOOKUP($R84,武学奇术!$A:$ZZ,29,FALSE)*(1+IF(OR($AM84=$F$4,$AM84=$F$5),$B$21,0))</f>
        <v>0</v>
      </c>
      <c r="AR84" s="24" cm="1">
        <f t="array" ref="AR84">$G$3+IFERROR(VLOOKUP($AM84,$F$4:$G$7,2,FALSE),0)+VLOOKUP($R84,武学奇术!$A:$ZZ,2,FALSE)+SUM(_xlfn.XLOOKUP($S84:$AL84,增益!$A:$A,增益!$B:$B,0))</f>
        <v>0.3719</v>
      </c>
      <c r="AS84" s="24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4462.125</v>
      </c>
      <c r="AU84" cm="1">
        <f t="array" ref="AU84">$E$10*(1+$AS84)+VLOOKUP($R84,武学奇术!$A:$ZZ,4,FALSE)+SUM(_xlfn.XLOOKUP($S84:$AL84,增益!$A:$A,增益!$D:$D,0))-$I$2</f>
        <v>4462.125</v>
      </c>
      <c r="AV84" s="33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0.1939</v>
      </c>
      <c r="AW84" s="33" cm="1">
        <f t="array" ref="AW84">$G$10+VLOOKUP($R84,武学奇术!$A:$ZZ,7,FALSE)+SUM(_xlfn.XLOOKUP($S84:$AL84,增益!$A:$A,增益!$G:$G,0))</f>
        <v>0.025</v>
      </c>
      <c r="AX84" s="24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3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3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3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3" cm="1">
        <f t="array" ref="BF84">$G$12+VLOOKUP($R84,武学奇术!$A:$ZZ,12,FALSE)+SUM(_xlfn.XLOOKUP($S84:$AL84,增益!$A:$A,增益!$L:$L,0))</f>
        <v>0</v>
      </c>
      <c r="BG84">
        <f t="shared" si="16"/>
        <v>618.2</v>
      </c>
      <c r="BH84">
        <f t="shared" si="17"/>
        <v>1567.4</v>
      </c>
      <c r="BI84" s="33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3" cm="1">
        <f t="array" ref="BJ84">$G$13+VLOOKUP($R84,武学奇术!$A:$ZZ,14,FALSE)+SUM(_xlfn.XLOOKUP($S84:$AL84,增益!$A:$A,增益!$N:$N,0))</f>
        <v>0.15</v>
      </c>
      <c r="BK84">
        <f t="shared" si="18"/>
        <v>0</v>
      </c>
      <c r="BL84">
        <f t="shared" si="19"/>
        <v>0</v>
      </c>
      <c r="BM84" s="33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3" cm="1">
        <f t="array" ref="BN84">$G$14+VLOOKUP($R84,武学奇术!$A:$ZZ,16,FALSE)+SUM(_xlfn.XLOOKUP($S84:$AL84,增益!$A:$A,增益!$P:$P,0))</f>
        <v>0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4" cm="1">
        <f t="array" ref="BQ84">1+$B$13+VLOOKUP($R84,武学奇术!$A:$ZZ,18,FALSE)+SUM(_xlfn.XLOOKUP($S84:$AL84,增益!$A:$A,增益!$R:$R,0))</f>
        <v>1.6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0"/>
        <v>0.8865</v>
      </c>
      <c r="BU84" s="24">
        <f t="shared" si="21"/>
        <v>0.0222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0.06</v>
      </c>
      <c r="BX84" s="24" cm="1">
        <f t="array" ref="BX84">VLOOKUP($R84,武学奇术!$A:$ZZ,32,FALSE)+SUM(_xlfn.XLOOKUP($S84:$AL84,增益!$A:$A,增益!$X:$X,0))</f>
        <v>0</v>
      </c>
    </row>
    <row r="85" spans="1:76">
      <c r="A85" s="4" t="s">
        <v>99</v>
      </c>
      <c r="B85" s="4">
        <v>1.25</v>
      </c>
      <c r="K85" s="39">
        <f>$L85*VLOOKUP($R85,武学奇术!$A:$ZY,31,FALSE)</f>
        <v>37589.5188406479</v>
      </c>
      <c r="L85" s="39">
        <f t="shared" si="11"/>
        <v>35799.541752998</v>
      </c>
      <c r="M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36343.4957834732</v>
      </c>
      <c r="N85" s="39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33699.5261440676</v>
      </c>
      <c r="O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22714.6848646707</v>
      </c>
      <c r="P85" s="39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20466.7577707729</v>
      </c>
      <c r="Q85" s="29">
        <v>1</v>
      </c>
      <c r="R85" s="40" t="s">
        <v>108</v>
      </c>
      <c r="S85" s="40" t="s">
        <v>91</v>
      </c>
      <c r="T85" s="40" t="s">
        <v>172</v>
      </c>
      <c r="U85" s="40" t="s">
        <v>80</v>
      </c>
      <c r="V85" s="40" t="s">
        <v>166</v>
      </c>
      <c r="W85" s="40" t="s">
        <v>80</v>
      </c>
      <c r="X85" s="40" t="s">
        <v>80</v>
      </c>
      <c r="Y85" s="40" t="s">
        <v>80</v>
      </c>
      <c r="Z85" s="40" t="s">
        <v>80</v>
      </c>
      <c r="AA85" s="40" t="s">
        <v>80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80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s="40" t="s">
        <v>80</v>
      </c>
      <c r="AM85" t="str">
        <f>VLOOKUP($R85,武学奇术!$A:$ZZ,25,FALSE)</f>
        <v>伞</v>
      </c>
      <c r="AN85" s="24">
        <f>VLOOKUP($R85,武学奇术!$A:$ZZ,26,FALSE)</f>
        <v>1.7001</v>
      </c>
      <c r="AO85" s="25">
        <f>VLOOKUP($R85,武学奇术!$A:$ZZ,27,FALSE)*(1+IF(OR($AM85=$F$4,$AM85=$F$5),$B$21,0))</f>
        <v>753.6</v>
      </c>
      <c r="AP85" s="24">
        <f>VLOOKUP($R85,武学奇术!$A:$ZZ,28,FALSE)</f>
        <v>2.5502</v>
      </c>
      <c r="AQ85" s="25">
        <f>VLOOKUP($R85,武学奇术!$A:$ZZ,29,FALSE)*(1+IF(OR($AM85=$F$4,$AM85=$F$5),$B$21,0))</f>
        <v>409.6</v>
      </c>
      <c r="AR85" s="24" cm="1">
        <f t="array" ref="AR85">$G$3+IFERROR(VLOOKUP($AM85,$F$4:$G$7,2,FALSE),0)+VLOOKUP($R85,武学奇术!$A:$ZZ,2,FALSE)+SUM(_xlfn.XLOOKUP($S85:$AL85,增益!$A:$A,增益!$B:$B,0))</f>
        <v>0.2743</v>
      </c>
      <c r="AS85" s="24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4462.125</v>
      </c>
      <c r="AU85" cm="1">
        <f t="array" ref="AU85">$E$10*(1+$AS85)+VLOOKUP($R85,武学奇术!$A:$ZZ,4,FALSE)+SUM(_xlfn.XLOOKUP($S85:$AL85,增益!$A:$A,增益!$D:$D,0))-$I$2</f>
        <v>4462.125</v>
      </c>
      <c r="AV85" s="33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0.2939</v>
      </c>
      <c r="AW85" s="33" cm="1">
        <f t="array" ref="AW85">$G$10+VLOOKUP($R85,武学奇术!$A:$ZZ,7,FALSE)+SUM(_xlfn.XLOOKUP($S85:$AL85,增益!$A:$A,增益!$G:$G,0))</f>
        <v>0.125</v>
      </c>
      <c r="AX85" s="24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3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3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3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3" cm="1">
        <f t="array" ref="BF85">$G$12+VLOOKUP($R85,武学奇术!$A:$ZZ,12,FALSE)+SUM(_xlfn.XLOOKUP($S85:$AL85,增益!$A:$A,增益!$L:$L,0))</f>
        <v>0</v>
      </c>
      <c r="BG85">
        <f t="shared" si="16"/>
        <v>618.2</v>
      </c>
      <c r="BH85">
        <f t="shared" si="17"/>
        <v>1567.4</v>
      </c>
      <c r="BI85" s="33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</v>
      </c>
      <c r="BJ85" s="33" cm="1">
        <f t="array" ref="BJ85">$G$13+VLOOKUP($R85,武学奇术!$A:$ZZ,14,FALSE)+SUM(_xlfn.XLOOKUP($S85:$AL85,增益!$A:$A,增益!$N:$N,0))</f>
        <v>0.25</v>
      </c>
      <c r="BK85">
        <f t="shared" si="18"/>
        <v>0</v>
      </c>
      <c r="BL85">
        <f t="shared" si="19"/>
        <v>0</v>
      </c>
      <c r="BM85" s="33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3" cm="1">
        <f t="array" ref="BN85">$G$14+VLOOKUP($R85,武学奇术!$A:$ZZ,16,FALSE)+SUM(_xlfn.XLOOKUP($S85:$AL85,增益!$A:$A,增益!$P:$P,0))</f>
        <v>0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4" cm="1">
        <f t="array" ref="BQ85">1+$B$13+VLOOKUP($R85,武学奇术!$A:$ZZ,18,FALSE)+SUM(_xlfn.XLOOKUP($S85:$AL85,增益!$A:$A,增益!$R:$R,0))</f>
        <v>1.6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0"/>
        <v>0.8865</v>
      </c>
      <c r="BU85" s="24">
        <f t="shared" si="21"/>
        <v>0.0222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0.06</v>
      </c>
      <c r="BX85" s="24" cm="1">
        <f t="array" ref="BX85">VLOOKUP($R85,武学奇术!$A:$ZZ,32,FALSE)+SUM(_xlfn.XLOOKUP($S85:$AL85,增益!$A:$A,增益!$X:$X,0))</f>
        <v>0</v>
      </c>
    </row>
    <row r="86" spans="1:76">
      <c r="A86" s="4" t="s">
        <v>202</v>
      </c>
      <c r="B86" s="91">
        <v>5.75</v>
      </c>
      <c r="K86" s="39">
        <f>$L86*VLOOKUP($R86,武学奇术!$A:$ZY,31,FALSE)</f>
        <v>15758.1020138341</v>
      </c>
      <c r="L86" s="39">
        <f t="shared" si="11"/>
        <v>15007.7162036515</v>
      </c>
      <c r="M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15235.6830255204</v>
      </c>
      <c r="N86" s="39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14128.0186149899</v>
      </c>
      <c r="O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9522.30189095024</v>
      </c>
      <c r="P86" s="39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8579.40480783392</v>
      </c>
      <c r="Q86" s="29">
        <v>1</v>
      </c>
      <c r="R86" s="40" t="s">
        <v>113</v>
      </c>
      <c r="S86" s="40" t="s">
        <v>91</v>
      </c>
      <c r="T86" s="40" t="s">
        <v>172</v>
      </c>
      <c r="U86" s="40" t="s">
        <v>80</v>
      </c>
      <c r="V86" s="40" t="s">
        <v>166</v>
      </c>
      <c r="W86" s="40" t="s">
        <v>80</v>
      </c>
      <c r="X86" s="40" t="s">
        <v>80</v>
      </c>
      <c r="Y86" s="40" t="s">
        <v>80</v>
      </c>
      <c r="Z86" s="40" t="s">
        <v>80</v>
      </c>
      <c r="AA86" s="40" t="s">
        <v>80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80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s="40" t="s">
        <v>80</v>
      </c>
      <c r="AM86" t="str">
        <f>VLOOKUP($R86,武学奇术!$A:$ZZ,25,FALSE)</f>
        <v>伞</v>
      </c>
      <c r="AN86" s="24">
        <f>VLOOKUP($R86,武学奇术!$A:$ZZ,26,FALSE)</f>
        <v>0.54</v>
      </c>
      <c r="AO86" s="25">
        <f>VLOOKUP($R86,武学奇术!$A:$ZZ,27,FALSE)*(1+IF(OR($AM86=$F$4,$AM86=$F$5),$B$21,0))</f>
        <v>236.8</v>
      </c>
      <c r="AP86" s="24">
        <f>VLOOKUP($R86,武学奇术!$A:$ZZ,28,FALSE)</f>
        <v>0.81</v>
      </c>
      <c r="AQ86" s="25">
        <f>VLOOKUP($R86,武学奇术!$A:$ZZ,29,FALSE)*(1+IF(OR($AM86=$F$4,$AM86=$F$5),$B$21,0))</f>
        <v>130.4</v>
      </c>
      <c r="AR86" s="24" cm="1">
        <f t="array" ref="AR86">$G$3+IFERROR(VLOOKUP($AM86,$F$4:$G$7,2,FALSE),0)+VLOOKUP($R86,武学奇术!$A:$ZZ,2,FALSE)+SUM(_xlfn.XLOOKUP($S86:$AL86,增益!$A:$A,增益!$B:$B,0))</f>
        <v>0.2743</v>
      </c>
      <c r="AS86" s="24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4462.125</v>
      </c>
      <c r="AU86" cm="1">
        <f t="array" ref="AU86">$E$10*(1+$AS86)+VLOOKUP($R86,武学奇术!$A:$ZZ,4,FALSE)+SUM(_xlfn.XLOOKUP($S86:$AL86,增益!$A:$A,增益!$D:$D,0))-$I$2</f>
        <v>4462.125</v>
      </c>
      <c r="AV86" s="33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0.2939</v>
      </c>
      <c r="AW86" s="33" cm="1">
        <f t="array" ref="AW86">$G$10+VLOOKUP($R86,武学奇术!$A:$ZZ,7,FALSE)+SUM(_xlfn.XLOOKUP($S86:$AL86,增益!$A:$A,增益!$G:$G,0))</f>
        <v>0.125</v>
      </c>
      <c r="AX86" s="24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3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3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3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3" cm="1">
        <f t="array" ref="BF86">$G$12+VLOOKUP($R86,武学奇术!$A:$ZZ,12,FALSE)+SUM(_xlfn.XLOOKUP($S86:$AL86,增益!$A:$A,增益!$L:$L,0))</f>
        <v>0</v>
      </c>
      <c r="BG86">
        <f t="shared" si="16"/>
        <v>618.2</v>
      </c>
      <c r="BH86">
        <f t="shared" si="17"/>
        <v>1567.4</v>
      </c>
      <c r="BI86" s="33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0.1</v>
      </c>
      <c r="BJ86" s="33" cm="1">
        <f t="array" ref="BJ86">$G$13+VLOOKUP($R86,武学奇术!$A:$ZZ,14,FALSE)+SUM(_xlfn.XLOOKUP($S86:$AL86,增益!$A:$A,增益!$N:$N,0))</f>
        <v>0.25</v>
      </c>
      <c r="BK86">
        <f t="shared" si="18"/>
        <v>0</v>
      </c>
      <c r="BL86">
        <f t="shared" si="19"/>
        <v>0</v>
      </c>
      <c r="BM86" s="33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3" cm="1">
        <f t="array" ref="BN86">$G$14+VLOOKUP($R86,武学奇术!$A:$ZZ,16,FALSE)+SUM(_xlfn.XLOOKUP($S86:$AL86,增益!$A:$A,增益!$P:$P,0))</f>
        <v>0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4" cm="1">
        <f t="array" ref="BQ86">1+$B$13+VLOOKUP($R86,武学奇术!$A:$ZZ,18,FALSE)+SUM(_xlfn.XLOOKUP($S86:$AL86,增益!$A:$A,增益!$R:$R,0))</f>
        <v>1.6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0"/>
        <v>0.8865</v>
      </c>
      <c r="BU86" s="24">
        <f t="shared" si="21"/>
        <v>0.0222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0.06</v>
      </c>
      <c r="BX86" s="24" cm="1">
        <f t="array" ref="BX86">VLOOKUP($R86,武学奇术!$A:$ZZ,32,FALSE)+SUM(_xlfn.XLOOKUP($S86:$AL86,增益!$A:$A,增益!$X:$X,0))</f>
        <v>0</v>
      </c>
    </row>
    <row r="87" spans="1:76">
      <c r="A87" s="4"/>
      <c r="B87" s="91"/>
      <c r="K87" s="39">
        <f>$L87*VLOOKUP($R87,武学奇术!$A:$ZY,31,FALSE)</f>
        <v>23591.2590572852</v>
      </c>
      <c r="L87" s="39">
        <f t="shared" si="11"/>
        <v>22467.865768843</v>
      </c>
      <c r="M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23133.4149512063</v>
      </c>
      <c r="N87" s="39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18428.175631809</v>
      </c>
      <c r="O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12504.5486222737</v>
      </c>
      <c r="P87" s="39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11358.5967765407</v>
      </c>
      <c r="Q87" s="29">
        <v>1</v>
      </c>
      <c r="R87" s="40" t="s">
        <v>155</v>
      </c>
      <c r="S87" s="40" t="s">
        <v>91</v>
      </c>
      <c r="T87" s="40" t="s">
        <v>172</v>
      </c>
      <c r="U87" s="40" t="s">
        <v>80</v>
      </c>
      <c r="V87" s="40" t="s">
        <v>166</v>
      </c>
      <c r="W87" s="40" t="s">
        <v>80</v>
      </c>
      <c r="X87" s="40" t="s">
        <v>80</v>
      </c>
      <c r="Y87" s="40" t="s">
        <v>109</v>
      </c>
      <c r="Z87" s="40" t="s">
        <v>110</v>
      </c>
      <c r="AA87" s="40" t="s">
        <v>80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80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s="40" t="s">
        <v>80</v>
      </c>
      <c r="AM87" t="str">
        <f>VLOOKUP($R87,武学奇术!$A:$ZZ,25,FALSE)</f>
        <v>扇</v>
      </c>
      <c r="AN87" s="24">
        <f>VLOOKUP($R87,武学奇术!$A:$ZZ,26,FALSE)</f>
        <v>0.9271</v>
      </c>
      <c r="AO87" s="25">
        <f>VLOOKUP($R87,武学奇术!$A:$ZZ,27,FALSE)*(1+IF(OR($AM87=$F$4,$AM87=$F$5),$B$21,0))</f>
        <v>411.2</v>
      </c>
      <c r="AP87" s="24">
        <f>VLOOKUP($R87,武学奇术!$A:$ZZ,28,FALSE)</f>
        <v>1.3907</v>
      </c>
      <c r="AQ87" s="25">
        <f>VLOOKUP($R87,武学奇术!$A:$ZZ,29,FALSE)*(1+IF(OR($AM87=$F$4,$AM87=$F$5),$B$21,0))</f>
        <v>224</v>
      </c>
      <c r="AR87" s="24" cm="1">
        <f t="array" ref="AR87">$G$3+IFERROR(VLOOKUP($AM87,$F$4:$G$7,2,FALSE),0)+VLOOKUP($R87,武学奇术!$A:$ZZ,2,FALSE)+SUM(_xlfn.XLOOKUP($S87:$AL87,增益!$A:$A,增益!$B:$B,0))</f>
        <v>0.4243</v>
      </c>
      <c r="AS87" s="24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4462.125</v>
      </c>
      <c r="AU87" cm="1">
        <f t="array" ref="AU87">$E$10*(1+$AS87)+VLOOKUP($R87,武学奇术!$A:$ZZ,4,FALSE)+SUM(_xlfn.XLOOKUP($S87:$AL87,增益!$A:$A,增益!$D:$D,0))-$I$2</f>
        <v>4462.125</v>
      </c>
      <c r="AV87" s="33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0.3189</v>
      </c>
      <c r="AW87" s="33" cm="1">
        <f t="array" ref="AW87">$G$10+VLOOKUP($R87,武学奇术!$A:$ZZ,7,FALSE)+SUM(_xlfn.XLOOKUP($S87:$AL87,增益!$A:$A,增益!$G:$G,0))</f>
        <v>0.025</v>
      </c>
      <c r="AX87" s="24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3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3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3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3" cm="1">
        <f t="array" ref="BF87">$G$12+VLOOKUP($R87,武学奇术!$A:$ZZ,12,FALSE)+SUM(_xlfn.XLOOKUP($S87:$AL87,增益!$A:$A,增益!$L:$L,0))</f>
        <v>0</v>
      </c>
      <c r="BG87">
        <f t="shared" si="16"/>
        <v>618.2</v>
      </c>
      <c r="BH87">
        <f t="shared" si="17"/>
        <v>1567.4</v>
      </c>
      <c r="BI87" s="33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</v>
      </c>
      <c r="BJ87" s="33" cm="1">
        <f t="array" ref="BJ87">$G$13+VLOOKUP($R87,武学奇术!$A:$ZZ,14,FALSE)+SUM(_xlfn.XLOOKUP($S87:$AL87,增益!$A:$A,增益!$N:$N,0))</f>
        <v>0.15</v>
      </c>
      <c r="BK87">
        <f t="shared" si="18"/>
        <v>0</v>
      </c>
      <c r="BL87">
        <f t="shared" si="19"/>
        <v>0</v>
      </c>
      <c r="BM87" s="33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3" cm="1">
        <f t="array" ref="BN87">$G$14+VLOOKUP($R87,武学奇术!$A:$ZZ,16,FALSE)+SUM(_xlfn.XLOOKUP($S87:$AL87,增益!$A:$A,增益!$P:$P,0))</f>
        <v>0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4" cm="1">
        <f t="array" ref="BQ87">1+$B$13+VLOOKUP($R87,武学奇术!$A:$ZZ,18,FALSE)+SUM(_xlfn.XLOOKUP($S87:$AL87,增益!$A:$A,增益!$R:$R,0))</f>
        <v>1.85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0"/>
        <v>0.8865</v>
      </c>
      <c r="BU87" s="24">
        <f t="shared" si="21"/>
        <v>0.0222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0.06</v>
      </c>
      <c r="BX87" s="24" cm="1">
        <f t="array" ref="BX87">VLOOKUP($R87,武学奇术!$A:$ZZ,32,FALSE)+SUM(_xlfn.XLOOKUP($S87:$AL87,增益!$A:$A,增益!$X:$X,0))</f>
        <v>0</v>
      </c>
    </row>
    <row r="88" spans="1:76">
      <c r="A88" s="4" t="s">
        <v>113</v>
      </c>
      <c r="B88" s="91">
        <v>1.16</v>
      </c>
      <c r="K88" s="39">
        <f>$L88*VLOOKUP($R88,武学奇术!$A:$ZY,31,FALSE)</f>
        <v>330703.383874898</v>
      </c>
      <c r="L88" s="39">
        <f t="shared" si="11"/>
        <v>314955.603690379</v>
      </c>
      <c r="M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330500.554741198</v>
      </c>
      <c r="N88" s="39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206548.915838037</v>
      </c>
      <c r="O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140042.607941186</v>
      </c>
      <c r="P88" s="39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127086.018965307</v>
      </c>
      <c r="Q88" s="29">
        <v>1</v>
      </c>
      <c r="R88" s="40" t="s">
        <v>141</v>
      </c>
      <c r="S88" s="40" t="s">
        <v>91</v>
      </c>
      <c r="T88" s="40" t="s">
        <v>172</v>
      </c>
      <c r="U88" s="40" t="s">
        <v>80</v>
      </c>
      <c r="V88" s="40" t="s">
        <v>166</v>
      </c>
      <c r="W88" s="40" t="s">
        <v>142</v>
      </c>
      <c r="X88" s="40" t="s">
        <v>171</v>
      </c>
      <c r="Y88" s="40" t="s">
        <v>109</v>
      </c>
      <c r="Z88" s="40" t="s">
        <v>110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80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s="40" t="s">
        <v>80</v>
      </c>
      <c r="AM88" t="str">
        <f>VLOOKUP($R88,武学奇术!$A:$ZZ,25,FALSE)</f>
        <v>扇</v>
      </c>
      <c r="AN88" s="24">
        <f>VLOOKUP($R88,武学奇术!$A:$ZZ,26,FALSE)</f>
        <v>7.5463</v>
      </c>
      <c r="AO88" s="25">
        <f>VLOOKUP($R88,武学奇术!$A:$ZZ,27,FALSE)*(1+IF(OR($AM88=$F$4,$AM88=$F$5),$B$21,0))</f>
        <v>3339.2</v>
      </c>
      <c r="AP88" s="24">
        <f>VLOOKUP($R88,武学奇术!$A:$ZZ,28,FALSE)</f>
        <v>11.3195</v>
      </c>
      <c r="AQ88" s="25">
        <f>VLOOKUP($R88,武学奇术!$A:$ZZ,29,FALSE)*(1+IF(OR($AM88=$F$4,$AM88=$F$5),$B$21,0))</f>
        <v>1819.2</v>
      </c>
      <c r="AR88" s="24" cm="1">
        <f t="array" ref="AR88">$G$3+IFERROR(VLOOKUP($AM88,$F$4:$G$7,2,FALSE),0)+VLOOKUP($R88,武学奇术!$A:$ZZ,2,FALSE)+SUM(_xlfn.XLOOKUP($S88:$AL88,增益!$A:$A,增益!$B:$B,0))</f>
        <v>0.5043</v>
      </c>
      <c r="AS88" s="24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4462.125</v>
      </c>
      <c r="AU88" cm="1">
        <f t="array" ref="AU88">$E$10*(1+$AS88)+VLOOKUP($R88,武学奇术!$A:$ZZ,4,FALSE)+SUM(_xlfn.XLOOKUP($S88:$AL88,增益!$A:$A,增益!$D:$D,0))-$I$2</f>
        <v>4462.125</v>
      </c>
      <c r="AV88" s="33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0.4189</v>
      </c>
      <c r="AW88" s="33" cm="1">
        <f t="array" ref="AW88">$G$10+VLOOKUP($R88,武学奇术!$A:$ZZ,7,FALSE)+SUM(_xlfn.XLOOKUP($S88:$AL88,增益!$A:$A,增益!$G:$G,0))</f>
        <v>0.125</v>
      </c>
      <c r="AX88" s="24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3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3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3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3" cm="1">
        <f t="array" ref="BF88">$G$12+VLOOKUP($R88,武学奇术!$A:$ZZ,12,FALSE)+SUM(_xlfn.XLOOKUP($S88:$AL88,增益!$A:$A,增益!$L:$L,0))</f>
        <v>0</v>
      </c>
      <c r="BG88">
        <f t="shared" si="16"/>
        <v>618.2</v>
      </c>
      <c r="BH88">
        <f t="shared" si="17"/>
        <v>1567.4</v>
      </c>
      <c r="BI88" s="33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</v>
      </c>
      <c r="BJ88" s="33" cm="1">
        <f t="array" ref="BJ88">$G$13+VLOOKUP($R88,武学奇术!$A:$ZZ,14,FALSE)+SUM(_xlfn.XLOOKUP($S88:$AL88,增益!$A:$A,增益!$N:$N,0))</f>
        <v>0.25</v>
      </c>
      <c r="BK88">
        <f t="shared" si="18"/>
        <v>0</v>
      </c>
      <c r="BL88">
        <f t="shared" si="19"/>
        <v>0</v>
      </c>
      <c r="BM88" s="33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3" cm="1">
        <f t="array" ref="BN88">$G$14+VLOOKUP($R88,武学奇术!$A:$ZZ,16,FALSE)+SUM(_xlfn.XLOOKUP($S88:$AL88,增益!$A:$A,增益!$P:$P,0))</f>
        <v>0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4" cm="1">
        <f t="array" ref="BQ88">1+$B$13+VLOOKUP($R88,武学奇术!$A:$ZZ,18,FALSE)+SUM(_xlfn.XLOOKUP($S88:$AL88,增益!$A:$A,增益!$R:$R,0))</f>
        <v>2.36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0"/>
        <v>0.8865</v>
      </c>
      <c r="BU88" s="24">
        <f t="shared" si="21"/>
        <v>0.0222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0.06</v>
      </c>
      <c r="BX88" s="24" cm="1">
        <f t="array" ref="BX88">VLOOKUP($R88,武学奇术!$A:$ZZ,32,FALSE)+SUM(_xlfn.XLOOKUP($S88:$AL88,增益!$A:$A,增益!$X:$X,0))</f>
        <v>0.1</v>
      </c>
    </row>
    <row r="89" spans="1:76">
      <c r="A89" t="s">
        <v>195</v>
      </c>
      <c r="B89">
        <v>0.5</v>
      </c>
      <c r="K89" s="39">
        <f>$L89*VLOOKUP($R89,武学奇术!$A:$ZY,31,FALSE)</f>
        <v>42018.3584796847</v>
      </c>
      <c r="L89" s="39">
        <f t="shared" si="11"/>
        <v>40017.4842663664</v>
      </c>
      <c r="M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41797.6160042916</v>
      </c>
      <c r="N89" s="39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27864.5150457518</v>
      </c>
      <c r="O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18912.9484182315</v>
      </c>
      <c r="P89" s="39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17185.5153210913</v>
      </c>
      <c r="Q89" s="29">
        <v>0.5</v>
      </c>
      <c r="R89" s="40" t="s">
        <v>115</v>
      </c>
      <c r="S89" s="40" t="s">
        <v>91</v>
      </c>
      <c r="T89" s="40" t="s">
        <v>172</v>
      </c>
      <c r="U89" s="40" t="s">
        <v>106</v>
      </c>
      <c r="V89" s="40" t="s">
        <v>166</v>
      </c>
      <c r="W89" s="40" t="s">
        <v>100</v>
      </c>
      <c r="X89" s="40" t="s">
        <v>80</v>
      </c>
      <c r="Y89" s="40" t="s">
        <v>109</v>
      </c>
      <c r="Z89" s="40" t="s">
        <v>110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80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s="40" t="s">
        <v>80</v>
      </c>
      <c r="AM89" t="str">
        <f>VLOOKUP($R89,武学奇术!$A:$ZZ,25,FALSE)</f>
        <v>伞</v>
      </c>
      <c r="AN89" s="24">
        <f>VLOOKUP($R89,武学奇术!$A:$ZZ,26,FALSE)</f>
        <v>1.0217</v>
      </c>
      <c r="AO89" s="25">
        <f>VLOOKUP($R89,武学奇术!$A:$ZZ,27,FALSE)*(1+IF(OR($AM89=$F$4,$AM89=$F$5),$B$21,0))</f>
        <v>451.2</v>
      </c>
      <c r="AP89" s="24">
        <f>VLOOKUP($R89,武学奇术!$A:$ZZ,28,FALSE)</f>
        <v>1.5325</v>
      </c>
      <c r="AQ89" s="25">
        <f>VLOOKUP($R89,武学奇术!$A:$ZZ,29,FALSE)*(1+IF(OR($AM89=$F$4,$AM89=$F$5),$B$21,0))</f>
        <v>246.4</v>
      </c>
      <c r="AR89" s="24" cm="1">
        <f t="array" ref="AR89">$G$3+IFERROR(VLOOKUP($AM89,$F$4:$G$7,2,FALSE),0)+VLOOKUP($R89,武学奇术!$A:$ZZ,2,FALSE)+SUM(_xlfn.XLOOKUP($S89:$AL89,增益!$A:$A,增益!$B:$B,0))</f>
        <v>0.9743</v>
      </c>
      <c r="AS89" s="24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4462.125</v>
      </c>
      <c r="AU89" cm="1">
        <f t="array" ref="AU89">$E$10*(1+$AS89)+VLOOKUP($R89,武学奇术!$A:$ZZ,4,FALSE)+SUM(_xlfn.XLOOKUP($S89:$AL89,增益!$A:$A,增益!$D:$D,0))-$I$2</f>
        <v>4462.125</v>
      </c>
      <c r="AV89" s="33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0.4439</v>
      </c>
      <c r="AW89" s="33" cm="1">
        <f t="array" ref="AW89">$G$10+VLOOKUP($R89,武学奇术!$A:$ZZ,7,FALSE)+SUM(_xlfn.XLOOKUP($S89:$AL89,增益!$A:$A,增益!$G:$G,0))</f>
        <v>0.125</v>
      </c>
      <c r="AX89" s="24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3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3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3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3" cm="1">
        <f t="array" ref="BF89">$G$12+VLOOKUP($R89,武学奇术!$A:$ZZ,12,FALSE)+SUM(_xlfn.XLOOKUP($S89:$AL89,增益!$A:$A,增益!$L:$L,0))</f>
        <v>0</v>
      </c>
      <c r="BG89">
        <f t="shared" si="16"/>
        <v>618.2</v>
      </c>
      <c r="BH89">
        <f t="shared" si="17"/>
        <v>1567.4</v>
      </c>
      <c r="BI89" s="33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</v>
      </c>
      <c r="BJ89" s="33" cm="1">
        <f t="array" ref="BJ89">$G$13+VLOOKUP($R89,武学奇术!$A:$ZZ,14,FALSE)+SUM(_xlfn.XLOOKUP($S89:$AL89,增益!$A:$A,增益!$N:$N,0))</f>
        <v>0.25</v>
      </c>
      <c r="BK89">
        <f t="shared" si="18"/>
        <v>0</v>
      </c>
      <c r="BL89">
        <f t="shared" si="19"/>
        <v>0</v>
      </c>
      <c r="BM89" s="33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3" cm="1">
        <f t="array" ref="BN89">$G$14+VLOOKUP($R89,武学奇术!$A:$ZZ,16,FALSE)+SUM(_xlfn.XLOOKUP($S89:$AL89,增益!$A:$A,增益!$P:$P,0))</f>
        <v>0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4" cm="1">
        <f t="array" ref="BQ89">1+$B$13+VLOOKUP($R89,武学奇术!$A:$ZZ,18,FALSE)+SUM(_xlfn.XLOOKUP($S89:$AL89,增益!$A:$A,增益!$R:$R,0))</f>
        <v>2.21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0"/>
        <v>0.8865</v>
      </c>
      <c r="BU89" s="24">
        <f t="shared" si="21"/>
        <v>0.0222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0.06</v>
      </c>
      <c r="BX89" s="24" cm="1">
        <f t="array" ref="BX89">VLOOKUP($R89,武学奇术!$A:$ZZ,32,FALSE)+SUM(_xlfn.XLOOKUP($S89:$AL89,增益!$A:$A,增益!$X:$X,0))</f>
        <v>0.25</v>
      </c>
    </row>
    <row r="90" spans="1:76">
      <c r="A90" s="4" t="s">
        <v>203</v>
      </c>
      <c r="B90" s="4">
        <v>1.7</v>
      </c>
      <c r="E90" s="27">
        <v>0.3</v>
      </c>
      <c r="K90" s="39">
        <f>$L90*VLOOKUP($R90,武学奇术!$A:$ZY,31,FALSE)</f>
        <v>462201.943276532</v>
      </c>
      <c r="L90" s="39">
        <f t="shared" si="11"/>
        <v>440192.32693003</v>
      </c>
      <c r="M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459773.776047208</v>
      </c>
      <c r="N90" s="39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306509.665503269</v>
      </c>
      <c r="O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208042.432600546</v>
      </c>
      <c r="P90" s="39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189040.668532004</v>
      </c>
      <c r="Q90" s="29">
        <v>5.5</v>
      </c>
      <c r="R90" s="40" t="s">
        <v>115</v>
      </c>
      <c r="S90" s="40" t="s">
        <v>91</v>
      </c>
      <c r="T90" s="40" t="s">
        <v>172</v>
      </c>
      <c r="U90" s="40" t="s">
        <v>106</v>
      </c>
      <c r="V90" s="40" t="s">
        <v>166</v>
      </c>
      <c r="W90" s="40" t="s">
        <v>100</v>
      </c>
      <c r="X90" s="40" t="s">
        <v>80</v>
      </c>
      <c r="Y90" s="40" t="s">
        <v>109</v>
      </c>
      <c r="Z90" s="40" t="s">
        <v>110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80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s="40" t="s">
        <v>80</v>
      </c>
      <c r="AM90" t="str">
        <f>VLOOKUP($R90,武学奇术!$A:$ZZ,25,FALSE)</f>
        <v>伞</v>
      </c>
      <c r="AN90" s="24">
        <f>VLOOKUP($R90,武学奇术!$A:$ZZ,26,FALSE)</f>
        <v>1.0217</v>
      </c>
      <c r="AO90" s="25">
        <f>VLOOKUP($R90,武学奇术!$A:$ZZ,27,FALSE)*(1+IF(OR($AM90=$F$4,$AM90=$F$5),$B$21,0))</f>
        <v>451.2</v>
      </c>
      <c r="AP90" s="24">
        <f>VLOOKUP($R90,武学奇术!$A:$ZZ,28,FALSE)</f>
        <v>1.5325</v>
      </c>
      <c r="AQ90" s="25">
        <f>VLOOKUP($R90,武学奇术!$A:$ZZ,29,FALSE)*(1+IF(OR($AM90=$F$4,$AM90=$F$5),$B$21,0))</f>
        <v>246.4</v>
      </c>
      <c r="AR90" s="24" cm="1">
        <f t="array" ref="AR90">$G$3+IFERROR(VLOOKUP($AM90,$F$4:$G$7,2,FALSE),0)+VLOOKUP($R90,武学奇术!$A:$ZZ,2,FALSE)+SUM(_xlfn.XLOOKUP($S90:$AL90,增益!$A:$A,增益!$B:$B,0))</f>
        <v>0.9743</v>
      </c>
      <c r="AS90" s="24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4462.125</v>
      </c>
      <c r="AU90" cm="1">
        <f t="array" ref="AU90">$E$10*(1+$AS90)+VLOOKUP($R90,武学奇术!$A:$ZZ,4,FALSE)+SUM(_xlfn.XLOOKUP($S90:$AL90,增益!$A:$A,增益!$D:$D,0))-$I$2</f>
        <v>4462.125</v>
      </c>
      <c r="AV90" s="33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0.4439</v>
      </c>
      <c r="AW90" s="33" cm="1">
        <f t="array" ref="AW90">$G$10+VLOOKUP($R90,武学奇术!$A:$ZZ,7,FALSE)+SUM(_xlfn.XLOOKUP($S90:$AL90,增益!$A:$A,增益!$G:$G,0))</f>
        <v>0.125</v>
      </c>
      <c r="AX90" s="24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3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3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3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3" cm="1">
        <f t="array" ref="BF90">$G$12+VLOOKUP($R90,武学奇术!$A:$ZZ,12,FALSE)+SUM(_xlfn.XLOOKUP($S90:$AL90,增益!$A:$A,增益!$L:$L,0))</f>
        <v>0</v>
      </c>
      <c r="BG90">
        <f t="shared" si="16"/>
        <v>618.2</v>
      </c>
      <c r="BH90">
        <f t="shared" si="17"/>
        <v>1567.4</v>
      </c>
      <c r="BI90" s="33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</v>
      </c>
      <c r="BJ90" s="33" cm="1">
        <f t="array" ref="BJ90">$G$13+VLOOKUP($R90,武学奇术!$A:$ZZ,14,FALSE)+SUM(_xlfn.XLOOKUP($S90:$AL90,增益!$A:$A,增益!$N:$N,0))</f>
        <v>0.25</v>
      </c>
      <c r="BK90">
        <f t="shared" si="18"/>
        <v>0</v>
      </c>
      <c r="BL90">
        <f t="shared" si="19"/>
        <v>0</v>
      </c>
      <c r="BM90" s="33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3" cm="1">
        <f t="array" ref="BN90">$G$14+VLOOKUP($R90,武学奇术!$A:$ZZ,16,FALSE)+SUM(_xlfn.XLOOKUP($S90:$AL90,增益!$A:$A,增益!$P:$P,0))</f>
        <v>0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4" cm="1">
        <f t="array" ref="BQ90">1+$B$13+VLOOKUP($R90,武学奇术!$A:$ZZ,18,FALSE)+SUM(_xlfn.XLOOKUP($S90:$AL90,增益!$A:$A,增益!$R:$R,0))</f>
        <v>2.21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0"/>
        <v>0.8865</v>
      </c>
      <c r="BU90" s="24">
        <f t="shared" si="21"/>
        <v>0.0222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0.06</v>
      </c>
      <c r="BX90" s="24" cm="1">
        <f t="array" ref="BX90">VLOOKUP($R90,武学奇术!$A:$ZZ,32,FALSE)+SUM(_xlfn.XLOOKUP($S90:$AL90,增益!$A:$A,增益!$X:$X,0))</f>
        <v>0.25</v>
      </c>
    </row>
    <row r="91" spans="1:76">
      <c r="A91" s="4" t="s">
        <v>134</v>
      </c>
      <c r="B91" s="4">
        <v>0.8</v>
      </c>
      <c r="K91" s="39">
        <f>$L91*VLOOKUP($R91,武学奇术!$A:$ZY,31,FALSE)</f>
        <v>42014.244435953</v>
      </c>
      <c r="L91" s="39">
        <f t="shared" si="11"/>
        <v>40013.566129479</v>
      </c>
      <c r="M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40621.5499053605</v>
      </c>
      <c r="N91" s="39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37666.3541450173</v>
      </c>
      <c r="O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25388.4686908503</v>
      </c>
      <c r="P91" s="39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22875.9343113174</v>
      </c>
      <c r="Q91" s="29">
        <v>1</v>
      </c>
      <c r="R91" s="40" t="s">
        <v>108</v>
      </c>
      <c r="S91" s="40" t="s">
        <v>91</v>
      </c>
      <c r="T91" s="40" t="s">
        <v>172</v>
      </c>
      <c r="U91" s="40" t="s">
        <v>80</v>
      </c>
      <c r="V91" s="40" t="s">
        <v>166</v>
      </c>
      <c r="W91" s="40" t="s">
        <v>80</v>
      </c>
      <c r="X91" s="40" t="s">
        <v>80</v>
      </c>
      <c r="Y91" s="40" t="s">
        <v>80</v>
      </c>
      <c r="Z91" s="40" t="s">
        <v>110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80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s="40" t="s">
        <v>80</v>
      </c>
      <c r="AM91" t="str">
        <f>VLOOKUP($R91,武学奇术!$A:$ZZ,25,FALSE)</f>
        <v>伞</v>
      </c>
      <c r="AN91" s="24">
        <f>VLOOKUP($R91,武学奇术!$A:$ZZ,26,FALSE)</f>
        <v>1.7001</v>
      </c>
      <c r="AO91" s="25">
        <f>VLOOKUP($R91,武学奇术!$A:$ZZ,27,FALSE)*(1+IF(OR($AM91=$F$4,$AM91=$F$5),$B$21,0))</f>
        <v>753.6</v>
      </c>
      <c r="AP91" s="24">
        <f>VLOOKUP($R91,武学奇术!$A:$ZZ,28,FALSE)</f>
        <v>2.5502</v>
      </c>
      <c r="AQ91" s="25">
        <f>VLOOKUP($R91,武学奇术!$A:$ZZ,29,FALSE)*(1+IF(OR($AM91=$F$4,$AM91=$F$5),$B$21,0))</f>
        <v>409.6</v>
      </c>
      <c r="AR91" s="24" cm="1">
        <f t="array" ref="AR91">$G$3+IFERROR(VLOOKUP($AM91,$F$4:$G$7,2,FALSE),0)+VLOOKUP($R91,武学奇术!$A:$ZZ,2,FALSE)+SUM(_xlfn.XLOOKUP($S91:$AL91,增益!$A:$A,增益!$B:$B,0))</f>
        <v>0.4243</v>
      </c>
      <c r="AS91" s="24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4462.125</v>
      </c>
      <c r="AU91" cm="1">
        <f t="array" ref="AU91">$E$10*(1+$AS91)+VLOOKUP($R91,武学奇术!$A:$ZZ,4,FALSE)+SUM(_xlfn.XLOOKUP($S91:$AL91,增益!$A:$A,增益!$D:$D,0))-$I$2</f>
        <v>4462.125</v>
      </c>
      <c r="AV91" s="33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0.2939</v>
      </c>
      <c r="AW91" s="33" cm="1">
        <f t="array" ref="AW91">$G$10+VLOOKUP($R91,武学奇术!$A:$ZZ,7,FALSE)+SUM(_xlfn.XLOOKUP($S91:$AL91,增益!$A:$A,增益!$G:$G,0))</f>
        <v>0.125</v>
      </c>
      <c r="AX91" s="24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3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3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3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3" cm="1">
        <f t="array" ref="BF91">$G$12+VLOOKUP($R91,武学奇术!$A:$ZZ,12,FALSE)+SUM(_xlfn.XLOOKUP($S91:$AL91,增益!$A:$A,增益!$L:$L,0))</f>
        <v>0</v>
      </c>
      <c r="BG91">
        <f t="shared" si="16"/>
        <v>618.2</v>
      </c>
      <c r="BH91">
        <f t="shared" si="17"/>
        <v>1567.4</v>
      </c>
      <c r="BI91" s="33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3" cm="1">
        <f t="array" ref="BJ91">$G$13+VLOOKUP($R91,武学奇术!$A:$ZZ,14,FALSE)+SUM(_xlfn.XLOOKUP($S91:$AL91,增益!$A:$A,增益!$N:$N,0))</f>
        <v>0.25</v>
      </c>
      <c r="BK91">
        <f t="shared" si="18"/>
        <v>0</v>
      </c>
      <c r="BL91">
        <f t="shared" si="19"/>
        <v>0</v>
      </c>
      <c r="BM91" s="33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3" cm="1">
        <f t="array" ref="BN91">$G$14+VLOOKUP($R91,武学奇术!$A:$ZZ,16,FALSE)+SUM(_xlfn.XLOOKUP($S91:$AL91,增益!$A:$A,增益!$P:$P,0))</f>
        <v>0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4" cm="1">
        <f t="array" ref="BQ91">1+$B$13+VLOOKUP($R91,武学奇术!$A:$ZZ,18,FALSE)+SUM(_xlfn.XLOOKUP($S91:$AL91,增益!$A:$A,增益!$R:$R,0))</f>
        <v>1.6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0"/>
        <v>0.8865</v>
      </c>
      <c r="BU91" s="24">
        <f t="shared" si="21"/>
        <v>0.0222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0.06</v>
      </c>
      <c r="BX91" s="24" cm="1">
        <f t="array" ref="BX91">VLOOKUP($R91,武学奇术!$A:$ZZ,32,FALSE)+SUM(_xlfn.XLOOKUP($S91:$AL91,增益!$A:$A,增益!$X:$X,0))</f>
        <v>0</v>
      </c>
    </row>
    <row r="92" spans="1:76">
      <c r="A92" t="s">
        <v>170</v>
      </c>
      <c r="B92">
        <v>2.5</v>
      </c>
      <c r="K92" s="39">
        <f>$L92*VLOOKUP($R92,武学奇术!$A:$ZY,31,FALSE)</f>
        <v>107492.056777454</v>
      </c>
      <c r="L92" s="39">
        <f t="shared" si="11"/>
        <v>102373.387407099</v>
      </c>
      <c r="M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105883.550141904</v>
      </c>
      <c r="N92" s="39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80047.3924894425</v>
      </c>
      <c r="O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54022.2194601551</v>
      </c>
      <c r="P92" s="39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48750.0741133157</v>
      </c>
      <c r="Q92" s="29">
        <v>1</v>
      </c>
      <c r="R92" s="40" t="s">
        <v>99</v>
      </c>
      <c r="S92" s="40" t="s">
        <v>91</v>
      </c>
      <c r="T92" s="40" t="s">
        <v>172</v>
      </c>
      <c r="U92" s="40" t="s">
        <v>106</v>
      </c>
      <c r="V92" s="40" t="s">
        <v>166</v>
      </c>
      <c r="W92" s="40" t="s">
        <v>100</v>
      </c>
      <c r="X92" s="40" t="s">
        <v>80</v>
      </c>
      <c r="Y92" s="40" t="s">
        <v>80</v>
      </c>
      <c r="Z92" s="40" t="s">
        <v>110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80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s="40" t="s">
        <v>80</v>
      </c>
      <c r="AM92" t="str">
        <f>VLOOKUP($R92,武学奇术!$A:$ZZ,25,FALSE)</f>
        <v>伞</v>
      </c>
      <c r="AN92" s="24">
        <f>VLOOKUP($R92,武学奇术!$A:$ZZ,26,FALSE)</f>
        <v>2.3397</v>
      </c>
      <c r="AO92" s="25">
        <f>VLOOKUP($R92,武学奇术!$A:$ZZ,27,FALSE)*(1+IF(OR($AM92=$F$4,$AM92=$F$5),$B$21,0))</f>
        <v>1036.8</v>
      </c>
      <c r="AP92" s="24">
        <f>VLOOKUP($R92,武学奇术!$A:$ZZ,28,FALSE)</f>
        <v>3.5095</v>
      </c>
      <c r="AQ92" s="25">
        <f>VLOOKUP($R92,武学奇术!$A:$ZZ,29,FALSE)*(1+IF(OR($AM92=$F$4,$AM92=$F$5),$B$21,0))</f>
        <v>564.8</v>
      </c>
      <c r="AR92" s="24" cm="1">
        <f t="array" ref="AR92">$G$3+IFERROR(VLOOKUP($AM92,$F$4:$G$7,2,FALSE),0)+VLOOKUP($R92,武学奇术!$A:$ZZ,2,FALSE)+SUM(_xlfn.XLOOKUP($S92:$AL92,增益!$A:$A,增益!$B:$B,0))</f>
        <v>0.9743</v>
      </c>
      <c r="AS92" s="24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4462.125</v>
      </c>
      <c r="AU92" cm="1">
        <f t="array" ref="AU92">$E$10*(1+$AS92)+VLOOKUP($R92,武学奇术!$A:$ZZ,4,FALSE)+SUM(_xlfn.XLOOKUP($S92:$AL92,增益!$A:$A,增益!$D:$D,0))-$I$2</f>
        <v>4462.125</v>
      </c>
      <c r="AV92" s="33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0.3189</v>
      </c>
      <c r="AW92" s="33" cm="1">
        <f t="array" ref="AW92">$G$10+VLOOKUP($R92,武学奇术!$A:$ZZ,7,FALSE)+SUM(_xlfn.XLOOKUP($S92:$AL92,增益!$A:$A,增益!$G:$G,0))</f>
        <v>0.125</v>
      </c>
      <c r="AX92" s="24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3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3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3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3" cm="1">
        <f t="array" ref="BF92">$G$12+VLOOKUP($R92,武学奇术!$A:$ZZ,12,FALSE)+SUM(_xlfn.XLOOKUP($S92:$AL92,增益!$A:$A,增益!$L:$L,0))</f>
        <v>0</v>
      </c>
      <c r="BG92">
        <f t="shared" si="16"/>
        <v>618.2</v>
      </c>
      <c r="BH92">
        <f t="shared" si="17"/>
        <v>1567.4</v>
      </c>
      <c r="BI92" s="33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0.1</v>
      </c>
      <c r="BJ92" s="33" cm="1">
        <f t="array" ref="BJ92">$G$13+VLOOKUP($R92,武学奇术!$A:$ZZ,14,FALSE)+SUM(_xlfn.XLOOKUP($S92:$AL92,增益!$A:$A,增益!$N:$N,0))</f>
        <v>0.25</v>
      </c>
      <c r="BK92">
        <f t="shared" si="18"/>
        <v>0</v>
      </c>
      <c r="BL92">
        <f t="shared" si="19"/>
        <v>0</v>
      </c>
      <c r="BM92" s="33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3" cm="1">
        <f t="array" ref="BN92">$G$14+VLOOKUP($R92,武学奇术!$A:$ZZ,16,FALSE)+SUM(_xlfn.XLOOKUP($S92:$AL92,增益!$A:$A,增益!$P:$P,0))</f>
        <v>0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4" cm="1">
        <f t="array" ref="BQ92">1+$B$13+VLOOKUP($R92,武学奇术!$A:$ZZ,18,FALSE)+SUM(_xlfn.XLOOKUP($S92:$AL92,增益!$A:$A,增益!$R:$R,0))</f>
        <v>1.96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0"/>
        <v>0.8865</v>
      </c>
      <c r="BU92" s="24">
        <f t="shared" si="21"/>
        <v>0.0222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0.06</v>
      </c>
      <c r="BX92" s="24" cm="1">
        <f t="array" ref="BX92">VLOOKUP($R92,武学奇术!$A:$ZZ,32,FALSE)+SUM(_xlfn.XLOOKUP($S92:$AL92,增益!$A:$A,增益!$X:$X,0))</f>
        <v>0.1</v>
      </c>
    </row>
    <row r="93" spans="1:76">
      <c r="A93" s="4" t="s">
        <v>167</v>
      </c>
      <c r="B93" s="4">
        <v>0.1</v>
      </c>
      <c r="K93" s="39">
        <f>$L93*VLOOKUP($R93,武学奇术!$A:$ZY,31,FALSE)</f>
        <v>35637.4726305846</v>
      </c>
      <c r="L93" s="39">
        <f t="shared" si="11"/>
        <v>33940.4501243663</v>
      </c>
      <c r="M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34945.8452015107</v>
      </c>
      <c r="N93" s="39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27837.9869749054</v>
      </c>
      <c r="O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18889.6460548707</v>
      </c>
      <c r="P93" s="39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17158.5610172188</v>
      </c>
      <c r="Q93" s="29">
        <v>1</v>
      </c>
      <c r="R93" s="40" t="s">
        <v>134</v>
      </c>
      <c r="S93" s="40" t="s">
        <v>91</v>
      </c>
      <c r="T93" s="40" t="s">
        <v>172</v>
      </c>
      <c r="U93" s="40" t="s">
        <v>80</v>
      </c>
      <c r="V93" s="40" t="s">
        <v>166</v>
      </c>
      <c r="W93" s="40" t="s">
        <v>80</v>
      </c>
      <c r="X93" s="40" t="s">
        <v>80</v>
      </c>
      <c r="Y93" s="40" t="s">
        <v>109</v>
      </c>
      <c r="Z93" s="40" t="s">
        <v>110</v>
      </c>
      <c r="AA93" s="40" t="s">
        <v>175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80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s="40" t="s">
        <v>80</v>
      </c>
      <c r="AM93" t="str">
        <f>VLOOKUP($R93,武学奇术!$A:$ZZ,25,FALSE)</f>
        <v>扇</v>
      </c>
      <c r="AN93" s="24">
        <f>VLOOKUP($R93,武学奇术!$A:$ZZ,26,FALSE)</f>
        <v>1.2798</v>
      </c>
      <c r="AO93" s="25">
        <f>VLOOKUP($R93,武学奇术!$A:$ZZ,27,FALSE)*(1+IF(OR($AM93=$F$4,$AM93=$F$5),$B$21,0))</f>
        <v>568</v>
      </c>
      <c r="AP93" s="24">
        <f>VLOOKUP($R93,武学奇术!$A:$ZZ,28,FALSE)</f>
        <v>1.9197</v>
      </c>
      <c r="AQ93" s="25">
        <f>VLOOKUP($R93,武学奇术!$A:$ZZ,29,FALSE)*(1+IF(OR($AM93=$F$4,$AM93=$F$5),$B$21,0))</f>
        <v>308.8</v>
      </c>
      <c r="AR93" s="24" cm="1">
        <f t="array" ref="AR93">$G$3+IFERROR(VLOOKUP($AM93,$F$4:$G$7,2,FALSE),0)+VLOOKUP($R93,武学奇术!$A:$ZZ,2,FALSE)+SUM(_xlfn.XLOOKUP($S93:$AL93,增益!$A:$A,增益!$B:$B,0))</f>
        <v>0.4243</v>
      </c>
      <c r="AS93" s="24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4462.125</v>
      </c>
      <c r="AU93" cm="1">
        <f t="array" ref="AU93">$E$10*(1+$AS93)+VLOOKUP($R93,武学奇术!$A:$ZZ,4,FALSE)+SUM(_xlfn.XLOOKUP($S93:$AL93,增益!$A:$A,增益!$D:$D,0))-$I$2</f>
        <v>4462.125</v>
      </c>
      <c r="AV93" s="33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0.3189</v>
      </c>
      <c r="AW93" s="33" cm="1">
        <f t="array" ref="AW93">$G$10+VLOOKUP($R93,武学奇术!$A:$ZZ,7,FALSE)+SUM(_xlfn.XLOOKUP($S93:$AL93,增益!$A:$A,增益!$G:$G,0))</f>
        <v>0.025</v>
      </c>
      <c r="AX93" s="24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3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3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3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3" cm="1">
        <f t="array" ref="BF93">$G$12+VLOOKUP($R93,武学奇术!$A:$ZZ,12,FALSE)+SUM(_xlfn.XLOOKUP($S93:$AL93,增益!$A:$A,增益!$L:$L,0))</f>
        <v>0</v>
      </c>
      <c r="BG93">
        <f t="shared" si="16"/>
        <v>618.2</v>
      </c>
      <c r="BH93">
        <f t="shared" si="17"/>
        <v>1567.4</v>
      </c>
      <c r="BI93" s="33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3" cm="1">
        <f t="array" ref="BJ93">$G$13+VLOOKUP($R93,武学奇术!$A:$ZZ,14,FALSE)+SUM(_xlfn.XLOOKUP($S93:$AL93,增益!$A:$A,增益!$N:$N,0))</f>
        <v>0.15</v>
      </c>
      <c r="BK93">
        <f t="shared" si="18"/>
        <v>0</v>
      </c>
      <c r="BL93">
        <f t="shared" si="19"/>
        <v>0</v>
      </c>
      <c r="BM93" s="33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3" cm="1">
        <f t="array" ref="BN93">$G$14+VLOOKUP($R93,武学奇术!$A:$ZZ,16,FALSE)+SUM(_xlfn.XLOOKUP($S93:$AL93,增益!$A:$A,增益!$P:$P,0))</f>
        <v>0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4" cm="1">
        <f t="array" ref="BQ93">1+$B$13+VLOOKUP($R93,武学奇术!$A:$ZZ,18,FALSE)+SUM(_xlfn.XLOOKUP($S93:$AL93,增益!$A:$A,增益!$R:$R,0))</f>
        <v>1.85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20"/>
        <v>0.8865</v>
      </c>
      <c r="BU93" s="24">
        <f t="shared" si="21"/>
        <v>0.0222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0.16</v>
      </c>
      <c r="BX93" s="24" cm="1">
        <f t="array" ref="BX93">VLOOKUP($R93,武学奇术!$A:$ZZ,32,FALSE)+SUM(_xlfn.XLOOKUP($S93:$AL93,增益!$A:$A,增益!$X:$X,0))</f>
        <v>0</v>
      </c>
    </row>
    <row r="94" spans="1:76">
      <c r="A94" s="4" t="s">
        <v>99</v>
      </c>
      <c r="B94" s="4">
        <v>1.25</v>
      </c>
      <c r="K94" s="39">
        <f>$L94*VLOOKUP($R94,武学奇术!$A:$ZY,31,FALSE)</f>
        <v>361901.816315926</v>
      </c>
      <c r="L94" s="39">
        <f t="shared" si="11"/>
        <v>344668.396491358</v>
      </c>
      <c r="M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361679.852358292</v>
      </c>
      <c r="N94" s="39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226034.66261521</v>
      </c>
      <c r="O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153254.17472809</v>
      </c>
      <c r="P94" s="39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139075.266037506</v>
      </c>
      <c r="Q94" s="29">
        <v>1</v>
      </c>
      <c r="R94" s="40" t="s">
        <v>141</v>
      </c>
      <c r="S94" s="40" t="s">
        <v>91</v>
      </c>
      <c r="T94" s="40" t="s">
        <v>172</v>
      </c>
      <c r="U94" s="40" t="s">
        <v>80</v>
      </c>
      <c r="V94" s="40" t="s">
        <v>166</v>
      </c>
      <c r="W94" s="40" t="s">
        <v>142</v>
      </c>
      <c r="X94" s="40" t="s">
        <v>171</v>
      </c>
      <c r="Y94" s="40" t="s">
        <v>109</v>
      </c>
      <c r="Z94" s="40" t="s">
        <v>110</v>
      </c>
      <c r="AA94" s="40" t="s">
        <v>175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80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s="40" t="s">
        <v>80</v>
      </c>
      <c r="AM94" t="str">
        <f>VLOOKUP($R94,武学奇术!$A:$ZZ,25,FALSE)</f>
        <v>扇</v>
      </c>
      <c r="AN94" s="24">
        <f>VLOOKUP($R94,武学奇术!$A:$ZZ,26,FALSE)</f>
        <v>7.5463</v>
      </c>
      <c r="AO94" s="25">
        <f>VLOOKUP($R94,武学奇术!$A:$ZZ,27,FALSE)*(1+IF(OR($AM94=$F$4,$AM94=$F$5),$B$21,0))</f>
        <v>3339.2</v>
      </c>
      <c r="AP94" s="24">
        <f>VLOOKUP($R94,武学奇术!$A:$ZZ,28,FALSE)</f>
        <v>11.3195</v>
      </c>
      <c r="AQ94" s="25">
        <f>VLOOKUP($R94,武学奇术!$A:$ZZ,29,FALSE)*(1+IF(OR($AM94=$F$4,$AM94=$F$5),$B$21,0))</f>
        <v>1819.2</v>
      </c>
      <c r="AR94" s="24" cm="1">
        <f t="array" ref="AR94">$G$3+IFERROR(VLOOKUP($AM94,$F$4:$G$7,2,FALSE),0)+VLOOKUP($R94,武学奇术!$A:$ZZ,2,FALSE)+SUM(_xlfn.XLOOKUP($S94:$AL94,增益!$A:$A,增益!$B:$B,0))</f>
        <v>0.5043</v>
      </c>
      <c r="AS94" s="24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4462.125</v>
      </c>
      <c r="AU94" cm="1">
        <f t="array" ref="AU94">$E$10*(1+$AS94)+VLOOKUP($R94,武学奇术!$A:$ZZ,4,FALSE)+SUM(_xlfn.XLOOKUP($S94:$AL94,增益!$A:$A,增益!$D:$D,0))-$I$2</f>
        <v>4462.125</v>
      </c>
      <c r="AV94" s="33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0.4189</v>
      </c>
      <c r="AW94" s="33" cm="1">
        <f t="array" ref="AW94">$G$10+VLOOKUP($R94,武学奇术!$A:$ZZ,7,FALSE)+SUM(_xlfn.XLOOKUP($S94:$AL94,增益!$A:$A,增益!$G:$G,0))</f>
        <v>0.125</v>
      </c>
      <c r="AX94" s="24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3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3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3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3" cm="1">
        <f t="array" ref="BF94">$G$12+VLOOKUP($R94,武学奇术!$A:$ZZ,12,FALSE)+SUM(_xlfn.XLOOKUP($S94:$AL94,增益!$A:$A,增益!$L:$L,0))</f>
        <v>0</v>
      </c>
      <c r="BG94">
        <f t="shared" si="16"/>
        <v>618.2</v>
      </c>
      <c r="BH94">
        <f t="shared" si="17"/>
        <v>1567.4</v>
      </c>
      <c r="BI94" s="33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0.1</v>
      </c>
      <c r="BJ94" s="33" cm="1">
        <f t="array" ref="BJ94">$G$13+VLOOKUP($R94,武学奇术!$A:$ZZ,14,FALSE)+SUM(_xlfn.XLOOKUP($S94:$AL94,增益!$A:$A,增益!$N:$N,0))</f>
        <v>0.25</v>
      </c>
      <c r="BK94">
        <f t="shared" si="18"/>
        <v>0</v>
      </c>
      <c r="BL94">
        <f t="shared" si="19"/>
        <v>0</v>
      </c>
      <c r="BM94" s="33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3" cm="1">
        <f t="array" ref="BN94">$G$14+VLOOKUP($R94,武学奇术!$A:$ZZ,16,FALSE)+SUM(_xlfn.XLOOKUP($S94:$AL94,增益!$A:$A,增益!$P:$P,0))</f>
        <v>0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4" cm="1">
        <f t="array" ref="BQ94">1+$B$13+VLOOKUP($R94,武学奇术!$A:$ZZ,18,FALSE)+SUM(_xlfn.XLOOKUP($S94:$AL94,增益!$A:$A,增益!$R:$R,0))</f>
        <v>2.36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0"/>
        <v>0.8865</v>
      </c>
      <c r="BU94" s="24">
        <f t="shared" si="21"/>
        <v>0.0222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0.16</v>
      </c>
      <c r="BX94" s="24" cm="1">
        <f t="array" ref="BX94">VLOOKUP($R94,武学奇术!$A:$ZZ,32,FALSE)+SUM(_xlfn.XLOOKUP($S94:$AL94,增益!$A:$A,增益!$X:$X,0))</f>
        <v>0.1</v>
      </c>
    </row>
    <row r="95" spans="1:76">
      <c r="A95" s="4" t="s">
        <v>162</v>
      </c>
      <c r="B95" s="91">
        <v>1.3</v>
      </c>
      <c r="K95" s="39">
        <f>$L95*VLOOKUP($R95,武学奇术!$A:$ZY,31,FALSE)</f>
        <v>38773.5252013244</v>
      </c>
      <c r="L95" s="39">
        <f t="shared" si="11"/>
        <v>36927.1668584041</v>
      </c>
      <c r="M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38012.0632327842</v>
      </c>
      <c r="N95" s="39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30375.9917168407</v>
      </c>
      <c r="O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20547.0612069104</v>
      </c>
      <c r="P95" s="39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18593.3878087536</v>
      </c>
      <c r="Q95" s="29">
        <v>1</v>
      </c>
      <c r="R95" s="40" t="s">
        <v>179</v>
      </c>
      <c r="S95" s="40" t="s">
        <v>91</v>
      </c>
      <c r="T95" s="40" t="s">
        <v>172</v>
      </c>
      <c r="U95" s="40" t="s">
        <v>80</v>
      </c>
      <c r="V95" s="40" t="s">
        <v>166</v>
      </c>
      <c r="W95" s="40" t="s">
        <v>80</v>
      </c>
      <c r="X95" s="40" t="s">
        <v>80</v>
      </c>
      <c r="Y95" s="40" t="s">
        <v>109</v>
      </c>
      <c r="Z95" s="40" t="s">
        <v>110</v>
      </c>
      <c r="AA95" s="40" t="s">
        <v>175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80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s="40" t="s">
        <v>80</v>
      </c>
      <c r="AM95" t="str">
        <f>VLOOKUP($R95,武学奇术!$A:$ZZ,25,FALSE)</f>
        <v>单体奇术</v>
      </c>
      <c r="AN95" s="24">
        <f>VLOOKUP($R95,武学奇术!$A:$ZZ,26,FALSE)</f>
        <v>1.3517</v>
      </c>
      <c r="AO95" s="25">
        <f>VLOOKUP($R95,武学奇术!$A:$ZZ,27,FALSE)*(1+IF(OR($AM95=$F$4,$AM95=$F$5),$B$21,0))</f>
        <v>693</v>
      </c>
      <c r="AP95" s="24">
        <f>VLOOKUP($R95,武学奇术!$A:$ZZ,28,FALSE)</f>
        <v>2.0276</v>
      </c>
      <c r="AQ95" s="25">
        <f>VLOOKUP($R95,武学奇术!$A:$ZZ,29,FALSE)*(1+IF(OR($AM95=$F$4,$AM95=$F$5),$B$21,0))</f>
        <v>0</v>
      </c>
      <c r="AR95" s="24" cm="1">
        <f t="array" ref="AR95">$G$3+IFERROR(VLOOKUP($AM95,$F$4:$G$7,2,FALSE),0)+VLOOKUP($R95,武学奇术!$A:$ZZ,2,FALSE)+SUM(_xlfn.XLOOKUP($S95:$AL95,增益!$A:$A,增益!$B:$B,0))</f>
        <v>0.5219</v>
      </c>
      <c r="AS95" s="24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4462.125</v>
      </c>
      <c r="AU95" cm="1">
        <f t="array" ref="AU95">$E$10*(1+$AS95)+VLOOKUP($R95,武学奇术!$A:$ZZ,4,FALSE)+SUM(_xlfn.XLOOKUP($S95:$AL95,增益!$A:$A,增益!$D:$D,0))-$I$2</f>
        <v>4462.125</v>
      </c>
      <c r="AV95" s="33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0.3189</v>
      </c>
      <c r="AW95" s="33" cm="1">
        <f t="array" ref="AW95">$G$10+VLOOKUP($R95,武学奇术!$A:$ZZ,7,FALSE)+SUM(_xlfn.XLOOKUP($S95:$AL95,增益!$A:$A,增益!$G:$G,0))</f>
        <v>0.025</v>
      </c>
      <c r="AX95" s="24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3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3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3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3" cm="1">
        <f t="array" ref="BF95">$G$12+VLOOKUP($R95,武学奇术!$A:$ZZ,12,FALSE)+SUM(_xlfn.XLOOKUP($S95:$AL95,增益!$A:$A,增益!$L:$L,0))</f>
        <v>0</v>
      </c>
      <c r="BG95">
        <f t="shared" si="16"/>
        <v>618.2</v>
      </c>
      <c r="BH95">
        <f t="shared" si="17"/>
        <v>1567.4</v>
      </c>
      <c r="BI95" s="33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3" cm="1">
        <f t="array" ref="BJ95">$G$13+VLOOKUP($R95,武学奇术!$A:$ZZ,14,FALSE)+SUM(_xlfn.XLOOKUP($S95:$AL95,增益!$A:$A,增益!$N:$N,0))</f>
        <v>0.15</v>
      </c>
      <c r="BK95">
        <f t="shared" si="18"/>
        <v>0</v>
      </c>
      <c r="BL95">
        <f t="shared" si="19"/>
        <v>0</v>
      </c>
      <c r="BM95" s="33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3" cm="1">
        <f t="array" ref="BN95">$G$14+VLOOKUP($R95,武学奇术!$A:$ZZ,16,FALSE)+SUM(_xlfn.XLOOKUP($S95:$AL95,增益!$A:$A,增益!$P:$P,0))</f>
        <v>0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4" cm="1">
        <f t="array" ref="BQ95">1+$B$13+VLOOKUP($R95,武学奇术!$A:$ZZ,18,FALSE)+SUM(_xlfn.XLOOKUP($S95:$AL95,增益!$A:$A,增益!$R:$R,0))</f>
        <v>1.85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0"/>
        <v>0.8865</v>
      </c>
      <c r="BU95" s="24">
        <f t="shared" si="21"/>
        <v>0.0222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0.16</v>
      </c>
      <c r="BX95" s="24" cm="1">
        <f t="array" ref="BX95">VLOOKUP($R95,武学奇术!$A:$ZZ,32,FALSE)+SUM(_xlfn.XLOOKUP($S95:$AL95,增益!$A:$A,增益!$X:$X,0))</f>
        <v>0</v>
      </c>
    </row>
    <row r="96" spans="1:76">
      <c r="A96" s="4" t="s">
        <v>113</v>
      </c>
      <c r="B96" s="91">
        <v>1.16</v>
      </c>
      <c r="K96" s="39">
        <f>$L96*VLOOKUP($R96,武学奇术!$A:$ZY,31,FALSE)</f>
        <v>253766.690004518</v>
      </c>
      <c r="L96" s="39">
        <f t="shared" si="11"/>
        <v>241682.561909065</v>
      </c>
      <c r="M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248699.517074679</v>
      </c>
      <c r="N96" s="39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199628.103148587</v>
      </c>
      <c r="O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134432.171391718</v>
      </c>
      <c r="P96" s="39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120991.673784483</v>
      </c>
      <c r="Q96" s="29">
        <v>1</v>
      </c>
      <c r="R96" s="40" t="s">
        <v>178</v>
      </c>
      <c r="S96" s="40" t="s">
        <v>91</v>
      </c>
      <c r="T96" s="40" t="s">
        <v>172</v>
      </c>
      <c r="U96" s="40" t="s">
        <v>80</v>
      </c>
      <c r="V96" s="40" t="s">
        <v>166</v>
      </c>
      <c r="W96" s="40" t="s">
        <v>80</v>
      </c>
      <c r="X96" s="40" t="s">
        <v>80</v>
      </c>
      <c r="Y96" s="40" t="s">
        <v>109</v>
      </c>
      <c r="Z96" s="40" t="s">
        <v>80</v>
      </c>
      <c r="AA96" s="40" t="s">
        <v>175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80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s="40" t="s">
        <v>80</v>
      </c>
      <c r="AM96" t="str">
        <f>VLOOKUP($R96,武学奇术!$A:$ZZ,25,FALSE)</f>
        <v>群体奇术</v>
      </c>
      <c r="AN96" s="24">
        <f>VLOOKUP($R96,武学奇术!$A:$ZZ,26,FALSE)</f>
        <v>10.31616</v>
      </c>
      <c r="AO96" s="25">
        <f>VLOOKUP($R96,武学奇术!$A:$ZZ,27,FALSE)*(1+IF(OR($AM96=$F$4,$AM96=$F$5),$B$21,0))</f>
        <v>2069.55</v>
      </c>
      <c r="AP96" s="24">
        <f>VLOOKUP($R96,武学奇术!$A:$ZZ,28,FALSE)</f>
        <v>15.47424</v>
      </c>
      <c r="AQ96" s="25">
        <f>VLOOKUP($R96,武学奇术!$A:$ZZ,29,FALSE)*(1+IF(OR($AM96=$F$4,$AM96=$F$5),$B$21,0))</f>
        <v>0</v>
      </c>
      <c r="AR96" s="24" cm="1">
        <f t="array" ref="AR96">$G$3+IFERROR(VLOOKUP($AM96,$F$4:$G$7,2,FALSE),0)+VLOOKUP($R96,武学奇术!$A:$ZZ,2,FALSE)+SUM(_xlfn.XLOOKUP($S96:$AL96,增益!$A:$A,增益!$B:$B,0))</f>
        <v>0.3719</v>
      </c>
      <c r="AS96" s="24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4462.125</v>
      </c>
      <c r="AU96" cm="1">
        <f t="array" ref="AU96">$E$10*(1+$AS96)+VLOOKUP($R96,武学奇术!$A:$ZZ,4,FALSE)+SUM(_xlfn.XLOOKUP($S96:$AL96,增益!$A:$A,增益!$D:$D,0))-$I$2</f>
        <v>4462.125</v>
      </c>
      <c r="AV96" s="33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0.3189</v>
      </c>
      <c r="AW96" s="33" cm="1">
        <f t="array" ref="AW96">$G$10+VLOOKUP($R96,武学奇术!$A:$ZZ,7,FALSE)+SUM(_xlfn.XLOOKUP($S96:$AL96,增益!$A:$A,增益!$G:$G,0))</f>
        <v>0.025</v>
      </c>
      <c r="AX96" s="24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3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3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3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3" cm="1">
        <f t="array" ref="BF96">$G$12+VLOOKUP($R96,武学奇术!$A:$ZZ,12,FALSE)+SUM(_xlfn.XLOOKUP($S96:$AL96,增益!$A:$A,增益!$L:$L,0))</f>
        <v>0</v>
      </c>
      <c r="BG96">
        <f t="shared" si="16"/>
        <v>618.2</v>
      </c>
      <c r="BH96">
        <f t="shared" si="17"/>
        <v>1567.4</v>
      </c>
      <c r="BI96" s="33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3" cm="1">
        <f t="array" ref="BJ96">$G$13+VLOOKUP($R96,武学奇术!$A:$ZZ,14,FALSE)+SUM(_xlfn.XLOOKUP($S96:$AL96,增益!$A:$A,增益!$N:$N,0))</f>
        <v>0.15</v>
      </c>
      <c r="BK96">
        <f t="shared" si="18"/>
        <v>0</v>
      </c>
      <c r="BL96">
        <f t="shared" si="19"/>
        <v>0</v>
      </c>
      <c r="BM96" s="33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3" cm="1">
        <f t="array" ref="BN96">$G$14+VLOOKUP($R96,武学奇术!$A:$ZZ,16,FALSE)+SUM(_xlfn.XLOOKUP($S96:$AL96,增益!$A:$A,增益!$P:$P,0))</f>
        <v>0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4" cm="1">
        <f t="array" ref="BQ96">1+$B$13+VLOOKUP($R96,武学奇术!$A:$ZZ,18,FALSE)+SUM(_xlfn.XLOOKUP($S96:$AL96,增益!$A:$A,增益!$R:$R,0))</f>
        <v>1.85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0"/>
        <v>0.8865</v>
      </c>
      <c r="BU96" s="24">
        <f t="shared" si="21"/>
        <v>0.0222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0.16</v>
      </c>
      <c r="BX96" s="24" cm="1">
        <f t="array" ref="BX96">VLOOKUP($R96,武学奇术!$A:$ZZ,32,FALSE)+SUM(_xlfn.XLOOKUP($S96:$AL96,增益!$A:$A,增益!$X:$X,0))</f>
        <v>0</v>
      </c>
    </row>
    <row r="97" spans="1:76">
      <c r="A97" s="4" t="s">
        <v>167</v>
      </c>
      <c r="B97" s="4">
        <v>0.1</v>
      </c>
      <c r="K97" s="39">
        <f>$L97*VLOOKUP($R97,武学奇术!$A:$ZY,31,FALSE)</f>
        <v>23097.9508261392</v>
      </c>
      <c r="L97" s="39">
        <f t="shared" si="11"/>
        <v>21998.0484058469</v>
      </c>
      <c r="M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22649.6805315115</v>
      </c>
      <c r="N97" s="39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18042.8307588583</v>
      </c>
      <c r="O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12243.0705575738</v>
      </c>
      <c r="P97" s="39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11121.081293771</v>
      </c>
      <c r="Q97" s="29">
        <v>1</v>
      </c>
      <c r="R97" s="40" t="s">
        <v>155</v>
      </c>
      <c r="S97" s="40" t="s">
        <v>91</v>
      </c>
      <c r="T97" s="40" t="s">
        <v>172</v>
      </c>
      <c r="U97" s="40" t="s">
        <v>80</v>
      </c>
      <c r="V97" s="40" t="s">
        <v>166</v>
      </c>
      <c r="W97" s="40" t="s">
        <v>80</v>
      </c>
      <c r="X97" s="40" t="s">
        <v>80</v>
      </c>
      <c r="Y97" s="40" t="s">
        <v>109</v>
      </c>
      <c r="Z97" s="40" t="s">
        <v>80</v>
      </c>
      <c r="AA97" s="40" t="s">
        <v>175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80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s="40" t="s">
        <v>80</v>
      </c>
      <c r="AM97" t="str">
        <f>VLOOKUP($R97,武学奇术!$A:$ZZ,25,FALSE)</f>
        <v>扇</v>
      </c>
      <c r="AN97" s="24">
        <f>VLOOKUP($R97,武学奇术!$A:$ZZ,26,FALSE)</f>
        <v>0.9271</v>
      </c>
      <c r="AO97" s="25">
        <f>VLOOKUP($R97,武学奇术!$A:$ZZ,27,FALSE)*(1+IF(OR($AM97=$F$4,$AM97=$F$5),$B$21,0))</f>
        <v>411.2</v>
      </c>
      <c r="AP97" s="24">
        <f>VLOOKUP($R97,武学奇术!$A:$ZZ,28,FALSE)</f>
        <v>1.3907</v>
      </c>
      <c r="AQ97" s="25">
        <f>VLOOKUP($R97,武学奇术!$A:$ZZ,29,FALSE)*(1+IF(OR($AM97=$F$4,$AM97=$F$5),$B$21,0))</f>
        <v>224</v>
      </c>
      <c r="AR97" s="24" cm="1">
        <f t="array" ref="AR97">$G$3+IFERROR(VLOOKUP($AM97,$F$4:$G$7,2,FALSE),0)+VLOOKUP($R97,武学奇术!$A:$ZZ,2,FALSE)+SUM(_xlfn.XLOOKUP($S97:$AL97,增益!$A:$A,增益!$B:$B,0))</f>
        <v>0.2743</v>
      </c>
      <c r="AS97" s="24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4462.125</v>
      </c>
      <c r="AU97" cm="1">
        <f t="array" ref="AU97">$E$10*(1+$AS97)+VLOOKUP($R97,武学奇术!$A:$ZZ,4,FALSE)+SUM(_xlfn.XLOOKUP($S97:$AL97,增益!$A:$A,增益!$D:$D,0))-$I$2</f>
        <v>4462.125</v>
      </c>
      <c r="AV97" s="33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0.3189</v>
      </c>
      <c r="AW97" s="33" cm="1">
        <f t="array" ref="AW97">$G$10+VLOOKUP($R97,武学奇术!$A:$ZZ,7,FALSE)+SUM(_xlfn.XLOOKUP($S97:$AL97,增益!$A:$A,增益!$G:$G,0))</f>
        <v>0.025</v>
      </c>
      <c r="AX97" s="24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3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3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3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3" cm="1">
        <f t="array" ref="BF97">$G$12+VLOOKUP($R97,武学奇术!$A:$ZZ,12,FALSE)+SUM(_xlfn.XLOOKUP($S97:$AL97,增益!$A:$A,增益!$L:$L,0))</f>
        <v>0</v>
      </c>
      <c r="BG97">
        <f t="shared" si="16"/>
        <v>618.2</v>
      </c>
      <c r="BH97">
        <f t="shared" si="17"/>
        <v>1567.4</v>
      </c>
      <c r="BI97" s="33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</v>
      </c>
      <c r="BJ97" s="33" cm="1">
        <f t="array" ref="BJ97">$G$13+VLOOKUP($R97,武学奇术!$A:$ZZ,14,FALSE)+SUM(_xlfn.XLOOKUP($S97:$AL97,增益!$A:$A,增益!$N:$N,0))</f>
        <v>0.15</v>
      </c>
      <c r="BK97">
        <f t="shared" si="18"/>
        <v>0</v>
      </c>
      <c r="BL97">
        <f t="shared" si="19"/>
        <v>0</v>
      </c>
      <c r="BM97" s="33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3" cm="1">
        <f t="array" ref="BN97">$G$14+VLOOKUP($R97,武学奇术!$A:$ZZ,16,FALSE)+SUM(_xlfn.XLOOKUP($S97:$AL97,增益!$A:$A,增益!$P:$P,0))</f>
        <v>0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4" cm="1">
        <f t="array" ref="BQ97">1+$B$13+VLOOKUP($R97,武学奇术!$A:$ZZ,18,FALSE)+SUM(_xlfn.XLOOKUP($S97:$AL97,增益!$A:$A,增益!$R:$R,0))</f>
        <v>1.85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0"/>
        <v>0.8865</v>
      </c>
      <c r="BU97" s="24">
        <f t="shared" si="21"/>
        <v>0.0222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0.16</v>
      </c>
      <c r="BX97" s="24" cm="1">
        <f t="array" ref="BX97">VLOOKUP($R97,武学奇术!$A:$ZZ,32,FALSE)+SUM(_xlfn.XLOOKUP($S97:$AL97,增益!$A:$A,增益!$X:$X,0))</f>
        <v>0</v>
      </c>
    </row>
    <row r="98" spans="1:76">
      <c r="A98" s="4" t="s">
        <v>177</v>
      </c>
      <c r="B98" s="4">
        <v>1</v>
      </c>
      <c r="K98" s="39">
        <f>$L98*VLOOKUP($R98,武学奇术!$A:$ZY,31,FALSE)</f>
        <v>325815.083318925</v>
      </c>
      <c r="L98" s="39">
        <f t="shared" si="11"/>
        <v>310300.079351357</v>
      </c>
      <c r="M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325615.25230927</v>
      </c>
      <c r="N98" s="39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203495.807737671</v>
      </c>
      <c r="O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137972.564537826</v>
      </c>
      <c r="P98" s="39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125207.493714415</v>
      </c>
      <c r="Q98" s="29">
        <v>1</v>
      </c>
      <c r="R98" s="40" t="s">
        <v>141</v>
      </c>
      <c r="S98" s="40" t="s">
        <v>91</v>
      </c>
      <c r="T98" s="40" t="s">
        <v>172</v>
      </c>
      <c r="U98" s="40" t="s">
        <v>80</v>
      </c>
      <c r="V98" s="40" t="s">
        <v>166</v>
      </c>
      <c r="W98" s="40" t="s">
        <v>142</v>
      </c>
      <c r="X98" s="40" t="s">
        <v>171</v>
      </c>
      <c r="Y98" s="40" t="s">
        <v>109</v>
      </c>
      <c r="Z98" s="40" t="s">
        <v>80</v>
      </c>
      <c r="AA98" s="40" t="s">
        <v>175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80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s="40" t="s">
        <v>80</v>
      </c>
      <c r="AM98" t="str">
        <f>VLOOKUP($R98,武学奇术!$A:$ZZ,25,FALSE)</f>
        <v>扇</v>
      </c>
      <c r="AN98" s="24">
        <f>VLOOKUP($R98,武学奇术!$A:$ZZ,26,FALSE)</f>
        <v>7.5463</v>
      </c>
      <c r="AO98" s="25">
        <f>VLOOKUP($R98,武学奇术!$A:$ZZ,27,FALSE)*(1+IF(OR($AM98=$F$4,$AM98=$F$5),$B$21,0))</f>
        <v>3339.2</v>
      </c>
      <c r="AP98" s="24">
        <f>VLOOKUP($R98,武学奇术!$A:$ZZ,28,FALSE)</f>
        <v>11.3195</v>
      </c>
      <c r="AQ98" s="25">
        <f>VLOOKUP($R98,武学奇术!$A:$ZZ,29,FALSE)*(1+IF(OR($AM98=$F$4,$AM98=$F$5),$B$21,0))</f>
        <v>1819.2</v>
      </c>
      <c r="AR98" s="24" cm="1">
        <f t="array" ref="AR98">$G$3+IFERROR(VLOOKUP($AM98,$F$4:$G$7,2,FALSE),0)+VLOOKUP($R98,武学奇术!$A:$ZZ,2,FALSE)+SUM(_xlfn.XLOOKUP($S98:$AL98,增益!$A:$A,增益!$B:$B,0))</f>
        <v>0.3543</v>
      </c>
      <c r="AS98" s="24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4462.125</v>
      </c>
      <c r="AU98" cm="1">
        <f t="array" ref="AU98">$E$10*(1+$AS98)+VLOOKUP($R98,武学奇术!$A:$ZZ,4,FALSE)+SUM(_xlfn.XLOOKUP($S98:$AL98,增益!$A:$A,增益!$D:$D,0))-$I$2</f>
        <v>4462.125</v>
      </c>
      <c r="AV98" s="33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0.4189</v>
      </c>
      <c r="AW98" s="33" cm="1">
        <f t="array" ref="AW98">$G$10+VLOOKUP($R98,武学奇术!$A:$ZZ,7,FALSE)+SUM(_xlfn.XLOOKUP($S98:$AL98,增益!$A:$A,增益!$G:$G,0))</f>
        <v>0.125</v>
      </c>
      <c r="AX98" s="24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3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3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3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3" cm="1">
        <f t="array" ref="BF98">$G$12+VLOOKUP($R98,武学奇术!$A:$ZZ,12,FALSE)+SUM(_xlfn.XLOOKUP($S98:$AL98,增益!$A:$A,增益!$L:$L,0))</f>
        <v>0</v>
      </c>
      <c r="BG98">
        <f t="shared" si="16"/>
        <v>618.2</v>
      </c>
      <c r="BH98">
        <f t="shared" si="17"/>
        <v>1567.4</v>
      </c>
      <c r="BI98" s="33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</v>
      </c>
      <c r="BJ98" s="33" cm="1">
        <f t="array" ref="BJ98">$G$13+VLOOKUP($R98,武学奇术!$A:$ZZ,14,FALSE)+SUM(_xlfn.XLOOKUP($S98:$AL98,增益!$A:$A,增益!$N:$N,0))</f>
        <v>0.25</v>
      </c>
      <c r="BK98">
        <f t="shared" si="18"/>
        <v>0</v>
      </c>
      <c r="BL98">
        <f t="shared" si="19"/>
        <v>0</v>
      </c>
      <c r="BM98" s="33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3" cm="1">
        <f t="array" ref="BN98">$G$14+VLOOKUP($R98,武学奇术!$A:$ZZ,16,FALSE)+SUM(_xlfn.XLOOKUP($S98:$AL98,增益!$A:$A,增益!$P:$P,0))</f>
        <v>0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4" cm="1">
        <f t="array" ref="BQ98">1+$B$13+VLOOKUP($R98,武学奇术!$A:$ZZ,18,FALSE)+SUM(_xlfn.XLOOKUP($S98:$AL98,增益!$A:$A,增益!$R:$R,0))</f>
        <v>2.36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0"/>
        <v>0.8865</v>
      </c>
      <c r="BU98" s="24">
        <f t="shared" si="21"/>
        <v>0.0222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0.16</v>
      </c>
      <c r="BX98" s="24" cm="1">
        <f t="array" ref="BX98">VLOOKUP($R98,武学奇术!$A:$ZZ,32,FALSE)+SUM(_xlfn.XLOOKUP($S98:$AL98,增益!$A:$A,增益!$X:$X,0))</f>
        <v>0.1</v>
      </c>
    </row>
    <row r="99" spans="1:76">
      <c r="A99" s="4" t="s">
        <v>169</v>
      </c>
      <c r="B99" s="4">
        <v>1.4</v>
      </c>
      <c r="K99" s="39">
        <f>$L99*VLOOKUP($R99,武学奇术!$A:$ZY,31,FALSE)</f>
        <v>848643.795847628</v>
      </c>
      <c r="L99" s="39">
        <f t="shared" si="11"/>
        <v>808232.18652155</v>
      </c>
      <c r="M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844185.465274981</v>
      </c>
      <c r="N99" s="39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562778.953616504</v>
      </c>
      <c r="O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381984.373427593</v>
      </c>
      <c r="P99" s="39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347095.447879998</v>
      </c>
      <c r="Q99" s="29">
        <v>9</v>
      </c>
      <c r="R99" s="40" t="s">
        <v>115</v>
      </c>
      <c r="S99" s="40" t="s">
        <v>91</v>
      </c>
      <c r="T99" s="40" t="s">
        <v>172</v>
      </c>
      <c r="U99" s="40" t="s">
        <v>174</v>
      </c>
      <c r="V99" s="40" t="s">
        <v>166</v>
      </c>
      <c r="W99" s="40" t="s">
        <v>100</v>
      </c>
      <c r="X99" s="40" t="s">
        <v>80</v>
      </c>
      <c r="Y99" s="40" t="s">
        <v>109</v>
      </c>
      <c r="Z99" s="40" t="s">
        <v>110</v>
      </c>
      <c r="AA99" s="40" t="s">
        <v>175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80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s="40" t="s">
        <v>80</v>
      </c>
      <c r="AM99" t="str">
        <f>VLOOKUP($R99,武学奇术!$A:$ZZ,25,FALSE)</f>
        <v>伞</v>
      </c>
      <c r="AN99" s="24">
        <f>VLOOKUP($R99,武学奇术!$A:$ZZ,26,FALSE)</f>
        <v>1.0217</v>
      </c>
      <c r="AO99" s="25">
        <f>VLOOKUP($R99,武学奇术!$A:$ZZ,27,FALSE)*(1+IF(OR($AM99=$F$4,$AM99=$F$5),$B$21,0))</f>
        <v>451.2</v>
      </c>
      <c r="AP99" s="24">
        <f>VLOOKUP($R99,武学奇术!$A:$ZZ,28,FALSE)</f>
        <v>1.5325</v>
      </c>
      <c r="AQ99" s="25">
        <f>VLOOKUP($R99,武学奇术!$A:$ZZ,29,FALSE)*(1+IF(OR($AM99=$F$4,$AM99=$F$5),$B$21,0))</f>
        <v>246.4</v>
      </c>
      <c r="AR99" s="24" cm="1">
        <f t="array" ref="AR99">$G$3+IFERROR(VLOOKUP($AM99,$F$4:$G$7,2,FALSE),0)+VLOOKUP($R99,武学奇术!$A:$ZZ,2,FALSE)+SUM(_xlfn.XLOOKUP($S99:$AL99,增益!$A:$A,增益!$B:$B,0))</f>
        <v>1.0243</v>
      </c>
      <c r="AS99" s="24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4462.125</v>
      </c>
      <c r="AU99" cm="1">
        <f t="array" ref="AU99">$E$10*(1+$AS99)+VLOOKUP($R99,武学奇术!$A:$ZZ,4,FALSE)+SUM(_xlfn.XLOOKUP($S99:$AL99,增益!$A:$A,增益!$D:$D,0))-$I$2</f>
        <v>4462.125</v>
      </c>
      <c r="AV99" s="33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0.4439</v>
      </c>
      <c r="AW99" s="33" cm="1">
        <f t="array" ref="AW99">$G$10+VLOOKUP($R99,武学奇术!$A:$ZZ,7,FALSE)+SUM(_xlfn.XLOOKUP($S99:$AL99,增益!$A:$A,增益!$G:$G,0))</f>
        <v>0.125</v>
      </c>
      <c r="AX99" s="24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3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3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3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3" cm="1">
        <f t="array" ref="BF99">$G$12+VLOOKUP($R99,武学奇术!$A:$ZZ,12,FALSE)+SUM(_xlfn.XLOOKUP($S99:$AL99,增益!$A:$A,增益!$L:$L,0))</f>
        <v>0</v>
      </c>
      <c r="BG99">
        <f t="shared" si="16"/>
        <v>618.2</v>
      </c>
      <c r="BH99">
        <f t="shared" si="17"/>
        <v>1567.4</v>
      </c>
      <c r="BI99" s="33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</v>
      </c>
      <c r="BJ99" s="33" cm="1">
        <f t="array" ref="BJ99">$G$13+VLOOKUP($R99,武学奇术!$A:$ZZ,14,FALSE)+SUM(_xlfn.XLOOKUP($S99:$AL99,增益!$A:$A,增益!$N:$N,0))</f>
        <v>0.25</v>
      </c>
      <c r="BK99">
        <f t="shared" si="18"/>
        <v>0</v>
      </c>
      <c r="BL99">
        <f t="shared" si="19"/>
        <v>0</v>
      </c>
      <c r="BM99" s="33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3" cm="1">
        <f t="array" ref="BN99">$G$14+VLOOKUP($R99,武学奇术!$A:$ZZ,16,FALSE)+SUM(_xlfn.XLOOKUP($S99:$AL99,增益!$A:$A,增益!$P:$P,0))</f>
        <v>0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4" cm="1">
        <f t="array" ref="BQ99">1+$B$13+VLOOKUP($R99,武学奇术!$A:$ZZ,18,FALSE)+SUM(_xlfn.XLOOKUP($S99:$AL99,增益!$A:$A,增益!$R:$R,0))</f>
        <v>2.21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si="20"/>
        <v>0.8865</v>
      </c>
      <c r="BU99" s="24">
        <f t="shared" si="21"/>
        <v>0.0222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0.16</v>
      </c>
      <c r="BX99" s="24" cm="1">
        <f t="array" ref="BX99">VLOOKUP($R99,武学奇术!$A:$ZZ,32,FALSE)+SUM(_xlfn.XLOOKUP($S99:$AL99,增益!$A:$A,增益!$X:$X,0))</f>
        <v>0.25</v>
      </c>
    </row>
    <row r="100" spans="1:76">
      <c r="A100" t="s">
        <v>170</v>
      </c>
      <c r="B100">
        <v>2.5</v>
      </c>
      <c r="K100" s="39">
        <f>$L100*VLOOKUP($R100,武学奇术!$A:$ZY,31,FALSE)</f>
        <v>873066.171876812</v>
      </c>
      <c r="L100" s="39">
        <f t="shared" si="11"/>
        <v>831491.592263631</v>
      </c>
      <c r="M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868479.538916002</v>
      </c>
      <c r="N100" s="39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578974.675889835</v>
      </c>
      <c r="O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392977.166930318</v>
      </c>
      <c r="P100" s="39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357084.203571869</v>
      </c>
      <c r="Q100" s="29">
        <v>10</v>
      </c>
      <c r="R100" s="40" t="s">
        <v>115</v>
      </c>
      <c r="S100" s="40" t="s">
        <v>91</v>
      </c>
      <c r="T100" s="40" t="s">
        <v>172</v>
      </c>
      <c r="U100" s="40" t="s">
        <v>174</v>
      </c>
      <c r="V100" s="40" t="s">
        <v>166</v>
      </c>
      <c r="W100" s="40" t="s">
        <v>100</v>
      </c>
      <c r="X100" s="40" t="s">
        <v>80</v>
      </c>
      <c r="Y100" s="40" t="s">
        <v>109</v>
      </c>
      <c r="Z100" s="40" t="s">
        <v>80</v>
      </c>
      <c r="AA100" s="40" t="s">
        <v>175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80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s="40" t="s">
        <v>80</v>
      </c>
      <c r="AM100" t="str">
        <f>VLOOKUP($R100,武学奇术!$A:$ZZ,25,FALSE)</f>
        <v>伞</v>
      </c>
      <c r="AN100" s="24">
        <f>VLOOKUP($R100,武学奇术!$A:$ZZ,26,FALSE)</f>
        <v>1.0217</v>
      </c>
      <c r="AO100" s="25">
        <f>VLOOKUP($R100,武学奇术!$A:$ZZ,27,FALSE)*(1+IF(OR($AM100=$F$4,$AM100=$F$5),$B$21,0))</f>
        <v>451.2</v>
      </c>
      <c r="AP100" s="24">
        <f>VLOOKUP($R100,武学奇术!$A:$ZZ,28,FALSE)</f>
        <v>1.5325</v>
      </c>
      <c r="AQ100" s="25">
        <f>VLOOKUP($R100,武学奇术!$A:$ZZ,29,FALSE)*(1+IF(OR($AM100=$F$4,$AM100=$F$5),$B$21,0))</f>
        <v>246.4</v>
      </c>
      <c r="AR100" s="24" cm="1">
        <f t="array" ref="AR100">$G$3+IFERROR(VLOOKUP($AM100,$F$4:$G$7,2,FALSE),0)+VLOOKUP($R100,武学奇术!$A:$ZZ,2,FALSE)+SUM(_xlfn.XLOOKUP($S100:$AL100,增益!$A:$A,增益!$B:$B,0))</f>
        <v>0.8743</v>
      </c>
      <c r="AS100" s="24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4462.125</v>
      </c>
      <c r="AU100" cm="1">
        <f t="array" ref="AU100">$E$10*(1+$AS100)+VLOOKUP($R100,武学奇术!$A:$ZZ,4,FALSE)+SUM(_xlfn.XLOOKUP($S100:$AL100,增益!$A:$A,增益!$D:$D,0))-$I$2</f>
        <v>4462.125</v>
      </c>
      <c r="AV100" s="33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0.4439</v>
      </c>
      <c r="AW100" s="33" cm="1">
        <f t="array" ref="AW100">$G$10+VLOOKUP($R100,武学奇术!$A:$ZZ,7,FALSE)+SUM(_xlfn.XLOOKUP($S100:$AL100,增益!$A:$A,增益!$G:$G,0))</f>
        <v>0.125</v>
      </c>
      <c r="AX100" s="24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3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3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3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3" cm="1">
        <f t="array" ref="BF100">$G$12+VLOOKUP($R100,武学奇术!$A:$ZZ,12,FALSE)+SUM(_xlfn.XLOOKUP($S100:$AL100,增益!$A:$A,增益!$L:$L,0))</f>
        <v>0</v>
      </c>
      <c r="BG100">
        <f t="shared" si="16"/>
        <v>618.2</v>
      </c>
      <c r="BH100">
        <f t="shared" si="17"/>
        <v>1567.4</v>
      </c>
      <c r="BI100" s="33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0.1</v>
      </c>
      <c r="BJ100" s="33" cm="1">
        <f t="array" ref="BJ100">$G$13+VLOOKUP($R100,武学奇术!$A:$ZZ,14,FALSE)+SUM(_xlfn.XLOOKUP($S100:$AL100,增益!$A:$A,增益!$N:$N,0))</f>
        <v>0.25</v>
      </c>
      <c r="BK100">
        <f t="shared" si="18"/>
        <v>0</v>
      </c>
      <c r="BL100">
        <f t="shared" si="19"/>
        <v>0</v>
      </c>
      <c r="BM100" s="33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3" cm="1">
        <f t="array" ref="BN100">$G$14+VLOOKUP($R100,武学奇术!$A:$ZZ,16,FALSE)+SUM(_xlfn.XLOOKUP($S100:$AL100,增益!$A:$A,增益!$P:$P,0))</f>
        <v>0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4" cm="1">
        <f t="array" ref="BQ100">1+$B$13+VLOOKUP($R100,武学奇术!$A:$ZZ,18,FALSE)+SUM(_xlfn.XLOOKUP($S100:$AL100,增益!$A:$A,增益!$R:$R,0))</f>
        <v>2.21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0"/>
        <v>0.8865</v>
      </c>
      <c r="BU100" s="24">
        <f t="shared" si="21"/>
        <v>0.0222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0.16</v>
      </c>
      <c r="BX100" s="24" cm="1">
        <f t="array" ref="BX100">VLOOKUP($R100,武学奇术!$A:$ZZ,32,FALSE)+SUM(_xlfn.XLOOKUP($S100:$AL100,增益!$A:$A,增益!$X:$X,0))</f>
        <v>0.25</v>
      </c>
    </row>
    <row r="101" spans="1:76">
      <c r="A101" s="4" t="s">
        <v>167</v>
      </c>
      <c r="B101" s="4">
        <v>0.1</v>
      </c>
      <c r="K101" s="39">
        <f>$L101*VLOOKUP($R101,武学奇术!$A:$ZY,31,FALSE)</f>
        <v>0</v>
      </c>
      <c r="L101" s="39">
        <f t="shared" si="11"/>
        <v>0</v>
      </c>
      <c r="M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39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39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29">
        <v>1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80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s="40" t="s">
        <v>80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VLOOKUP($R101,武学奇术!$A:$ZZ,27,FALSE)*(1+IF(OR($AM101=$F$4,$AM101=$F$5),$B$21,0))</f>
        <v>0</v>
      </c>
      <c r="AP101" s="24">
        <f>VLOOKUP($R101,武学奇术!$A:$ZZ,28,FALSE)</f>
        <v>0</v>
      </c>
      <c r="AQ101" s="25">
        <f>VLOOKUP($R101,武学奇术!$A:$ZZ,29,FALSE)*(1+IF(OR($AM101=$F$4,$AM101=$F$5),$B$21,0))</f>
        <v>0</v>
      </c>
      <c r="AR101" s="24" cm="1">
        <f t="array" ref="AR101">$G$3+IFERROR(VLOOKUP($AM101,$F$4:$G$7,2,FALSE),0)+VLOOKUP($R101,武学奇术!$A:$ZZ,2,FALSE)+SUM(_xlfn.XLOOKUP($S101:$AL101,增益!$A:$A,增益!$B:$B,0))</f>
        <v>0.1042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3790.5</v>
      </c>
      <c r="AU101" cm="1">
        <f t="array" ref="AU101">$E$10*(1+$AS101)+VLOOKUP($R101,武学奇术!$A:$ZZ,4,FALSE)+SUM(_xlfn.XLOOKUP($S101:$AL101,增益!$A:$A,增益!$D:$D,0))-$I$2</f>
        <v>3790.5</v>
      </c>
      <c r="AV101" s="33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0.1939</v>
      </c>
      <c r="AW101" s="33" cm="1">
        <f t="array" ref="AW101">$G$10+VLOOKUP($R101,武学奇术!$A:$ZZ,7,FALSE)+SUM(_xlfn.XLOOKUP($S101:$AL101,增益!$A:$A,增益!$G:$G,0))</f>
        <v>0.025</v>
      </c>
      <c r="AX101" s="24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3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3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3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3" cm="1">
        <f t="array" ref="BF101">$G$12+VLOOKUP($R101,武学奇术!$A:$ZZ,12,FALSE)+SUM(_xlfn.XLOOKUP($S101:$AL101,增益!$A:$A,增益!$L:$L,0))</f>
        <v>0</v>
      </c>
      <c r="BG101">
        <f t="shared" si="16"/>
        <v>618.2</v>
      </c>
      <c r="BH101">
        <f t="shared" si="17"/>
        <v>1567.4</v>
      </c>
      <c r="BI101" s="33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3" cm="1">
        <f t="array" ref="BJ101">$G$13+VLOOKUP($R101,武学奇术!$A:$ZZ,14,FALSE)+SUM(_xlfn.XLOOKUP($S101:$AL101,增益!$A:$A,增益!$N:$N,0))</f>
        <v>0.15</v>
      </c>
      <c r="BK101">
        <f t="shared" si="18"/>
        <v>0</v>
      </c>
      <c r="BL101">
        <f t="shared" si="19"/>
        <v>0</v>
      </c>
      <c r="BM101" s="33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3" cm="1">
        <f t="array" ref="BN101">$G$14+VLOOKUP($R101,武学奇术!$A:$ZZ,16,FALSE)+SUM(_xlfn.XLOOKUP($S101:$AL101,增益!$A:$A,增益!$P:$P,0))</f>
        <v>0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4" cm="1">
        <f t="array" ref="BQ101">1+$B$13+VLOOKUP($R101,武学奇术!$A:$ZZ,18,FALSE)+SUM(_xlfn.XLOOKUP($S101:$AL101,增益!$A:$A,增益!$R:$R,0))</f>
        <v>1.5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0"/>
        <v>0.8865</v>
      </c>
      <c r="BU101" s="24">
        <f t="shared" si="21"/>
        <v>0.0222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0.06</v>
      </c>
      <c r="BX101" s="24" cm="1">
        <f t="array" ref="BX101">VLOOKUP($R101,武学奇术!$A:$ZZ,32,FALSE)+SUM(_xlfn.XLOOKUP($S101:$AL101,增益!$A:$A,增益!$X:$X,0))</f>
        <v>0</v>
      </c>
    </row>
    <row r="102" spans="1:76">
      <c r="A102" s="4" t="s">
        <v>162</v>
      </c>
      <c r="B102" s="91">
        <v>1.3</v>
      </c>
      <c r="K102" s="39">
        <f>$L102*VLOOKUP($R102,武学奇术!$A:$ZY,31,FALSE)</f>
        <v>0</v>
      </c>
      <c r="L102" s="39">
        <f t="shared" si="11"/>
        <v>0</v>
      </c>
      <c r="M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39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39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29">
        <v>1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80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s="40" t="s">
        <v>80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VLOOKUP($R102,武学奇术!$A:$ZZ,27,FALSE)*(1+IF(OR($AM102=$F$4,$AM102=$F$5),$B$21,0))</f>
        <v>0</v>
      </c>
      <c r="AP102" s="24">
        <f>VLOOKUP($R102,武学奇术!$A:$ZZ,28,FALSE)</f>
        <v>0</v>
      </c>
      <c r="AQ102" s="25">
        <f>VLOOKUP($R102,武学奇术!$A:$ZZ,29,FALSE)*(1+IF(OR($AM102=$F$4,$AM102=$F$5),$B$21,0))</f>
        <v>0</v>
      </c>
      <c r="AR102" s="24" cm="1">
        <f t="array" ref="AR102">$G$3+IFERROR(VLOOKUP($AM102,$F$4:$G$7,2,FALSE),0)+VLOOKUP($R102,武学奇术!$A:$ZZ,2,FALSE)+SUM(_xlfn.XLOOKUP($S102:$AL102,增益!$A:$A,增益!$B:$B,0))</f>
        <v>0.1042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3790.5</v>
      </c>
      <c r="AU102" cm="1">
        <f t="array" ref="AU102">$E$10*(1+$AS102)+VLOOKUP($R102,武学奇术!$A:$ZZ,4,FALSE)+SUM(_xlfn.XLOOKUP($S102:$AL102,增益!$A:$A,增益!$D:$D,0))-$I$2</f>
        <v>3790.5</v>
      </c>
      <c r="AV102" s="33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0.1939</v>
      </c>
      <c r="AW102" s="33" cm="1">
        <f t="array" ref="AW102">$G$10+VLOOKUP($R102,武学奇术!$A:$ZZ,7,FALSE)+SUM(_xlfn.XLOOKUP($S102:$AL102,增益!$A:$A,增益!$G:$G,0))</f>
        <v>0.025</v>
      </c>
      <c r="AX102" s="24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3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3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3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3" cm="1">
        <f t="array" ref="BF102">$G$12+VLOOKUP($R102,武学奇术!$A:$ZZ,12,FALSE)+SUM(_xlfn.XLOOKUP($S102:$AL102,增益!$A:$A,增益!$L:$L,0))</f>
        <v>0</v>
      </c>
      <c r="BG102">
        <f t="shared" si="16"/>
        <v>618.2</v>
      </c>
      <c r="BH102">
        <f t="shared" si="17"/>
        <v>1567.4</v>
      </c>
      <c r="BI102" s="33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3" cm="1">
        <f t="array" ref="BJ102">$G$13+VLOOKUP($R102,武学奇术!$A:$ZZ,14,FALSE)+SUM(_xlfn.XLOOKUP($S102:$AL102,增益!$A:$A,增益!$N:$N,0))</f>
        <v>0.15</v>
      </c>
      <c r="BK102">
        <f t="shared" si="18"/>
        <v>0</v>
      </c>
      <c r="BL102">
        <f t="shared" si="19"/>
        <v>0</v>
      </c>
      <c r="BM102" s="33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3" cm="1">
        <f t="array" ref="BN102">$G$14+VLOOKUP($R102,武学奇术!$A:$ZZ,16,FALSE)+SUM(_xlfn.XLOOKUP($S102:$AL102,增益!$A:$A,增益!$P:$P,0))</f>
        <v>0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4" cm="1">
        <f t="array" ref="BQ102">1+$B$13+VLOOKUP($R102,武学奇术!$A:$ZZ,18,FALSE)+SUM(_xlfn.XLOOKUP($S102:$AL102,增益!$A:$A,增益!$R:$R,0))</f>
        <v>1.5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0"/>
        <v>0.8865</v>
      </c>
      <c r="BU102" s="24">
        <f t="shared" si="21"/>
        <v>0.0222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0.06</v>
      </c>
      <c r="BX102" s="24" cm="1">
        <f t="array" ref="BX102">VLOOKUP($R102,武学奇术!$A:$ZZ,32,FALSE)+SUM(_xlfn.XLOOKUP($S102:$AL102,增益!$A:$A,增益!$X:$X,0))</f>
        <v>0</v>
      </c>
    </row>
    <row r="103" spans="1:76">
      <c r="A103" s="4" t="s">
        <v>113</v>
      </c>
      <c r="B103" s="91">
        <v>1.16</v>
      </c>
      <c r="K103" s="39">
        <f>$L103*VLOOKUP($R103,武学奇术!$A:$ZY,31,FALSE)</f>
        <v>0</v>
      </c>
      <c r="L103" s="39">
        <f t="shared" si="11"/>
        <v>0</v>
      </c>
      <c r="M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39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39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29">
        <v>1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80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s="40" t="s">
        <v>80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VLOOKUP($R103,武学奇术!$A:$ZZ,27,FALSE)*(1+IF(OR($AM103=$F$4,$AM103=$F$5),$B$21,0))</f>
        <v>0</v>
      </c>
      <c r="AP103" s="24">
        <f>VLOOKUP($R103,武学奇术!$A:$ZZ,28,FALSE)</f>
        <v>0</v>
      </c>
      <c r="AQ103" s="25">
        <f>VLOOKUP($R103,武学奇术!$A:$ZZ,29,FALSE)*(1+IF(OR($AM103=$F$4,$AM103=$F$5),$B$21,0))</f>
        <v>0</v>
      </c>
      <c r="AR103" s="24" cm="1">
        <f t="array" ref="AR103">$G$3+IFERROR(VLOOKUP($AM103,$F$4:$G$7,2,FALSE),0)+VLOOKUP($R103,武学奇术!$A:$ZZ,2,FALSE)+SUM(_xlfn.XLOOKUP($S103:$AL103,增益!$A:$A,增益!$B:$B,0))</f>
        <v>0.1042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3790.5</v>
      </c>
      <c r="AU103" cm="1">
        <f t="array" ref="AU103">$E$10*(1+$AS103)+VLOOKUP($R103,武学奇术!$A:$ZZ,4,FALSE)+SUM(_xlfn.XLOOKUP($S103:$AL103,增益!$A:$A,增益!$D:$D,0))-$I$2</f>
        <v>3790.5</v>
      </c>
      <c r="AV103" s="33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0.1939</v>
      </c>
      <c r="AW103" s="33" cm="1">
        <f t="array" ref="AW103">$G$10+VLOOKUP($R103,武学奇术!$A:$ZZ,7,FALSE)+SUM(_xlfn.XLOOKUP($S103:$AL103,增益!$A:$A,增益!$G:$G,0))</f>
        <v>0.025</v>
      </c>
      <c r="AX103" s="24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3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3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3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3" cm="1">
        <f t="array" ref="BF103">$G$12+VLOOKUP($R103,武学奇术!$A:$ZZ,12,FALSE)+SUM(_xlfn.XLOOKUP($S103:$AL103,增益!$A:$A,增益!$L:$L,0))</f>
        <v>0</v>
      </c>
      <c r="BG103">
        <f t="shared" si="16"/>
        <v>618.2</v>
      </c>
      <c r="BH103">
        <f t="shared" si="17"/>
        <v>1567.4</v>
      </c>
      <c r="BI103" s="33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3" cm="1">
        <f t="array" ref="BJ103">$G$13+VLOOKUP($R103,武学奇术!$A:$ZZ,14,FALSE)+SUM(_xlfn.XLOOKUP($S103:$AL103,增益!$A:$A,增益!$N:$N,0))</f>
        <v>0.15</v>
      </c>
      <c r="BK103">
        <f t="shared" si="18"/>
        <v>0</v>
      </c>
      <c r="BL103">
        <f t="shared" si="19"/>
        <v>0</v>
      </c>
      <c r="BM103" s="33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3" cm="1">
        <f t="array" ref="BN103">$G$14+VLOOKUP($R103,武学奇术!$A:$ZZ,16,FALSE)+SUM(_xlfn.XLOOKUP($S103:$AL103,增益!$A:$A,增益!$P:$P,0))</f>
        <v>0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4" cm="1">
        <f t="array" ref="BQ103">1+$B$13+VLOOKUP($R103,武学奇术!$A:$ZZ,18,FALSE)+SUM(_xlfn.XLOOKUP($S103:$AL103,增益!$A:$A,增益!$R:$R,0))</f>
        <v>1.5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0"/>
        <v>0.8865</v>
      </c>
      <c r="BU103" s="24">
        <f t="shared" si="21"/>
        <v>0.0222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0.06</v>
      </c>
      <c r="BX103" s="24" cm="1">
        <f t="array" ref="BX103">VLOOKUP($R103,武学奇术!$A:$ZZ,32,FALSE)+SUM(_xlfn.XLOOKUP($S103:$AL103,增益!$A:$A,增益!$X:$X,0))</f>
        <v>0</v>
      </c>
    </row>
    <row r="104" spans="1:76">
      <c r="A104" s="4" t="s">
        <v>167</v>
      </c>
      <c r="B104" s="4">
        <v>0.1</v>
      </c>
      <c r="K104" s="39">
        <f>$L104*VLOOKUP($R104,武学奇术!$A:$ZY,31,FALSE)</f>
        <v>90732.8057911351</v>
      </c>
      <c r="L104" s="39">
        <f t="shared" si="11"/>
        <v>86412.1959915573</v>
      </c>
      <c r="M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88578.5277741237</v>
      </c>
      <c r="N104" s="39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74289.0217252202</v>
      </c>
      <c r="O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49763.2178506313</v>
      </c>
      <c r="P104" s="39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44497.5307196179</v>
      </c>
      <c r="Q104" s="86">
        <f>IF($E$24="奇术",1,0)</f>
        <v>1</v>
      </c>
      <c r="R104" s="40" t="s">
        <v>187</v>
      </c>
      <c r="S104" s="40" t="s">
        <v>121</v>
      </c>
      <c r="T104" s="40" t="s">
        <v>87</v>
      </c>
      <c r="U104" s="40" t="s">
        <v>80</v>
      </c>
      <c r="V104" s="40" t="s">
        <v>81</v>
      </c>
      <c r="W104" s="40" t="s">
        <v>80</v>
      </c>
      <c r="X104" s="40" t="s">
        <v>80</v>
      </c>
      <c r="Y104" s="40" t="s">
        <v>109</v>
      </c>
      <c r="Z104" s="40" t="s">
        <v>110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80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s="40" t="s">
        <v>80</v>
      </c>
      <c r="AM104" t="str">
        <f>VLOOKUP($R104,武学奇术!$A:$ZZ,25,FALSE)</f>
        <v>单体奇术</v>
      </c>
      <c r="AN104" s="24">
        <f>VLOOKUP($R104,武学奇术!$A:$ZZ,26,FALSE)</f>
        <v>3.987</v>
      </c>
      <c r="AO104" s="25">
        <f>VLOOKUP($R104,武学奇术!$A:$ZZ,27,FALSE)*(1+IF(OR($AM104=$F$4,$AM104=$F$5),$B$21,0))</f>
        <v>807</v>
      </c>
      <c r="AP104" s="24">
        <f>VLOOKUP($R104,武学奇术!$A:$ZZ,28,FALSE)</f>
        <v>5.9805</v>
      </c>
      <c r="AQ104" s="25">
        <f>VLOOKUP($R104,武学奇术!$A:$ZZ,29,FALSE)*(1+IF(OR($AM104=$F$4,$AM104=$F$5),$B$21,0))</f>
        <v>0</v>
      </c>
      <c r="AR104" s="24" cm="1">
        <f t="array" ref="AR104">$G$3+IFERROR(VLOOKUP($AM104,$F$4:$G$7,2,FALSE),0)+VLOOKUP($R104,武学奇术!$A:$ZZ,2,FALSE)+SUM(_xlfn.XLOOKUP($S104:$AL104,增益!$A:$A,增益!$B:$B,0))</f>
        <v>0.5219</v>
      </c>
      <c r="AS104" s="24" cm="1">
        <f t="array" ref="AS104">VLOOKUP($R104,武学奇术!$A:$ZZ,5,FALSE)+SUM(_xlfn.XLOOKUP($S104:$AL104,增益!$A:$A,增益!$E:$E,0))</f>
        <v>0.075</v>
      </c>
      <c r="AT104" cm="1">
        <f t="array" ref="AT104">$D$10*(1+$AS104)+VLOOKUP($R104,武学奇术!$A:$ZZ,3,FALSE)+SUM(_xlfn.XLOOKUP($S104:$AL104,增益!$A:$A,增益!$C:$C,0))-$I$2</f>
        <v>4126.3125</v>
      </c>
      <c r="AU104" cm="1">
        <f t="array" ref="AU104">$E$10*(1+$AS104)+VLOOKUP($R104,武学奇术!$A:$ZZ,4,FALSE)+SUM(_xlfn.XLOOKUP($S104:$AL104,增益!$A:$A,增益!$D:$D,0))-$I$2</f>
        <v>4126.3125</v>
      </c>
      <c r="AV104" s="33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0.3189</v>
      </c>
      <c r="AW104" s="33" cm="1">
        <f t="array" ref="AW104">$G$10+VLOOKUP($R104,武学奇术!$A:$ZZ,7,FALSE)+SUM(_xlfn.XLOOKUP($S104:$AL104,增益!$A:$A,增益!$G:$G,0))</f>
        <v>0.025</v>
      </c>
      <c r="AX104" s="24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3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3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3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3" cm="1">
        <f t="array" ref="BF104">$G$12+VLOOKUP($R104,武学奇术!$A:$ZZ,12,FALSE)+SUM(_xlfn.XLOOKUP($S104:$AL104,增益!$A:$A,增益!$L:$L,0))</f>
        <v>0</v>
      </c>
      <c r="BG104">
        <f t="shared" si="16"/>
        <v>618.2</v>
      </c>
      <c r="BH104">
        <f t="shared" si="17"/>
        <v>1567.4</v>
      </c>
      <c r="BI104" s="33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3" cm="1">
        <f t="array" ref="BJ104">$G$13+VLOOKUP($R104,武学奇术!$A:$ZZ,14,FALSE)+SUM(_xlfn.XLOOKUP($S104:$AL104,增益!$A:$A,增益!$N:$N,0))</f>
        <v>0.15</v>
      </c>
      <c r="BK104">
        <f t="shared" si="18"/>
        <v>0</v>
      </c>
      <c r="BL104">
        <f t="shared" si="19"/>
        <v>0</v>
      </c>
      <c r="BM104" s="33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3" cm="1">
        <f t="array" ref="BN104">$G$14+VLOOKUP($R104,武学奇术!$A:$ZZ,16,FALSE)+SUM(_xlfn.XLOOKUP($S104:$AL104,增益!$A:$A,增益!$P:$P,0))</f>
        <v>0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4" cm="1">
        <f t="array" ref="BQ104">1+$B$13+VLOOKUP($R104,武学奇术!$A:$ZZ,18,FALSE)+SUM(_xlfn.XLOOKUP($S104:$AL104,增益!$A:$A,增益!$R:$R,0))</f>
        <v>1.78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0"/>
        <v>0.8865</v>
      </c>
      <c r="BU104" s="24">
        <f t="shared" si="21"/>
        <v>0.0222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0.06</v>
      </c>
      <c r="BX104" s="24" cm="1">
        <f t="array" ref="BX104">VLOOKUP($R104,武学奇术!$A:$ZZ,32,FALSE)+SUM(_xlfn.XLOOKUP($S104:$AL104,增益!$A:$A,增益!$X:$X,0))</f>
        <v>0</v>
      </c>
    </row>
    <row r="105" spans="1:76">
      <c r="A105" s="4" t="s">
        <v>197</v>
      </c>
      <c r="B105" s="4">
        <v>2</v>
      </c>
      <c r="K105" s="39">
        <f>$L105*VLOOKUP($R105,武学奇术!$A:$ZY,31,FALSE)</f>
        <v>6443.82510533363</v>
      </c>
      <c r="L105" s="39">
        <f t="shared" si="11"/>
        <v>10228.2938179899</v>
      </c>
      <c r="M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10484.6685646406</v>
      </c>
      <c r="N105" s="39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8793.77099167443</v>
      </c>
      <c r="O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5890.26323856216</v>
      </c>
      <c r="P105" s="39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5266.62203884696</v>
      </c>
      <c r="Q105" s="86">
        <f t="shared" ref="Q105:Q107" si="22">IF($E$24="奇术",2,0)</f>
        <v>2</v>
      </c>
      <c r="R105" s="40" t="s">
        <v>188</v>
      </c>
      <c r="S105" s="40" t="s">
        <v>121</v>
      </c>
      <c r="T105" s="40" t="s">
        <v>87</v>
      </c>
      <c r="U105" s="40" t="s">
        <v>80</v>
      </c>
      <c r="V105" s="40" t="s">
        <v>81</v>
      </c>
      <c r="W105" s="40" t="s">
        <v>80</v>
      </c>
      <c r="X105" s="40" t="s">
        <v>80</v>
      </c>
      <c r="Y105" s="40" t="s">
        <v>109</v>
      </c>
      <c r="Z105" s="40" t="s">
        <v>110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80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s="40" t="s">
        <v>80</v>
      </c>
      <c r="AM105" t="str">
        <f>VLOOKUP($R105,武学奇术!$A:$ZZ,25,FALSE)</f>
        <v>单体奇术</v>
      </c>
      <c r="AN105" s="24">
        <f>VLOOKUP($R105,武学奇术!$A:$ZZ,26,FALSE)</f>
        <v>0.2361</v>
      </c>
      <c r="AO105" s="25">
        <f>VLOOKUP($R105,武学奇术!$A:$ZZ,27,FALSE)*(1+IF(OR($AM105=$F$4,$AM105=$F$5),$B$21,0))</f>
        <v>47</v>
      </c>
      <c r="AP105" s="24">
        <f>VLOOKUP($R105,武学奇术!$A:$ZZ,28,FALSE)</f>
        <v>0.35415</v>
      </c>
      <c r="AQ105" s="25">
        <f>VLOOKUP($R105,武学奇术!$A:$ZZ,29,FALSE)*(1+IF(OR($AM105=$F$4,$AM105=$F$5),$B$21,0))</f>
        <v>0</v>
      </c>
      <c r="AR105" s="24" cm="1">
        <f t="array" ref="AR105">$G$3+IFERROR(VLOOKUP($AM105,$F$4:$G$7,2,FALSE),0)+VLOOKUP($R105,武学奇术!$A:$ZZ,2,FALSE)+SUM(_xlfn.XLOOKUP($S105:$AL105,增益!$A:$A,增益!$B:$B,0))</f>
        <v>0.5219</v>
      </c>
      <c r="AS105" s="24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4126.3125</v>
      </c>
      <c r="AU105" cm="1">
        <f t="array" ref="AU105">$E$10*(1+$AS105)+VLOOKUP($R105,武学奇术!$A:$ZZ,4,FALSE)+SUM(_xlfn.XLOOKUP($S105:$AL105,增益!$A:$A,增益!$D:$D,0))-$I$2</f>
        <v>4126.3125</v>
      </c>
      <c r="AV105" s="33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0.3189</v>
      </c>
      <c r="AW105" s="33" cm="1">
        <f t="array" ref="AW105">$G$10+VLOOKUP($R105,武学奇术!$A:$ZZ,7,FALSE)+SUM(_xlfn.XLOOKUP($S105:$AL105,增益!$A:$A,增益!$G:$G,0))</f>
        <v>0.025</v>
      </c>
      <c r="AX105" s="24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3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3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3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3" cm="1">
        <f t="array" ref="BF105">$G$12+VLOOKUP($R105,武学奇术!$A:$ZZ,12,FALSE)+SUM(_xlfn.XLOOKUP($S105:$AL105,增益!$A:$A,增益!$L:$L,0))</f>
        <v>0</v>
      </c>
      <c r="BG105">
        <f t="shared" si="16"/>
        <v>618.2</v>
      </c>
      <c r="BH105">
        <f t="shared" si="17"/>
        <v>1567.4</v>
      </c>
      <c r="BI105" s="33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3" cm="1">
        <f t="array" ref="BJ105">$G$13+VLOOKUP($R105,武学奇术!$A:$ZZ,14,FALSE)+SUM(_xlfn.XLOOKUP($S105:$AL105,增益!$A:$A,增益!$N:$N,0))</f>
        <v>0.15</v>
      </c>
      <c r="BK105">
        <f t="shared" si="18"/>
        <v>0</v>
      </c>
      <c r="BL105">
        <f t="shared" si="19"/>
        <v>0</v>
      </c>
      <c r="BM105" s="33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3" cm="1">
        <f t="array" ref="BN105">$G$14+VLOOKUP($R105,武学奇术!$A:$ZZ,16,FALSE)+SUM(_xlfn.XLOOKUP($S105:$AL105,增益!$A:$A,增益!$P:$P,0))</f>
        <v>0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4" cm="1">
        <f t="array" ref="BQ105">1+$B$13+VLOOKUP($R105,武学奇术!$A:$ZZ,18,FALSE)+SUM(_xlfn.XLOOKUP($S105:$AL105,增益!$A:$A,增益!$R:$R,0))</f>
        <v>1.78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0"/>
        <v>0.8865</v>
      </c>
      <c r="BU105" s="24">
        <f t="shared" si="21"/>
        <v>0.0222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0.06</v>
      </c>
      <c r="BX105" s="24" cm="1">
        <f t="array" ref="BX105">VLOOKUP($R105,武学奇术!$A:$ZZ,32,FALSE)+SUM(_xlfn.XLOOKUP($S105:$AL105,增益!$A:$A,增益!$X:$X,0))</f>
        <v>0</v>
      </c>
    </row>
    <row r="106" spans="1:76">
      <c r="A106" s="4" t="s">
        <v>201</v>
      </c>
      <c r="B106" s="4">
        <v>0.8</v>
      </c>
      <c r="K106" s="39">
        <f>$L106*VLOOKUP($R106,武学奇术!$A:$ZY,31,FALSE)</f>
        <v>5221.98536223459</v>
      </c>
      <c r="L106" s="39">
        <f t="shared" si="11"/>
        <v>8288.86565434062</v>
      </c>
      <c r="M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8366.19929428198</v>
      </c>
      <c r="N106" s="39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8223.85617339373</v>
      </c>
      <c r="O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5468.10411390979</v>
      </c>
      <c r="P106" s="39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4844.46291419459</v>
      </c>
      <c r="Q106" s="86">
        <f t="shared" si="22"/>
        <v>2</v>
      </c>
      <c r="R106" s="40" t="s">
        <v>188</v>
      </c>
      <c r="S106" s="40" t="s">
        <v>121</v>
      </c>
      <c r="T106" s="40" t="s">
        <v>87</v>
      </c>
      <c r="U106" s="40" t="s">
        <v>80</v>
      </c>
      <c r="V106" s="40" t="s">
        <v>81</v>
      </c>
      <c r="W106" s="40" t="s">
        <v>80</v>
      </c>
      <c r="X106" s="40" t="s">
        <v>80</v>
      </c>
      <c r="Y106" s="40" t="s">
        <v>80</v>
      </c>
      <c r="Z106" s="40" t="s">
        <v>110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80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s="40" t="s">
        <v>80</v>
      </c>
      <c r="AM106" t="str">
        <f>VLOOKUP($R106,武学奇术!$A:$ZZ,25,FALSE)</f>
        <v>单体奇术</v>
      </c>
      <c r="AN106" s="24">
        <f>VLOOKUP($R106,武学奇术!$A:$ZZ,26,FALSE)</f>
        <v>0.2361</v>
      </c>
      <c r="AO106" s="25">
        <f>VLOOKUP($R106,武学奇术!$A:$ZZ,27,FALSE)*(1+IF(OR($AM106=$F$4,$AM106=$F$5),$B$21,0))</f>
        <v>47</v>
      </c>
      <c r="AP106" s="24">
        <f>VLOOKUP($R106,武学奇术!$A:$ZZ,28,FALSE)</f>
        <v>0.35415</v>
      </c>
      <c r="AQ106" s="25">
        <f>VLOOKUP($R106,武学奇术!$A:$ZZ,29,FALSE)*(1+IF(OR($AM106=$F$4,$AM106=$F$5),$B$21,0))</f>
        <v>0</v>
      </c>
      <c r="AR106" s="24" cm="1">
        <f t="array" ref="AR106">$G$3+IFERROR(VLOOKUP($AM106,$F$4:$G$7,2,FALSE),0)+VLOOKUP($R106,武学奇术!$A:$ZZ,2,FALSE)+SUM(_xlfn.XLOOKUP($S106:$AL106,增益!$A:$A,增益!$B:$B,0))</f>
        <v>0.5219</v>
      </c>
      <c r="AS106" s="24" cm="1">
        <f t="array" ref="AS106">VLOOKUP($R106,武学奇术!$A:$ZZ,5,FALSE)+SUM(_xlfn.XLOOKUP($S106:$AL106,增益!$A:$A,增益!$E:$E,0))</f>
        <v>0.075</v>
      </c>
      <c r="AT106" cm="1">
        <f t="array" ref="AT106">$D$10*(1+$AS106)+VLOOKUP($R106,武学奇术!$A:$ZZ,3,FALSE)+SUM(_xlfn.XLOOKUP($S106:$AL106,增益!$A:$A,增益!$C:$C,0))-$I$2</f>
        <v>4126.3125</v>
      </c>
      <c r="AU106" cm="1">
        <f t="array" ref="AU106">$E$10*(1+$AS106)+VLOOKUP($R106,武学奇术!$A:$ZZ,4,FALSE)+SUM(_xlfn.XLOOKUP($S106:$AL106,增益!$A:$A,增益!$D:$D,0))-$I$2</f>
        <v>4126.3125</v>
      </c>
      <c r="AV106" s="33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0.1939</v>
      </c>
      <c r="AW106" s="33" cm="1">
        <f t="array" ref="AW106">$G$10+VLOOKUP($R106,武学奇术!$A:$ZZ,7,FALSE)+SUM(_xlfn.XLOOKUP($S106:$AL106,增益!$A:$A,增益!$G:$G,0))</f>
        <v>0.025</v>
      </c>
      <c r="AX106" s="24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3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3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3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3" cm="1">
        <f t="array" ref="BF106">$G$12+VLOOKUP($R106,武学奇术!$A:$ZZ,12,FALSE)+SUM(_xlfn.XLOOKUP($S106:$AL106,增益!$A:$A,增益!$L:$L,0))</f>
        <v>0</v>
      </c>
      <c r="BG106">
        <f t="shared" si="16"/>
        <v>618.2</v>
      </c>
      <c r="BH106">
        <f t="shared" si="17"/>
        <v>1567.4</v>
      </c>
      <c r="BI106" s="33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3" cm="1">
        <f t="array" ref="BJ106">$G$13+VLOOKUP($R106,武学奇术!$A:$ZZ,14,FALSE)+SUM(_xlfn.XLOOKUP($S106:$AL106,增益!$A:$A,增益!$N:$N,0))</f>
        <v>0.15</v>
      </c>
      <c r="BK106">
        <f t="shared" si="18"/>
        <v>0</v>
      </c>
      <c r="BL106">
        <f t="shared" si="19"/>
        <v>0</v>
      </c>
      <c r="BM106" s="33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3" cm="1">
        <f t="array" ref="BN106">$G$14+VLOOKUP($R106,武学奇术!$A:$ZZ,16,FALSE)+SUM(_xlfn.XLOOKUP($S106:$AL106,增益!$A:$A,增益!$P:$P,0))</f>
        <v>0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4" cm="1">
        <f t="array" ref="BQ106">1+$B$13+VLOOKUP($R106,武学奇术!$A:$ZZ,18,FALSE)+SUM(_xlfn.XLOOKUP($S106:$AL106,增益!$A:$A,增益!$R:$R,0))</f>
        <v>1.53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0"/>
        <v>0.8865</v>
      </c>
      <c r="BU106" s="24">
        <f t="shared" si="21"/>
        <v>0.0222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0.06</v>
      </c>
      <c r="BX106" s="24" cm="1">
        <f t="array" ref="BX106">VLOOKUP($R106,武学奇术!$A:$ZZ,32,FALSE)+SUM(_xlfn.XLOOKUP($S106:$AL106,增益!$A:$A,增益!$X:$X,0))</f>
        <v>0</v>
      </c>
    </row>
    <row r="107" spans="1:76">
      <c r="A107" s="4" t="s">
        <v>195</v>
      </c>
      <c r="B107" s="4">
        <v>0.5</v>
      </c>
      <c r="K107" s="39">
        <f>$L107*VLOOKUP($R107,武学奇术!$A:$ZY,31,FALSE)</f>
        <v>5221.98536223459</v>
      </c>
      <c r="L107" s="39">
        <f t="shared" si="11"/>
        <v>8288.86565434062</v>
      </c>
      <c r="M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8366.19929428198</v>
      </c>
      <c r="N107" s="39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8223.85617339373</v>
      </c>
      <c r="O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5468.10411390979</v>
      </c>
      <c r="P107" s="39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4844.46291419459</v>
      </c>
      <c r="Q107" s="86">
        <f t="shared" si="22"/>
        <v>2</v>
      </c>
      <c r="R107" s="40" t="s">
        <v>188</v>
      </c>
      <c r="S107" s="40" t="s">
        <v>91</v>
      </c>
      <c r="T107" s="40" t="s">
        <v>87</v>
      </c>
      <c r="U107" s="40" t="s">
        <v>80</v>
      </c>
      <c r="V107" s="40" t="s">
        <v>81</v>
      </c>
      <c r="W107" s="40" t="s">
        <v>80</v>
      </c>
      <c r="X107" s="40" t="s">
        <v>80</v>
      </c>
      <c r="Y107" s="40" t="s">
        <v>80</v>
      </c>
      <c r="Z107" s="40" t="s">
        <v>110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80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s="40" t="s">
        <v>80</v>
      </c>
      <c r="AM107" t="str">
        <f>VLOOKUP($R107,武学奇术!$A:$ZZ,25,FALSE)</f>
        <v>单体奇术</v>
      </c>
      <c r="AN107" s="24">
        <f>VLOOKUP($R107,武学奇术!$A:$ZZ,26,FALSE)</f>
        <v>0.2361</v>
      </c>
      <c r="AO107" s="25">
        <f>VLOOKUP($R107,武学奇术!$A:$ZZ,27,FALSE)*(1+IF(OR($AM107=$F$4,$AM107=$F$5),$B$21,0))</f>
        <v>47</v>
      </c>
      <c r="AP107" s="24">
        <f>VLOOKUP($R107,武学奇术!$A:$ZZ,28,FALSE)</f>
        <v>0.35415</v>
      </c>
      <c r="AQ107" s="25">
        <f>VLOOKUP($R107,武学奇术!$A:$ZZ,29,FALSE)*(1+IF(OR($AM107=$F$4,$AM107=$F$5),$B$21,0))</f>
        <v>0</v>
      </c>
      <c r="AR107" s="24" cm="1">
        <f t="array" ref="AR107">$G$3+IFERROR(VLOOKUP($AM107,$F$4:$G$7,2,FALSE),0)+VLOOKUP($R107,武学奇术!$A:$ZZ,2,FALSE)+SUM(_xlfn.XLOOKUP($S107:$AL107,增益!$A:$A,增益!$B:$B,0))</f>
        <v>0.5219</v>
      </c>
      <c r="AS107" s="24" cm="1">
        <f t="array" ref="AS107">VLOOKUP($R107,武学奇术!$A:$ZZ,5,FALSE)+SUM(_xlfn.XLOOKUP($S107:$AL107,增益!$A:$A,增益!$E:$E,0))</f>
        <v>0.075</v>
      </c>
      <c r="AT107" cm="1">
        <f t="array" ref="AT107">$D$10*(1+$AS107)+VLOOKUP($R107,武学奇术!$A:$ZZ,3,FALSE)+SUM(_xlfn.XLOOKUP($S107:$AL107,增益!$A:$A,增益!$C:$C,0))-$I$2</f>
        <v>4126.3125</v>
      </c>
      <c r="AU107" cm="1">
        <f t="array" ref="AU107">$E$10*(1+$AS107)+VLOOKUP($R107,武学奇术!$A:$ZZ,4,FALSE)+SUM(_xlfn.XLOOKUP($S107:$AL107,增益!$A:$A,增益!$D:$D,0))-$I$2</f>
        <v>4126.3125</v>
      </c>
      <c r="AV107" s="33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0.1939</v>
      </c>
      <c r="AW107" s="33" cm="1">
        <f t="array" ref="AW107">$G$10+VLOOKUP($R107,武学奇术!$A:$ZZ,7,FALSE)+SUM(_xlfn.XLOOKUP($S107:$AL107,增益!$A:$A,增益!$G:$G,0))</f>
        <v>0.025</v>
      </c>
      <c r="AX107" s="24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3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3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3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3" cm="1">
        <f t="array" ref="BF107">$G$12+VLOOKUP($R107,武学奇术!$A:$ZZ,12,FALSE)+SUM(_xlfn.XLOOKUP($S107:$AL107,增益!$A:$A,增益!$L:$L,0))</f>
        <v>0</v>
      </c>
      <c r="BG107">
        <f t="shared" si="16"/>
        <v>618.2</v>
      </c>
      <c r="BH107">
        <f t="shared" si="17"/>
        <v>1567.4</v>
      </c>
      <c r="BI107" s="33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3" cm="1">
        <f t="array" ref="BJ107">$G$13+VLOOKUP($R107,武学奇术!$A:$ZZ,14,FALSE)+SUM(_xlfn.XLOOKUP($S107:$AL107,增益!$A:$A,增益!$N:$N,0))</f>
        <v>0.15</v>
      </c>
      <c r="BK107">
        <f t="shared" si="18"/>
        <v>0</v>
      </c>
      <c r="BL107">
        <f t="shared" si="19"/>
        <v>0</v>
      </c>
      <c r="BM107" s="33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3" cm="1">
        <f t="array" ref="BN107">$G$14+VLOOKUP($R107,武学奇术!$A:$ZZ,16,FALSE)+SUM(_xlfn.XLOOKUP($S107:$AL107,增益!$A:$A,增益!$P:$P,0))</f>
        <v>0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4" cm="1">
        <f t="array" ref="BQ107">1+$B$13+VLOOKUP($R107,武学奇术!$A:$ZZ,18,FALSE)+SUM(_xlfn.XLOOKUP($S107:$AL107,增益!$A:$A,增益!$R:$R,0))</f>
        <v>1.53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0"/>
        <v>0.8865</v>
      </c>
      <c r="BU107" s="24">
        <f t="shared" si="21"/>
        <v>0.0222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0.06</v>
      </c>
      <c r="BX107" s="24" cm="1">
        <f t="array" ref="BX107">VLOOKUP($R107,武学奇术!$A:$ZZ,32,FALSE)+SUM(_xlfn.XLOOKUP($S107:$AL107,增益!$A:$A,增益!$X:$X,0))</f>
        <v>0</v>
      </c>
    </row>
    <row r="108" spans="1:76">
      <c r="A108" s="4" t="s">
        <v>99</v>
      </c>
      <c r="B108" s="4">
        <v>1.25</v>
      </c>
      <c r="K108" s="39">
        <f>$L108*VLOOKUP($R108,武学奇术!$A:$ZY,31,FALSE)</f>
        <v>15757.5733509167</v>
      </c>
      <c r="L108" s="39">
        <f t="shared" si="11"/>
        <v>25012.0211919313</v>
      </c>
      <c r="M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25262.6410062632</v>
      </c>
      <c r="N108" s="39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24671.5685201812</v>
      </c>
      <c r="O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16404.3123417294</v>
      </c>
      <c r="P108" s="39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14533.3887425838</v>
      </c>
      <c r="Q108" s="86">
        <f>IF($E$24="奇术",6,0)</f>
        <v>6</v>
      </c>
      <c r="R108" s="40" t="s">
        <v>188</v>
      </c>
      <c r="S108" s="40" t="s">
        <v>91</v>
      </c>
      <c r="T108" s="40" t="s">
        <v>94</v>
      </c>
      <c r="U108" s="40" t="s">
        <v>80</v>
      </c>
      <c r="V108" s="40" t="s">
        <v>81</v>
      </c>
      <c r="W108" s="40" t="s">
        <v>80</v>
      </c>
      <c r="X108" s="40" t="s">
        <v>80</v>
      </c>
      <c r="Y108" s="40" t="s">
        <v>80</v>
      </c>
      <c r="Z108" s="40" t="s">
        <v>110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80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s="40" t="s">
        <v>80</v>
      </c>
      <c r="AM108" t="str">
        <f>VLOOKUP($R108,武学奇术!$A:$ZZ,25,FALSE)</f>
        <v>单体奇术</v>
      </c>
      <c r="AN108" s="24">
        <f>VLOOKUP($R108,武学奇术!$A:$ZZ,26,FALSE)</f>
        <v>0.2361</v>
      </c>
      <c r="AO108" s="25">
        <f>VLOOKUP($R108,武学奇术!$A:$ZZ,27,FALSE)*(1+IF(OR($AM108=$F$4,$AM108=$F$5),$B$21,0))</f>
        <v>47</v>
      </c>
      <c r="AP108" s="24">
        <f>VLOOKUP($R108,武学奇术!$A:$ZZ,28,FALSE)</f>
        <v>0.35415</v>
      </c>
      <c r="AQ108" s="25">
        <f>VLOOKUP($R108,武学奇术!$A:$ZZ,29,FALSE)*(1+IF(OR($AM108=$F$4,$AM108=$F$5),$B$21,0))</f>
        <v>0</v>
      </c>
      <c r="AR108" s="24" cm="1">
        <f t="array" ref="AR108">$G$3+IFERROR(VLOOKUP($AM108,$F$4:$G$7,2,FALSE),0)+VLOOKUP($R108,武学奇术!$A:$ZZ,2,FALSE)+SUM(_xlfn.XLOOKUP($S108:$AL108,增益!$A:$A,增益!$B:$B,0))</f>
        <v>0.5219</v>
      </c>
      <c r="AS108" s="24" cm="1">
        <f t="array" ref="AS108">VLOOKUP($R108,武学奇术!$A:$ZZ,5,FALSE)+SUM(_xlfn.XLOOKUP($S108:$AL108,增益!$A:$A,增益!$E:$E,0))</f>
        <v>0.075</v>
      </c>
      <c r="AT108" cm="1">
        <f t="array" ref="AT108">$D$10*(1+$AS108)+VLOOKUP($R108,武学奇术!$A:$ZZ,3,FALSE)+SUM(_xlfn.XLOOKUP($S108:$AL108,增益!$A:$A,增益!$C:$C,0))-$I$2</f>
        <v>4126.3125</v>
      </c>
      <c r="AU108" cm="1">
        <f t="array" ref="AU108">$E$10*(1+$AS108)+VLOOKUP($R108,武学奇术!$A:$ZZ,4,FALSE)+SUM(_xlfn.XLOOKUP($S108:$AL108,增益!$A:$A,增益!$D:$D,0))-$I$2</f>
        <v>4126.3125</v>
      </c>
      <c r="AV108" s="33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0.1939</v>
      </c>
      <c r="AW108" s="33" cm="1">
        <f t="array" ref="AW108">$G$10+VLOOKUP($R108,武学奇术!$A:$ZZ,7,FALSE)+SUM(_xlfn.XLOOKUP($S108:$AL108,增益!$A:$A,增益!$G:$G,0))</f>
        <v>0.025</v>
      </c>
      <c r="AX108" s="24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3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3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3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3" cm="1">
        <f t="array" ref="BF108">$G$12+VLOOKUP($R108,武学奇术!$A:$ZZ,12,FALSE)+SUM(_xlfn.XLOOKUP($S108:$AL108,增益!$A:$A,增益!$L:$L,0))</f>
        <v>0</v>
      </c>
      <c r="BG108">
        <f t="shared" si="16"/>
        <v>618.2</v>
      </c>
      <c r="BH108">
        <f t="shared" si="17"/>
        <v>1567.4</v>
      </c>
      <c r="BI108" s="33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3" cm="1">
        <f t="array" ref="BJ108">$G$13+VLOOKUP($R108,武学奇术!$A:$ZZ,14,FALSE)+SUM(_xlfn.XLOOKUP($S108:$AL108,增益!$A:$A,增益!$N:$N,0))</f>
        <v>0.15</v>
      </c>
      <c r="BK108">
        <f t="shared" si="18"/>
        <v>0</v>
      </c>
      <c r="BL108">
        <f t="shared" si="19"/>
        <v>0</v>
      </c>
      <c r="BM108" s="33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3" cm="1">
        <f t="array" ref="BN108">$G$14+VLOOKUP($R108,武学奇术!$A:$ZZ,16,FALSE)+SUM(_xlfn.XLOOKUP($S108:$AL108,增益!$A:$A,增益!$P:$P,0))</f>
        <v>0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0"/>
        <v>0.8865</v>
      </c>
      <c r="BU108" s="24">
        <f t="shared" si="21"/>
        <v>0.0222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0.06</v>
      </c>
      <c r="BX108" s="24" cm="1">
        <f t="array" ref="BX108">VLOOKUP($R108,武学奇术!$A:$ZZ,32,FALSE)+SUM(_xlfn.XLOOKUP($S108:$AL108,增益!$A:$A,增益!$X:$X,0))</f>
        <v>0</v>
      </c>
    </row>
    <row r="109" spans="1:76">
      <c r="A109" s="4" t="s">
        <v>99</v>
      </c>
      <c r="B109" s="4">
        <v>1.25</v>
      </c>
      <c r="K109" s="39">
        <f>$L109*VLOOKUP($R109,武学奇术!$A:$ZY,31,FALSE)</f>
        <v>15849.1906151296</v>
      </c>
      <c r="L109" s="39">
        <f t="shared" si="11"/>
        <v>25157.4454208407</v>
      </c>
      <c r="M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25426.6841296805</v>
      </c>
      <c r="N109" s="39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24671.5685201812</v>
      </c>
      <c r="O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16404.3123417294</v>
      </c>
      <c r="P109" s="39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14533.3887425838</v>
      </c>
      <c r="Q109" s="86">
        <f>IF($E$24="奇术",6,0)</f>
        <v>6</v>
      </c>
      <c r="R109" s="40" t="s">
        <v>188</v>
      </c>
      <c r="S109" s="40" t="s">
        <v>91</v>
      </c>
      <c r="T109" s="40" t="s">
        <v>152</v>
      </c>
      <c r="U109" s="40" t="s">
        <v>80</v>
      </c>
      <c r="V109" s="40" t="s">
        <v>81</v>
      </c>
      <c r="W109" s="40" t="s">
        <v>80</v>
      </c>
      <c r="X109" s="40" t="s">
        <v>80</v>
      </c>
      <c r="Y109" s="40" t="s">
        <v>80</v>
      </c>
      <c r="Z109" s="40" t="s">
        <v>110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80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s="40" t="s">
        <v>80</v>
      </c>
      <c r="AM109" t="str">
        <f>VLOOKUP($R109,武学奇术!$A:$ZZ,25,FALSE)</f>
        <v>单体奇术</v>
      </c>
      <c r="AN109" s="24">
        <f>VLOOKUP($R109,武学奇术!$A:$ZZ,26,FALSE)</f>
        <v>0.2361</v>
      </c>
      <c r="AO109" s="25">
        <f>VLOOKUP($R109,武学奇术!$A:$ZZ,27,FALSE)*(1+IF(OR($AM109=$F$4,$AM109=$F$5),$B$21,0))</f>
        <v>47</v>
      </c>
      <c r="AP109" s="24">
        <f>VLOOKUP($R109,武学奇术!$A:$ZZ,28,FALSE)</f>
        <v>0.35415</v>
      </c>
      <c r="AQ109" s="25">
        <f>VLOOKUP($R109,武学奇术!$A:$ZZ,29,FALSE)*(1+IF(OR($AM109=$F$4,$AM109=$F$5),$B$21,0))</f>
        <v>0</v>
      </c>
      <c r="AR109" s="24" cm="1">
        <f t="array" ref="AR109">$G$3+IFERROR(VLOOKUP($AM109,$F$4:$G$7,2,FALSE),0)+VLOOKUP($R109,武学奇术!$A:$ZZ,2,FALSE)+SUM(_xlfn.XLOOKUP($S109:$AL109,增益!$A:$A,增益!$B:$B,0))</f>
        <v>0.5219</v>
      </c>
      <c r="AS109" s="24" cm="1">
        <f t="array" ref="AS109">VLOOKUP($R109,武学奇术!$A:$ZZ,5,FALSE)+SUM(_xlfn.XLOOKUP($S109:$AL109,增益!$A:$A,增益!$E:$E,0))</f>
        <v>0.075</v>
      </c>
      <c r="AT109" cm="1">
        <f t="array" ref="AT109">$D$10*(1+$AS109)+VLOOKUP($R109,武学奇术!$A:$ZZ,3,FALSE)+SUM(_xlfn.XLOOKUP($S109:$AL109,增益!$A:$A,增益!$C:$C,0))-$I$2</f>
        <v>4126.3125</v>
      </c>
      <c r="AU109" cm="1">
        <f t="array" ref="AU109">$E$10*(1+$AS109)+VLOOKUP($R109,武学奇术!$A:$ZZ,4,FALSE)+SUM(_xlfn.XLOOKUP($S109:$AL109,增益!$A:$A,增益!$D:$D,0))-$I$2</f>
        <v>4126.3125</v>
      </c>
      <c r="AV109" s="33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0.1939</v>
      </c>
      <c r="AW109" s="33" cm="1">
        <f t="array" ref="AW109">$G$10+VLOOKUP($R109,武学奇术!$A:$ZZ,7,FALSE)+SUM(_xlfn.XLOOKUP($S109:$AL109,增益!$A:$A,增益!$G:$G,0))</f>
        <v>0.025</v>
      </c>
      <c r="AX109" s="24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3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3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3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3" cm="1">
        <f t="array" ref="BF109">$G$12+VLOOKUP($R109,武学奇术!$A:$ZZ,12,FALSE)+SUM(_xlfn.XLOOKUP($S109:$AL109,增益!$A:$A,增益!$L:$L,0))</f>
        <v>0</v>
      </c>
      <c r="BG109">
        <f t="shared" si="16"/>
        <v>618.2</v>
      </c>
      <c r="BH109">
        <f t="shared" si="17"/>
        <v>1567.4</v>
      </c>
      <c r="BI109" s="33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3" cm="1">
        <f t="array" ref="BJ109">$G$13+VLOOKUP($R109,武学奇术!$A:$ZZ,14,FALSE)+SUM(_xlfn.XLOOKUP($S109:$AL109,增益!$A:$A,增益!$N:$N,0))</f>
        <v>0.15</v>
      </c>
      <c r="BK109">
        <f t="shared" si="18"/>
        <v>0</v>
      </c>
      <c r="BL109">
        <f t="shared" si="19"/>
        <v>0</v>
      </c>
      <c r="BM109" s="33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3" cm="1">
        <f t="array" ref="BN109">$G$14+VLOOKUP($R109,武学奇术!$A:$ZZ,16,FALSE)+SUM(_xlfn.XLOOKUP($S109:$AL109,增益!$A:$A,增益!$P:$P,0))</f>
        <v>0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4" cm="1">
        <f t="array" ref="BQ109">1+$B$13+VLOOKUP($R109,武学奇术!$A:$ZZ,18,FALSE)+SUM(_xlfn.XLOOKUP($S109:$AL109,增益!$A:$A,增益!$R:$R,0))</f>
        <v>1.55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0"/>
        <v>0.8865</v>
      </c>
      <c r="BU109" s="24">
        <f t="shared" si="21"/>
        <v>0.0222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0.06</v>
      </c>
      <c r="BX109" s="24" cm="1">
        <f t="array" ref="BX109">VLOOKUP($R109,武学奇术!$A:$ZZ,32,FALSE)+SUM(_xlfn.XLOOKUP($S109:$AL109,增益!$A:$A,增益!$X:$X,0))</f>
        <v>0</v>
      </c>
    </row>
    <row r="110" spans="1:76">
      <c r="A110" s="4" t="s">
        <v>113</v>
      </c>
      <c r="B110" s="91">
        <v>1.16</v>
      </c>
      <c r="K110" s="39">
        <f>$L110*VLOOKUP($R110,武学奇术!$A:$ZY,31,FALSE)</f>
        <v>13284.0065661188</v>
      </c>
      <c r="L110" s="39">
        <f t="shared" si="11"/>
        <v>21085.7247081251</v>
      </c>
      <c r="M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21325.6060442482</v>
      </c>
      <c r="N110" s="39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20559.6404334843</v>
      </c>
      <c r="O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13670.2602847745</v>
      </c>
      <c r="P110" s="39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12111.1572854865</v>
      </c>
      <c r="Q110" s="86">
        <f>IF($E$24="奇术",5,0)</f>
        <v>5</v>
      </c>
      <c r="R110" s="40" t="s">
        <v>188</v>
      </c>
      <c r="S110" s="40" t="s">
        <v>91</v>
      </c>
      <c r="T110" s="40" t="s">
        <v>154</v>
      </c>
      <c r="U110" s="40" t="s">
        <v>80</v>
      </c>
      <c r="V110" s="40" t="s">
        <v>81</v>
      </c>
      <c r="W110" s="40" t="s">
        <v>80</v>
      </c>
      <c r="X110" s="40" t="s">
        <v>80</v>
      </c>
      <c r="Y110" s="40" t="s">
        <v>80</v>
      </c>
      <c r="Z110" s="40" t="s">
        <v>110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80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s="40" t="s">
        <v>80</v>
      </c>
      <c r="AM110" t="str">
        <f>VLOOKUP($R110,武学奇术!$A:$ZZ,25,FALSE)</f>
        <v>单体奇术</v>
      </c>
      <c r="AN110" s="24">
        <f>VLOOKUP($R110,武学奇术!$A:$ZZ,26,FALSE)</f>
        <v>0.2361</v>
      </c>
      <c r="AO110" s="25">
        <f>VLOOKUP($R110,武学奇术!$A:$ZZ,27,FALSE)*(1+IF(OR($AM110=$F$4,$AM110=$F$5),$B$21,0))</f>
        <v>47</v>
      </c>
      <c r="AP110" s="24">
        <f>VLOOKUP($R110,武学奇术!$A:$ZZ,28,FALSE)</f>
        <v>0.35415</v>
      </c>
      <c r="AQ110" s="25">
        <f>VLOOKUP($R110,武学奇术!$A:$ZZ,29,FALSE)*(1+IF(OR($AM110=$F$4,$AM110=$F$5),$B$21,0))</f>
        <v>0</v>
      </c>
      <c r="AR110" s="24" cm="1">
        <f t="array" ref="AR110">$G$3+IFERROR(VLOOKUP($AM110,$F$4:$G$7,2,FALSE),0)+VLOOKUP($R110,武学奇术!$A:$ZZ,2,FALSE)+SUM(_xlfn.XLOOKUP($S110:$AL110,增益!$A:$A,增益!$B:$B,0))</f>
        <v>0.5219</v>
      </c>
      <c r="AS110" s="24" cm="1">
        <f t="array" ref="AS110">VLOOKUP($R110,武学奇术!$A:$ZZ,5,FALSE)+SUM(_xlfn.XLOOKUP($S110:$AL110,增益!$A:$A,增益!$E:$E,0))</f>
        <v>0.075</v>
      </c>
      <c r="AT110" cm="1">
        <f t="array" ref="AT110">$D$10*(1+$AS110)+VLOOKUP($R110,武学奇术!$A:$ZZ,3,FALSE)+SUM(_xlfn.XLOOKUP($S110:$AL110,增益!$A:$A,增益!$C:$C,0))-$I$2</f>
        <v>4126.3125</v>
      </c>
      <c r="AU110" cm="1">
        <f t="array" ref="AU110">$E$10*(1+$AS110)+VLOOKUP($R110,武学奇术!$A:$ZZ,4,FALSE)+SUM(_xlfn.XLOOKUP($S110:$AL110,增益!$A:$A,增益!$D:$D,0))-$I$2</f>
        <v>4126.3125</v>
      </c>
      <c r="AV110" s="33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0.1939</v>
      </c>
      <c r="AW110" s="33" cm="1">
        <f t="array" ref="AW110">$G$10+VLOOKUP($R110,武学奇术!$A:$ZZ,7,FALSE)+SUM(_xlfn.XLOOKUP($S110:$AL110,增益!$A:$A,增益!$G:$G,0))</f>
        <v>0.025</v>
      </c>
      <c r="AX110" s="24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3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3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3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3" cm="1">
        <f t="array" ref="BF110">$G$12+VLOOKUP($R110,武学奇术!$A:$ZZ,12,FALSE)+SUM(_xlfn.XLOOKUP($S110:$AL110,增益!$A:$A,增益!$L:$L,0))</f>
        <v>0</v>
      </c>
      <c r="BG110">
        <f t="shared" si="16"/>
        <v>618.2</v>
      </c>
      <c r="BH110">
        <f t="shared" si="17"/>
        <v>1567.4</v>
      </c>
      <c r="BI110" s="33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3" cm="1">
        <f t="array" ref="BJ110">$G$13+VLOOKUP($R110,武学奇术!$A:$ZZ,14,FALSE)+SUM(_xlfn.XLOOKUP($S110:$AL110,增益!$A:$A,增益!$N:$N,0))</f>
        <v>0.15</v>
      </c>
      <c r="BK110">
        <f t="shared" si="18"/>
        <v>0</v>
      </c>
      <c r="BL110">
        <f t="shared" si="19"/>
        <v>0</v>
      </c>
      <c r="BM110" s="33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3" cm="1">
        <f t="array" ref="BN110">$G$14+VLOOKUP($R110,武学奇术!$A:$ZZ,16,FALSE)+SUM(_xlfn.XLOOKUP($S110:$AL110,增益!$A:$A,增益!$P:$P,0))</f>
        <v>0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4" cm="1">
        <f t="array" ref="BQ110">1+$B$13+VLOOKUP($R110,武学奇术!$A:$ZZ,18,FALSE)+SUM(_xlfn.XLOOKUP($S110:$AL110,增益!$A:$A,增益!$R:$R,0))</f>
        <v>1.56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0"/>
        <v>0.8865</v>
      </c>
      <c r="BU110" s="24">
        <f t="shared" si="21"/>
        <v>0.0222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0.06</v>
      </c>
      <c r="BX110" s="24" cm="1">
        <f t="array" ref="BX110">VLOOKUP($R110,武学奇术!$A:$ZZ,32,FALSE)+SUM(_xlfn.XLOOKUP($S110:$AL110,增益!$A:$A,增益!$X:$X,0))</f>
        <v>0</v>
      </c>
    </row>
    <row r="111" spans="1:76">
      <c r="A111" s="4" t="s">
        <v>167</v>
      </c>
      <c r="B111" s="4">
        <v>0.1</v>
      </c>
      <c r="K111" s="39">
        <f>$L111*VLOOKUP($R111,武学奇术!$A:$ZY,31,FALSE)</f>
        <v>57606.6271582106</v>
      </c>
      <c r="L111" s="39">
        <f t="shared" si="11"/>
        <v>54863.454436391</v>
      </c>
      <c r="M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55487.5362362511</v>
      </c>
      <c r="N111" s="39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53495.3257348565</v>
      </c>
      <c r="O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35568.9334847763</v>
      </c>
      <c r="P111" s="39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31511.6997585479</v>
      </c>
      <c r="Q111" s="86">
        <f>IF($E$24="奇术",3,0)</f>
        <v>3</v>
      </c>
      <c r="R111" s="40" t="s">
        <v>189</v>
      </c>
      <c r="S111" s="40" t="s">
        <v>121</v>
      </c>
      <c r="T111" s="40" t="s">
        <v>154</v>
      </c>
      <c r="U111" s="40" t="s">
        <v>80</v>
      </c>
      <c r="V111" s="40" t="s">
        <v>81</v>
      </c>
      <c r="W111" s="40" t="s">
        <v>80</v>
      </c>
      <c r="X111" s="40" t="s">
        <v>80</v>
      </c>
      <c r="Y111" s="40" t="s">
        <v>80</v>
      </c>
      <c r="Z111" s="40" t="s">
        <v>110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80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s="40" t="s">
        <v>80</v>
      </c>
      <c r="AM111" t="str">
        <f>VLOOKUP($R111,武学奇术!$A:$ZZ,25,FALSE)</f>
        <v>单体奇术</v>
      </c>
      <c r="AN111" s="24">
        <f>VLOOKUP($R111,武学奇术!$A:$ZZ,26,FALSE)</f>
        <v>1.024</v>
      </c>
      <c r="AO111" s="25">
        <f>VLOOKUP($R111,武学奇术!$A:$ZZ,27,FALSE)*(1+IF(OR($AM111=$F$4,$AM111=$F$5),$B$21,0))</f>
        <v>203</v>
      </c>
      <c r="AP111" s="24">
        <f>VLOOKUP($R111,武学奇术!$A:$ZZ,28,FALSE)</f>
        <v>1.536</v>
      </c>
      <c r="AQ111" s="25">
        <f>VLOOKUP($R111,武学奇术!$A:$ZZ,29,FALSE)*(1+IF(OR($AM111=$F$4,$AM111=$F$5),$B$21,0))</f>
        <v>0</v>
      </c>
      <c r="AR111" s="24" cm="1">
        <f t="array" ref="AR111">$G$3+IFERROR(VLOOKUP($AM111,$F$4:$G$7,2,FALSE),0)+VLOOKUP($R111,武学奇术!$A:$ZZ,2,FALSE)+SUM(_xlfn.XLOOKUP($S111:$AL111,增益!$A:$A,增益!$B:$B,0))</f>
        <v>0.5219</v>
      </c>
      <c r="AS111" s="24" cm="1">
        <f t="array" ref="AS111">VLOOKUP($R111,武学奇术!$A:$ZZ,5,FALSE)+SUM(_xlfn.XLOOKUP($S111:$AL111,增益!$A:$A,增益!$E:$E,0))</f>
        <v>0.075</v>
      </c>
      <c r="AT111" cm="1">
        <f t="array" ref="AT111">$D$10*(1+$AS111)+VLOOKUP($R111,武学奇术!$A:$ZZ,3,FALSE)+SUM(_xlfn.XLOOKUP($S111:$AL111,增益!$A:$A,增益!$C:$C,0))-$I$2</f>
        <v>4126.3125</v>
      </c>
      <c r="AU111" cm="1">
        <f t="array" ref="AU111">$E$10*(1+$AS111)+VLOOKUP($R111,武学奇术!$A:$ZZ,4,FALSE)+SUM(_xlfn.XLOOKUP($S111:$AL111,增益!$A:$A,增益!$D:$D,0))-$I$2</f>
        <v>4126.3125</v>
      </c>
      <c r="AV111" s="33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0.1939</v>
      </c>
      <c r="AW111" s="33" cm="1">
        <f t="array" ref="AW111">$G$10+VLOOKUP($R111,武学奇术!$A:$ZZ,7,FALSE)+SUM(_xlfn.XLOOKUP($S111:$AL111,增益!$A:$A,增益!$G:$G,0))</f>
        <v>0.025</v>
      </c>
      <c r="AX111" s="24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3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3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3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3" cm="1">
        <f t="array" ref="BF111">$G$12+VLOOKUP($R111,武学奇术!$A:$ZZ,12,FALSE)+SUM(_xlfn.XLOOKUP($S111:$AL111,增益!$A:$A,增益!$L:$L,0))</f>
        <v>0</v>
      </c>
      <c r="BG111">
        <f t="shared" si="16"/>
        <v>618.2</v>
      </c>
      <c r="BH111">
        <f t="shared" si="17"/>
        <v>1567.4</v>
      </c>
      <c r="BI111" s="33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3" cm="1">
        <f t="array" ref="BJ111">$G$13+VLOOKUP($R111,武学奇术!$A:$ZZ,14,FALSE)+SUM(_xlfn.XLOOKUP($S111:$AL111,增益!$A:$A,增益!$N:$N,0))</f>
        <v>0.15</v>
      </c>
      <c r="BK111">
        <f t="shared" si="18"/>
        <v>0</v>
      </c>
      <c r="BL111">
        <f t="shared" si="19"/>
        <v>0</v>
      </c>
      <c r="BM111" s="33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3" cm="1">
        <f t="array" ref="BN111">$G$14+VLOOKUP($R111,武学奇术!$A:$ZZ,16,FALSE)+SUM(_xlfn.XLOOKUP($S111:$AL111,增益!$A:$A,增益!$P:$P,0))</f>
        <v>0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4" cm="1">
        <f t="array" ref="BQ111">1+$B$13+VLOOKUP($R111,武学奇术!$A:$ZZ,18,FALSE)+SUM(_xlfn.XLOOKUP($S111:$AL111,增益!$A:$A,增益!$R:$R,0))</f>
        <v>1.56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0"/>
        <v>0.8865</v>
      </c>
      <c r="BU111" s="24">
        <f t="shared" si="21"/>
        <v>0.0222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0.06</v>
      </c>
      <c r="BX111" s="24" cm="1">
        <f t="array" ref="BX111">VLOOKUP($R111,武学奇术!$A:$ZZ,32,FALSE)+SUM(_xlfn.XLOOKUP($S111:$AL111,增益!$A:$A,增益!$X:$X,0))</f>
        <v>0</v>
      </c>
    </row>
    <row r="112" spans="1:76">
      <c r="A112" s="4" t="s">
        <v>177</v>
      </c>
      <c r="B112" s="4">
        <v>1</v>
      </c>
      <c r="K112" s="39">
        <f>$L112*VLOOKUP($R112,武学奇术!$A:$ZY,31,FALSE)</f>
        <v>90522.369579646</v>
      </c>
      <c r="L112" s="39">
        <f t="shared" si="11"/>
        <v>86211.7805520438</v>
      </c>
      <c r="M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87192.4559940615</v>
      </c>
      <c r="N112" s="39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84061.9123044119</v>
      </c>
      <c r="O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55892.5999961932</v>
      </c>
      <c r="P112" s="39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49517.1168039332</v>
      </c>
      <c r="Q112" s="86">
        <f>IF($E$24="奇术",3,0)</f>
        <v>3</v>
      </c>
      <c r="R112" s="40" t="s">
        <v>190</v>
      </c>
      <c r="S112" s="40" t="s">
        <v>121</v>
      </c>
      <c r="T112" s="40" t="s">
        <v>154</v>
      </c>
      <c r="U112" s="40" t="s">
        <v>80</v>
      </c>
      <c r="V112" s="40" t="s">
        <v>81</v>
      </c>
      <c r="W112" s="40" t="s">
        <v>80</v>
      </c>
      <c r="X112" s="40" t="s">
        <v>80</v>
      </c>
      <c r="Y112" s="40" t="s">
        <v>80</v>
      </c>
      <c r="Z112" s="40" t="s">
        <v>110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80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s="40" t="s">
        <v>80</v>
      </c>
      <c r="AM112" t="str">
        <f>VLOOKUP($R112,武学奇术!$A:$ZZ,25,FALSE)</f>
        <v>单体奇术</v>
      </c>
      <c r="AN112" s="24">
        <f>VLOOKUP($R112,武学奇术!$A:$ZZ,26,FALSE)</f>
        <v>1.6091</v>
      </c>
      <c r="AO112" s="25">
        <f>VLOOKUP($R112,武学奇术!$A:$ZZ,27,FALSE)*(1+IF(OR($AM112=$F$4,$AM112=$F$5),$B$21,0))</f>
        <v>319</v>
      </c>
      <c r="AP112" s="24">
        <f>VLOOKUP($R112,武学奇术!$A:$ZZ,28,FALSE)</f>
        <v>2.41365</v>
      </c>
      <c r="AQ112" s="25">
        <f>VLOOKUP($R112,武学奇术!$A:$ZZ,29,FALSE)*(1+IF(OR($AM112=$F$4,$AM112=$F$5),$B$21,0))</f>
        <v>0</v>
      </c>
      <c r="AR112" s="24" cm="1">
        <f t="array" ref="AR112">$G$3+IFERROR(VLOOKUP($AM112,$F$4:$G$7,2,FALSE),0)+VLOOKUP($R112,武学奇术!$A:$ZZ,2,FALSE)+SUM(_xlfn.XLOOKUP($S112:$AL112,增益!$A:$A,增益!$B:$B,0))</f>
        <v>0.5219</v>
      </c>
      <c r="AS112" s="24" cm="1">
        <f t="array" ref="AS112">VLOOKUP($R112,武学奇术!$A:$ZZ,5,FALSE)+SUM(_xlfn.XLOOKUP($S112:$AL112,增益!$A:$A,增益!$E:$E,0))</f>
        <v>0.075</v>
      </c>
      <c r="AT112" cm="1">
        <f t="array" ref="AT112">$D$10*(1+$AS112)+VLOOKUP($R112,武学奇术!$A:$ZZ,3,FALSE)+SUM(_xlfn.XLOOKUP($S112:$AL112,增益!$A:$A,增益!$C:$C,0))-$I$2</f>
        <v>4126.3125</v>
      </c>
      <c r="AU112" cm="1">
        <f t="array" ref="AU112">$E$10*(1+$AS112)+VLOOKUP($R112,武学奇术!$A:$ZZ,4,FALSE)+SUM(_xlfn.XLOOKUP($S112:$AL112,增益!$A:$A,增益!$D:$D,0))-$I$2</f>
        <v>4126.3125</v>
      </c>
      <c r="AV112" s="33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0.1939</v>
      </c>
      <c r="AW112" s="33" cm="1">
        <f t="array" ref="AW112">$G$10+VLOOKUP($R112,武学奇术!$A:$ZZ,7,FALSE)+SUM(_xlfn.XLOOKUP($S112:$AL112,增益!$A:$A,增益!$G:$G,0))</f>
        <v>0.025</v>
      </c>
      <c r="AX112" s="24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3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3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3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3" cm="1">
        <f t="array" ref="BF112">$G$12+VLOOKUP($R112,武学奇术!$A:$ZZ,12,FALSE)+SUM(_xlfn.XLOOKUP($S112:$AL112,增益!$A:$A,增益!$L:$L,0))</f>
        <v>0</v>
      </c>
      <c r="BG112">
        <f t="shared" si="16"/>
        <v>618.2</v>
      </c>
      <c r="BH112">
        <f t="shared" si="17"/>
        <v>1567.4</v>
      </c>
      <c r="BI112" s="33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3" cm="1">
        <f t="array" ref="BJ112">$G$13+VLOOKUP($R112,武学奇术!$A:$ZZ,14,FALSE)+SUM(_xlfn.XLOOKUP($S112:$AL112,增益!$A:$A,增益!$N:$N,0))</f>
        <v>0.15</v>
      </c>
      <c r="BK112">
        <f t="shared" si="18"/>
        <v>0</v>
      </c>
      <c r="BL112">
        <f t="shared" si="19"/>
        <v>0</v>
      </c>
      <c r="BM112" s="33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3" cm="1">
        <f t="array" ref="BN112">$G$14+VLOOKUP($R112,武学奇术!$A:$ZZ,16,FALSE)+SUM(_xlfn.XLOOKUP($S112:$AL112,增益!$A:$A,增益!$P:$P,0))</f>
        <v>0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4" cm="1">
        <f t="array" ref="BQ112">1+$B$13+VLOOKUP($R112,武学奇术!$A:$ZZ,18,FALSE)+SUM(_xlfn.XLOOKUP($S112:$AL112,增益!$A:$A,增益!$R:$R,0))</f>
        <v>1.56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0"/>
        <v>0.8865</v>
      </c>
      <c r="BU112" s="24">
        <f t="shared" si="21"/>
        <v>0.0222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0.06</v>
      </c>
      <c r="BX112" s="24" cm="1">
        <f t="array" ref="BX112">VLOOKUP($R112,武学奇术!$A:$ZZ,32,FALSE)+SUM(_xlfn.XLOOKUP($S112:$AL112,增益!$A:$A,增益!$X:$X,0))</f>
        <v>0</v>
      </c>
    </row>
    <row r="113" spans="1:76">
      <c r="A113" s="4" t="s">
        <v>199</v>
      </c>
      <c r="B113" s="4">
        <v>2.5</v>
      </c>
      <c r="K113" s="39">
        <f>$L113*VLOOKUP($R113,武学奇术!$A:$ZY,31,FALSE)</f>
        <v>79968.4993873323</v>
      </c>
      <c r="L113" s="39">
        <f t="shared" si="11"/>
        <v>76160.4756069831</v>
      </c>
      <c r="M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77165.880039872</v>
      </c>
      <c r="N113" s="39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73041.5498128346</v>
      </c>
      <c r="O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48839.1645821975</v>
      </c>
      <c r="P113" s="39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43573.4774511841</v>
      </c>
      <c r="Q113" s="86">
        <f>IF($E$24="奇术",1,0)</f>
        <v>1</v>
      </c>
      <c r="R113" s="40" t="s">
        <v>187</v>
      </c>
      <c r="S113" s="40" t="s">
        <v>91</v>
      </c>
      <c r="T113" s="40" t="s">
        <v>161</v>
      </c>
      <c r="U113" s="40" t="s">
        <v>80</v>
      </c>
      <c r="V113" s="40" t="s">
        <v>166</v>
      </c>
      <c r="W113" s="40" t="s">
        <v>80</v>
      </c>
      <c r="X113" s="40" t="s">
        <v>80</v>
      </c>
      <c r="Y113" s="40" t="s">
        <v>80</v>
      </c>
      <c r="Z113" s="40" t="s">
        <v>110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80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s="40" t="s">
        <v>80</v>
      </c>
      <c r="AM113" t="str">
        <f>VLOOKUP($R113,武学奇术!$A:$ZZ,25,FALSE)</f>
        <v>单体奇术</v>
      </c>
      <c r="AN113" s="24">
        <f>VLOOKUP($R113,武学奇术!$A:$ZZ,26,FALSE)</f>
        <v>3.987</v>
      </c>
      <c r="AO113" s="25">
        <f>VLOOKUP($R113,武学奇术!$A:$ZZ,27,FALSE)*(1+IF(OR($AM113=$F$4,$AM113=$F$5),$B$21,0))</f>
        <v>807</v>
      </c>
      <c r="AP113" s="24">
        <f>VLOOKUP($R113,武学奇术!$A:$ZZ,28,FALSE)</f>
        <v>5.9805</v>
      </c>
      <c r="AQ113" s="25">
        <f>VLOOKUP($R113,武学奇术!$A:$ZZ,29,FALSE)*(1+IF(OR($AM113=$F$4,$AM113=$F$5),$B$21,0))</f>
        <v>0</v>
      </c>
      <c r="AR113" s="24" cm="1">
        <f t="array" ref="AR113">$G$3+IFERROR(VLOOKUP($AM113,$F$4:$G$7,2,FALSE),0)+VLOOKUP($R113,武学奇术!$A:$ZZ,2,FALSE)+SUM(_xlfn.XLOOKUP($S113:$AL113,增益!$A:$A,增益!$B:$B,0))</f>
        <v>0.5219</v>
      </c>
      <c r="AS113" s="24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4462.125</v>
      </c>
      <c r="AU113" cm="1">
        <f t="array" ref="AU113">$E$10*(1+$AS113)+VLOOKUP($R113,武学奇术!$A:$ZZ,4,FALSE)+SUM(_xlfn.XLOOKUP($S113:$AL113,增益!$A:$A,增益!$D:$D,0))-$I$2</f>
        <v>4462.125</v>
      </c>
      <c r="AV113" s="33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0.1939</v>
      </c>
      <c r="AW113" s="33" cm="1">
        <f t="array" ref="AW113">$G$10+VLOOKUP($R113,武学奇术!$A:$ZZ,7,FALSE)+SUM(_xlfn.XLOOKUP($S113:$AL113,增益!$A:$A,增益!$G:$G,0))</f>
        <v>0.025</v>
      </c>
      <c r="AX113" s="24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3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3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3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3" cm="1">
        <f t="array" ref="BF113">$G$12+VLOOKUP($R113,武学奇术!$A:$ZZ,12,FALSE)+SUM(_xlfn.XLOOKUP($S113:$AL113,增益!$A:$A,增益!$L:$L,0))</f>
        <v>0</v>
      </c>
      <c r="BG113">
        <f t="shared" si="16"/>
        <v>618.2</v>
      </c>
      <c r="BH113">
        <f t="shared" si="17"/>
        <v>1567.4</v>
      </c>
      <c r="BI113" s="33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3" cm="1">
        <f t="array" ref="BJ113">$G$13+VLOOKUP($R113,武学奇术!$A:$ZZ,14,FALSE)+SUM(_xlfn.XLOOKUP($S113:$AL113,增益!$A:$A,增益!$N:$N,0))</f>
        <v>0.15</v>
      </c>
      <c r="BK113">
        <f t="shared" si="18"/>
        <v>0</v>
      </c>
      <c r="BL113">
        <f t="shared" si="19"/>
        <v>0</v>
      </c>
      <c r="BM113" s="33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3" cm="1">
        <f t="array" ref="BN113">$G$14+VLOOKUP($R113,武学奇术!$A:$ZZ,16,FALSE)+SUM(_xlfn.XLOOKUP($S113:$AL113,增益!$A:$A,增益!$P:$P,0))</f>
        <v>0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4" cm="1">
        <f t="array" ref="BQ113">1+$B$13+VLOOKUP($R113,武学奇术!$A:$ZZ,18,FALSE)+SUM(_xlfn.XLOOKUP($S113:$AL113,增益!$A:$A,增益!$R:$R,0))</f>
        <v>1.58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0"/>
        <v>0.8865</v>
      </c>
      <c r="BU113" s="24">
        <f t="shared" si="21"/>
        <v>0.0222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0.06</v>
      </c>
      <c r="BX113" s="24" cm="1">
        <f t="array" ref="BX113">VLOOKUP($R113,武学奇术!$A:$ZZ,32,FALSE)+SUM(_xlfn.XLOOKUP($S113:$AL113,增益!$A:$A,增益!$X:$X,0))</f>
        <v>0</v>
      </c>
    </row>
    <row r="114" spans="1:76">
      <c r="A114" s="4" t="s">
        <v>200</v>
      </c>
      <c r="B114" s="4">
        <v>3.3</v>
      </c>
      <c r="K114" s="39">
        <f>$L114*VLOOKUP($R114,武学奇术!$A:$ZY,31,FALSE)</f>
        <v>2839.8024659978</v>
      </c>
      <c r="L114" s="39">
        <f t="shared" si="11"/>
        <v>4507.62296190127</v>
      </c>
      <c r="M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4567.10772538314</v>
      </c>
      <c r="N114" s="39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4323.23339795158</v>
      </c>
      <c r="O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2890.57450973616</v>
      </c>
      <c r="P114" s="39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2578.75390987856</v>
      </c>
      <c r="Q114" s="86">
        <f>IF($E$24="奇术",1,0)</f>
        <v>1</v>
      </c>
      <c r="R114" s="40" t="s">
        <v>188</v>
      </c>
      <c r="S114" s="40" t="s">
        <v>91</v>
      </c>
      <c r="T114" s="40" t="s">
        <v>161</v>
      </c>
      <c r="U114" s="40" t="s">
        <v>80</v>
      </c>
      <c r="V114" s="40" t="s">
        <v>166</v>
      </c>
      <c r="W114" s="40" t="s">
        <v>80</v>
      </c>
      <c r="X114" s="40" t="s">
        <v>80</v>
      </c>
      <c r="Y114" s="40" t="s">
        <v>80</v>
      </c>
      <c r="Z114" s="40" t="s">
        <v>110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80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s="40" t="s">
        <v>80</v>
      </c>
      <c r="AM114" t="str">
        <f>VLOOKUP($R114,武学奇术!$A:$ZZ,25,FALSE)</f>
        <v>单体奇术</v>
      </c>
      <c r="AN114" s="24">
        <f>VLOOKUP($R114,武学奇术!$A:$ZZ,26,FALSE)</f>
        <v>0.2361</v>
      </c>
      <c r="AO114" s="25">
        <f>VLOOKUP($R114,武学奇术!$A:$ZZ,27,FALSE)*(1+IF(OR($AM114=$F$4,$AM114=$F$5),$B$21,0))</f>
        <v>47</v>
      </c>
      <c r="AP114" s="24">
        <f>VLOOKUP($R114,武学奇术!$A:$ZZ,28,FALSE)</f>
        <v>0.35415</v>
      </c>
      <c r="AQ114" s="25">
        <f>VLOOKUP($R114,武学奇术!$A:$ZZ,29,FALSE)*(1+IF(OR($AM114=$F$4,$AM114=$F$5),$B$21,0))</f>
        <v>0</v>
      </c>
      <c r="AR114" s="24" cm="1">
        <f t="array" ref="AR114">$G$3+IFERROR(VLOOKUP($AM114,$F$4:$G$7,2,FALSE),0)+VLOOKUP($R114,武学奇术!$A:$ZZ,2,FALSE)+SUM(_xlfn.XLOOKUP($S114:$AL114,增益!$A:$A,增益!$B:$B,0))</f>
        <v>0.5219</v>
      </c>
      <c r="AS114" s="24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4462.125</v>
      </c>
      <c r="AU114" cm="1">
        <f t="array" ref="AU114">$E$10*(1+$AS114)+VLOOKUP($R114,武学奇术!$A:$ZZ,4,FALSE)+SUM(_xlfn.XLOOKUP($S114:$AL114,增益!$A:$A,增益!$D:$D,0))-$I$2</f>
        <v>4462.125</v>
      </c>
      <c r="AV114" s="33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0.1939</v>
      </c>
      <c r="AW114" s="33" cm="1">
        <f t="array" ref="AW114">$G$10+VLOOKUP($R114,武学奇术!$A:$ZZ,7,FALSE)+SUM(_xlfn.XLOOKUP($S114:$AL114,增益!$A:$A,增益!$G:$G,0))</f>
        <v>0.025</v>
      </c>
      <c r="AX114" s="24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3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3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3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3" cm="1">
        <f t="array" ref="BF114">$G$12+VLOOKUP($R114,武学奇术!$A:$ZZ,12,FALSE)+SUM(_xlfn.XLOOKUP($S114:$AL114,增益!$A:$A,增益!$L:$L,0))</f>
        <v>0</v>
      </c>
      <c r="BG114">
        <f t="shared" si="16"/>
        <v>618.2</v>
      </c>
      <c r="BH114">
        <f t="shared" si="17"/>
        <v>1567.4</v>
      </c>
      <c r="BI114" s="33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3" cm="1">
        <f t="array" ref="BJ114">$G$13+VLOOKUP($R114,武学奇术!$A:$ZZ,14,FALSE)+SUM(_xlfn.XLOOKUP($S114:$AL114,增益!$A:$A,增益!$N:$N,0))</f>
        <v>0.15</v>
      </c>
      <c r="BK114">
        <f t="shared" si="18"/>
        <v>0</v>
      </c>
      <c r="BL114">
        <f t="shared" si="19"/>
        <v>0</v>
      </c>
      <c r="BM114" s="33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3" cm="1">
        <f t="array" ref="BN114">$G$14+VLOOKUP($R114,武学奇术!$A:$ZZ,16,FALSE)+SUM(_xlfn.XLOOKUP($S114:$AL114,增益!$A:$A,增益!$P:$P,0))</f>
        <v>0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4" cm="1">
        <f t="array" ref="BQ114">1+$B$13+VLOOKUP($R114,武学奇术!$A:$ZZ,18,FALSE)+SUM(_xlfn.XLOOKUP($S114:$AL114,增益!$A:$A,增益!$R:$R,0))</f>
        <v>1.58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0"/>
        <v>0.8865</v>
      </c>
      <c r="BU114" s="24">
        <f t="shared" si="21"/>
        <v>0.0222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0.06</v>
      </c>
      <c r="BX114" s="24" cm="1">
        <f t="array" ref="BX114">VLOOKUP($R114,武学奇术!$A:$ZZ,32,FALSE)+SUM(_xlfn.XLOOKUP($S114:$AL114,增益!$A:$A,增益!$X:$X,0))</f>
        <v>0</v>
      </c>
    </row>
    <row r="115" spans="1:76">
      <c r="A115" s="4" t="s">
        <v>204</v>
      </c>
      <c r="B115" s="4">
        <v>2.1</v>
      </c>
      <c r="K115" s="39">
        <f>$L115*VLOOKUP($R115,武学奇术!$A:$ZY,31,FALSE)</f>
        <v>17135.6770806357</v>
      </c>
      <c r="L115" s="39">
        <f t="shared" si="11"/>
        <v>27199.4874295805</v>
      </c>
      <c r="M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27576.080822883</v>
      </c>
      <c r="N115" s="39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25939.4003877095</v>
      </c>
      <c r="O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17343.447058417</v>
      </c>
      <c r="P115" s="39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15472.5234592714</v>
      </c>
      <c r="Q115" s="86">
        <f>IF($E$24="奇术",6,0)</f>
        <v>6</v>
      </c>
      <c r="R115" s="40" t="s">
        <v>188</v>
      </c>
      <c r="S115" s="40" t="s">
        <v>91</v>
      </c>
      <c r="T115" s="40" t="s">
        <v>168</v>
      </c>
      <c r="U115" s="40" t="s">
        <v>80</v>
      </c>
      <c r="V115" s="40" t="s">
        <v>166</v>
      </c>
      <c r="W115" s="40" t="s">
        <v>80</v>
      </c>
      <c r="X115" s="40" t="s">
        <v>80</v>
      </c>
      <c r="Y115" s="40" t="s">
        <v>80</v>
      </c>
      <c r="Z115" s="40" t="s">
        <v>110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80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s="40" t="s">
        <v>80</v>
      </c>
      <c r="AM115" t="str">
        <f>VLOOKUP($R115,武学奇术!$A:$ZZ,25,FALSE)</f>
        <v>单体奇术</v>
      </c>
      <c r="AN115" s="24">
        <f>VLOOKUP($R115,武学奇术!$A:$ZZ,26,FALSE)</f>
        <v>0.2361</v>
      </c>
      <c r="AO115" s="25">
        <f>VLOOKUP($R115,武学奇术!$A:$ZZ,27,FALSE)*(1+IF(OR($AM115=$F$4,$AM115=$F$5),$B$21,0))</f>
        <v>47</v>
      </c>
      <c r="AP115" s="24">
        <f>VLOOKUP($R115,武学奇术!$A:$ZZ,28,FALSE)</f>
        <v>0.35415</v>
      </c>
      <c r="AQ115" s="25">
        <f>VLOOKUP($R115,武学奇术!$A:$ZZ,29,FALSE)*(1+IF(OR($AM115=$F$4,$AM115=$F$5),$B$21,0))</f>
        <v>0</v>
      </c>
      <c r="AR115" s="24" cm="1">
        <f t="array" ref="AR115">$G$3+IFERROR(VLOOKUP($AM115,$F$4:$G$7,2,FALSE),0)+VLOOKUP($R115,武学奇术!$A:$ZZ,2,FALSE)+SUM(_xlfn.XLOOKUP($S115:$AL115,增益!$A:$A,增益!$B:$B,0))</f>
        <v>0.5219</v>
      </c>
      <c r="AS115" s="24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4462.125</v>
      </c>
      <c r="AU115" cm="1">
        <f t="array" ref="AU115">$E$10*(1+$AS115)+VLOOKUP($R115,武学奇术!$A:$ZZ,4,FALSE)+SUM(_xlfn.XLOOKUP($S115:$AL115,增益!$A:$A,增益!$D:$D,0))-$I$2</f>
        <v>4462.125</v>
      </c>
      <c r="AV115" s="33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0.1939</v>
      </c>
      <c r="AW115" s="33" cm="1">
        <f t="array" ref="AW115">$G$10+VLOOKUP($R115,武学奇术!$A:$ZZ,7,FALSE)+SUM(_xlfn.XLOOKUP($S115:$AL115,增益!$A:$A,增益!$G:$G,0))</f>
        <v>0.025</v>
      </c>
      <c r="AX115" s="24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3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3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3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3" cm="1">
        <f t="array" ref="BF115">$G$12+VLOOKUP($R115,武学奇术!$A:$ZZ,12,FALSE)+SUM(_xlfn.XLOOKUP($S115:$AL115,增益!$A:$A,增益!$L:$L,0))</f>
        <v>0</v>
      </c>
      <c r="BG115">
        <f t="shared" si="16"/>
        <v>618.2</v>
      </c>
      <c r="BH115">
        <f t="shared" si="17"/>
        <v>1567.4</v>
      </c>
      <c r="BI115" s="33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3" cm="1">
        <f t="array" ref="BJ115">$G$13+VLOOKUP($R115,武学奇术!$A:$ZZ,14,FALSE)+SUM(_xlfn.XLOOKUP($S115:$AL115,增益!$A:$A,增益!$N:$N,0))</f>
        <v>0.15</v>
      </c>
      <c r="BK115">
        <f t="shared" si="18"/>
        <v>0</v>
      </c>
      <c r="BL115">
        <f t="shared" si="19"/>
        <v>0</v>
      </c>
      <c r="BM115" s="33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3" cm="1">
        <f t="array" ref="BN115">$G$14+VLOOKUP($R115,武学奇术!$A:$ZZ,16,FALSE)+SUM(_xlfn.XLOOKUP($S115:$AL115,增益!$A:$A,增益!$P:$P,0))</f>
        <v>0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4" cm="1">
        <f t="array" ref="BQ115">1+$B$13+VLOOKUP($R115,武学奇术!$A:$ZZ,18,FALSE)+SUM(_xlfn.XLOOKUP($S115:$AL115,增益!$A:$A,增益!$R:$R,0))</f>
        <v>1.59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0"/>
        <v>0.8865</v>
      </c>
      <c r="BU115" s="24">
        <f t="shared" si="21"/>
        <v>0.0222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0.06</v>
      </c>
      <c r="BX115" s="24" cm="1">
        <f t="array" ref="BX115">VLOOKUP($R115,武学奇术!$A:$ZZ,32,FALSE)+SUM(_xlfn.XLOOKUP($S115:$AL115,增益!$A:$A,增益!$X:$X,0))</f>
        <v>0</v>
      </c>
    </row>
    <row r="116" spans="1:76">
      <c r="A116" s="4" t="s">
        <v>205</v>
      </c>
      <c r="B116" s="4">
        <v>1.2</v>
      </c>
      <c r="K116" s="39">
        <f>$L116*VLOOKUP($R116,武学奇术!$A:$ZY,31,FALSE)</f>
        <v>5178.02763108263</v>
      </c>
      <c r="L116" s="39">
        <f t="shared" si="11"/>
        <v>8219.09147790894</v>
      </c>
      <c r="M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8338.16501984528</v>
      </c>
      <c r="N116" s="39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7794.26230192492</v>
      </c>
      <c r="O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5211.3531374033</v>
      </c>
      <c r="P116" s="39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4649.1786437511</v>
      </c>
      <c r="Q116" s="86">
        <f>IF($E$24="奇术",2,0)</f>
        <v>2</v>
      </c>
      <c r="R116" s="40" t="s">
        <v>188</v>
      </c>
      <c r="S116" s="40" t="s">
        <v>91</v>
      </c>
      <c r="T116" s="40" t="s">
        <v>172</v>
      </c>
      <c r="U116" s="40" t="s">
        <v>80</v>
      </c>
      <c r="V116" s="40" t="s">
        <v>166</v>
      </c>
      <c r="W116" s="40" t="s">
        <v>80</v>
      </c>
      <c r="X116" s="40" t="s">
        <v>80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80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s="40" t="s">
        <v>80</v>
      </c>
      <c r="AM116" t="str">
        <f>VLOOKUP($R116,武学奇术!$A:$ZZ,25,FALSE)</f>
        <v>单体奇术</v>
      </c>
      <c r="AN116" s="24">
        <f>VLOOKUP($R116,武学奇术!$A:$ZZ,26,FALSE)</f>
        <v>0.2361</v>
      </c>
      <c r="AO116" s="25">
        <f>VLOOKUP($R116,武学奇术!$A:$ZZ,27,FALSE)*(1+IF(OR($AM116=$F$4,$AM116=$F$5),$B$21,0))</f>
        <v>47</v>
      </c>
      <c r="AP116" s="24">
        <f>VLOOKUP($R116,武学奇术!$A:$ZZ,28,FALSE)</f>
        <v>0.35415</v>
      </c>
      <c r="AQ116" s="25">
        <f>VLOOKUP($R116,武学奇术!$A:$ZZ,29,FALSE)*(1+IF(OR($AM116=$F$4,$AM116=$F$5),$B$21,0))</f>
        <v>0</v>
      </c>
      <c r="AR116" s="24" cm="1">
        <f t="array" ref="AR116">$G$3+IFERROR(VLOOKUP($AM116,$F$4:$G$7,2,FALSE),0)+VLOOKUP($R116,武学奇术!$A:$ZZ,2,FALSE)+SUM(_xlfn.XLOOKUP($S116:$AL116,增益!$A:$A,增益!$B:$B,0))</f>
        <v>0.3719</v>
      </c>
      <c r="AS116" s="24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4462.125</v>
      </c>
      <c r="AU116" cm="1">
        <f t="array" ref="AU116">$E$10*(1+$AS116)+VLOOKUP($R116,武学奇术!$A:$ZZ,4,FALSE)+SUM(_xlfn.XLOOKUP($S116:$AL116,增益!$A:$A,增益!$D:$D,0))-$I$2</f>
        <v>4462.125</v>
      </c>
      <c r="AV116" s="33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0.1939</v>
      </c>
      <c r="AW116" s="33" cm="1">
        <f t="array" ref="AW116">$G$10+VLOOKUP($R116,武学奇术!$A:$ZZ,7,FALSE)+SUM(_xlfn.XLOOKUP($S116:$AL116,增益!$A:$A,增益!$G:$G,0))</f>
        <v>0.025</v>
      </c>
      <c r="AX116" s="24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3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3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3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3" cm="1">
        <f t="array" ref="BF116">$G$12+VLOOKUP($R116,武学奇术!$A:$ZZ,12,FALSE)+SUM(_xlfn.XLOOKUP($S116:$AL116,增益!$A:$A,增益!$L:$L,0))</f>
        <v>0</v>
      </c>
      <c r="BG116">
        <f t="shared" si="16"/>
        <v>618.2</v>
      </c>
      <c r="BH116">
        <f t="shared" si="17"/>
        <v>1567.4</v>
      </c>
      <c r="BI116" s="33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3" cm="1">
        <f t="array" ref="BJ116">$G$13+VLOOKUP($R116,武学奇术!$A:$ZZ,14,FALSE)+SUM(_xlfn.XLOOKUP($S116:$AL116,增益!$A:$A,增益!$N:$N,0))</f>
        <v>0.15</v>
      </c>
      <c r="BK116">
        <f t="shared" si="18"/>
        <v>0</v>
      </c>
      <c r="BL116">
        <f t="shared" si="19"/>
        <v>0</v>
      </c>
      <c r="BM116" s="33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3" cm="1">
        <f t="array" ref="BN116">$G$14+VLOOKUP($R116,武学奇术!$A:$ZZ,16,FALSE)+SUM(_xlfn.XLOOKUP($S116:$AL116,增益!$A:$A,增益!$P:$P,0))</f>
        <v>0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4" cm="1">
        <f t="array" ref="BQ116">1+$B$13+VLOOKUP($R116,武学奇术!$A:$ZZ,18,FALSE)+SUM(_xlfn.XLOOKUP($S116:$AL116,增益!$A:$A,增益!$R:$R,0))</f>
        <v>1.6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0"/>
        <v>0.8865</v>
      </c>
      <c r="BU116" s="24">
        <f t="shared" si="21"/>
        <v>0.0222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0.06</v>
      </c>
      <c r="BX116" s="24" cm="1">
        <f t="array" ref="BX116">VLOOKUP($R116,武学奇术!$A:$ZZ,32,FALSE)+SUM(_xlfn.XLOOKUP($S116:$AL116,增益!$A:$A,增益!$X:$X,0))</f>
        <v>0</v>
      </c>
    </row>
    <row r="117" spans="1:76">
      <c r="A117" s="4" t="s">
        <v>200</v>
      </c>
      <c r="B117" s="4">
        <v>3.3</v>
      </c>
      <c r="K117" s="39">
        <f>$L117*VLOOKUP($R117,武学奇术!$A:$ZY,31,FALSE)</f>
        <v>14360.4494710705</v>
      </c>
      <c r="L117" s="39">
        <f t="shared" si="11"/>
        <v>22794.3642397945</v>
      </c>
      <c r="M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23124.5960778893</v>
      </c>
      <c r="N117" s="39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21616.1669897579</v>
      </c>
      <c r="O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14452.8725486808</v>
      </c>
      <c r="P117" s="39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12893.7695493928</v>
      </c>
      <c r="Q117" s="86">
        <f>IF($E$24="奇术",5,0)</f>
        <v>5</v>
      </c>
      <c r="R117" s="40" t="s">
        <v>188</v>
      </c>
      <c r="S117" s="40" t="s">
        <v>91</v>
      </c>
      <c r="T117" s="40" t="s">
        <v>172</v>
      </c>
      <c r="U117" s="40" t="s">
        <v>80</v>
      </c>
      <c r="V117" s="40" t="s">
        <v>166</v>
      </c>
      <c r="W117" s="40" t="s">
        <v>80</v>
      </c>
      <c r="X117" s="40" t="s">
        <v>80</v>
      </c>
      <c r="Y117" s="40" t="s">
        <v>80</v>
      </c>
      <c r="Z117" s="40" t="s">
        <v>110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80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s="40" t="s">
        <v>80</v>
      </c>
      <c r="AM117" t="str">
        <f>VLOOKUP($R117,武学奇术!$A:$ZZ,25,FALSE)</f>
        <v>单体奇术</v>
      </c>
      <c r="AN117" s="24">
        <f>VLOOKUP($R117,武学奇术!$A:$ZZ,26,FALSE)</f>
        <v>0.2361</v>
      </c>
      <c r="AO117" s="25">
        <f>VLOOKUP($R117,武学奇术!$A:$ZZ,27,FALSE)*(1+IF(OR($AM117=$F$4,$AM117=$F$5),$B$21,0))</f>
        <v>47</v>
      </c>
      <c r="AP117" s="24">
        <f>VLOOKUP($R117,武学奇术!$A:$ZZ,28,FALSE)</f>
        <v>0.35415</v>
      </c>
      <c r="AQ117" s="25">
        <f>VLOOKUP($R117,武学奇术!$A:$ZZ,29,FALSE)*(1+IF(OR($AM117=$F$4,$AM117=$F$5),$B$21,0))</f>
        <v>0</v>
      </c>
      <c r="AR117" s="24" cm="1">
        <f t="array" ref="AR117">$G$3+IFERROR(VLOOKUP($AM117,$F$4:$G$7,2,FALSE),0)+VLOOKUP($R117,武学奇术!$A:$ZZ,2,FALSE)+SUM(_xlfn.XLOOKUP($S117:$AL117,增益!$A:$A,增益!$B:$B,0))</f>
        <v>0.5219</v>
      </c>
      <c r="AS117" s="24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4462.125</v>
      </c>
      <c r="AU117" cm="1">
        <f t="array" ref="AU117">$E$10*(1+$AS117)+VLOOKUP($R117,武学奇术!$A:$ZZ,4,FALSE)+SUM(_xlfn.XLOOKUP($S117:$AL117,增益!$A:$A,增益!$D:$D,0))-$I$2</f>
        <v>4462.125</v>
      </c>
      <c r="AV117" s="33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0.1939</v>
      </c>
      <c r="AW117" s="33" cm="1">
        <f t="array" ref="AW117">$G$10+VLOOKUP($R117,武学奇术!$A:$ZZ,7,FALSE)+SUM(_xlfn.XLOOKUP($S117:$AL117,增益!$A:$A,增益!$G:$G,0))</f>
        <v>0.025</v>
      </c>
      <c r="AX117" s="24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3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3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3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3" cm="1">
        <f t="array" ref="BF117">$G$12+VLOOKUP($R117,武学奇术!$A:$ZZ,12,FALSE)+SUM(_xlfn.XLOOKUP($S117:$AL117,增益!$A:$A,增益!$L:$L,0))</f>
        <v>0</v>
      </c>
      <c r="BG117">
        <f t="shared" si="16"/>
        <v>618.2</v>
      </c>
      <c r="BH117">
        <f t="shared" si="17"/>
        <v>1567.4</v>
      </c>
      <c r="BI117" s="33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3" cm="1">
        <f t="array" ref="BJ117">$G$13+VLOOKUP($R117,武学奇术!$A:$ZZ,14,FALSE)+SUM(_xlfn.XLOOKUP($S117:$AL117,增益!$A:$A,增益!$N:$N,0))</f>
        <v>0.15</v>
      </c>
      <c r="BK117">
        <f t="shared" si="18"/>
        <v>0</v>
      </c>
      <c r="BL117">
        <f t="shared" si="19"/>
        <v>0</v>
      </c>
      <c r="BM117" s="33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3" cm="1">
        <f t="array" ref="BN117">$G$14+VLOOKUP($R117,武学奇术!$A:$ZZ,16,FALSE)+SUM(_xlfn.XLOOKUP($S117:$AL117,增益!$A:$A,增益!$P:$P,0))</f>
        <v>0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4" cm="1">
        <f t="array" ref="BQ117">1+$B$13+VLOOKUP($R117,武学奇术!$A:$ZZ,18,FALSE)+SUM(_xlfn.XLOOKUP($S117:$AL117,增益!$A:$A,增益!$R:$R,0))</f>
        <v>1.6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0"/>
        <v>0.8865</v>
      </c>
      <c r="BU117" s="24">
        <f t="shared" si="21"/>
        <v>0.0222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0.06</v>
      </c>
      <c r="BX117" s="24" cm="1">
        <f t="array" ref="BX117">VLOOKUP($R117,武学奇术!$A:$ZZ,32,FALSE)+SUM(_xlfn.XLOOKUP($S117:$AL117,增益!$A:$A,增益!$X:$X,0))</f>
        <v>0</v>
      </c>
    </row>
    <row r="118" spans="1:76">
      <c r="K118" s="39">
        <f>$L118*VLOOKUP($R118,武学奇术!$A:$ZY,31,FALSE)</f>
        <v>28287.3759392408</v>
      </c>
      <c r="L118" s="39">
        <f t="shared" si="11"/>
        <v>44900.5967289536</v>
      </c>
      <c r="M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45551.0911421065</v>
      </c>
      <c r="N118" s="39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42579.7704477495</v>
      </c>
      <c r="O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28469.4319638165</v>
      </c>
      <c r="P118" s="39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25398.2932255964</v>
      </c>
      <c r="Q118" s="86">
        <f>IF($E$24="奇术",9,0)</f>
        <v>9</v>
      </c>
      <c r="R118" s="40" t="s">
        <v>188</v>
      </c>
      <c r="S118" s="40" t="s">
        <v>91</v>
      </c>
      <c r="T118" s="40" t="s">
        <v>172</v>
      </c>
      <c r="U118" s="40" t="s">
        <v>80</v>
      </c>
      <c r="V118" s="40" t="s">
        <v>166</v>
      </c>
      <c r="W118" s="40" t="s">
        <v>80</v>
      </c>
      <c r="X118" s="40" t="s">
        <v>80</v>
      </c>
      <c r="Y118" s="40" t="s">
        <v>80</v>
      </c>
      <c r="Z118" s="40" t="s">
        <v>110</v>
      </c>
      <c r="AA118" s="40" t="s">
        <v>175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80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s="40" t="s">
        <v>80</v>
      </c>
      <c r="AM118" t="str">
        <f>VLOOKUP($R118,武学奇术!$A:$ZZ,25,FALSE)</f>
        <v>单体奇术</v>
      </c>
      <c r="AN118" s="24">
        <f>VLOOKUP($R118,武学奇术!$A:$ZZ,26,FALSE)</f>
        <v>0.2361</v>
      </c>
      <c r="AO118" s="25">
        <f>VLOOKUP($R118,武学奇术!$A:$ZZ,27,FALSE)*(1+IF(OR($AM118=$F$4,$AM118=$F$5),$B$21,0))</f>
        <v>47</v>
      </c>
      <c r="AP118" s="24">
        <f>VLOOKUP($R118,武学奇术!$A:$ZZ,28,FALSE)</f>
        <v>0.35415</v>
      </c>
      <c r="AQ118" s="25">
        <f>VLOOKUP($R118,武学奇术!$A:$ZZ,29,FALSE)*(1+IF(OR($AM118=$F$4,$AM118=$F$5),$B$21,0))</f>
        <v>0</v>
      </c>
      <c r="AR118" s="24" cm="1">
        <f t="array" ref="AR118">$G$3+IFERROR(VLOOKUP($AM118,$F$4:$G$7,2,FALSE),0)+VLOOKUP($R118,武学奇术!$A:$ZZ,2,FALSE)+SUM(_xlfn.XLOOKUP($S118:$AL118,增益!$A:$A,增益!$B:$B,0))</f>
        <v>0.5219</v>
      </c>
      <c r="AS118" s="24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4462.125</v>
      </c>
      <c r="AU118" cm="1">
        <f t="array" ref="AU118">$E$10*(1+$AS118)+VLOOKUP($R118,武学奇术!$A:$ZZ,4,FALSE)+SUM(_xlfn.XLOOKUP($S118:$AL118,增益!$A:$A,增益!$D:$D,0))-$I$2</f>
        <v>4462.125</v>
      </c>
      <c r="AV118" s="33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0.1939</v>
      </c>
      <c r="AW118" s="33" cm="1">
        <f t="array" ref="AW118">$G$10+VLOOKUP($R118,武学奇术!$A:$ZZ,7,FALSE)+SUM(_xlfn.XLOOKUP($S118:$AL118,增益!$A:$A,增益!$G:$G,0))</f>
        <v>0.025</v>
      </c>
      <c r="AX118" s="24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3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3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3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3" cm="1">
        <f t="array" ref="BF118">$G$12+VLOOKUP($R118,武学奇术!$A:$ZZ,12,FALSE)+SUM(_xlfn.XLOOKUP($S118:$AL118,增益!$A:$A,增益!$L:$L,0))</f>
        <v>0</v>
      </c>
      <c r="BG118">
        <f t="shared" si="16"/>
        <v>618.2</v>
      </c>
      <c r="BH118">
        <f t="shared" si="17"/>
        <v>1567.4</v>
      </c>
      <c r="BI118" s="33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3" cm="1">
        <f t="array" ref="BJ118">$G$13+VLOOKUP($R118,武学奇术!$A:$ZZ,14,FALSE)+SUM(_xlfn.XLOOKUP($S118:$AL118,增益!$A:$A,增益!$N:$N,0))</f>
        <v>0.15</v>
      </c>
      <c r="BK118">
        <f t="shared" si="18"/>
        <v>0</v>
      </c>
      <c r="BL118">
        <f t="shared" si="19"/>
        <v>0</v>
      </c>
      <c r="BM118" s="33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3" cm="1">
        <f t="array" ref="BN118">$G$14+VLOOKUP($R118,武学奇术!$A:$ZZ,16,FALSE)+SUM(_xlfn.XLOOKUP($S118:$AL118,增益!$A:$A,增益!$P:$P,0))</f>
        <v>0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4" cm="1">
        <f t="array" ref="BQ118">1+$B$13+VLOOKUP($R118,武学奇术!$A:$ZZ,18,FALSE)+SUM(_xlfn.XLOOKUP($S118:$AL118,增益!$A:$A,增益!$R:$R,0))</f>
        <v>1.6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0"/>
        <v>0.8865</v>
      </c>
      <c r="BU118" s="24">
        <f t="shared" si="21"/>
        <v>0.0222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0.16</v>
      </c>
      <c r="BX118" s="24" cm="1">
        <f t="array" ref="BX118">VLOOKUP($R118,武学奇术!$A:$ZZ,32,FALSE)+SUM(_xlfn.XLOOKUP($S118:$AL118,增益!$A:$A,增益!$X:$X,0))</f>
        <v>0</v>
      </c>
    </row>
    <row r="119" spans="1:76">
      <c r="K119" s="39">
        <f>$L119*VLOOKUP($R119,武学奇术!$A:$ZY,31,FALSE)</f>
        <v>78122.1330754175</v>
      </c>
      <c r="L119" s="39">
        <f t="shared" si="11"/>
        <v>74402.0315003976</v>
      </c>
      <c r="M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75450.3073765833</v>
      </c>
      <c r="N119" s="39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70848.4227404868</v>
      </c>
      <c r="O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47156.4421103645</v>
      </c>
      <c r="P119" s="39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41832.5710796278</v>
      </c>
      <c r="Q119" s="86">
        <f>IF($E$24="奇术",3,0)</f>
        <v>3</v>
      </c>
      <c r="R119" s="40" t="s">
        <v>191</v>
      </c>
      <c r="S119" s="40" t="s">
        <v>91</v>
      </c>
      <c r="T119" s="40" t="s">
        <v>172</v>
      </c>
      <c r="U119" s="40" t="s">
        <v>80</v>
      </c>
      <c r="V119" s="40" t="s">
        <v>81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80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s="40" t="s">
        <v>80</v>
      </c>
      <c r="AM119" t="str">
        <f>VLOOKUP($R119,武学奇术!$A:$ZZ,25,FALSE)</f>
        <v>群体奇术</v>
      </c>
      <c r="AN119" s="24">
        <f>VLOOKUP($R119,武学奇术!$A:$ZZ,26,FALSE)</f>
        <v>1.4906</v>
      </c>
      <c r="AO119" s="25">
        <f>VLOOKUP($R119,武学奇术!$A:$ZZ,27,FALSE)*(1+IF(OR($AM119=$F$4,$AM119=$F$5),$B$21,0))</f>
        <v>386</v>
      </c>
      <c r="AP119" s="24">
        <f>VLOOKUP($R119,武学奇术!$A:$ZZ,28,FALSE)</f>
        <v>2.2359</v>
      </c>
      <c r="AQ119" s="25">
        <f>VLOOKUP($R119,武学奇术!$A:$ZZ,29,FALSE)*(1+IF(OR($AM119=$F$4,$AM119=$F$5),$B$21,0))</f>
        <v>0</v>
      </c>
      <c r="AR119" s="24" cm="1">
        <f t="array" ref="AR119">$G$3+IFERROR(VLOOKUP($AM119,$F$4:$G$7,2,FALSE),0)+VLOOKUP($R119,武学奇术!$A:$ZZ,2,FALSE)+SUM(_xlfn.XLOOKUP($S119:$AL119,增益!$A:$A,增益!$B:$B,0))</f>
        <v>0.3719</v>
      </c>
      <c r="AS119" s="24" cm="1">
        <f t="array" ref="AS119">VLOOKUP($R119,武学奇术!$A:$ZZ,5,FALSE)+SUM(_xlfn.XLOOKUP($S119:$AL119,增益!$A:$A,增益!$E:$E,0))</f>
        <v>0.075</v>
      </c>
      <c r="AT119" cm="1">
        <f t="array" ref="AT119">$D$10*(1+$AS119)+VLOOKUP($R119,武学奇术!$A:$ZZ,3,FALSE)+SUM(_xlfn.XLOOKUP($S119:$AL119,增益!$A:$A,增益!$C:$C,0))-$I$2</f>
        <v>4126.3125</v>
      </c>
      <c r="AU119" cm="1">
        <f t="array" ref="AU119">$E$10*(1+$AS119)+VLOOKUP($R119,武学奇术!$A:$ZZ,4,FALSE)+SUM(_xlfn.XLOOKUP($S119:$AL119,增益!$A:$A,增益!$D:$D,0))-$I$2</f>
        <v>4126.3125</v>
      </c>
      <c r="AV119" s="33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0.1939</v>
      </c>
      <c r="AW119" s="33" cm="1">
        <f t="array" ref="AW119">$G$10+VLOOKUP($R119,武学奇术!$A:$ZZ,7,FALSE)+SUM(_xlfn.XLOOKUP($S119:$AL119,增益!$A:$A,增益!$G:$G,0))</f>
        <v>0.025</v>
      </c>
      <c r="AX119" s="24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3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3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3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3" cm="1">
        <f t="array" ref="BF119">$G$12+VLOOKUP($R119,武学奇术!$A:$ZZ,12,FALSE)+SUM(_xlfn.XLOOKUP($S119:$AL119,增益!$A:$A,增益!$L:$L,0))</f>
        <v>0</v>
      </c>
      <c r="BG119">
        <f t="shared" si="16"/>
        <v>618.2</v>
      </c>
      <c r="BH119">
        <f t="shared" si="17"/>
        <v>1567.4</v>
      </c>
      <c r="BI119" s="33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3" cm="1">
        <f t="array" ref="BJ119">$G$13+VLOOKUP($R119,武学奇术!$A:$ZZ,14,FALSE)+SUM(_xlfn.XLOOKUP($S119:$AL119,增益!$A:$A,增益!$N:$N,0))</f>
        <v>0.15</v>
      </c>
      <c r="BK119">
        <f t="shared" si="18"/>
        <v>0</v>
      </c>
      <c r="BL119">
        <f t="shared" si="19"/>
        <v>0</v>
      </c>
      <c r="BM119" s="33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3" cm="1">
        <f t="array" ref="BN119">$G$14+VLOOKUP($R119,武学奇术!$A:$ZZ,16,FALSE)+SUM(_xlfn.XLOOKUP($S119:$AL119,增益!$A:$A,增益!$P:$P,0))</f>
        <v>0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4" cm="1">
        <f t="array" ref="BQ119">1+$B$13+VLOOKUP($R119,武学奇术!$A:$ZZ,18,FALSE)+SUM(_xlfn.XLOOKUP($S119:$AL119,增益!$A:$A,增益!$R:$R,0))</f>
        <v>1.6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0"/>
        <v>0.8865</v>
      </c>
      <c r="BU119" s="24">
        <f t="shared" si="21"/>
        <v>0.0222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0.06</v>
      </c>
      <c r="BX119" s="24" cm="1">
        <f t="array" ref="BX119">VLOOKUP($R119,武学奇术!$A:$ZZ,32,FALSE)+SUM(_xlfn.XLOOKUP($S119:$AL119,增益!$A:$A,增益!$X:$X,0))</f>
        <v>0</v>
      </c>
    </row>
    <row r="120" spans="1:76">
      <c r="K120" s="39">
        <f>$L120*VLOOKUP($R120,武学奇术!$A:$ZY,31,FALSE)</f>
        <v>52081.4220502783</v>
      </c>
      <c r="L120" s="39">
        <f t="shared" si="11"/>
        <v>49601.3543335984</v>
      </c>
      <c r="M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50300.2049177222</v>
      </c>
      <c r="N120" s="39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47232.2818269912</v>
      </c>
      <c r="O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31437.6280735764</v>
      </c>
      <c r="P120" s="39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27888.3807197518</v>
      </c>
      <c r="Q120" s="86">
        <f>IF($E$24="奇术",2,0)</f>
        <v>2</v>
      </c>
      <c r="R120" s="40" t="s">
        <v>191</v>
      </c>
      <c r="S120" s="40" t="s">
        <v>91</v>
      </c>
      <c r="T120" s="40" t="s">
        <v>172</v>
      </c>
      <c r="U120" s="40" t="s">
        <v>80</v>
      </c>
      <c r="V120" s="40" t="s">
        <v>81</v>
      </c>
      <c r="W120" s="40" t="s">
        <v>80</v>
      </c>
      <c r="X120" s="40" t="s">
        <v>80</v>
      </c>
      <c r="Y120" s="40" t="s">
        <v>80</v>
      </c>
      <c r="Z120" s="40" t="s">
        <v>80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80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s="40" t="s">
        <v>80</v>
      </c>
      <c r="AM120" t="str">
        <f>VLOOKUP($R120,武学奇术!$A:$ZZ,25,FALSE)</f>
        <v>群体奇术</v>
      </c>
      <c r="AN120" s="24">
        <f>VLOOKUP($R120,武学奇术!$A:$ZZ,26,FALSE)</f>
        <v>1.4906</v>
      </c>
      <c r="AO120" s="25">
        <f>VLOOKUP($R120,武学奇术!$A:$ZZ,27,FALSE)*(1+IF(OR($AM120=$F$4,$AM120=$F$5),$B$21,0))</f>
        <v>386</v>
      </c>
      <c r="AP120" s="24">
        <f>VLOOKUP($R120,武学奇术!$A:$ZZ,28,FALSE)</f>
        <v>2.2359</v>
      </c>
      <c r="AQ120" s="25">
        <f>VLOOKUP($R120,武学奇术!$A:$ZZ,29,FALSE)*(1+IF(OR($AM120=$F$4,$AM120=$F$5),$B$21,0))</f>
        <v>0</v>
      </c>
      <c r="AR120" s="24" cm="1">
        <f t="array" ref="AR120">$G$3+IFERROR(VLOOKUP($AM120,$F$4:$G$7,2,FALSE),0)+VLOOKUP($R120,武学奇术!$A:$ZZ,2,FALSE)+SUM(_xlfn.XLOOKUP($S120:$AL120,增益!$A:$A,增益!$B:$B,0))</f>
        <v>0.3719</v>
      </c>
      <c r="AS120" s="24" cm="1">
        <f t="array" ref="AS120">VLOOKUP($R120,武学奇术!$A:$ZZ,5,FALSE)+SUM(_xlfn.XLOOKUP($S120:$AL120,增益!$A:$A,增益!$E:$E,0))</f>
        <v>0.075</v>
      </c>
      <c r="AT120" cm="1">
        <f t="array" ref="AT120">$D$10*(1+$AS120)+VLOOKUP($R120,武学奇术!$A:$ZZ,3,FALSE)+SUM(_xlfn.XLOOKUP($S120:$AL120,增益!$A:$A,增益!$C:$C,0))-$I$2</f>
        <v>4126.3125</v>
      </c>
      <c r="AU120" cm="1">
        <f t="array" ref="AU120">$E$10*(1+$AS120)+VLOOKUP($R120,武学奇术!$A:$ZZ,4,FALSE)+SUM(_xlfn.XLOOKUP($S120:$AL120,增益!$A:$A,增益!$D:$D,0))-$I$2</f>
        <v>4126.3125</v>
      </c>
      <c r="AV120" s="33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0.1939</v>
      </c>
      <c r="AW120" s="33" cm="1">
        <f t="array" ref="AW120">$G$10+VLOOKUP($R120,武学奇术!$A:$ZZ,7,FALSE)+SUM(_xlfn.XLOOKUP($S120:$AL120,增益!$A:$A,增益!$G:$G,0))</f>
        <v>0.025</v>
      </c>
      <c r="AX120" s="24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3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3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3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3" cm="1">
        <f t="array" ref="BF120">$G$12+VLOOKUP($R120,武学奇术!$A:$ZZ,12,FALSE)+SUM(_xlfn.XLOOKUP($S120:$AL120,增益!$A:$A,增益!$L:$L,0))</f>
        <v>0</v>
      </c>
      <c r="BG120">
        <f t="shared" si="16"/>
        <v>618.2</v>
      </c>
      <c r="BH120">
        <f t="shared" si="17"/>
        <v>1567.4</v>
      </c>
      <c r="BI120" s="33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3" cm="1">
        <f t="array" ref="BJ120">$G$13+VLOOKUP($R120,武学奇术!$A:$ZZ,14,FALSE)+SUM(_xlfn.XLOOKUP($S120:$AL120,增益!$A:$A,增益!$N:$N,0))</f>
        <v>0.15</v>
      </c>
      <c r="BK120">
        <f t="shared" si="18"/>
        <v>0</v>
      </c>
      <c r="BL120">
        <f t="shared" si="19"/>
        <v>0</v>
      </c>
      <c r="BM120" s="33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3" cm="1">
        <f t="array" ref="BN120">$G$14+VLOOKUP($R120,武学奇术!$A:$ZZ,16,FALSE)+SUM(_xlfn.XLOOKUP($S120:$AL120,增益!$A:$A,增益!$P:$P,0))</f>
        <v>0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4" cm="1">
        <f t="array" ref="BQ120">1+$B$13+VLOOKUP($R120,武学奇术!$A:$ZZ,18,FALSE)+SUM(_xlfn.XLOOKUP($S120:$AL120,增益!$A:$A,增益!$R:$R,0))</f>
        <v>1.6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0"/>
        <v>0.8865</v>
      </c>
      <c r="BU120" s="24">
        <f t="shared" si="21"/>
        <v>0.0222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0.06</v>
      </c>
      <c r="BX120" s="24" cm="1">
        <f t="array" ref="BX120">VLOOKUP($R120,武学奇术!$A:$ZZ,32,FALSE)+SUM(_xlfn.XLOOKUP($S120:$AL120,增益!$A:$A,增益!$X:$X,0))</f>
        <v>0</v>
      </c>
    </row>
    <row r="121" spans="1:76">
      <c r="K121" s="39">
        <f>$L121*VLOOKUP($R121,武学奇术!$A:$ZY,31,FALSE)</f>
        <v>0</v>
      </c>
      <c r="L121" s="39">
        <f t="shared" si="11"/>
        <v>0</v>
      </c>
      <c r="M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39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39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29">
        <v>1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80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s="40" t="s">
        <v>80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VLOOKUP($R121,武学奇术!$A:$ZZ,27,FALSE)*(1+IF(OR($AM121=$F$4,$AM121=$F$5),$B$21,0))</f>
        <v>0</v>
      </c>
      <c r="AP121" s="24">
        <f>VLOOKUP($R121,武学奇术!$A:$ZZ,28,FALSE)</f>
        <v>0</v>
      </c>
      <c r="AQ121" s="25">
        <f>VLOOKUP($R121,武学奇术!$A:$ZZ,29,FALSE)*(1+IF(OR($AM121=$F$4,$AM121=$F$5),$B$21,0))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3790.5</v>
      </c>
      <c r="AU121" cm="1">
        <f t="array" ref="AU121">$E$10*(1+$AS121)+VLOOKUP($R121,武学奇术!$A:$ZZ,4,FALSE)+SUM(_xlfn.XLOOKUP($S121:$AL121,增益!$A:$A,增益!$D:$D,0))-$I$2</f>
        <v>3790.5</v>
      </c>
      <c r="AV121" s="33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0.1939</v>
      </c>
      <c r="AW121" s="33" cm="1">
        <f t="array" ref="AW121">$G$10+VLOOKUP($R121,武学奇术!$A:$ZZ,7,FALSE)+SUM(_xlfn.XLOOKUP($S121:$AL121,增益!$A:$A,增益!$G:$G,0))</f>
        <v>0.025</v>
      </c>
      <c r="AX121" s="24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3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3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3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3" cm="1">
        <f t="array" ref="BF121">$G$12+VLOOKUP($R121,武学奇术!$A:$ZZ,12,FALSE)+SUM(_xlfn.XLOOKUP($S121:$AL121,增益!$A:$A,增益!$L:$L,0))</f>
        <v>0</v>
      </c>
      <c r="BG121">
        <f t="shared" si="16"/>
        <v>618.2</v>
      </c>
      <c r="BH121">
        <f t="shared" si="17"/>
        <v>1567.4</v>
      </c>
      <c r="BI121" s="33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3" cm="1">
        <f t="array" ref="BJ121">$G$13+VLOOKUP($R121,武学奇术!$A:$ZZ,14,FALSE)+SUM(_xlfn.XLOOKUP($S121:$AL121,增益!$A:$A,增益!$N:$N,0))</f>
        <v>0.15</v>
      </c>
      <c r="BK121">
        <f t="shared" si="18"/>
        <v>0</v>
      </c>
      <c r="BL121">
        <f t="shared" si="19"/>
        <v>0</v>
      </c>
      <c r="BM121" s="33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3" cm="1">
        <f t="array" ref="BN121">$G$14+VLOOKUP($R121,武学奇术!$A:$ZZ,16,FALSE)+SUM(_xlfn.XLOOKUP($S121:$AL121,增益!$A:$A,增益!$P:$P,0))</f>
        <v>0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4" cm="1">
        <f t="array" ref="BQ121">1+$B$13+VLOOKUP($R121,武学奇术!$A:$ZZ,18,FALSE)+SUM(_xlfn.XLOOKUP($S121:$AL121,增益!$A:$A,增益!$R:$R,0))</f>
        <v>1.5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0"/>
        <v>0.8865</v>
      </c>
      <c r="BU121" s="24">
        <f t="shared" si="21"/>
        <v>0.0222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0.06</v>
      </c>
      <c r="BX121" s="24" cm="1">
        <f t="array" ref="BX121">VLOOKUP($R121,武学奇术!$A:$ZZ,32,FALSE)+SUM(_xlfn.XLOOKUP($S121:$AL121,增益!$A:$A,增益!$X:$X,0))</f>
        <v>0</v>
      </c>
    </row>
    <row r="122" spans="1:76">
      <c r="K122" s="39">
        <f>$L122*VLOOKUP($R122,武学奇术!$A:$ZY,31,FALSE)</f>
        <v>0</v>
      </c>
      <c r="L122" s="39">
        <f t="shared" si="11"/>
        <v>0</v>
      </c>
      <c r="M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39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39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29">
        <v>1</v>
      </c>
      <c r="R122" s="40" t="s">
        <v>80</v>
      </c>
      <c r="S122" s="40" t="s">
        <v>80</v>
      </c>
      <c r="T122" s="40" t="s">
        <v>80</v>
      </c>
      <c r="U122" s="40" t="s">
        <v>80</v>
      </c>
      <c r="V122" s="40" t="s">
        <v>80</v>
      </c>
      <c r="W122" s="40" t="s">
        <v>80</v>
      </c>
      <c r="X122" s="40" t="s">
        <v>80</v>
      </c>
      <c r="Y122" s="40" t="s">
        <v>80</v>
      </c>
      <c r="Z122" s="40" t="s">
        <v>80</v>
      </c>
      <c r="AA122" s="40" t="s">
        <v>80</v>
      </c>
      <c r="AB122" s="40" t="s">
        <v>80</v>
      </c>
      <c r="AC122" s="40" t="s">
        <v>80</v>
      </c>
      <c r="AD122" s="40" t="s">
        <v>80</v>
      </c>
      <c r="AE122" s="40" t="s">
        <v>80</v>
      </c>
      <c r="AF122" s="40" t="s">
        <v>80</v>
      </c>
      <c r="AG122" s="40" t="s">
        <v>80</v>
      </c>
      <c r="AH122" s="40" t="s">
        <v>80</v>
      </c>
      <c r="AI122" s="40" t="s">
        <v>80</v>
      </c>
      <c r="AJ122" s="40" t="s">
        <v>80</v>
      </c>
      <c r="AK122" s="40" t="s">
        <v>80</v>
      </c>
      <c r="AL122" s="40" t="s">
        <v>80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VLOOKUP($R122,武学奇术!$A:$ZZ,27,FALSE)*(1+IF(OR($AM122=$F$4,$AM122=$F$5),$B$21,0))</f>
        <v>0</v>
      </c>
      <c r="AP122" s="24">
        <f>VLOOKUP($R122,武学奇术!$A:$ZZ,28,FALSE)</f>
        <v>0</v>
      </c>
      <c r="AQ122" s="25">
        <f>VLOOKUP($R122,武学奇术!$A:$ZZ,29,FALSE)*(1+IF(OR($AM122=$F$4,$AM122=$F$5),$B$21,0))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3790.5</v>
      </c>
      <c r="AU122" cm="1">
        <f t="array" ref="AU122">$E$10*(1+$AS122)+VLOOKUP($R122,武学奇术!$A:$ZZ,4,FALSE)+SUM(_xlfn.XLOOKUP($S122:$AL122,增益!$A:$A,增益!$D:$D,0))-$I$2</f>
        <v>3790.5</v>
      </c>
      <c r="AV122" s="33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0.1939</v>
      </c>
      <c r="AW122" s="33" cm="1">
        <f t="array" ref="AW122">$G$10+VLOOKUP($R122,武学奇术!$A:$ZZ,7,FALSE)+SUM(_xlfn.XLOOKUP($S122:$AL122,增益!$A:$A,增益!$G:$G,0))</f>
        <v>0.025</v>
      </c>
      <c r="AX122" s="24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3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3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3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3" cm="1">
        <f t="array" ref="BF122">$G$12+VLOOKUP($R122,武学奇术!$A:$ZZ,12,FALSE)+SUM(_xlfn.XLOOKUP($S122:$AL122,增益!$A:$A,增益!$L:$L,0))</f>
        <v>0</v>
      </c>
      <c r="BG122">
        <f t="shared" si="16"/>
        <v>618.2</v>
      </c>
      <c r="BH122">
        <f t="shared" si="17"/>
        <v>1567.4</v>
      </c>
      <c r="BI122" s="33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3" cm="1">
        <f t="array" ref="BJ122">$G$13+VLOOKUP($R122,武学奇术!$A:$ZZ,14,FALSE)+SUM(_xlfn.XLOOKUP($S122:$AL122,增益!$A:$A,增益!$N:$N,0))</f>
        <v>0.15</v>
      </c>
      <c r="BK122">
        <f t="shared" si="18"/>
        <v>0</v>
      </c>
      <c r="BL122">
        <f t="shared" si="19"/>
        <v>0</v>
      </c>
      <c r="BM122" s="33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3" cm="1">
        <f t="array" ref="BN122">$G$14+VLOOKUP($R122,武学奇术!$A:$ZZ,16,FALSE)+SUM(_xlfn.XLOOKUP($S122:$AL122,增益!$A:$A,增益!$P:$P,0))</f>
        <v>0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4" cm="1">
        <f t="array" ref="BQ122">1+$B$13+VLOOKUP($R122,武学奇术!$A:$ZZ,18,FALSE)+SUM(_xlfn.XLOOKUP($S122:$AL122,增益!$A:$A,增益!$R:$R,0))</f>
        <v>1.5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0"/>
        <v>0.8865</v>
      </c>
      <c r="BU122" s="24">
        <f t="shared" si="21"/>
        <v>0.0222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0.06</v>
      </c>
      <c r="BX122" s="24" cm="1">
        <f t="array" ref="BX122">VLOOKUP($R122,武学奇术!$A:$ZZ,32,FALSE)+SUM(_xlfn.XLOOKUP($S122:$AL122,增益!$A:$A,增益!$X:$X,0))</f>
        <v>0</v>
      </c>
    </row>
    <row r="123" spans="1:76">
      <c r="K123" s="39">
        <f>$L123*VLOOKUP($R123,武学奇术!$A:$ZY,31,FALSE)</f>
        <v>0</v>
      </c>
      <c r="L123" s="39">
        <f t="shared" si="11"/>
        <v>0</v>
      </c>
      <c r="M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39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39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29">
        <v>1</v>
      </c>
      <c r="R123" s="40" t="s">
        <v>80</v>
      </c>
      <c r="S123" s="40" t="s">
        <v>80</v>
      </c>
      <c r="T123" s="40" t="s">
        <v>80</v>
      </c>
      <c r="U123" s="40" t="s">
        <v>80</v>
      </c>
      <c r="V123" s="40" t="s">
        <v>80</v>
      </c>
      <c r="W123" s="40" t="s">
        <v>80</v>
      </c>
      <c r="X123" s="40" t="s">
        <v>80</v>
      </c>
      <c r="Y123" s="40" t="s">
        <v>80</v>
      </c>
      <c r="Z123" s="40" t="s">
        <v>80</v>
      </c>
      <c r="AA123" s="40" t="s">
        <v>80</v>
      </c>
      <c r="AB123" s="40" t="s">
        <v>80</v>
      </c>
      <c r="AC123" s="40" t="s">
        <v>80</v>
      </c>
      <c r="AD123" s="40" t="s">
        <v>80</v>
      </c>
      <c r="AE123" s="40" t="s">
        <v>80</v>
      </c>
      <c r="AF123" s="40" t="s">
        <v>80</v>
      </c>
      <c r="AG123" s="40" t="s">
        <v>80</v>
      </c>
      <c r="AH123" s="40" t="s">
        <v>80</v>
      </c>
      <c r="AI123" s="40" t="s">
        <v>80</v>
      </c>
      <c r="AJ123" s="40" t="s">
        <v>80</v>
      </c>
      <c r="AK123" s="40" t="s">
        <v>80</v>
      </c>
      <c r="AL123" s="40" t="s">
        <v>80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VLOOKUP($R123,武学奇术!$A:$ZZ,27,FALSE)*(1+IF(OR($AM123=$F$4,$AM123=$F$5),$B$21,0))</f>
        <v>0</v>
      </c>
      <c r="AP123" s="24">
        <f>VLOOKUP($R123,武学奇术!$A:$ZZ,28,FALSE)</f>
        <v>0</v>
      </c>
      <c r="AQ123" s="25">
        <f>VLOOKUP($R123,武学奇术!$A:$ZZ,29,FALSE)*(1+IF(OR($AM123=$F$4,$AM123=$F$5),$B$21,0))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3790.5</v>
      </c>
      <c r="AU123" cm="1">
        <f t="array" ref="AU123">$E$10*(1+$AS123)+VLOOKUP($R123,武学奇术!$A:$ZZ,4,FALSE)+SUM(_xlfn.XLOOKUP($S123:$AL123,增益!$A:$A,增益!$D:$D,0))-$I$2</f>
        <v>3790.5</v>
      </c>
      <c r="AV123" s="33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0.1939</v>
      </c>
      <c r="AW123" s="33" cm="1">
        <f t="array" ref="AW123">$G$10+VLOOKUP($R123,武学奇术!$A:$ZZ,7,FALSE)+SUM(_xlfn.XLOOKUP($S123:$AL123,增益!$A:$A,增益!$G:$G,0))</f>
        <v>0.025</v>
      </c>
      <c r="AX123" s="24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3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3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3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3" cm="1">
        <f t="array" ref="BF123">$G$12+VLOOKUP($R123,武学奇术!$A:$ZZ,12,FALSE)+SUM(_xlfn.XLOOKUP($S123:$AL123,增益!$A:$A,增益!$L:$L,0))</f>
        <v>0</v>
      </c>
      <c r="BG123">
        <f t="shared" si="16"/>
        <v>618.2</v>
      </c>
      <c r="BH123">
        <f t="shared" si="17"/>
        <v>1567.4</v>
      </c>
      <c r="BI123" s="33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3" cm="1">
        <f t="array" ref="BJ123">$G$13+VLOOKUP($R123,武学奇术!$A:$ZZ,14,FALSE)+SUM(_xlfn.XLOOKUP($S123:$AL123,增益!$A:$A,增益!$N:$N,0))</f>
        <v>0.15</v>
      </c>
      <c r="BK123">
        <f t="shared" si="18"/>
        <v>0</v>
      </c>
      <c r="BL123">
        <f t="shared" si="19"/>
        <v>0</v>
      </c>
      <c r="BM123" s="33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3" cm="1">
        <f t="array" ref="BN123">$G$14+VLOOKUP($R123,武学奇术!$A:$ZZ,16,FALSE)+SUM(_xlfn.XLOOKUP($S123:$AL123,增益!$A:$A,增益!$P:$P,0))</f>
        <v>0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4" cm="1">
        <f t="array" ref="BQ123">1+$B$13+VLOOKUP($R123,武学奇术!$A:$ZZ,18,FALSE)+SUM(_xlfn.XLOOKUP($S123:$AL123,增益!$A:$A,增益!$R:$R,0))</f>
        <v>1.5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0"/>
        <v>0.8865</v>
      </c>
      <c r="BU123" s="24">
        <f t="shared" si="21"/>
        <v>0.0222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0.06</v>
      </c>
      <c r="BX123" s="24" cm="1">
        <f t="array" ref="BX123">VLOOKUP($R123,武学奇术!$A:$ZZ,32,FALSE)+SUM(_xlfn.XLOOKUP($S123:$AL123,增益!$A:$A,增益!$X:$X,0))</f>
        <v>0</v>
      </c>
    </row>
    <row r="124" spans="1:76">
      <c r="K124" s="39">
        <f>$L124*VLOOKUP($R124,武学奇术!$A:$ZY,31,FALSE)</f>
        <v>0</v>
      </c>
      <c r="L124" s="39">
        <f t="shared" si="11"/>
        <v>0</v>
      </c>
      <c r="M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39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39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29">
        <v>1</v>
      </c>
      <c r="R124" s="40" t="s">
        <v>80</v>
      </c>
      <c r="S124" s="40" t="s">
        <v>80</v>
      </c>
      <c r="T124" s="40" t="s">
        <v>80</v>
      </c>
      <c r="U124" s="40" t="s">
        <v>80</v>
      </c>
      <c r="V124" s="40" t="s">
        <v>80</v>
      </c>
      <c r="W124" s="40" t="s">
        <v>80</v>
      </c>
      <c r="X124" s="40" t="s">
        <v>80</v>
      </c>
      <c r="Y124" s="40" t="s">
        <v>80</v>
      </c>
      <c r="Z124" s="40" t="s">
        <v>80</v>
      </c>
      <c r="AA124" s="40" t="s">
        <v>80</v>
      </c>
      <c r="AB124" s="40" t="s">
        <v>80</v>
      </c>
      <c r="AC124" s="40" t="s">
        <v>80</v>
      </c>
      <c r="AD124" s="40" t="s">
        <v>80</v>
      </c>
      <c r="AE124" s="40" t="s">
        <v>80</v>
      </c>
      <c r="AF124" s="40" t="s">
        <v>80</v>
      </c>
      <c r="AG124" s="40" t="s">
        <v>80</v>
      </c>
      <c r="AH124" s="40" t="s">
        <v>80</v>
      </c>
      <c r="AI124" s="40" t="s">
        <v>80</v>
      </c>
      <c r="AJ124" s="40" t="s">
        <v>80</v>
      </c>
      <c r="AK124" s="40" t="s">
        <v>80</v>
      </c>
      <c r="AL124" s="40" t="s">
        <v>80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VLOOKUP($R124,武学奇术!$A:$ZZ,27,FALSE)*(1+IF(OR($AM124=$F$4,$AM124=$F$5),$B$21,0))</f>
        <v>0</v>
      </c>
      <c r="AP124" s="24">
        <f>VLOOKUP($R124,武学奇术!$A:$ZZ,28,FALSE)</f>
        <v>0</v>
      </c>
      <c r="AQ124" s="25">
        <f>VLOOKUP($R124,武学奇术!$A:$ZZ,29,FALSE)*(1+IF(OR($AM124=$F$4,$AM124=$F$5),$B$21,0))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3790.5</v>
      </c>
      <c r="AU124" cm="1">
        <f t="array" ref="AU124">$E$10*(1+$AS124)+VLOOKUP($R124,武学奇术!$A:$ZZ,4,FALSE)+SUM(_xlfn.XLOOKUP($S124:$AL124,增益!$A:$A,增益!$D:$D,0))-$I$2</f>
        <v>3790.5</v>
      </c>
      <c r="AV124" s="33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0.1939</v>
      </c>
      <c r="AW124" s="33" cm="1">
        <f t="array" ref="AW124">$G$10+VLOOKUP($R124,武学奇术!$A:$ZZ,7,FALSE)+SUM(_xlfn.XLOOKUP($S124:$AL124,增益!$A:$A,增益!$G:$G,0))</f>
        <v>0.025</v>
      </c>
      <c r="AX124" s="24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3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3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3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3" cm="1">
        <f t="array" ref="BF124">$G$12+VLOOKUP($R124,武学奇术!$A:$ZZ,12,FALSE)+SUM(_xlfn.XLOOKUP($S124:$AL124,增益!$A:$A,增益!$L:$L,0))</f>
        <v>0</v>
      </c>
      <c r="BG124">
        <f t="shared" si="16"/>
        <v>618.2</v>
      </c>
      <c r="BH124">
        <f t="shared" si="17"/>
        <v>1567.4</v>
      </c>
      <c r="BI124" s="33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3" cm="1">
        <f t="array" ref="BJ124">$G$13+VLOOKUP($R124,武学奇术!$A:$ZZ,14,FALSE)+SUM(_xlfn.XLOOKUP($S124:$AL124,增益!$A:$A,增益!$N:$N,0))</f>
        <v>0.15</v>
      </c>
      <c r="BK124">
        <f t="shared" si="18"/>
        <v>0</v>
      </c>
      <c r="BL124">
        <f t="shared" si="19"/>
        <v>0</v>
      </c>
      <c r="BM124" s="33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3" cm="1">
        <f t="array" ref="BN124">$G$14+VLOOKUP($R124,武学奇术!$A:$ZZ,16,FALSE)+SUM(_xlfn.XLOOKUP($S124:$AL124,增益!$A:$A,增益!$P:$P,0))</f>
        <v>0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4" cm="1">
        <f t="array" ref="BQ124">1+$B$13+VLOOKUP($R124,武学奇术!$A:$ZZ,18,FALSE)+SUM(_xlfn.XLOOKUP($S124:$AL124,增益!$A:$A,增益!$R:$R,0))</f>
        <v>1.5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0"/>
        <v>0.8865</v>
      </c>
      <c r="BU124" s="24">
        <f t="shared" si="21"/>
        <v>0.0222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0.06</v>
      </c>
      <c r="BX124" s="24" cm="1">
        <f t="array" ref="BX124">VLOOKUP($R124,武学奇术!$A:$ZZ,32,FALSE)+SUM(_xlfn.XLOOKUP($S124:$AL124,增益!$A:$A,增益!$X:$X,0))</f>
        <v>0</v>
      </c>
    </row>
    <row r="125" spans="1:76">
      <c r="K125" s="39">
        <f>$L125*VLOOKUP($R125,武学奇术!$A:$ZY,31,FALSE)</f>
        <v>0</v>
      </c>
      <c r="L125" s="39">
        <f t="shared" si="11"/>
        <v>0</v>
      </c>
      <c r="M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39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39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29">
        <v>1</v>
      </c>
      <c r="R125" s="40" t="s">
        <v>80</v>
      </c>
      <c r="S125" s="40" t="s">
        <v>80</v>
      </c>
      <c r="T125" s="40" t="s">
        <v>80</v>
      </c>
      <c r="U125" s="40" t="s">
        <v>80</v>
      </c>
      <c r="V125" s="40" t="s">
        <v>80</v>
      </c>
      <c r="W125" s="40" t="s">
        <v>80</v>
      </c>
      <c r="X125" s="40" t="s">
        <v>80</v>
      </c>
      <c r="Y125" s="40" t="s">
        <v>80</v>
      </c>
      <c r="Z125" s="40" t="s">
        <v>80</v>
      </c>
      <c r="AA125" s="40" t="s">
        <v>80</v>
      </c>
      <c r="AB125" s="40" t="s">
        <v>80</v>
      </c>
      <c r="AC125" s="40" t="s">
        <v>80</v>
      </c>
      <c r="AD125" s="40" t="s">
        <v>80</v>
      </c>
      <c r="AE125" s="40" t="s">
        <v>80</v>
      </c>
      <c r="AF125" s="40" t="s">
        <v>80</v>
      </c>
      <c r="AG125" s="40" t="s">
        <v>80</v>
      </c>
      <c r="AH125" s="40" t="s">
        <v>80</v>
      </c>
      <c r="AI125" s="40" t="s">
        <v>80</v>
      </c>
      <c r="AJ125" s="40" t="s">
        <v>80</v>
      </c>
      <c r="AK125" s="40" t="s">
        <v>80</v>
      </c>
      <c r="AL125" s="40" t="s">
        <v>80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VLOOKUP($R125,武学奇术!$A:$ZZ,27,FALSE)*(1+IF(OR($AM125=$F$4,$AM125=$F$5),$B$21,0))</f>
        <v>0</v>
      </c>
      <c r="AP125" s="24">
        <f>VLOOKUP($R125,武学奇术!$A:$ZZ,28,FALSE)</f>
        <v>0</v>
      </c>
      <c r="AQ125" s="25">
        <f>VLOOKUP($R125,武学奇术!$A:$ZZ,29,FALSE)*(1+IF(OR($AM125=$F$4,$AM125=$F$5),$B$21,0))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3790.5</v>
      </c>
      <c r="AU125" cm="1">
        <f t="array" ref="AU125">$E$10*(1+$AS125)+VLOOKUP($R125,武学奇术!$A:$ZZ,4,FALSE)+SUM(_xlfn.XLOOKUP($S125:$AL125,增益!$A:$A,增益!$D:$D,0))-$I$2</f>
        <v>3790.5</v>
      </c>
      <c r="AV125" s="33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0.1939</v>
      </c>
      <c r="AW125" s="33" cm="1">
        <f t="array" ref="AW125">$G$10+VLOOKUP($R125,武学奇术!$A:$ZZ,7,FALSE)+SUM(_xlfn.XLOOKUP($S125:$AL125,增益!$A:$A,增益!$G:$G,0))</f>
        <v>0.025</v>
      </c>
      <c r="AX125" s="24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3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3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3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3" cm="1">
        <f t="array" ref="BF125">$G$12+VLOOKUP($R125,武学奇术!$A:$ZZ,12,FALSE)+SUM(_xlfn.XLOOKUP($S125:$AL125,增益!$A:$A,增益!$L:$L,0))</f>
        <v>0</v>
      </c>
      <c r="BG125">
        <f t="shared" si="16"/>
        <v>618.2</v>
      </c>
      <c r="BH125">
        <f t="shared" si="17"/>
        <v>1567.4</v>
      </c>
      <c r="BI125" s="33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3" cm="1">
        <f t="array" ref="BJ125">$G$13+VLOOKUP($R125,武学奇术!$A:$ZZ,14,FALSE)+SUM(_xlfn.XLOOKUP($S125:$AL125,增益!$A:$A,增益!$N:$N,0))</f>
        <v>0.15</v>
      </c>
      <c r="BK125">
        <f t="shared" si="18"/>
        <v>0</v>
      </c>
      <c r="BL125">
        <f t="shared" si="19"/>
        <v>0</v>
      </c>
      <c r="BM125" s="33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3" cm="1">
        <f t="array" ref="BN125">$G$14+VLOOKUP($R125,武学奇术!$A:$ZZ,16,FALSE)+SUM(_xlfn.XLOOKUP($S125:$AL125,增益!$A:$A,增益!$P:$P,0))</f>
        <v>0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4" cm="1">
        <f t="array" ref="BQ125">1+$B$13+VLOOKUP($R125,武学奇术!$A:$ZZ,18,FALSE)+SUM(_xlfn.XLOOKUP($S125:$AL125,增益!$A:$A,增益!$R:$R,0))</f>
        <v>1.5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0"/>
        <v>0.8865</v>
      </c>
      <c r="BU125" s="24">
        <f t="shared" si="21"/>
        <v>0.0222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0.06</v>
      </c>
      <c r="BX125" s="24" cm="1">
        <f t="array" ref="BX125">VLOOKUP($R125,武学奇术!$A:$ZZ,32,FALSE)+SUM(_xlfn.XLOOKUP($S125:$AL125,增益!$A:$A,增益!$X:$X,0))</f>
        <v>0</v>
      </c>
    </row>
    <row r="126" spans="1:76">
      <c r="K126" s="39">
        <f>$L126*VLOOKUP($R126,武学奇术!$A:$ZY,31,FALSE)</f>
        <v>0</v>
      </c>
      <c r="L126" s="39">
        <f t="shared" si="11"/>
        <v>0</v>
      </c>
      <c r="M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39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39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29">
        <f t="shared" ref="Q126:Q134" si="23">IF($E$22="易水歌",1,0)</f>
        <v>0</v>
      </c>
      <c r="R126" s="40" t="s">
        <v>192</v>
      </c>
      <c r="S126" s="40" t="s">
        <v>91</v>
      </c>
      <c r="T126" s="40" t="s">
        <v>87</v>
      </c>
      <c r="U126" s="40" t="s">
        <v>80</v>
      </c>
      <c r="V126" s="40" t="s">
        <v>81</v>
      </c>
      <c r="W126" s="40" t="s">
        <v>80</v>
      </c>
      <c r="X126" s="40" t="s">
        <v>80</v>
      </c>
      <c r="Y126" s="40" t="s">
        <v>80</v>
      </c>
      <c r="Z126" s="40" t="s">
        <v>110</v>
      </c>
      <c r="AA126" s="40" t="s">
        <v>80</v>
      </c>
      <c r="AB126" s="40" t="s">
        <v>80</v>
      </c>
      <c r="AC126" s="40" t="s">
        <v>80</v>
      </c>
      <c r="AD126" s="40" t="s">
        <v>80</v>
      </c>
      <c r="AE126" s="40" t="s">
        <v>80</v>
      </c>
      <c r="AF126" s="40" t="s">
        <v>80</v>
      </c>
      <c r="AG126" s="40" t="s">
        <v>80</v>
      </c>
      <c r="AH126" s="40" t="s">
        <v>80</v>
      </c>
      <c r="AI126" s="40" t="s">
        <v>80</v>
      </c>
      <c r="AJ126" s="40" t="s">
        <v>80</v>
      </c>
      <c r="AK126" s="40" t="s">
        <v>80</v>
      </c>
      <c r="AL126" s="40" t="s">
        <v>80</v>
      </c>
      <c r="AM126" t="str">
        <f>VLOOKUP($R126,武学奇术!$A:$ZZ,25,FALSE)</f>
        <v>心法</v>
      </c>
      <c r="AN126" s="24">
        <f>VLOOKUP($R126,武学奇术!$A:$ZZ,26,FALSE)</f>
        <v>1</v>
      </c>
      <c r="AO126" s="25">
        <f>VLOOKUP($R126,武学奇术!$A:$ZZ,27,FALSE)*(1+IF(OR($AM126=$F$4,$AM126=$F$5),$B$21,0))</f>
        <v>0</v>
      </c>
      <c r="AP126" s="24">
        <f>VLOOKUP($R126,武学奇术!$A:$ZZ,28,FALSE)</f>
        <v>1</v>
      </c>
      <c r="AQ126" s="25">
        <f>VLOOKUP($R126,武学奇术!$A:$ZZ,29,FALSE)*(1+IF(OR($AM126=$F$4,$AM126=$F$5),$B$21,0))</f>
        <v>0</v>
      </c>
      <c r="AR126" s="24" cm="1">
        <f t="array" ref="AR126">$G$3+IFERROR(VLOOKUP($AM126,$F$4:$G$7,2,FALSE),0)+VLOOKUP($R126,武学奇术!$A:$ZZ,2,FALSE)+SUM(_xlfn.XLOOKUP($S126:$AL126,增益!$A:$A,增益!$B:$B,0))</f>
        <v>0.2542</v>
      </c>
      <c r="AS126" s="24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4126.3125</v>
      </c>
      <c r="AU126" cm="1">
        <f t="array" ref="AU126">$E$10*(1+$AS126)+VLOOKUP($R126,武学奇术!$A:$ZZ,4,FALSE)+SUM(_xlfn.XLOOKUP($S126:$AL126,增益!$A:$A,增益!$D:$D,0))-$I$2</f>
        <v>4126.3125</v>
      </c>
      <c r="AV126" s="33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0.1939</v>
      </c>
      <c r="AW126" s="33" cm="1">
        <f t="array" ref="AW126">$G$10+VLOOKUP($R126,武学奇术!$A:$ZZ,7,FALSE)+SUM(_xlfn.XLOOKUP($S126:$AL126,增益!$A:$A,增益!$G:$G,0))</f>
        <v>0.025</v>
      </c>
      <c r="AX126" s="24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3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3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3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3" cm="1">
        <f t="array" ref="BF126">$G$12+VLOOKUP($R126,武学奇术!$A:$ZZ,12,FALSE)+SUM(_xlfn.XLOOKUP($S126:$AL126,增益!$A:$A,增益!$L:$L,0))</f>
        <v>0</v>
      </c>
      <c r="BG126">
        <f t="shared" si="16"/>
        <v>618.2</v>
      </c>
      <c r="BH126">
        <f t="shared" si="17"/>
        <v>1567.4</v>
      </c>
      <c r="BI126" s="33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3" cm="1">
        <f t="array" ref="BJ126">$G$13+VLOOKUP($R126,武学奇术!$A:$ZZ,14,FALSE)+SUM(_xlfn.XLOOKUP($S126:$AL126,增益!$A:$A,增益!$N:$N,0))</f>
        <v>0.15</v>
      </c>
      <c r="BK126">
        <f t="shared" si="18"/>
        <v>0</v>
      </c>
      <c r="BL126">
        <f t="shared" si="19"/>
        <v>0</v>
      </c>
      <c r="BM126" s="33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3" cm="1">
        <f t="array" ref="BN126">$G$14+VLOOKUP($R126,武学奇术!$A:$ZZ,16,FALSE)+SUM(_xlfn.XLOOKUP($S126:$AL126,增益!$A:$A,增益!$P:$P,0))</f>
        <v>0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4" cm="1">
        <f t="array" ref="BQ126">1+$B$13+VLOOKUP($R126,武学奇术!$A:$ZZ,18,FALSE)+SUM(_xlfn.XLOOKUP($S126:$AL126,增益!$A:$A,增益!$R:$R,0))</f>
        <v>1.53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0"/>
        <v>0.8865</v>
      </c>
      <c r="BU126" s="24">
        <f t="shared" si="21"/>
        <v>0.0222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0.06</v>
      </c>
      <c r="BX126" s="24" cm="1">
        <f t="array" ref="BX126">VLOOKUP($R126,武学奇术!$A:$ZZ,32,FALSE)+SUM(_xlfn.XLOOKUP($S126:$AL126,增益!$A:$A,增益!$X:$X,0))</f>
        <v>0</v>
      </c>
    </row>
    <row r="127" spans="1:76">
      <c r="K127" s="39">
        <f>$L127*VLOOKUP($R127,武学奇术!$A:$ZY,31,FALSE)</f>
        <v>0</v>
      </c>
      <c r="L127" s="39">
        <f t="shared" si="11"/>
        <v>0</v>
      </c>
      <c r="M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39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39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29">
        <f t="shared" si="23"/>
        <v>0</v>
      </c>
      <c r="R127" s="40" t="s">
        <v>192</v>
      </c>
      <c r="S127" s="40" t="s">
        <v>91</v>
      </c>
      <c r="T127" s="40" t="s">
        <v>160</v>
      </c>
      <c r="U127" s="40" t="s">
        <v>80</v>
      </c>
      <c r="V127" s="40" t="s">
        <v>81</v>
      </c>
      <c r="W127" s="40" t="s">
        <v>80</v>
      </c>
      <c r="X127" s="40" t="s">
        <v>80</v>
      </c>
      <c r="Y127" s="40" t="s">
        <v>80</v>
      </c>
      <c r="Z127" s="40" t="s">
        <v>110</v>
      </c>
      <c r="AA127" s="40" t="s">
        <v>80</v>
      </c>
      <c r="AB127" s="40" t="s">
        <v>80</v>
      </c>
      <c r="AC127" s="40" t="s">
        <v>80</v>
      </c>
      <c r="AD127" s="40" t="s">
        <v>80</v>
      </c>
      <c r="AE127" s="40" t="s">
        <v>80</v>
      </c>
      <c r="AF127" s="40" t="s">
        <v>80</v>
      </c>
      <c r="AG127" s="40" t="s">
        <v>80</v>
      </c>
      <c r="AH127" s="40" t="s">
        <v>80</v>
      </c>
      <c r="AI127" s="40" t="s">
        <v>80</v>
      </c>
      <c r="AJ127" s="40" t="s">
        <v>80</v>
      </c>
      <c r="AK127" s="40" t="s">
        <v>80</v>
      </c>
      <c r="AL127" s="40" t="s">
        <v>80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VLOOKUP($R127,武学奇术!$A:$ZZ,27,FALSE)*(1+IF(OR($AM127=$F$4,$AM127=$F$5),$B$21,0))</f>
        <v>0</v>
      </c>
      <c r="AP127" s="24">
        <f>VLOOKUP($R127,武学奇术!$A:$ZZ,28,FALSE)</f>
        <v>1</v>
      </c>
      <c r="AQ127" s="25">
        <f>VLOOKUP($R127,武学奇术!$A:$ZZ,29,FALSE)*(1+IF(OR($AM127=$F$4,$AM127=$F$5),$B$21,0))</f>
        <v>0</v>
      </c>
      <c r="AR127" s="24" cm="1">
        <f t="array" ref="AR127">$G$3+IFERROR(VLOOKUP($AM127,$F$4:$G$7,2,FALSE),0)+VLOOKUP($R127,武学奇术!$A:$ZZ,2,FALSE)+SUM(_xlfn.XLOOKUP($S127:$AL127,增益!$A:$A,增益!$B:$B,0))</f>
        <v>0.2542</v>
      </c>
      <c r="AS127" s="24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4126.3125</v>
      </c>
      <c r="AU127" cm="1">
        <f t="array" ref="AU127">$E$10*(1+$AS127)+VLOOKUP($R127,武学奇术!$A:$ZZ,4,FALSE)+SUM(_xlfn.XLOOKUP($S127:$AL127,增益!$A:$A,增益!$D:$D,0))-$I$2</f>
        <v>4126.3125</v>
      </c>
      <c r="AV127" s="33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0.1939</v>
      </c>
      <c r="AW127" s="33" cm="1">
        <f t="array" ref="AW127">$G$10+VLOOKUP($R127,武学奇术!$A:$ZZ,7,FALSE)+SUM(_xlfn.XLOOKUP($S127:$AL127,增益!$A:$A,增益!$G:$G,0))</f>
        <v>0.025</v>
      </c>
      <c r="AX127" s="24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3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3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3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3" cm="1">
        <f t="array" ref="BF127">$G$12+VLOOKUP($R127,武学奇术!$A:$ZZ,12,FALSE)+SUM(_xlfn.XLOOKUP($S127:$AL127,增益!$A:$A,增益!$L:$L,0))</f>
        <v>0</v>
      </c>
      <c r="BG127">
        <f t="shared" si="16"/>
        <v>618.2</v>
      </c>
      <c r="BH127">
        <f t="shared" si="17"/>
        <v>1567.4</v>
      </c>
      <c r="BI127" s="33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3" cm="1">
        <f t="array" ref="BJ127">$G$13+VLOOKUP($R127,武学奇术!$A:$ZZ,14,FALSE)+SUM(_xlfn.XLOOKUP($S127:$AL127,增益!$A:$A,增益!$N:$N,0))</f>
        <v>0.15</v>
      </c>
      <c r="BK127">
        <f t="shared" si="18"/>
        <v>0</v>
      </c>
      <c r="BL127">
        <f t="shared" si="19"/>
        <v>0</v>
      </c>
      <c r="BM127" s="33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3" cm="1">
        <f t="array" ref="BN127">$G$14+VLOOKUP($R127,武学奇术!$A:$ZZ,16,FALSE)+SUM(_xlfn.XLOOKUP($S127:$AL127,增益!$A:$A,增益!$P:$P,0))</f>
        <v>0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4" cm="1">
        <f t="array" ref="BQ127">1+$B$13+VLOOKUP($R127,武学奇术!$A:$ZZ,18,FALSE)+SUM(_xlfn.XLOOKUP($S127:$AL127,增益!$A:$A,增益!$R:$R,0))</f>
        <v>1.57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0"/>
        <v>0.8865</v>
      </c>
      <c r="BU127" s="24">
        <f t="shared" si="21"/>
        <v>0.0222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0.06</v>
      </c>
      <c r="BX127" s="24" cm="1">
        <f t="array" ref="BX127">VLOOKUP($R127,武学奇术!$A:$ZZ,32,FALSE)+SUM(_xlfn.XLOOKUP($S127:$AL127,增益!$A:$A,增益!$X:$X,0))</f>
        <v>0</v>
      </c>
    </row>
    <row r="128" spans="1:76">
      <c r="K128" s="39">
        <f>$L128*VLOOKUP($R128,武学奇术!$A:$ZY,31,FALSE)</f>
        <v>0</v>
      </c>
      <c r="L128" s="39">
        <f t="shared" si="11"/>
        <v>0</v>
      </c>
      <c r="M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39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39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29">
        <f t="shared" si="23"/>
        <v>0</v>
      </c>
      <c r="R128" s="40" t="s">
        <v>192</v>
      </c>
      <c r="S128" s="40" t="s">
        <v>91</v>
      </c>
      <c r="T128" s="40" t="s">
        <v>172</v>
      </c>
      <c r="U128" s="40" t="s">
        <v>80</v>
      </c>
      <c r="V128" s="40" t="s">
        <v>166</v>
      </c>
      <c r="W128" s="40" t="s">
        <v>80</v>
      </c>
      <c r="X128" s="40" t="s">
        <v>80</v>
      </c>
      <c r="Y128" s="40" t="s">
        <v>80</v>
      </c>
      <c r="Z128" s="40" t="s">
        <v>80</v>
      </c>
      <c r="AA128" s="40" t="s">
        <v>80</v>
      </c>
      <c r="AB128" s="40" t="s">
        <v>80</v>
      </c>
      <c r="AC128" s="40" t="s">
        <v>80</v>
      </c>
      <c r="AD128" s="40" t="s">
        <v>80</v>
      </c>
      <c r="AE128" s="40" t="s">
        <v>80</v>
      </c>
      <c r="AF128" s="40" t="s">
        <v>80</v>
      </c>
      <c r="AG128" s="40" t="s">
        <v>80</v>
      </c>
      <c r="AH128" s="40" t="s">
        <v>80</v>
      </c>
      <c r="AI128" s="40" t="s">
        <v>80</v>
      </c>
      <c r="AJ128" s="40" t="s">
        <v>80</v>
      </c>
      <c r="AK128" s="40" t="s">
        <v>80</v>
      </c>
      <c r="AL128" s="40" t="s">
        <v>80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VLOOKUP($R128,武学奇术!$A:$ZZ,27,FALSE)*(1+IF(OR($AM128=$F$4,$AM128=$F$5),$B$21,0))</f>
        <v>0</v>
      </c>
      <c r="AP128" s="24">
        <f>VLOOKUP($R128,武学奇术!$A:$ZZ,28,FALSE)</f>
        <v>1</v>
      </c>
      <c r="AQ128" s="25">
        <f>VLOOKUP($R128,武学奇术!$A:$ZZ,29,FALSE)*(1+IF(OR($AM128=$F$4,$AM128=$F$5),$B$21,0))</f>
        <v>0</v>
      </c>
      <c r="AR128" s="24" cm="1">
        <f t="array" ref="AR128">$G$3+IFERROR(VLOOKUP($AM128,$F$4:$G$7,2,FALSE),0)+VLOOKUP($R128,武学奇术!$A:$ZZ,2,FALSE)+SUM(_xlfn.XLOOKUP($S128:$AL128,增益!$A:$A,增益!$B:$B,0))</f>
        <v>0.1042</v>
      </c>
      <c r="AS128" s="24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4462.125</v>
      </c>
      <c r="AU128" cm="1">
        <f t="array" ref="AU128">$E$10*(1+$AS128)+VLOOKUP($R128,武学奇术!$A:$ZZ,4,FALSE)+SUM(_xlfn.XLOOKUP($S128:$AL128,增益!$A:$A,增益!$D:$D,0))-$I$2</f>
        <v>4462.125</v>
      </c>
      <c r="AV128" s="33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0.1939</v>
      </c>
      <c r="AW128" s="33" cm="1">
        <f t="array" ref="AW128">$G$10+VLOOKUP($R128,武学奇术!$A:$ZZ,7,FALSE)+SUM(_xlfn.XLOOKUP($S128:$AL128,增益!$A:$A,增益!$G:$G,0))</f>
        <v>0.025</v>
      </c>
      <c r="AX128" s="24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3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3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3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3" cm="1">
        <f t="array" ref="BF128">$G$12+VLOOKUP($R128,武学奇术!$A:$ZZ,12,FALSE)+SUM(_xlfn.XLOOKUP($S128:$AL128,增益!$A:$A,增益!$L:$L,0))</f>
        <v>0</v>
      </c>
      <c r="BG128">
        <f t="shared" si="16"/>
        <v>618.2</v>
      </c>
      <c r="BH128">
        <f t="shared" si="17"/>
        <v>1567.4</v>
      </c>
      <c r="BI128" s="33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3" cm="1">
        <f t="array" ref="BJ128">$G$13+VLOOKUP($R128,武学奇术!$A:$ZZ,14,FALSE)+SUM(_xlfn.XLOOKUP($S128:$AL128,增益!$A:$A,增益!$N:$N,0))</f>
        <v>0.15</v>
      </c>
      <c r="BK128">
        <f t="shared" si="18"/>
        <v>0</v>
      </c>
      <c r="BL128">
        <f t="shared" si="19"/>
        <v>0</v>
      </c>
      <c r="BM128" s="33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3" cm="1">
        <f t="array" ref="BN128">$G$14+VLOOKUP($R128,武学奇术!$A:$ZZ,16,FALSE)+SUM(_xlfn.XLOOKUP($S128:$AL128,增益!$A:$A,增益!$P:$P,0))</f>
        <v>0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4" cm="1">
        <f t="array" ref="BQ128">1+$B$13+VLOOKUP($R128,武学奇术!$A:$ZZ,18,FALSE)+SUM(_xlfn.XLOOKUP($S128:$AL128,增益!$A:$A,增益!$R:$R,0))</f>
        <v>1.6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0"/>
        <v>0.8865</v>
      </c>
      <c r="BU128" s="24">
        <f t="shared" si="21"/>
        <v>0.0222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0.06</v>
      </c>
      <c r="BX128" s="24" cm="1">
        <f t="array" ref="BX128">VLOOKUP($R128,武学奇术!$A:$ZZ,32,FALSE)+SUM(_xlfn.XLOOKUP($S128:$AL128,增益!$A:$A,增益!$X:$X,0))</f>
        <v>0</v>
      </c>
    </row>
    <row r="129" spans="11:76">
      <c r="K129" s="39">
        <f>$L129*VLOOKUP($R129,武学奇术!$A:$ZY,31,FALSE)</f>
        <v>0</v>
      </c>
      <c r="L129" s="39">
        <f t="shared" si="11"/>
        <v>0</v>
      </c>
      <c r="M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39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39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29">
        <f t="shared" si="23"/>
        <v>0</v>
      </c>
      <c r="R129" s="40" t="s">
        <v>192</v>
      </c>
      <c r="S129" s="40" t="s">
        <v>91</v>
      </c>
      <c r="T129" s="40" t="s">
        <v>172</v>
      </c>
      <c r="U129" s="40" t="s">
        <v>80</v>
      </c>
      <c r="V129" s="40" t="s">
        <v>166</v>
      </c>
      <c r="W129" s="40" t="s">
        <v>80</v>
      </c>
      <c r="X129" s="40" t="s">
        <v>80</v>
      </c>
      <c r="Y129" s="40" t="s">
        <v>109</v>
      </c>
      <c r="Z129" s="40" t="s">
        <v>80</v>
      </c>
      <c r="AA129" s="40" t="s">
        <v>175</v>
      </c>
      <c r="AB129" s="40" t="s">
        <v>80</v>
      </c>
      <c r="AC129" s="40" t="s">
        <v>80</v>
      </c>
      <c r="AD129" s="40" t="s">
        <v>80</v>
      </c>
      <c r="AE129" s="40" t="s">
        <v>80</v>
      </c>
      <c r="AF129" s="40" t="s">
        <v>80</v>
      </c>
      <c r="AG129" s="40" t="s">
        <v>80</v>
      </c>
      <c r="AH129" s="40" t="s">
        <v>80</v>
      </c>
      <c r="AI129" s="40" t="s">
        <v>80</v>
      </c>
      <c r="AJ129" s="40" t="s">
        <v>80</v>
      </c>
      <c r="AK129" s="40" t="s">
        <v>80</v>
      </c>
      <c r="AL129" s="40" t="s">
        <v>80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VLOOKUP($R129,武学奇术!$A:$ZZ,27,FALSE)*(1+IF(OR($AM129=$F$4,$AM129=$F$5),$B$21,0))</f>
        <v>0</v>
      </c>
      <c r="AP129" s="24">
        <f>VLOOKUP($R129,武学奇术!$A:$ZZ,28,FALSE)</f>
        <v>1</v>
      </c>
      <c r="AQ129" s="25">
        <f>VLOOKUP($R129,武学奇术!$A:$ZZ,29,FALSE)*(1+IF(OR($AM129=$F$4,$AM129=$F$5),$B$21,0))</f>
        <v>0</v>
      </c>
      <c r="AR129" s="24" cm="1">
        <f t="array" ref="AR129">$G$3+IFERROR(VLOOKUP($AM129,$F$4:$G$7,2,FALSE),0)+VLOOKUP($R129,武学奇术!$A:$ZZ,2,FALSE)+SUM(_xlfn.XLOOKUP($S129:$AL129,增益!$A:$A,增益!$B:$B,0))</f>
        <v>0.1042</v>
      </c>
      <c r="AS129" s="24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4462.125</v>
      </c>
      <c r="AU129" cm="1">
        <f t="array" ref="AU129">$E$10*(1+$AS129)+VLOOKUP($R129,武学奇术!$A:$ZZ,4,FALSE)+SUM(_xlfn.XLOOKUP($S129:$AL129,增益!$A:$A,增益!$D:$D,0))-$I$2</f>
        <v>4462.125</v>
      </c>
      <c r="AV129" s="33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0.3189</v>
      </c>
      <c r="AW129" s="33" cm="1">
        <f t="array" ref="AW129">$G$10+VLOOKUP($R129,武学奇术!$A:$ZZ,7,FALSE)+SUM(_xlfn.XLOOKUP($S129:$AL129,增益!$A:$A,增益!$G:$G,0))</f>
        <v>0.025</v>
      </c>
      <c r="AX129" s="24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3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3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3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3" cm="1">
        <f t="array" ref="BF129">$G$12+VLOOKUP($R129,武学奇术!$A:$ZZ,12,FALSE)+SUM(_xlfn.XLOOKUP($S129:$AL129,增益!$A:$A,增益!$L:$L,0))</f>
        <v>0</v>
      </c>
      <c r="BG129">
        <f t="shared" si="16"/>
        <v>618.2</v>
      </c>
      <c r="BH129">
        <f t="shared" si="17"/>
        <v>1567.4</v>
      </c>
      <c r="BI129" s="33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3" cm="1">
        <f t="array" ref="BJ129">$G$13+VLOOKUP($R129,武学奇术!$A:$ZZ,14,FALSE)+SUM(_xlfn.XLOOKUP($S129:$AL129,增益!$A:$A,增益!$N:$N,0))</f>
        <v>0.15</v>
      </c>
      <c r="BK129">
        <f t="shared" si="18"/>
        <v>0</v>
      </c>
      <c r="BL129">
        <f t="shared" si="19"/>
        <v>0</v>
      </c>
      <c r="BM129" s="33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3" cm="1">
        <f t="array" ref="BN129">$G$14+VLOOKUP($R129,武学奇术!$A:$ZZ,16,FALSE)+SUM(_xlfn.XLOOKUP($S129:$AL129,增益!$A:$A,增益!$P:$P,0))</f>
        <v>0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4" cm="1">
        <f t="array" ref="BQ129">1+$B$13+VLOOKUP($R129,武学奇术!$A:$ZZ,18,FALSE)+SUM(_xlfn.XLOOKUP($S129:$AL129,增益!$A:$A,增益!$R:$R,0))</f>
        <v>1.85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0"/>
        <v>0.8865</v>
      </c>
      <c r="BU129" s="24">
        <f t="shared" si="21"/>
        <v>0.0222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0.16</v>
      </c>
      <c r="BX129" s="24" cm="1">
        <f t="array" ref="BX129">VLOOKUP($R129,武学奇术!$A:$ZZ,32,FALSE)+SUM(_xlfn.XLOOKUP($S129:$AL129,增益!$A:$A,增益!$X:$X,0))</f>
        <v>0</v>
      </c>
    </row>
    <row r="130" spans="11:76">
      <c r="K130" s="39">
        <f>$L130*VLOOKUP($R130,武学奇术!$A:$ZY,31,FALSE)</f>
        <v>0</v>
      </c>
      <c r="L130" s="39">
        <f t="shared" ref="L130:L136" si="24">($M130*$BT130+$N130*$BR130+$O130*$BU130+$P130*$BV130)</f>
        <v>0</v>
      </c>
      <c r="M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39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39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29">
        <f t="shared" si="23"/>
        <v>0</v>
      </c>
      <c r="R130" s="40" t="s">
        <v>192</v>
      </c>
      <c r="S130" s="40" t="s">
        <v>91</v>
      </c>
      <c r="T130" s="40" t="s">
        <v>172</v>
      </c>
      <c r="U130" s="40" t="s">
        <v>80</v>
      </c>
      <c r="V130" s="40" t="s">
        <v>81</v>
      </c>
      <c r="W130" s="40" t="s">
        <v>80</v>
      </c>
      <c r="X130" s="40" t="s">
        <v>80</v>
      </c>
      <c r="Y130" s="40" t="s">
        <v>80</v>
      </c>
      <c r="Z130" s="40" t="s">
        <v>80</v>
      </c>
      <c r="AA130" s="40" t="s">
        <v>80</v>
      </c>
      <c r="AB130" s="40" t="s">
        <v>80</v>
      </c>
      <c r="AC130" s="40" t="s">
        <v>80</v>
      </c>
      <c r="AD130" s="40" t="s">
        <v>80</v>
      </c>
      <c r="AE130" s="40" t="s">
        <v>80</v>
      </c>
      <c r="AF130" s="40" t="s">
        <v>80</v>
      </c>
      <c r="AG130" s="40" t="s">
        <v>80</v>
      </c>
      <c r="AH130" s="40" t="s">
        <v>80</v>
      </c>
      <c r="AI130" s="40" t="s">
        <v>80</v>
      </c>
      <c r="AJ130" s="40" t="s">
        <v>80</v>
      </c>
      <c r="AK130" s="40" t="s">
        <v>80</v>
      </c>
      <c r="AL130" s="40" t="s">
        <v>80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VLOOKUP($R130,武学奇术!$A:$ZZ,27,FALSE)*(1+IF(OR($AM130=$F$4,$AM130=$F$5),$B$21,0))</f>
        <v>0</v>
      </c>
      <c r="AP130" s="24">
        <f>VLOOKUP($R130,武学奇术!$A:$ZZ,28,FALSE)</f>
        <v>1</v>
      </c>
      <c r="AQ130" s="25">
        <f>VLOOKUP($R130,武学奇术!$A:$ZZ,29,FALSE)*(1+IF(OR($AM130=$F$4,$AM130=$F$5),$B$21,0))</f>
        <v>0</v>
      </c>
      <c r="AR130" s="24" cm="1">
        <f t="array" ref="AR130">$G$3+IFERROR(VLOOKUP($AM130,$F$4:$G$7,2,FALSE),0)+VLOOKUP($R130,武学奇术!$A:$ZZ,2,FALSE)+SUM(_xlfn.XLOOKUP($S130:$AL130,增益!$A:$A,增益!$B:$B,0))</f>
        <v>0.1042</v>
      </c>
      <c r="AS130" s="24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4126.3125</v>
      </c>
      <c r="AU130" cm="1">
        <f t="array" ref="AU130">$E$10*(1+$AS130)+VLOOKUP($R130,武学奇术!$A:$ZZ,4,FALSE)+SUM(_xlfn.XLOOKUP($S130:$AL130,增益!$A:$A,增益!$D:$D,0))-$I$2</f>
        <v>4126.3125</v>
      </c>
      <c r="AV130" s="33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0.1939</v>
      </c>
      <c r="AW130" s="33" cm="1">
        <f t="array" ref="AW130">$G$10+VLOOKUP($R130,武学奇术!$A:$ZZ,7,FALSE)+SUM(_xlfn.XLOOKUP($S130:$AL130,增益!$A:$A,增益!$G:$G,0))</f>
        <v>0.025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5">$D$11*(1+$AX130)</f>
        <v>0</v>
      </c>
      <c r="AZ130">
        <f t="shared" ref="AZ130:AZ136" si="26">$E$11*(1+$AX130)</f>
        <v>0</v>
      </c>
      <c r="BA130" s="33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3" cm="1">
        <f t="array" ref="BB130">$G$11+VLOOKUP($R130,武学奇术!$A:$ZZ,10,FALSE)+SUM(_xlfn.XLOOKUP($S130:$AL130,增益!$A:$A,增益!$J:$J,0))</f>
        <v>0</v>
      </c>
      <c r="BC130">
        <f t="shared" ref="BC130:BC136" si="27">$D$12*(1+$AX130)</f>
        <v>0</v>
      </c>
      <c r="BD130">
        <f t="shared" ref="BD130:BD136" si="28">$E$12*(1+$AX130)</f>
        <v>0</v>
      </c>
      <c r="BE130" s="33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3" cm="1">
        <f t="array" ref="BF130">$G$12+VLOOKUP($R130,武学奇术!$A:$ZZ,12,FALSE)+SUM(_xlfn.XLOOKUP($S130:$AL130,增益!$A:$A,增益!$L:$L,0))</f>
        <v>0</v>
      </c>
      <c r="BG130">
        <f t="shared" ref="BG130:BG136" si="29">$D$13*(1+$AX130)</f>
        <v>618.2</v>
      </c>
      <c r="BH130">
        <f t="shared" ref="BH130:BH136" si="30">$E$13*(1+$AX130)</f>
        <v>1567.4</v>
      </c>
      <c r="BI130" s="33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3" cm="1">
        <f t="array" ref="BJ130">$G$13+VLOOKUP($R130,武学奇术!$A:$ZZ,14,FALSE)+SUM(_xlfn.XLOOKUP($S130:$AL130,增益!$A:$A,增益!$N:$N,0))</f>
        <v>0.15</v>
      </c>
      <c r="BK130">
        <f t="shared" ref="BK130:BK136" si="31">$D$14*(1+$AX130)</f>
        <v>0</v>
      </c>
      <c r="BL130">
        <f t="shared" ref="BL130:BL136" si="32">$E$14*(1+$AX130)</f>
        <v>0</v>
      </c>
      <c r="BM130" s="33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3" cm="1">
        <f t="array" ref="BN130">$G$14+VLOOKUP($R130,武学奇术!$A:$ZZ,16,FALSE)+SUM(_xlfn.XLOOKUP($S130:$AL130,增益!$A:$A,增益!$P:$P,0))</f>
        <v>0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4" cm="1">
        <f t="array" ref="BQ130">1+$B$13+VLOOKUP($R130,武学奇术!$A:$ZZ,18,FALSE)+SUM(_xlfn.XLOOKUP($S130:$AL130,增益!$A:$A,增益!$R:$R,0))</f>
        <v>1.6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3">MIN((1-BR130)*BO130,BO130*BP130)</f>
        <v>0.8865</v>
      </c>
      <c r="BU130" s="24">
        <f t="shared" ref="BU130:BU136" si="34">1-BR130-BT130-BV130</f>
        <v>0.0222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0.06</v>
      </c>
      <c r="BX130" s="24" cm="1">
        <f t="array" ref="BX130">VLOOKUP($R130,武学奇术!$A:$ZZ,32,FALSE)+SUM(_xlfn.XLOOKUP($S130:$AL130,增益!$A:$A,增益!$X:$X,0))</f>
        <v>0</v>
      </c>
    </row>
    <row r="131" spans="11:76">
      <c r="K131" s="39">
        <f>$L131*VLOOKUP($R131,武学奇术!$A:$ZY,31,FALSE)</f>
        <v>0</v>
      </c>
      <c r="L131" s="39">
        <f t="shared" si="24"/>
        <v>0</v>
      </c>
      <c r="M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39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39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29">
        <f t="shared" si="23"/>
        <v>0</v>
      </c>
      <c r="R131" s="40" t="s">
        <v>192</v>
      </c>
      <c r="S131" s="40" t="s">
        <v>91</v>
      </c>
      <c r="T131" s="40" t="s">
        <v>172</v>
      </c>
      <c r="U131" s="40" t="s">
        <v>80</v>
      </c>
      <c r="V131" s="40" t="s">
        <v>81</v>
      </c>
      <c r="W131" s="40" t="s">
        <v>80</v>
      </c>
      <c r="X131" s="40" t="s">
        <v>80</v>
      </c>
      <c r="Y131" s="40" t="s">
        <v>80</v>
      </c>
      <c r="Z131" s="40" t="s">
        <v>80</v>
      </c>
      <c r="AA131" s="40" t="s">
        <v>80</v>
      </c>
      <c r="AB131" s="40" t="s">
        <v>80</v>
      </c>
      <c r="AC131" s="40" t="s">
        <v>80</v>
      </c>
      <c r="AD131" s="40" t="s">
        <v>80</v>
      </c>
      <c r="AE131" s="40" t="s">
        <v>80</v>
      </c>
      <c r="AF131" s="40" t="s">
        <v>80</v>
      </c>
      <c r="AG131" s="40" t="s">
        <v>80</v>
      </c>
      <c r="AH131" s="40" t="s">
        <v>80</v>
      </c>
      <c r="AI131" s="40" t="s">
        <v>80</v>
      </c>
      <c r="AJ131" s="40" t="s">
        <v>80</v>
      </c>
      <c r="AK131" s="40" t="s">
        <v>80</v>
      </c>
      <c r="AL131" s="40" t="s">
        <v>80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VLOOKUP($R131,武学奇术!$A:$ZZ,27,FALSE)*(1+IF(OR($AM131=$F$4,$AM131=$F$5),$B$21,0))</f>
        <v>0</v>
      </c>
      <c r="AP131" s="24">
        <f>VLOOKUP($R131,武学奇术!$A:$ZZ,28,FALSE)</f>
        <v>1</v>
      </c>
      <c r="AQ131" s="25">
        <f>VLOOKUP($R131,武学奇术!$A:$ZZ,29,FALSE)*(1+IF(OR($AM131=$F$4,$AM131=$F$5),$B$21,0))</f>
        <v>0</v>
      </c>
      <c r="AR131" s="24" cm="1">
        <f t="array" ref="AR131">$G$3+IFERROR(VLOOKUP($AM131,$F$4:$G$7,2,FALSE),0)+VLOOKUP($R131,武学奇术!$A:$ZZ,2,FALSE)+SUM(_xlfn.XLOOKUP($S131:$AL131,增益!$A:$A,增益!$B:$B,0))</f>
        <v>0.1042</v>
      </c>
      <c r="AS131" s="24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4126.3125</v>
      </c>
      <c r="AU131" cm="1">
        <f t="array" ref="AU131">$E$10*(1+$AS131)+VLOOKUP($R131,武学奇术!$A:$ZZ,4,FALSE)+SUM(_xlfn.XLOOKUP($S131:$AL131,增益!$A:$A,增益!$D:$D,0))-$I$2</f>
        <v>4126.3125</v>
      </c>
      <c r="AV131" s="33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0.1939</v>
      </c>
      <c r="AW131" s="33" cm="1">
        <f t="array" ref="AW131">$G$10+VLOOKUP($R131,武学奇术!$A:$ZZ,7,FALSE)+SUM(_xlfn.XLOOKUP($S131:$AL131,增益!$A:$A,增益!$G:$G,0))</f>
        <v>0.025</v>
      </c>
      <c r="AX131" s="24" cm="1">
        <f t="array" ref="AX131">VLOOKUP($R131,武学奇术!$A:$ZZ,8,FALSE)+SUM(_xlfn.XLOOKUP($S131:$AL131,增益!$A:$A,增益!$H:$H,0))</f>
        <v>0</v>
      </c>
      <c r="AY131">
        <f t="shared" si="25"/>
        <v>0</v>
      </c>
      <c r="AZ131">
        <f t="shared" si="26"/>
        <v>0</v>
      </c>
      <c r="BA131" s="33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3" cm="1">
        <f t="array" ref="BB131">$G$11+VLOOKUP($R131,武学奇术!$A:$ZZ,10,FALSE)+SUM(_xlfn.XLOOKUP($S131:$AL131,增益!$A:$A,增益!$J:$J,0))</f>
        <v>0</v>
      </c>
      <c r="BC131">
        <f t="shared" si="27"/>
        <v>0</v>
      </c>
      <c r="BD131">
        <f t="shared" si="28"/>
        <v>0</v>
      </c>
      <c r="BE131" s="33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3" cm="1">
        <f t="array" ref="BF131">$G$12+VLOOKUP($R131,武学奇术!$A:$ZZ,12,FALSE)+SUM(_xlfn.XLOOKUP($S131:$AL131,增益!$A:$A,增益!$L:$L,0))</f>
        <v>0</v>
      </c>
      <c r="BG131">
        <f t="shared" si="29"/>
        <v>618.2</v>
      </c>
      <c r="BH131">
        <f t="shared" si="30"/>
        <v>1567.4</v>
      </c>
      <c r="BI131" s="33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3" cm="1">
        <f t="array" ref="BJ131">$G$13+VLOOKUP($R131,武学奇术!$A:$ZZ,14,FALSE)+SUM(_xlfn.XLOOKUP($S131:$AL131,增益!$A:$A,增益!$N:$N,0))</f>
        <v>0.15</v>
      </c>
      <c r="BK131">
        <f t="shared" si="31"/>
        <v>0</v>
      </c>
      <c r="BL131">
        <f t="shared" si="32"/>
        <v>0</v>
      </c>
      <c r="BM131" s="33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3" cm="1">
        <f t="array" ref="BN131">$G$14+VLOOKUP($R131,武学奇术!$A:$ZZ,16,FALSE)+SUM(_xlfn.XLOOKUP($S131:$AL131,增益!$A:$A,增益!$P:$P,0))</f>
        <v>0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4" cm="1">
        <f t="array" ref="BQ131">1+$B$13+VLOOKUP($R131,武学奇术!$A:$ZZ,18,FALSE)+SUM(_xlfn.XLOOKUP($S131:$AL131,增益!$A:$A,增益!$R:$R,0))</f>
        <v>1.6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3"/>
        <v>0.8865</v>
      </c>
      <c r="BU131" s="24">
        <f t="shared" si="34"/>
        <v>0.0222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0.06</v>
      </c>
      <c r="BX131" s="24" cm="1">
        <f t="array" ref="BX131">VLOOKUP($R131,武学奇术!$A:$ZZ,32,FALSE)+SUM(_xlfn.XLOOKUP($S131:$AL131,增益!$A:$A,增益!$X:$X,0))</f>
        <v>0</v>
      </c>
    </row>
    <row r="132" spans="11:76">
      <c r="K132" s="39">
        <f>$L132*VLOOKUP($R132,武学奇术!$A:$ZY,31,FALSE)</f>
        <v>0</v>
      </c>
      <c r="L132" s="39">
        <f t="shared" si="24"/>
        <v>0</v>
      </c>
      <c r="M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39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39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29">
        <f t="shared" si="23"/>
        <v>0</v>
      </c>
      <c r="R132" s="40" t="s">
        <v>192</v>
      </c>
      <c r="S132" s="40" t="s">
        <v>91</v>
      </c>
      <c r="T132" s="40" t="s">
        <v>172</v>
      </c>
      <c r="U132" s="40" t="s">
        <v>80</v>
      </c>
      <c r="V132" s="40" t="s">
        <v>166</v>
      </c>
      <c r="W132" s="40" t="s">
        <v>80</v>
      </c>
      <c r="X132" s="40" t="s">
        <v>80</v>
      </c>
      <c r="Y132" s="40" t="s">
        <v>80</v>
      </c>
      <c r="Z132" s="40" t="s">
        <v>80</v>
      </c>
      <c r="AA132" s="40" t="s">
        <v>80</v>
      </c>
      <c r="AB132" s="40" t="s">
        <v>80</v>
      </c>
      <c r="AC132" s="40" t="s">
        <v>80</v>
      </c>
      <c r="AD132" s="40" t="s">
        <v>80</v>
      </c>
      <c r="AE132" s="40" t="s">
        <v>80</v>
      </c>
      <c r="AF132" s="40" t="s">
        <v>80</v>
      </c>
      <c r="AG132" s="40" t="s">
        <v>80</v>
      </c>
      <c r="AH132" s="40" t="s">
        <v>80</v>
      </c>
      <c r="AI132" s="40" t="s">
        <v>80</v>
      </c>
      <c r="AJ132" s="40" t="s">
        <v>80</v>
      </c>
      <c r="AK132" s="40" t="s">
        <v>80</v>
      </c>
      <c r="AL132" s="40" t="s">
        <v>80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VLOOKUP($R132,武学奇术!$A:$ZZ,27,FALSE)*(1+IF(OR($AM132=$F$4,$AM132=$F$5),$B$21,0))</f>
        <v>0</v>
      </c>
      <c r="AP132" s="24">
        <f>VLOOKUP($R132,武学奇术!$A:$ZZ,28,FALSE)</f>
        <v>1</v>
      </c>
      <c r="AQ132" s="25">
        <f>VLOOKUP($R132,武学奇术!$A:$ZZ,29,FALSE)*(1+IF(OR($AM132=$F$4,$AM132=$F$5),$B$21,0))</f>
        <v>0</v>
      </c>
      <c r="AR132" s="24" cm="1">
        <f t="array" ref="AR132">$G$3+IFERROR(VLOOKUP($AM132,$F$4:$G$7,2,FALSE),0)+VLOOKUP($R132,武学奇术!$A:$ZZ,2,FALSE)+SUM(_xlfn.XLOOKUP($S132:$AL132,增益!$A:$A,增益!$B:$B,0))</f>
        <v>0.1042</v>
      </c>
      <c r="AS132" s="24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4462.125</v>
      </c>
      <c r="AU132" cm="1">
        <f t="array" ref="AU132">$E$10*(1+$AS132)+VLOOKUP($R132,武学奇术!$A:$ZZ,4,FALSE)+SUM(_xlfn.XLOOKUP($S132:$AL132,增益!$A:$A,增益!$D:$D,0))-$I$2</f>
        <v>4462.125</v>
      </c>
      <c r="AV132" s="33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0.1939</v>
      </c>
      <c r="AW132" s="33" cm="1">
        <f t="array" ref="AW132">$G$10+VLOOKUP($R132,武学奇术!$A:$ZZ,7,FALSE)+SUM(_xlfn.XLOOKUP($S132:$AL132,增益!$A:$A,增益!$G:$G,0))</f>
        <v>0.025</v>
      </c>
      <c r="AX132" s="24" cm="1">
        <f t="array" ref="AX132">VLOOKUP($R132,武学奇术!$A:$ZZ,8,FALSE)+SUM(_xlfn.XLOOKUP($S132:$AL132,增益!$A:$A,增益!$H:$H,0))</f>
        <v>0</v>
      </c>
      <c r="AY132">
        <f t="shared" si="25"/>
        <v>0</v>
      </c>
      <c r="AZ132">
        <f t="shared" si="26"/>
        <v>0</v>
      </c>
      <c r="BA132" s="33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3" cm="1">
        <f t="array" ref="BB132">$G$11+VLOOKUP($R132,武学奇术!$A:$ZZ,10,FALSE)+SUM(_xlfn.XLOOKUP($S132:$AL132,增益!$A:$A,增益!$J:$J,0))</f>
        <v>0</v>
      </c>
      <c r="BC132">
        <f t="shared" si="27"/>
        <v>0</v>
      </c>
      <c r="BD132">
        <f t="shared" si="28"/>
        <v>0</v>
      </c>
      <c r="BE132" s="33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3" cm="1">
        <f t="array" ref="BF132">$G$12+VLOOKUP($R132,武学奇术!$A:$ZZ,12,FALSE)+SUM(_xlfn.XLOOKUP($S132:$AL132,增益!$A:$A,增益!$L:$L,0))</f>
        <v>0</v>
      </c>
      <c r="BG132">
        <f t="shared" si="29"/>
        <v>618.2</v>
      </c>
      <c r="BH132">
        <f t="shared" si="30"/>
        <v>1567.4</v>
      </c>
      <c r="BI132" s="33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3" cm="1">
        <f t="array" ref="BJ132">$G$13+VLOOKUP($R132,武学奇术!$A:$ZZ,14,FALSE)+SUM(_xlfn.XLOOKUP($S132:$AL132,增益!$A:$A,增益!$N:$N,0))</f>
        <v>0.15</v>
      </c>
      <c r="BK132">
        <f t="shared" si="31"/>
        <v>0</v>
      </c>
      <c r="BL132">
        <f t="shared" si="32"/>
        <v>0</v>
      </c>
      <c r="BM132" s="33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3" cm="1">
        <f t="array" ref="BN132">$G$14+VLOOKUP($R132,武学奇术!$A:$ZZ,16,FALSE)+SUM(_xlfn.XLOOKUP($S132:$AL132,增益!$A:$A,增益!$P:$P,0))</f>
        <v>0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4" cm="1">
        <f t="array" ref="BQ132">1+$B$13+VLOOKUP($R132,武学奇术!$A:$ZZ,18,FALSE)+SUM(_xlfn.XLOOKUP($S132:$AL132,增益!$A:$A,增益!$R:$R,0))</f>
        <v>1.6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3"/>
        <v>0.8865</v>
      </c>
      <c r="BU132" s="24">
        <f t="shared" si="34"/>
        <v>0.0222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0.06</v>
      </c>
      <c r="BX132" s="24" cm="1">
        <f t="array" ref="BX132">VLOOKUP($R132,武学奇术!$A:$ZZ,32,FALSE)+SUM(_xlfn.XLOOKUP($S132:$AL132,增益!$A:$A,增益!$X:$X,0))</f>
        <v>0</v>
      </c>
    </row>
    <row r="133" spans="11:76">
      <c r="K133" s="39">
        <f>$L133*VLOOKUP($R133,武学奇术!$A:$ZY,31,FALSE)</f>
        <v>0</v>
      </c>
      <c r="L133" s="39">
        <f t="shared" si="24"/>
        <v>0</v>
      </c>
      <c r="M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39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39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29">
        <f t="shared" si="23"/>
        <v>0</v>
      </c>
      <c r="R133" s="40" t="s">
        <v>192</v>
      </c>
      <c r="S133" s="40" t="s">
        <v>91</v>
      </c>
      <c r="T133" s="40" t="s">
        <v>172</v>
      </c>
      <c r="U133" s="40" t="s">
        <v>80</v>
      </c>
      <c r="V133" s="40" t="s">
        <v>166</v>
      </c>
      <c r="W133" s="40" t="s">
        <v>80</v>
      </c>
      <c r="X133" s="40" t="s">
        <v>80</v>
      </c>
      <c r="Y133" s="40" t="s">
        <v>109</v>
      </c>
      <c r="Z133" s="40" t="s">
        <v>110</v>
      </c>
      <c r="AA133" s="40" t="s">
        <v>80</v>
      </c>
      <c r="AB133" s="40" t="s">
        <v>80</v>
      </c>
      <c r="AC133" s="40" t="s">
        <v>80</v>
      </c>
      <c r="AD133" s="40" t="s">
        <v>80</v>
      </c>
      <c r="AE133" s="40" t="s">
        <v>80</v>
      </c>
      <c r="AF133" s="40" t="s">
        <v>80</v>
      </c>
      <c r="AG133" s="40" t="s">
        <v>80</v>
      </c>
      <c r="AH133" s="40" t="s">
        <v>80</v>
      </c>
      <c r="AI133" s="40" t="s">
        <v>80</v>
      </c>
      <c r="AJ133" s="40" t="s">
        <v>80</v>
      </c>
      <c r="AK133" s="40" t="s">
        <v>80</v>
      </c>
      <c r="AL133" s="40" t="s">
        <v>80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VLOOKUP($R133,武学奇术!$A:$ZZ,27,FALSE)*(1+IF(OR($AM133=$F$4,$AM133=$F$5),$B$21,0))</f>
        <v>0</v>
      </c>
      <c r="AP133" s="24">
        <f>VLOOKUP($R133,武学奇术!$A:$ZZ,28,FALSE)</f>
        <v>1</v>
      </c>
      <c r="AQ133" s="25">
        <f>VLOOKUP($R133,武学奇术!$A:$ZZ,29,FALSE)*(1+IF(OR($AM133=$F$4,$AM133=$F$5),$B$21,0))</f>
        <v>0</v>
      </c>
      <c r="AR133" s="24" cm="1">
        <f t="array" ref="AR133">$G$3+IFERROR(VLOOKUP($AM133,$F$4:$G$7,2,FALSE),0)+VLOOKUP($R133,武学奇术!$A:$ZZ,2,FALSE)+SUM(_xlfn.XLOOKUP($S133:$AL133,增益!$A:$A,增益!$B:$B,0))</f>
        <v>0.2542</v>
      </c>
      <c r="AS133" s="24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4462.125</v>
      </c>
      <c r="AU133" cm="1">
        <f t="array" ref="AU133">$E$10*(1+$AS133)+VLOOKUP($R133,武学奇术!$A:$ZZ,4,FALSE)+SUM(_xlfn.XLOOKUP($S133:$AL133,增益!$A:$A,增益!$D:$D,0))-$I$2</f>
        <v>4462.125</v>
      </c>
      <c r="AV133" s="33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0.3189</v>
      </c>
      <c r="AW133" s="33" cm="1">
        <f t="array" ref="AW133">$G$10+VLOOKUP($R133,武学奇术!$A:$ZZ,7,FALSE)+SUM(_xlfn.XLOOKUP($S133:$AL133,增益!$A:$A,增益!$G:$G,0))</f>
        <v>0.025</v>
      </c>
      <c r="AX133" s="24" cm="1">
        <f t="array" ref="AX133">VLOOKUP($R133,武学奇术!$A:$ZZ,8,FALSE)+SUM(_xlfn.XLOOKUP($S133:$AL133,增益!$A:$A,增益!$H:$H,0))</f>
        <v>0</v>
      </c>
      <c r="AY133">
        <f t="shared" si="25"/>
        <v>0</v>
      </c>
      <c r="AZ133">
        <f t="shared" si="26"/>
        <v>0</v>
      </c>
      <c r="BA133" s="33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3" cm="1">
        <f t="array" ref="BB133">$G$11+VLOOKUP($R133,武学奇术!$A:$ZZ,10,FALSE)+SUM(_xlfn.XLOOKUP($S133:$AL133,增益!$A:$A,增益!$J:$J,0))</f>
        <v>0</v>
      </c>
      <c r="BC133">
        <f t="shared" si="27"/>
        <v>0</v>
      </c>
      <c r="BD133">
        <f t="shared" si="28"/>
        <v>0</v>
      </c>
      <c r="BE133" s="33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3" cm="1">
        <f t="array" ref="BF133">$G$12+VLOOKUP($R133,武学奇术!$A:$ZZ,12,FALSE)+SUM(_xlfn.XLOOKUP($S133:$AL133,增益!$A:$A,增益!$L:$L,0))</f>
        <v>0</v>
      </c>
      <c r="BG133">
        <f t="shared" si="29"/>
        <v>618.2</v>
      </c>
      <c r="BH133">
        <f t="shared" si="30"/>
        <v>1567.4</v>
      </c>
      <c r="BI133" s="33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3" cm="1">
        <f t="array" ref="BJ133">$G$13+VLOOKUP($R133,武学奇术!$A:$ZZ,14,FALSE)+SUM(_xlfn.XLOOKUP($S133:$AL133,增益!$A:$A,增益!$N:$N,0))</f>
        <v>0.15</v>
      </c>
      <c r="BK133">
        <f t="shared" si="31"/>
        <v>0</v>
      </c>
      <c r="BL133">
        <f t="shared" si="32"/>
        <v>0</v>
      </c>
      <c r="BM133" s="33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3" cm="1">
        <f t="array" ref="BN133">$G$14+VLOOKUP($R133,武学奇术!$A:$ZZ,16,FALSE)+SUM(_xlfn.XLOOKUP($S133:$AL133,增益!$A:$A,增益!$P:$P,0))</f>
        <v>0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4" cm="1">
        <f t="array" ref="BQ133">1+$B$13+VLOOKUP($R133,武学奇术!$A:$ZZ,18,FALSE)+SUM(_xlfn.XLOOKUP($S133:$AL133,增益!$A:$A,增益!$R:$R,0))</f>
        <v>1.85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3"/>
        <v>0.8865</v>
      </c>
      <c r="BU133" s="24">
        <f t="shared" si="34"/>
        <v>0.0222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0.06</v>
      </c>
      <c r="BX133" s="24" cm="1">
        <f t="array" ref="BX133">VLOOKUP($R133,武学奇术!$A:$ZZ,32,FALSE)+SUM(_xlfn.XLOOKUP($S133:$AL133,增益!$A:$A,增益!$X:$X,0))</f>
        <v>0</v>
      </c>
    </row>
    <row r="134" spans="11:76">
      <c r="K134" s="39">
        <f>$L134*VLOOKUP($R134,武学奇术!$A:$ZY,31,FALSE)</f>
        <v>0</v>
      </c>
      <c r="L134" s="39">
        <f t="shared" si="24"/>
        <v>0</v>
      </c>
      <c r="M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39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39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29">
        <f t="shared" si="23"/>
        <v>0</v>
      </c>
      <c r="R134" s="40" t="s">
        <v>192</v>
      </c>
      <c r="S134" s="40" t="s">
        <v>91</v>
      </c>
      <c r="T134" s="40" t="s">
        <v>172</v>
      </c>
      <c r="U134" s="40" t="s">
        <v>80</v>
      </c>
      <c r="V134" s="40" t="s">
        <v>166</v>
      </c>
      <c r="W134" s="40" t="s">
        <v>80</v>
      </c>
      <c r="X134" s="40" t="s">
        <v>80</v>
      </c>
      <c r="Y134" s="40" t="s">
        <v>109</v>
      </c>
      <c r="Z134" s="40" t="s">
        <v>80</v>
      </c>
      <c r="AA134" s="40" t="s">
        <v>175</v>
      </c>
      <c r="AB134" s="40" t="s">
        <v>80</v>
      </c>
      <c r="AC134" s="40" t="s">
        <v>80</v>
      </c>
      <c r="AD134" s="40" t="s">
        <v>80</v>
      </c>
      <c r="AE134" s="40" t="s">
        <v>80</v>
      </c>
      <c r="AF134" s="40" t="s">
        <v>80</v>
      </c>
      <c r="AG134" s="40" t="s">
        <v>80</v>
      </c>
      <c r="AH134" s="40" t="s">
        <v>80</v>
      </c>
      <c r="AI134" s="40" t="s">
        <v>80</v>
      </c>
      <c r="AJ134" s="40" t="s">
        <v>80</v>
      </c>
      <c r="AK134" s="40" t="s">
        <v>80</v>
      </c>
      <c r="AL134" s="40" t="s">
        <v>80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VLOOKUP($R134,武学奇术!$A:$ZZ,27,FALSE)*(1+IF(OR($AM134=$F$4,$AM134=$F$5),$B$21,0))</f>
        <v>0</v>
      </c>
      <c r="AP134" s="24">
        <f>VLOOKUP($R134,武学奇术!$A:$ZZ,28,FALSE)</f>
        <v>1</v>
      </c>
      <c r="AQ134" s="25">
        <f>VLOOKUP($R134,武学奇术!$A:$ZZ,29,FALSE)*(1+IF(OR($AM134=$F$4,$AM134=$F$5),$B$21,0))</f>
        <v>0</v>
      </c>
      <c r="AR134" s="24" cm="1">
        <f t="array" ref="AR134">$G$3+IFERROR(VLOOKUP($AM134,$F$4:$G$7,2,FALSE),0)+VLOOKUP($R134,武学奇术!$A:$ZZ,2,FALSE)+SUM(_xlfn.XLOOKUP($S134:$AL134,增益!$A:$A,增益!$B:$B,0))</f>
        <v>0.1042</v>
      </c>
      <c r="AS134" s="24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4462.125</v>
      </c>
      <c r="AU134" cm="1">
        <f t="array" ref="AU134">$E$10*(1+$AS134)+VLOOKUP($R134,武学奇术!$A:$ZZ,4,FALSE)+SUM(_xlfn.XLOOKUP($S134:$AL134,增益!$A:$A,增益!$D:$D,0))-$I$2</f>
        <v>4462.125</v>
      </c>
      <c r="AV134" s="33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0.3189</v>
      </c>
      <c r="AW134" s="33" cm="1">
        <f t="array" ref="AW134">$G$10+VLOOKUP($R134,武学奇术!$A:$ZZ,7,FALSE)+SUM(_xlfn.XLOOKUP($S134:$AL134,增益!$A:$A,增益!$G:$G,0))</f>
        <v>0.025</v>
      </c>
      <c r="AX134" s="24" cm="1">
        <f t="array" ref="AX134">VLOOKUP($R134,武学奇术!$A:$ZZ,8,FALSE)+SUM(_xlfn.XLOOKUP($S134:$AL134,增益!$A:$A,增益!$H:$H,0))</f>
        <v>0</v>
      </c>
      <c r="AY134">
        <f t="shared" si="25"/>
        <v>0</v>
      </c>
      <c r="AZ134">
        <f t="shared" si="26"/>
        <v>0</v>
      </c>
      <c r="BA134" s="33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3" cm="1">
        <f t="array" ref="BB134">$G$11+VLOOKUP($R134,武学奇术!$A:$ZZ,10,FALSE)+SUM(_xlfn.XLOOKUP($S134:$AL134,增益!$A:$A,增益!$J:$J,0))</f>
        <v>0</v>
      </c>
      <c r="BC134">
        <f t="shared" si="27"/>
        <v>0</v>
      </c>
      <c r="BD134">
        <f t="shared" si="28"/>
        <v>0</v>
      </c>
      <c r="BE134" s="33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3" cm="1">
        <f t="array" ref="BF134">$G$12+VLOOKUP($R134,武学奇术!$A:$ZZ,12,FALSE)+SUM(_xlfn.XLOOKUP($S134:$AL134,增益!$A:$A,增益!$L:$L,0))</f>
        <v>0</v>
      </c>
      <c r="BG134">
        <f t="shared" si="29"/>
        <v>618.2</v>
      </c>
      <c r="BH134">
        <f t="shared" si="30"/>
        <v>1567.4</v>
      </c>
      <c r="BI134" s="33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3" cm="1">
        <f t="array" ref="BJ134">$G$13+VLOOKUP($R134,武学奇术!$A:$ZZ,14,FALSE)+SUM(_xlfn.XLOOKUP($S134:$AL134,增益!$A:$A,增益!$N:$N,0))</f>
        <v>0.15</v>
      </c>
      <c r="BK134">
        <f t="shared" si="31"/>
        <v>0</v>
      </c>
      <c r="BL134">
        <f t="shared" si="32"/>
        <v>0</v>
      </c>
      <c r="BM134" s="33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3" cm="1">
        <f t="array" ref="BN134">$G$14+VLOOKUP($R134,武学奇术!$A:$ZZ,16,FALSE)+SUM(_xlfn.XLOOKUP($S134:$AL134,增益!$A:$A,增益!$P:$P,0))</f>
        <v>0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4" cm="1">
        <f t="array" ref="BQ134">1+$B$13+VLOOKUP($R134,武学奇术!$A:$ZZ,18,FALSE)+SUM(_xlfn.XLOOKUP($S134:$AL134,增益!$A:$A,增益!$R:$R,0))</f>
        <v>1.85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3"/>
        <v>0.8865</v>
      </c>
      <c r="BU134" s="24">
        <f t="shared" si="34"/>
        <v>0.0222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0.16</v>
      </c>
      <c r="BX134" s="24" cm="1">
        <f t="array" ref="BX134">VLOOKUP($R134,武学奇术!$A:$ZZ,32,FALSE)+SUM(_xlfn.XLOOKUP($S134:$AL134,增益!$A:$A,增益!$X:$X,0))</f>
        <v>0</v>
      </c>
    </row>
    <row r="135" spans="11:76">
      <c r="K135" s="39">
        <f>$L135*VLOOKUP($R135,武学奇术!$A:$ZY,31,FALSE)</f>
        <v>0</v>
      </c>
      <c r="L135" s="39">
        <f t="shared" si="24"/>
        <v>0</v>
      </c>
      <c r="M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39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39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29">
        <v>1</v>
      </c>
      <c r="R135" s="40" t="s">
        <v>80</v>
      </c>
      <c r="S135" s="40" t="s">
        <v>80</v>
      </c>
      <c r="T135" s="40" t="s">
        <v>80</v>
      </c>
      <c r="U135" s="40" t="s">
        <v>80</v>
      </c>
      <c r="V135" s="40" t="s">
        <v>80</v>
      </c>
      <c r="W135" s="40" t="s">
        <v>80</v>
      </c>
      <c r="X135" s="40" t="s">
        <v>80</v>
      </c>
      <c r="Y135" s="40" t="s">
        <v>80</v>
      </c>
      <c r="Z135" s="40" t="s">
        <v>80</v>
      </c>
      <c r="AA135" s="40" t="s">
        <v>80</v>
      </c>
      <c r="AB135" s="40" t="s">
        <v>80</v>
      </c>
      <c r="AC135" s="40" t="s">
        <v>80</v>
      </c>
      <c r="AD135" s="40" t="s">
        <v>80</v>
      </c>
      <c r="AE135" s="40" t="s">
        <v>80</v>
      </c>
      <c r="AF135" s="40" t="s">
        <v>80</v>
      </c>
      <c r="AG135" s="40" t="s">
        <v>80</v>
      </c>
      <c r="AH135" s="40" t="s">
        <v>80</v>
      </c>
      <c r="AI135" s="40" t="s">
        <v>80</v>
      </c>
      <c r="AJ135" s="40" t="s">
        <v>80</v>
      </c>
      <c r="AK135" s="40" t="s">
        <v>80</v>
      </c>
      <c r="AL135" s="40" t="s">
        <v>80</v>
      </c>
      <c r="AM135" t="str">
        <f>VLOOKUP($R135,武学奇术!$A:$ZZ,25,FALSE)</f>
        <v>心法</v>
      </c>
      <c r="AN135" s="24">
        <f>VLOOKUP($R135,武学奇术!$A:$ZZ,26,FALSE)</f>
        <v>0</v>
      </c>
      <c r="AO135" s="25">
        <f>VLOOKUP($R135,武学奇术!$A:$ZZ,27,FALSE)*(1+IF(OR($AM135=$F$4,$AM135=$F$5),$B$21,0))</f>
        <v>0</v>
      </c>
      <c r="AP135" s="24">
        <f>VLOOKUP($R135,武学奇术!$A:$ZZ,28,FALSE)</f>
        <v>0</v>
      </c>
      <c r="AQ135" s="25">
        <f>VLOOKUP($R135,武学奇术!$A:$ZZ,29,FALSE)*(1+IF(OR($AM135=$F$4,$AM135=$F$5),$B$21,0))</f>
        <v>0</v>
      </c>
      <c r="AR135" s="24" cm="1">
        <f t="array" ref="AR135">$G$3+IFERROR(VLOOKUP($AM135,$F$4:$G$7,2,FALSE),0)+VLOOKUP($R135,武学奇术!$A:$ZZ,2,FALSE)+SUM(_xlfn.XLOOKUP($S135:$AL135,增益!$A:$A,增益!$B:$B,0))</f>
        <v>0.1042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3790.5</v>
      </c>
      <c r="AU135" cm="1">
        <f t="array" ref="AU135">$E$10*(1+$AS135)+VLOOKUP($R135,武学奇术!$A:$ZZ,4,FALSE)+SUM(_xlfn.XLOOKUP($S135:$AL135,增益!$A:$A,增益!$D:$D,0))-$I$2</f>
        <v>3790.5</v>
      </c>
      <c r="AV135" s="33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0.1939</v>
      </c>
      <c r="AW135" s="33" cm="1">
        <f t="array" ref="AW135">$G$10+VLOOKUP($R135,武学奇术!$A:$ZZ,7,FALSE)+SUM(_xlfn.XLOOKUP($S135:$AL135,增益!$A:$A,增益!$G:$G,0))</f>
        <v>0.025</v>
      </c>
      <c r="AX135" s="24" cm="1">
        <f t="array" ref="AX135">VLOOKUP($R135,武学奇术!$A:$ZZ,8,FALSE)+SUM(_xlfn.XLOOKUP($S135:$AL135,增益!$A:$A,增益!$H:$H,0))</f>
        <v>0</v>
      </c>
      <c r="AY135">
        <f t="shared" si="25"/>
        <v>0</v>
      </c>
      <c r="AZ135">
        <f t="shared" si="26"/>
        <v>0</v>
      </c>
      <c r="BA135" s="33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3" cm="1">
        <f t="array" ref="BB135">$G$11+VLOOKUP($R135,武学奇术!$A:$ZZ,10,FALSE)+SUM(_xlfn.XLOOKUP($S135:$AL135,增益!$A:$A,增益!$J:$J,0))</f>
        <v>0</v>
      </c>
      <c r="BC135">
        <f t="shared" si="27"/>
        <v>0</v>
      </c>
      <c r="BD135">
        <f t="shared" si="28"/>
        <v>0</v>
      </c>
      <c r="BE135" s="33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3" cm="1">
        <f t="array" ref="BF135">$G$12+VLOOKUP($R135,武学奇术!$A:$ZZ,12,FALSE)+SUM(_xlfn.XLOOKUP($S135:$AL135,增益!$A:$A,增益!$L:$L,0))</f>
        <v>0</v>
      </c>
      <c r="BG135">
        <f t="shared" si="29"/>
        <v>618.2</v>
      </c>
      <c r="BH135">
        <f t="shared" si="30"/>
        <v>1567.4</v>
      </c>
      <c r="BI135" s="33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3" cm="1">
        <f t="array" ref="BJ135">$G$13+VLOOKUP($R135,武学奇术!$A:$ZZ,14,FALSE)+SUM(_xlfn.XLOOKUP($S135:$AL135,增益!$A:$A,增益!$N:$N,0))</f>
        <v>0.15</v>
      </c>
      <c r="BK135">
        <f t="shared" si="31"/>
        <v>0</v>
      </c>
      <c r="BL135">
        <f t="shared" si="32"/>
        <v>0</v>
      </c>
      <c r="BM135" s="33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3" cm="1">
        <f t="array" ref="BN135">$G$14+VLOOKUP($R135,武学奇术!$A:$ZZ,16,FALSE)+SUM(_xlfn.XLOOKUP($S135:$AL135,增益!$A:$A,增益!$P:$P,0))</f>
        <v>0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4" cm="1">
        <f t="array" ref="BQ135">1+$B$13+VLOOKUP($R135,武学奇术!$A:$ZZ,18,FALSE)+SUM(_xlfn.XLOOKUP($S135:$AL135,增益!$A:$A,增益!$R:$R,0))</f>
        <v>1.5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3"/>
        <v>0.8865</v>
      </c>
      <c r="BU135" s="24">
        <f t="shared" si="34"/>
        <v>0.0222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0.06</v>
      </c>
      <c r="BX135" s="24" cm="1">
        <f t="array" ref="BX135">VLOOKUP($R135,武学奇术!$A:$ZZ,32,FALSE)+SUM(_xlfn.XLOOKUP($S135:$AL135,增益!$A:$A,增益!$X:$X,0))</f>
        <v>0</v>
      </c>
    </row>
    <row r="136" spans="11:76">
      <c r="K136" s="39">
        <f>$L136*VLOOKUP($R136,武学奇术!$A:$ZY,31,FALSE)</f>
        <v>0</v>
      </c>
      <c r="L136" s="39">
        <f t="shared" si="24"/>
        <v>0</v>
      </c>
      <c r="M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39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39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29">
        <v>1</v>
      </c>
      <c r="R136" s="40" t="s">
        <v>80</v>
      </c>
      <c r="S136" s="40" t="s">
        <v>80</v>
      </c>
      <c r="T136" s="40" t="s">
        <v>80</v>
      </c>
      <c r="U136" s="40" t="s">
        <v>80</v>
      </c>
      <c r="V136" s="40" t="s">
        <v>80</v>
      </c>
      <c r="W136" s="40" t="s">
        <v>80</v>
      </c>
      <c r="X136" s="40" t="s">
        <v>80</v>
      </c>
      <c r="Y136" s="40" t="s">
        <v>80</v>
      </c>
      <c r="Z136" s="40" t="s">
        <v>80</v>
      </c>
      <c r="AA136" s="40" t="s">
        <v>80</v>
      </c>
      <c r="AB136" s="40" t="s">
        <v>80</v>
      </c>
      <c r="AC136" s="40" t="s">
        <v>80</v>
      </c>
      <c r="AD136" s="40" t="s">
        <v>80</v>
      </c>
      <c r="AE136" s="40" t="s">
        <v>80</v>
      </c>
      <c r="AF136" s="40" t="s">
        <v>80</v>
      </c>
      <c r="AG136" s="40" t="s">
        <v>80</v>
      </c>
      <c r="AH136" s="40" t="s">
        <v>80</v>
      </c>
      <c r="AI136" s="40" t="s">
        <v>80</v>
      </c>
      <c r="AJ136" s="40" t="s">
        <v>80</v>
      </c>
      <c r="AK136" s="40" t="s">
        <v>80</v>
      </c>
      <c r="AL136" s="40" t="s">
        <v>80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VLOOKUP($R136,武学奇术!$A:$ZZ,27,FALSE)*(1+IF(OR($AM136=$F$4,$AM136=$F$5),$B$21,0))</f>
        <v>0</v>
      </c>
      <c r="AP136" s="24">
        <f>VLOOKUP($R136,武学奇术!$A:$ZZ,28,FALSE)</f>
        <v>0</v>
      </c>
      <c r="AQ136" s="25">
        <f>VLOOKUP($R136,武学奇术!$A:$ZZ,29,FALSE)*(1+IF(OR($AM136=$F$4,$AM136=$F$5),$B$21,0))</f>
        <v>0</v>
      </c>
      <c r="AR136" s="24" cm="1">
        <f t="array" ref="AR136">$G$3+IFERROR(VLOOKUP($AM136,$F$4:$G$7,2,FALSE),0)+VLOOKUP($R136,武学奇术!$A:$ZZ,2,FALSE)+SUM(_xlfn.XLOOKUP($S136:$AL136,增益!$A:$A,增益!$B:$B,0))</f>
        <v>0.1042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3790.5</v>
      </c>
      <c r="AU136" cm="1">
        <f t="array" ref="AU136">$E$10*(1+$AS136)+VLOOKUP($R136,武学奇术!$A:$ZZ,4,FALSE)+SUM(_xlfn.XLOOKUP($S136:$AL136,增益!$A:$A,增益!$D:$D,0))-$I$2</f>
        <v>3790.5</v>
      </c>
      <c r="AV136" s="33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0.1939</v>
      </c>
      <c r="AW136" s="33" cm="1">
        <f t="array" ref="AW136">$G$10+VLOOKUP($R136,武学奇术!$A:$ZZ,7,FALSE)+SUM(_xlfn.XLOOKUP($S136:$AL136,增益!$A:$A,增益!$G:$G,0))</f>
        <v>0.025</v>
      </c>
      <c r="AX136" s="24" cm="1">
        <f t="array" ref="AX136">VLOOKUP($R136,武学奇术!$A:$ZZ,8,FALSE)+SUM(_xlfn.XLOOKUP($S136:$AL136,增益!$A:$A,增益!$H:$H,0))</f>
        <v>0</v>
      </c>
      <c r="AY136">
        <f t="shared" si="25"/>
        <v>0</v>
      </c>
      <c r="AZ136">
        <f t="shared" si="26"/>
        <v>0</v>
      </c>
      <c r="BA136" s="33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3" cm="1">
        <f t="array" ref="BB136">$G$11+VLOOKUP($R136,武学奇术!$A:$ZZ,10,FALSE)+SUM(_xlfn.XLOOKUP($S136:$AL136,增益!$A:$A,增益!$J:$J,0))</f>
        <v>0</v>
      </c>
      <c r="BC136">
        <f t="shared" si="27"/>
        <v>0</v>
      </c>
      <c r="BD136">
        <f t="shared" si="28"/>
        <v>0</v>
      </c>
      <c r="BE136" s="33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3" cm="1">
        <f t="array" ref="BF136">$G$12+VLOOKUP($R136,武学奇术!$A:$ZZ,12,FALSE)+SUM(_xlfn.XLOOKUP($S136:$AL136,增益!$A:$A,增益!$L:$L,0))</f>
        <v>0</v>
      </c>
      <c r="BG136">
        <f t="shared" si="29"/>
        <v>618.2</v>
      </c>
      <c r="BH136">
        <f t="shared" si="30"/>
        <v>1567.4</v>
      </c>
      <c r="BI136" s="33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3" cm="1">
        <f t="array" ref="BJ136">$G$13+VLOOKUP($R136,武学奇术!$A:$ZZ,14,FALSE)+SUM(_xlfn.XLOOKUP($S136:$AL136,增益!$A:$A,增益!$N:$N,0))</f>
        <v>0.15</v>
      </c>
      <c r="BK136">
        <f t="shared" si="31"/>
        <v>0</v>
      </c>
      <c r="BL136">
        <f t="shared" si="32"/>
        <v>0</v>
      </c>
      <c r="BM136" s="33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3" cm="1">
        <f t="array" ref="BN136">$G$14+VLOOKUP($R136,武学奇术!$A:$ZZ,16,FALSE)+SUM(_xlfn.XLOOKUP($S136:$AL136,增益!$A:$A,增益!$P:$P,0))</f>
        <v>0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4" cm="1">
        <f t="array" ref="BQ136">1+$B$13+VLOOKUP($R136,武学奇术!$A:$ZZ,18,FALSE)+SUM(_xlfn.XLOOKUP($S136:$AL136,增益!$A:$A,增益!$R:$R,0))</f>
        <v>1.5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3"/>
        <v>0.8865</v>
      </c>
      <c r="BU136" s="24">
        <f t="shared" si="34"/>
        <v>0.0222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0.06</v>
      </c>
      <c r="BX136" s="24" cm="1">
        <f t="array" ref="BX136">VLOOKUP($R136,武学奇术!$A:$ZZ,32,FALSE)+SUM(_xlfn.XLOOKUP($S136:$AL136,增益!$A:$A,增益!$X:$X,0))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2:A23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opLeftCell="I1" workbookViewId="0">
      <selection activeCell="A19" sqref="$A19:$XFD19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4" t="s">
        <v>107</v>
      </c>
      <c r="R1" t="s">
        <v>212</v>
      </c>
      <c r="S1" t="s">
        <v>111</v>
      </c>
      <c r="T1" t="s">
        <v>213</v>
      </c>
      <c r="U1" s="29" t="s">
        <v>214</v>
      </c>
      <c r="V1" t="s">
        <v>215</v>
      </c>
      <c r="W1" t="s">
        <v>216</v>
      </c>
      <c r="X1" t="s">
        <v>217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218</v>
      </c>
      <c r="AE1" t="s">
        <v>219</v>
      </c>
      <c r="AF1" t="s">
        <v>72</v>
      </c>
    </row>
    <row r="2" customFormat="1" spans="1:32">
      <c r="A2" t="s">
        <v>220</v>
      </c>
      <c r="E2" s="27"/>
      <c r="F2">
        <f>5+IF(期望!$E$22="春雷篇",20,0)</f>
        <v>25</v>
      </c>
      <c r="G2" s="27">
        <f>IF(期望!$G$2="烟柳",10%,0)</f>
        <v>0.1</v>
      </c>
      <c r="M2">
        <f>IF(期望!$E$22="春雷篇",20,0)</f>
        <v>20</v>
      </c>
      <c r="N2" s="27">
        <f>IF(期望!$G$2="烟柳",10%,0)</f>
        <v>0.1</v>
      </c>
      <c r="Q2" s="24"/>
      <c r="R2" s="27">
        <v>0.36</v>
      </c>
      <c r="Y2" t="s">
        <v>89</v>
      </c>
      <c r="Z2" s="30">
        <v>1.7175</v>
      </c>
      <c r="AA2" s="31">
        <v>474</v>
      </c>
      <c r="AB2" s="30">
        <v>2.5762</v>
      </c>
      <c r="AC2" s="31">
        <v>258</v>
      </c>
      <c r="AD2" t="s">
        <v>221</v>
      </c>
      <c r="AE2">
        <v>1.05</v>
      </c>
      <c r="AF2" s="27">
        <v>0.25</v>
      </c>
    </row>
    <row r="3" spans="1:32">
      <c r="A3" t="s">
        <v>115</v>
      </c>
      <c r="E3" s="27"/>
      <c r="F3">
        <f>5+IF(期望!$E$22="春雷篇",20,0)</f>
        <v>25</v>
      </c>
      <c r="G3" s="27">
        <f>IF(期望!$G$2="烟柳",10%,0)</f>
        <v>0.1</v>
      </c>
      <c r="M3">
        <f>IF(期望!$E$22="春雷篇",20,0)</f>
        <v>20</v>
      </c>
      <c r="N3" s="27">
        <f>IF(期望!$G$2="烟柳",10%,0)</f>
        <v>0.1</v>
      </c>
      <c r="R3" s="27">
        <v>0.36</v>
      </c>
      <c r="Y3" t="s">
        <v>89</v>
      </c>
      <c r="Z3" s="30">
        <v>1.0217</v>
      </c>
      <c r="AA3" s="31">
        <v>282</v>
      </c>
      <c r="AB3" s="30">
        <v>1.5325</v>
      </c>
      <c r="AC3" s="31">
        <v>154</v>
      </c>
      <c r="AD3" t="s">
        <v>221</v>
      </c>
      <c r="AE3">
        <v>1.05</v>
      </c>
      <c r="AF3" s="27">
        <v>0.15</v>
      </c>
    </row>
    <row r="4" spans="1:32">
      <c r="A4" t="s">
        <v>99</v>
      </c>
      <c r="B4" s="27"/>
      <c r="E4" s="27"/>
      <c r="F4">
        <f>5+IF(期望!$E$22="春雷篇",20,0)</f>
        <v>25</v>
      </c>
      <c r="G4" s="27">
        <f>IF(期望!$G$2="烟柳",10%,0)</f>
        <v>0.1</v>
      </c>
      <c r="M4">
        <f>IF(期望!$E$22="春雷篇",20,0)</f>
        <v>20</v>
      </c>
      <c r="N4" s="27">
        <f>IF(期望!$G$2="烟柳",10%,0)</f>
        <v>0.1</v>
      </c>
      <c r="R4" s="27">
        <v>0.36</v>
      </c>
      <c r="Y4" t="s">
        <v>89</v>
      </c>
      <c r="Z4" s="30">
        <v>2.3397</v>
      </c>
      <c r="AA4" s="31">
        <v>648</v>
      </c>
      <c r="AB4" s="30">
        <v>3.5095</v>
      </c>
      <c r="AC4" s="25">
        <v>353</v>
      </c>
      <c r="AE4">
        <v>1.05</v>
      </c>
    </row>
    <row r="5" spans="1:32">
      <c r="A5" t="s">
        <v>108</v>
      </c>
      <c r="B5" s="27"/>
      <c r="E5" s="27"/>
      <c r="F5">
        <f>IF(期望!$E$22="春雷篇",20,0)</f>
        <v>20</v>
      </c>
      <c r="G5" s="27">
        <f>IF(期望!$G$2="烟柳",10%,0)</f>
        <v>0.1</v>
      </c>
      <c r="M5">
        <f>IF(期望!$E$22="春雷篇",20,0)</f>
        <v>20</v>
      </c>
      <c r="N5" s="27">
        <f>IF(期望!$G$2="烟柳",10%,0)</f>
        <v>0.1</v>
      </c>
      <c r="R5" s="27"/>
      <c r="Y5" t="s">
        <v>89</v>
      </c>
      <c r="Z5" s="30">
        <f>53.97%+116.04%</f>
        <v>1.7001</v>
      </c>
      <c r="AA5" s="31">
        <f>149+322</f>
        <v>471</v>
      </c>
      <c r="AB5" s="30">
        <f>80.96%+174.06%</f>
        <v>2.5502</v>
      </c>
      <c r="AC5" s="25">
        <f>81+175</f>
        <v>256</v>
      </c>
      <c r="AE5">
        <v>1.05</v>
      </c>
    </row>
    <row r="6" spans="1:32">
      <c r="A6" t="s">
        <v>113</v>
      </c>
      <c r="B6" s="27"/>
      <c r="E6" s="27"/>
      <c r="F6">
        <f>IF(期望!$E$22="春雷篇",20,0)</f>
        <v>20</v>
      </c>
      <c r="G6" s="27">
        <f>IF(期望!$G$2="烟柳",10%,0)</f>
        <v>0.1</v>
      </c>
      <c r="M6">
        <f>IF(期望!$E$22="春雷篇",20,0)</f>
        <v>20</v>
      </c>
      <c r="N6" s="27">
        <f>IF(期望!$G$2="烟柳",10%,0)</f>
        <v>0.1</v>
      </c>
      <c r="R6" s="27"/>
      <c r="Y6" t="s">
        <v>89</v>
      </c>
      <c r="Z6" s="26">
        <v>0.54</v>
      </c>
      <c r="AA6" s="25">
        <v>148</v>
      </c>
      <c r="AB6" s="24">
        <v>0.81</v>
      </c>
      <c r="AC6" s="25">
        <v>81.5</v>
      </c>
      <c r="AD6" t="s">
        <v>221</v>
      </c>
      <c r="AE6">
        <v>1.05</v>
      </c>
    </row>
    <row r="7" spans="1:32">
      <c r="A7" t="s">
        <v>138</v>
      </c>
      <c r="E7" s="27"/>
      <c r="F7">
        <f>IF(期望!$E$22="春雷篇",20,0)</f>
        <v>20</v>
      </c>
      <c r="G7" s="27">
        <f>IF(期望!$G$2="烟柳",10%,0)</f>
        <v>0.1</v>
      </c>
      <c r="M7">
        <f>IF(期望!$E$22="春雷篇",20,0)</f>
        <v>20</v>
      </c>
      <c r="N7" s="27">
        <f>IF(期望!$G$2="烟柳",10%,0)</f>
        <v>0.1</v>
      </c>
      <c r="Y7" t="s">
        <v>92</v>
      </c>
      <c r="Z7" s="26">
        <v>1.9044</v>
      </c>
      <c r="AA7" s="28">
        <v>527</v>
      </c>
      <c r="AB7" s="26">
        <v>2.8566</v>
      </c>
      <c r="AC7" s="25">
        <v>287</v>
      </c>
      <c r="AE7">
        <v>1.05</v>
      </c>
      <c r="AF7" s="27">
        <v>0.45</v>
      </c>
    </row>
    <row r="8" spans="1:32">
      <c r="A8" t="s">
        <v>155</v>
      </c>
      <c r="B8" s="27"/>
      <c r="E8" s="27"/>
      <c r="G8" s="27"/>
      <c r="N8" s="27"/>
      <c r="R8" s="27"/>
      <c r="Y8" t="s">
        <v>92</v>
      </c>
      <c r="Z8" s="26">
        <v>0.9271</v>
      </c>
      <c r="AA8" s="28">
        <v>257</v>
      </c>
      <c r="AB8" s="26">
        <v>1.3907</v>
      </c>
      <c r="AC8" s="25">
        <v>140</v>
      </c>
      <c r="AE8">
        <v>1.05</v>
      </c>
    </row>
    <row r="9" spans="1:32">
      <c r="A9" t="s">
        <v>134</v>
      </c>
      <c r="B9" s="27"/>
      <c r="E9" s="27"/>
      <c r="G9" s="27"/>
      <c r="N9" s="27"/>
      <c r="R9" s="27"/>
      <c r="Y9" t="s">
        <v>92</v>
      </c>
      <c r="Z9" s="26">
        <v>1.2798</v>
      </c>
      <c r="AA9" s="28">
        <v>355</v>
      </c>
      <c r="AB9" s="26">
        <v>1.9197</v>
      </c>
      <c r="AC9" s="25">
        <v>193</v>
      </c>
      <c r="AE9">
        <v>1.05</v>
      </c>
    </row>
    <row r="10" spans="1:32">
      <c r="A10" t="s">
        <v>222</v>
      </c>
      <c r="B10" s="27"/>
      <c r="E10" s="27"/>
      <c r="F10">
        <f>IF(期望!$E$22="春雷篇",20,0)</f>
        <v>20</v>
      </c>
      <c r="G10" s="27">
        <f>IF(期望!$G$2="烟柳",10%,0)</f>
        <v>0.1</v>
      </c>
      <c r="M10">
        <f>IF(期望!$E$22="春雷篇",20,0)</f>
        <v>20</v>
      </c>
      <c r="N10" s="27">
        <f>IF(期望!$G$2="烟柳",10%,0)</f>
        <v>0.1</v>
      </c>
      <c r="R10" s="27">
        <v>0.36</v>
      </c>
      <c r="Y10" t="s">
        <v>92</v>
      </c>
      <c r="Z10" s="26">
        <v>3.1194</v>
      </c>
      <c r="AA10" s="28">
        <v>865</v>
      </c>
      <c r="AB10" s="26">
        <v>4.6791</v>
      </c>
      <c r="AC10" s="25">
        <v>470</v>
      </c>
      <c r="AE10">
        <v>1.05</v>
      </c>
      <c r="AF10" s="27"/>
    </row>
    <row r="11" spans="1:32">
      <c r="A11" t="s">
        <v>141</v>
      </c>
      <c r="B11" s="27"/>
      <c r="E11" s="27"/>
      <c r="F11">
        <f>IF(期望!$E$22="春雷篇",20,0)</f>
        <v>20</v>
      </c>
      <c r="G11" s="27">
        <f>IF(期望!$G$2="烟柳",10%,0)</f>
        <v>0.1</v>
      </c>
      <c r="M11">
        <f>IF(期望!$E$22="春雷篇",20,0)</f>
        <v>20</v>
      </c>
      <c r="N11" s="27">
        <f>IF(期望!$G$2="烟柳",10%,0)</f>
        <v>0.1</v>
      </c>
      <c r="R11" s="27">
        <v>0.36</v>
      </c>
      <c r="Y11" t="s">
        <v>92</v>
      </c>
      <c r="Z11" s="26">
        <v>7.5463</v>
      </c>
      <c r="AA11" s="28">
        <v>2087</v>
      </c>
      <c r="AB11" s="26">
        <v>11.3195</v>
      </c>
      <c r="AC11" s="25">
        <v>1137</v>
      </c>
      <c r="AE11">
        <v>1.05</v>
      </c>
      <c r="AF11" s="27"/>
    </row>
    <row r="12" customFormat="1" spans="1:32">
      <c r="A12" t="s">
        <v>223</v>
      </c>
      <c r="B12"/>
      <c r="Q12" s="24"/>
      <c r="R12" s="27"/>
      <c r="Y12" t="s">
        <v>98</v>
      </c>
      <c r="Z12" s="24">
        <f>198.74%*2</f>
        <v>3.9748</v>
      </c>
      <c r="AA12" s="25">
        <f>516*2</f>
        <v>1032</v>
      </c>
      <c r="AB12" s="24">
        <f t="shared" ref="AB12:AB27" si="0">Z12*1.5</f>
        <v>5.9622</v>
      </c>
      <c r="AC12" s="25"/>
      <c r="AE12">
        <v>1.05</v>
      </c>
    </row>
    <row r="13" customFormat="1" spans="1:32">
      <c r="A13" t="s">
        <v>191</v>
      </c>
      <c r="B13"/>
      <c r="Q13" s="24"/>
      <c r="R13" s="27"/>
      <c r="Y13" t="s">
        <v>98</v>
      </c>
      <c r="Z13" s="24">
        <f>74.53%*2</f>
        <v>1.4906</v>
      </c>
      <c r="AA13" s="25">
        <f>193*2</f>
        <v>386</v>
      </c>
      <c r="AB13" s="24">
        <f t="shared" si="0"/>
        <v>2.2359</v>
      </c>
      <c r="AC13" s="25"/>
      <c r="AE13">
        <v>1.05</v>
      </c>
    </row>
    <row r="14" customFormat="1" spans="1:32">
      <c r="A14" t="s">
        <v>178</v>
      </c>
      <c r="B14" s="27"/>
      <c r="E14" s="27"/>
      <c r="F14"/>
      <c r="G14" s="27"/>
      <c r="N14" s="27"/>
      <c r="O14"/>
      <c r="R14" s="27"/>
      <c r="Y14" t="s">
        <v>98</v>
      </c>
      <c r="Z14" s="24">
        <f>254.72%*2.7*1.5</f>
        <v>10.31616</v>
      </c>
      <c r="AA14" s="25">
        <f>511*2.7*1.5</f>
        <v>2069.55</v>
      </c>
      <c r="AB14" s="24">
        <f t="shared" si="0"/>
        <v>15.47424</v>
      </c>
      <c r="AC14" s="25"/>
      <c r="AE14">
        <v>1.05</v>
      </c>
    </row>
    <row r="15" customFormat="1" spans="1:32">
      <c r="A15" t="s">
        <v>224</v>
      </c>
      <c r="B15" s="27"/>
      <c r="Q15" s="24"/>
      <c r="R15" s="27"/>
      <c r="Y15" t="s">
        <v>96</v>
      </c>
      <c r="Z15" s="24">
        <f>319.92%+391.02%</f>
        <v>7.1094</v>
      </c>
      <c r="AA15" s="25">
        <f>639+781</f>
        <v>1420</v>
      </c>
      <c r="AB15" s="24">
        <f t="shared" si="0"/>
        <v>10.6641</v>
      </c>
      <c r="AC15" s="25"/>
      <c r="AE15">
        <v>1.05</v>
      </c>
    </row>
    <row r="16" customFormat="1" spans="1:32">
      <c r="A16" t="s">
        <v>225</v>
      </c>
      <c r="B16" s="27">
        <v>0.47</v>
      </c>
      <c r="Q16" s="24"/>
      <c r="R16" s="27"/>
      <c r="V16">
        <v>1</v>
      </c>
      <c r="Y16" t="s">
        <v>96</v>
      </c>
      <c r="Z16" s="24">
        <f>1636.57%*2.2*0.7</f>
        <v>25.203178</v>
      </c>
      <c r="AA16" s="25">
        <f>3275*2.2*0.7</f>
        <v>5043.5</v>
      </c>
      <c r="AB16" s="24">
        <f t="shared" si="0"/>
        <v>37.804767</v>
      </c>
      <c r="AC16" s="25"/>
      <c r="AE16">
        <v>1.05</v>
      </c>
    </row>
    <row r="17" customFormat="1" spans="1:31">
      <c r="A17" t="s">
        <v>226</v>
      </c>
      <c r="B17"/>
      <c r="Q17" s="24"/>
      <c r="R17" s="27"/>
      <c r="Y17" t="s">
        <v>98</v>
      </c>
      <c r="Z17" s="24">
        <f>(416.02%+772.61%)*2</f>
        <v>23.7726</v>
      </c>
      <c r="AA17" s="25">
        <f>(803+1493)*2</f>
        <v>4592</v>
      </c>
      <c r="AB17" s="24">
        <f t="shared" si="0"/>
        <v>35.6589</v>
      </c>
      <c r="AC17" s="25"/>
      <c r="AE17">
        <v>1.05</v>
      </c>
    </row>
    <row r="18" customFormat="1" spans="1:31">
      <c r="A18" t="s">
        <v>227</v>
      </c>
      <c r="B18" s="27"/>
      <c r="Q18" s="24"/>
      <c r="R18" s="27"/>
      <c r="Y18" t="s">
        <v>96</v>
      </c>
      <c r="Z18" s="24">
        <f>257.06%/2</f>
        <v>1.2853</v>
      </c>
      <c r="AA18" s="25">
        <f>520/2</f>
        <v>260</v>
      </c>
      <c r="AB18" s="24">
        <f t="shared" si="0"/>
        <v>1.92795</v>
      </c>
      <c r="AC18" s="25"/>
      <c r="AE18">
        <v>1.05</v>
      </c>
    </row>
    <row r="19" customFormat="1" spans="1:31">
      <c r="A19" t="s">
        <v>187</v>
      </c>
      <c r="B19"/>
      <c r="Q19" s="24"/>
      <c r="R19" s="27"/>
      <c r="Y19" t="s">
        <v>96</v>
      </c>
      <c r="Z19" s="24">
        <f>257.06%+141.64%</f>
        <v>3.987</v>
      </c>
      <c r="AA19" s="25">
        <f>520+287</f>
        <v>807</v>
      </c>
      <c r="AB19" s="24">
        <f t="shared" si="0"/>
        <v>5.9805</v>
      </c>
      <c r="AC19" s="25"/>
      <c r="AE19">
        <v>1.05</v>
      </c>
    </row>
    <row r="20" customFormat="1" spans="1:31">
      <c r="A20" t="s">
        <v>188</v>
      </c>
      <c r="B20" s="27"/>
      <c r="Q20" s="24"/>
      <c r="R20" s="27"/>
      <c r="T20" s="27"/>
      <c r="Y20" t="s">
        <v>96</v>
      </c>
      <c r="Z20" s="24">
        <v>0.2361</v>
      </c>
      <c r="AA20" s="25">
        <v>47</v>
      </c>
      <c r="AB20" s="24">
        <f t="shared" si="0"/>
        <v>0.35415</v>
      </c>
      <c r="AC20" s="25"/>
      <c r="AE20">
        <v>0.63</v>
      </c>
    </row>
    <row r="21" customFormat="1" spans="1:31">
      <c r="A21" t="s">
        <v>228</v>
      </c>
      <c r="B21" s="27"/>
      <c r="Q21" s="24"/>
      <c r="R21" s="27"/>
      <c r="Y21" t="s">
        <v>96</v>
      </c>
      <c r="Z21" s="24">
        <f>272.47%/2</f>
        <v>1.36235</v>
      </c>
      <c r="AA21" s="25">
        <f>548/2</f>
        <v>274</v>
      </c>
      <c r="AB21" s="24">
        <f t="shared" si="0"/>
        <v>2.043525</v>
      </c>
      <c r="AC21" s="25"/>
      <c r="AE21">
        <v>1.05</v>
      </c>
    </row>
    <row r="22" customFormat="1" spans="1:31">
      <c r="A22" t="s">
        <v>229</v>
      </c>
      <c r="B22"/>
      <c r="Q22" s="24"/>
      <c r="R22" s="27"/>
      <c r="Y22" t="s">
        <v>96</v>
      </c>
      <c r="Z22" s="24">
        <f>272.47%+150.14%</f>
        <v>4.2261</v>
      </c>
      <c r="AA22" s="25">
        <f>548+302</f>
        <v>850</v>
      </c>
      <c r="AB22" s="24">
        <f t="shared" si="0"/>
        <v>6.33915</v>
      </c>
      <c r="AC22" s="25"/>
      <c r="AE22">
        <v>1.05</v>
      </c>
    </row>
    <row r="23" customFormat="1" spans="1:31">
      <c r="A23" t="s">
        <v>230</v>
      </c>
      <c r="B23" s="27"/>
      <c r="Q23" s="24"/>
      <c r="R23" s="27"/>
      <c r="T23" s="27"/>
      <c r="Y23" t="s">
        <v>96</v>
      </c>
      <c r="Z23" s="24">
        <v>0.2958</v>
      </c>
      <c r="AA23" s="25">
        <v>59</v>
      </c>
      <c r="AB23" s="24">
        <f t="shared" si="0"/>
        <v>0.4437</v>
      </c>
      <c r="AC23" s="25"/>
      <c r="AE23">
        <v>0.63</v>
      </c>
    </row>
    <row r="24" customFormat="1" spans="1:31">
      <c r="A24" t="s">
        <v>189</v>
      </c>
      <c r="B24"/>
      <c r="Q24" s="24"/>
      <c r="R24" s="27"/>
      <c r="Y24" t="s">
        <v>96</v>
      </c>
      <c r="Z24" s="24">
        <v>1.024</v>
      </c>
      <c r="AA24" s="25">
        <v>203</v>
      </c>
      <c r="AB24" s="24">
        <f t="shared" si="0"/>
        <v>1.536</v>
      </c>
      <c r="AC24" s="25"/>
      <c r="AE24">
        <v>1.05</v>
      </c>
    </row>
    <row r="25" customFormat="1" spans="1:31">
      <c r="A25" t="s">
        <v>231</v>
      </c>
      <c r="B25" s="27">
        <v>0.8</v>
      </c>
      <c r="Q25" s="24"/>
      <c r="R25" s="27"/>
      <c r="Y25" t="s">
        <v>96</v>
      </c>
      <c r="Z25" s="24">
        <v>1.7066</v>
      </c>
      <c r="AA25" s="25">
        <v>339</v>
      </c>
      <c r="AB25" s="24">
        <f t="shared" si="0"/>
        <v>2.5599</v>
      </c>
      <c r="AC25" s="25"/>
      <c r="AE25">
        <v>1.05</v>
      </c>
    </row>
    <row r="26" customFormat="1" spans="1:31">
      <c r="A26" t="s">
        <v>232</v>
      </c>
      <c r="B26"/>
      <c r="Q26" s="24"/>
      <c r="R26" s="27"/>
      <c r="Y26" t="s">
        <v>96</v>
      </c>
      <c r="Z26" s="24">
        <v>0.7022</v>
      </c>
      <c r="AA26" s="25">
        <v>139</v>
      </c>
      <c r="AB26" s="24">
        <f t="shared" si="0"/>
        <v>1.0533</v>
      </c>
      <c r="AC26" s="25"/>
      <c r="AE26">
        <v>1.05</v>
      </c>
    </row>
    <row r="27" customFormat="1" spans="1:31">
      <c r="A27" t="s">
        <v>190</v>
      </c>
      <c r="B27"/>
      <c r="Q27" s="24"/>
      <c r="R27" s="27"/>
      <c r="Y27" t="s">
        <v>96</v>
      </c>
      <c r="Z27" s="24">
        <v>1.6091</v>
      </c>
      <c r="AA27" s="25">
        <v>319</v>
      </c>
      <c r="AB27" s="24">
        <f t="shared" si="0"/>
        <v>2.41365</v>
      </c>
      <c r="AC27" s="25"/>
      <c r="AE27">
        <v>1.05</v>
      </c>
    </row>
    <row r="28" customFormat="1" spans="1:31">
      <c r="A28" t="s">
        <v>192</v>
      </c>
      <c r="Q28" s="24"/>
      <c r="R28" s="27"/>
      <c r="Y28" t="s">
        <v>233</v>
      </c>
      <c r="Z28" s="24">
        <v>1</v>
      </c>
      <c r="AA28" s="25"/>
      <c r="AB28" s="24">
        <v>1</v>
      </c>
      <c r="AC28" s="25"/>
      <c r="AE28">
        <v>1.05</v>
      </c>
    </row>
    <row r="29" customFormat="1" spans="1:31">
      <c r="A29" t="s">
        <v>234</v>
      </c>
      <c r="B29" s="27"/>
      <c r="E29" s="27"/>
      <c r="G29" s="27"/>
      <c r="N29" s="27"/>
      <c r="R29" s="27"/>
      <c r="Y29" t="s">
        <v>98</v>
      </c>
      <c r="Z29" s="24">
        <f>254.72%*2.7</f>
        <v>6.87744</v>
      </c>
      <c r="AA29" s="25">
        <f>511*2.7</f>
        <v>1379.7</v>
      </c>
      <c r="AB29" s="24">
        <f>Z29*1.5</f>
        <v>10.31616</v>
      </c>
      <c r="AC29" s="25"/>
      <c r="AE29">
        <v>1.05</v>
      </c>
    </row>
    <row r="30" customFormat="1" spans="1:31">
      <c r="A30" t="s">
        <v>77</v>
      </c>
      <c r="Q30" s="24"/>
      <c r="Y30" t="s">
        <v>98</v>
      </c>
      <c r="Z30" s="24">
        <f>118.87%*2</f>
        <v>2.3774</v>
      </c>
      <c r="AA30" s="25">
        <f>238*2</f>
        <v>476</v>
      </c>
      <c r="AB30" s="24">
        <f>Z30*1.5</f>
        <v>3.5661</v>
      </c>
      <c r="AC30" s="25"/>
      <c r="AE30">
        <v>1.05</v>
      </c>
    </row>
    <row r="31" customFormat="1" spans="1:31">
      <c r="A31" t="s">
        <v>80</v>
      </c>
      <c r="Q31" s="24"/>
      <c r="Y31" t="s">
        <v>233</v>
      </c>
      <c r="Z31" s="24">
        <v>0</v>
      </c>
      <c r="AA31" s="25"/>
      <c r="AB31" s="24">
        <v>0</v>
      </c>
      <c r="AC31" s="25"/>
      <c r="AE31">
        <v>1.05</v>
      </c>
    </row>
    <row r="32" spans="1:31">
      <c r="A32" t="s">
        <v>179</v>
      </c>
      <c r="Y32" t="s">
        <v>96</v>
      </c>
      <c r="Z32" s="24">
        <v>1.3517</v>
      </c>
      <c r="AA32" s="25">
        <v>693</v>
      </c>
      <c r="AB32" s="24">
        <v>2.0276</v>
      </c>
      <c r="AE32">
        <v>1.05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7"/>
  <sheetViews>
    <sheetView workbookViewId="0">
      <selection activeCell="B12" sqref="B12"/>
    </sheetView>
  </sheetViews>
  <sheetFormatPr defaultColWidth="9" defaultRowHeight="13.5"/>
  <cols>
    <col min="1" max="1" width="15.875" customWidth="1"/>
    <col min="2" max="2" width="9.00833333333333" style="24" customWidth="1"/>
    <col min="18" max="18" width="9" style="24"/>
    <col min="23" max="23" width="9" style="24"/>
    <col min="24" max="24" width="9.375" style="24"/>
    <col min="25" max="25" width="9" style="25"/>
  </cols>
  <sheetData>
    <row r="1" spans="1:27">
      <c r="B1" s="24" t="s">
        <v>40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107</v>
      </c>
      <c r="R1" s="24" t="s">
        <v>212</v>
      </c>
      <c r="S1" t="s">
        <v>111</v>
      </c>
      <c r="T1" t="s">
        <v>213</v>
      </c>
      <c r="U1" s="24" t="s">
        <v>114</v>
      </c>
      <c r="V1" s="25" t="s">
        <v>116</v>
      </c>
      <c r="W1" s="24" t="s">
        <v>71</v>
      </c>
      <c r="X1" s="24" t="s">
        <v>72</v>
      </c>
    </row>
    <row r="2" customFormat="1" spans="1:27">
      <c r="A2" t="s">
        <v>82</v>
      </c>
      <c r="B2" s="2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24"/>
      <c r="W2" s="26"/>
      <c r="X2" s="26"/>
      <c r="Y2" s="25"/>
    </row>
    <row r="3" customFormat="1" spans="1:27">
      <c r="A3" t="s">
        <v>235</v>
      </c>
      <c r="B3" s="24">
        <f>IF(期望!$D$20="√",25%,0)</f>
        <v>0.25</v>
      </c>
      <c r="R3" s="24"/>
      <c r="W3" s="26"/>
      <c r="X3" s="24"/>
      <c r="Y3" s="25"/>
    </row>
    <row r="4" customFormat="1" spans="1:27">
      <c r="A4" t="s">
        <v>236</v>
      </c>
      <c r="B4" s="27"/>
      <c r="E4" s="27">
        <f>IF(期望!$D$21="√",12%,0)</f>
        <v>0</v>
      </c>
      <c r="H4" s="27">
        <f>IF(期望!$D$21="√",12%,0)</f>
        <v>0</v>
      </c>
      <c r="I4" s="27"/>
      <c r="W4" s="26"/>
      <c r="X4" s="26"/>
      <c r="Y4" s="28"/>
      <c r="Z4" s="26"/>
      <c r="AA4" s="25"/>
    </row>
    <row r="5" customFormat="1" spans="1:27">
      <c r="A5" t="s">
        <v>237</v>
      </c>
      <c r="B5" s="27"/>
      <c r="H5" s="27">
        <f>IF(期望!$D$21="√",6%,0)</f>
        <v>0</v>
      </c>
      <c r="W5" s="26"/>
      <c r="X5" s="26"/>
      <c r="Y5" s="28"/>
      <c r="Z5" s="26"/>
      <c r="AA5" s="25"/>
    </row>
    <row r="6" customFormat="1" spans="1:27">
      <c r="A6" t="s">
        <v>238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6"/>
      <c r="X6" s="26"/>
      <c r="Y6" s="28"/>
      <c r="Z6" s="26"/>
      <c r="AA6" s="25"/>
    </row>
    <row r="7" customFormat="1" spans="1:27">
      <c r="A7" t="s">
        <v>83</v>
      </c>
      <c r="B7" s="27"/>
      <c r="G7" s="27">
        <f>IF(期望!$D$22="√",2%,0)</f>
        <v>0.02</v>
      </c>
      <c r="J7" s="27">
        <f>IF(期望!$D$22="√",2%,0)</f>
        <v>0.02</v>
      </c>
      <c r="L7" s="27">
        <f>IF(期望!$D$22="√",2%,0)</f>
        <v>0.02</v>
      </c>
      <c r="N7" s="27">
        <f>IF(期望!$D$22="√",2%,0)</f>
        <v>0.02</v>
      </c>
      <c r="P7" s="27">
        <f>IF(期望!$D$22="√",2%,0)</f>
        <v>0.02</v>
      </c>
      <c r="W7" s="26"/>
      <c r="X7" s="26"/>
      <c r="Y7" s="28"/>
      <c r="Z7" s="26"/>
      <c r="AA7" s="25"/>
    </row>
    <row r="8" customFormat="1" spans="1:27">
      <c r="A8" t="s">
        <v>239</v>
      </c>
      <c r="B8" s="27">
        <f>IF(期望!$D$23="√",24%,0)</f>
        <v>0</v>
      </c>
      <c r="R8" s="24"/>
      <c r="W8" s="26"/>
      <c r="X8" s="24"/>
      <c r="Y8" s="25"/>
    </row>
    <row r="9" customFormat="1" spans="1:27">
      <c r="A9" t="s">
        <v>240</v>
      </c>
      <c r="B9" s="27">
        <v>0.29</v>
      </c>
      <c r="R9" s="24"/>
      <c r="W9" s="26"/>
      <c r="X9" s="24"/>
      <c r="Y9" s="25"/>
    </row>
    <row r="10" spans="1:27">
      <c r="A10" t="s">
        <v>241</v>
      </c>
      <c r="B10" s="24">
        <v>0.02</v>
      </c>
      <c r="W10" s="26"/>
    </row>
    <row r="11" customFormat="1" spans="1:27">
      <c r="A11" t="s">
        <v>183</v>
      </c>
      <c r="B11" s="24">
        <f>IF(期望!$E$24="奇术",2%,0)</f>
        <v>0.02</v>
      </c>
      <c r="R11" s="24"/>
      <c r="W11" s="26"/>
      <c r="X11" s="24"/>
      <c r="Y11" s="25"/>
    </row>
    <row r="12" customFormat="1" spans="1:27">
      <c r="A12" t="s">
        <v>242</v>
      </c>
      <c r="B12" s="24">
        <v>0.2</v>
      </c>
      <c r="R12" s="24"/>
      <c r="W12" s="26"/>
      <c r="X12" s="24"/>
      <c r="Y12" s="25"/>
    </row>
    <row r="13" spans="1:27">
      <c r="A13" t="s">
        <v>243</v>
      </c>
      <c r="W13" s="26">
        <v>0.05</v>
      </c>
    </row>
    <row r="14" spans="1:27">
      <c r="A14" t="s">
        <v>244</v>
      </c>
      <c r="W14" s="24">
        <v>0.1</v>
      </c>
    </row>
    <row r="15" spans="1:27">
      <c r="A15" t="s">
        <v>175</v>
      </c>
      <c r="W15" s="24">
        <v>0.1</v>
      </c>
    </row>
    <row r="16" spans="1:27">
      <c r="A16" t="s">
        <v>176</v>
      </c>
      <c r="J16" s="27">
        <f>IF(期望!$D$18="√",10%,0)</f>
        <v>0.1</v>
      </c>
      <c r="W16" s="24">
        <f>IF(期望!$D$18="√",10%,0)</f>
        <v>0.1</v>
      </c>
      <c r="X16" s="26"/>
    </row>
    <row r="17" spans="1:25">
      <c r="A17" t="s">
        <v>166</v>
      </c>
      <c r="E17" s="27">
        <v>0.15</v>
      </c>
      <c r="X17" s="26"/>
    </row>
    <row r="18" spans="1:25">
      <c r="A18" t="s">
        <v>81</v>
      </c>
      <c r="E18" s="24">
        <v>0.075</v>
      </c>
      <c r="G18" s="27"/>
      <c r="J18" s="27"/>
      <c r="L18" s="27"/>
      <c r="M18" s="27"/>
      <c r="N18" s="27"/>
      <c r="P18" s="27"/>
      <c r="X18" s="26"/>
    </row>
    <row r="19" spans="1:25">
      <c r="A19" t="s">
        <v>106</v>
      </c>
      <c r="B19" s="24">
        <v>0.25</v>
      </c>
      <c r="E19" s="27"/>
      <c r="H19" s="27"/>
      <c r="S19" s="27"/>
      <c r="T19" s="27"/>
      <c r="X19" s="26"/>
    </row>
    <row r="20" customFormat="1" spans="1:25">
      <c r="A20" t="s">
        <v>174</v>
      </c>
      <c r="B20" s="24">
        <v>0.3</v>
      </c>
      <c r="E20" s="27"/>
      <c r="H20" s="27"/>
      <c r="R20" s="24"/>
      <c r="S20" s="27"/>
      <c r="T20" s="27"/>
      <c r="W20" s="24"/>
      <c r="X20" s="26"/>
      <c r="Y20" s="25"/>
    </row>
    <row r="21" spans="1:25">
      <c r="A21" t="s">
        <v>100</v>
      </c>
      <c r="B21" s="24">
        <v>0.3</v>
      </c>
      <c r="E21" s="27"/>
      <c r="H21" s="27"/>
      <c r="S21" s="27"/>
      <c r="T21" s="27"/>
      <c r="X21" s="26">
        <v>0.1</v>
      </c>
    </row>
    <row r="22" customFormat="1" spans="1:25">
      <c r="A22" t="s">
        <v>142</v>
      </c>
      <c r="B22" s="24"/>
      <c r="E22" s="27"/>
      <c r="H22" s="27"/>
      <c r="R22" s="24"/>
      <c r="S22" s="27"/>
      <c r="T22" s="27"/>
      <c r="W22" s="24"/>
      <c r="X22" s="26">
        <v>0.1</v>
      </c>
      <c r="Y22" s="25"/>
    </row>
    <row r="23" customFormat="1" spans="1:25">
      <c r="A23" t="s">
        <v>245</v>
      </c>
      <c r="B23" s="24"/>
      <c r="F23">
        <f>IF(期望!$F$19="×",0,5)</f>
        <v>5</v>
      </c>
      <c r="R23" s="24">
        <f>IF(期望!$F$19="×",0,5%)</f>
        <v>0.05</v>
      </c>
      <c r="S23" s="27"/>
      <c r="T23" s="27"/>
      <c r="W23" s="24"/>
      <c r="X23" s="26"/>
      <c r="Y23" s="25"/>
    </row>
    <row r="24" customFormat="1" spans="1:25">
      <c r="A24" t="s">
        <v>246</v>
      </c>
      <c r="B24" s="24"/>
      <c r="E24" s="27"/>
      <c r="F24">
        <f>IF(期望!$F$19="×",0,10)</f>
        <v>10</v>
      </c>
      <c r="H24" s="27"/>
      <c r="R24" s="24">
        <f>IF(期望!$F$19="×",0,10%)</f>
        <v>0.1</v>
      </c>
      <c r="S24" s="27"/>
      <c r="T24" s="27"/>
      <c r="W24" s="24"/>
      <c r="X24" s="26"/>
      <c r="Y24" s="25"/>
    </row>
    <row r="25" customFormat="1" spans="1:25">
      <c r="A25" t="s">
        <v>247</v>
      </c>
      <c r="B25" s="24"/>
      <c r="F25">
        <f>IF(期望!$F$19="×",0,15)</f>
        <v>15</v>
      </c>
      <c r="R25" s="24">
        <f>IF(期望!$F$19="×",0,15%)</f>
        <v>0.15</v>
      </c>
      <c r="S25" s="27"/>
      <c r="T25" s="27"/>
      <c r="W25" s="24"/>
      <c r="X25" s="26"/>
      <c r="Y25" s="25"/>
    </row>
    <row r="26" customFormat="1" spans="1:25">
      <c r="A26" t="s">
        <v>248</v>
      </c>
      <c r="B26" s="24"/>
      <c r="E26" s="27"/>
      <c r="F26">
        <f>IF(期望!$F$19="×",0,20)</f>
        <v>20</v>
      </c>
      <c r="H26" s="27"/>
      <c r="R26" s="24">
        <f>IF(期望!$F$19="×",0,20%)</f>
        <v>0.2</v>
      </c>
      <c r="S26" s="27"/>
      <c r="T26" s="27"/>
      <c r="W26" s="24"/>
      <c r="X26" s="26"/>
      <c r="Y26" s="25"/>
    </row>
    <row r="27" customFormat="1" spans="1:25">
      <c r="A27" t="s">
        <v>109</v>
      </c>
      <c r="B27" s="24"/>
      <c r="F27">
        <f>IF(期望!$F$19="×",0,25)</f>
        <v>25</v>
      </c>
      <c r="R27" s="24">
        <f>IF(期望!$F$19="×",0,25%)</f>
        <v>0.25</v>
      </c>
      <c r="S27" s="27"/>
      <c r="T27" s="27"/>
      <c r="W27" s="24"/>
      <c r="X27" s="26"/>
      <c r="Y27" s="25"/>
    </row>
    <row r="28" customFormat="1" spans="1:25">
      <c r="A28" t="s">
        <v>110</v>
      </c>
      <c r="B28" s="24">
        <f>IF(期望!$F$20="√",15%,0)</f>
        <v>0.15</v>
      </c>
      <c r="E28" s="27"/>
      <c r="R28" s="24"/>
      <c r="S28" s="27"/>
      <c r="T28" s="27"/>
      <c r="W28" s="24"/>
      <c r="X28" s="26"/>
      <c r="Y28" s="25"/>
    </row>
    <row r="29" customFormat="1" spans="1:25">
      <c r="A29" t="s">
        <v>157</v>
      </c>
      <c r="B29" s="27">
        <v>0.2</v>
      </c>
      <c r="E29" s="27"/>
      <c r="R29" s="24"/>
      <c r="S29" s="27"/>
      <c r="T29" s="27"/>
      <c r="W29" s="24"/>
      <c r="X29" s="26"/>
      <c r="Y29" s="25"/>
    </row>
    <row r="30" customFormat="1" spans="1:25">
      <c r="A30" t="s">
        <v>171</v>
      </c>
      <c r="B30" s="24">
        <v>0.08</v>
      </c>
      <c r="Q30" s="27"/>
      <c r="R30" s="24">
        <v>0.15</v>
      </c>
      <c r="S30" s="27"/>
      <c r="T30" s="27"/>
      <c r="W30" s="24"/>
      <c r="X30" s="26"/>
      <c r="Y30" s="25"/>
    </row>
    <row r="31" spans="1:25">
      <c r="A31" t="s">
        <v>105</v>
      </c>
      <c r="R31" s="24">
        <f>IF(期望!$F$16="√",1%,0)</f>
        <v>0.01</v>
      </c>
      <c r="S31" s="27"/>
      <c r="T31" s="27"/>
      <c r="X31" s="26"/>
    </row>
    <row r="32" spans="1:25">
      <c r="A32" t="s">
        <v>79</v>
      </c>
      <c r="R32" s="24">
        <f>IF(期望!$F$16="√",2%,0)</f>
        <v>0.02</v>
      </c>
      <c r="S32" s="27"/>
      <c r="T32" s="27"/>
      <c r="X32" s="26"/>
    </row>
    <row r="33" spans="1:24">
      <c r="A33" t="s">
        <v>87</v>
      </c>
      <c r="R33" s="24">
        <f>IF(期望!$F$16="√",3%,0)</f>
        <v>0.03</v>
      </c>
      <c r="S33" s="27"/>
      <c r="T33" s="27"/>
      <c r="X33" s="26"/>
    </row>
    <row r="34" spans="1:24">
      <c r="A34" t="s">
        <v>94</v>
      </c>
      <c r="R34" s="24">
        <f>IF(期望!$F$16="√",4%,0)</f>
        <v>0.04</v>
      </c>
      <c r="S34" s="27"/>
      <c r="T34" s="27"/>
      <c r="X34" s="26"/>
    </row>
    <row r="35" spans="1:24">
      <c r="A35" t="s">
        <v>152</v>
      </c>
      <c r="R35" s="24">
        <f>IF(期望!$F$16="√",5%,0)</f>
        <v>0.05</v>
      </c>
      <c r="S35" s="27"/>
      <c r="T35" s="27"/>
      <c r="X35" s="26"/>
    </row>
    <row r="36" spans="1:24">
      <c r="A36" t="s">
        <v>154</v>
      </c>
      <c r="R36" s="24">
        <f>IF(期望!$F$16="√",6%,0)</f>
        <v>0.06</v>
      </c>
      <c r="S36" s="27"/>
      <c r="T36" s="27"/>
      <c r="X36" s="26"/>
    </row>
    <row r="37" spans="1:24">
      <c r="A37" t="s">
        <v>160</v>
      </c>
      <c r="R37" s="24">
        <f>IF(期望!$F$16="√",7%,0)</f>
        <v>0.07</v>
      </c>
      <c r="S37" s="27"/>
      <c r="T37" s="27"/>
      <c r="X37" s="26"/>
    </row>
    <row r="38" spans="1:24">
      <c r="A38" t="s">
        <v>161</v>
      </c>
      <c r="R38" s="24">
        <f>IF(期望!$F$16="√",8%,0)</f>
        <v>0.08</v>
      </c>
      <c r="S38" s="27"/>
      <c r="T38" s="27"/>
      <c r="X38" s="26"/>
    </row>
    <row r="39" spans="1:24">
      <c r="A39" t="s">
        <v>168</v>
      </c>
      <c r="R39" s="24">
        <f>IF(期望!$F$16="√",9%,0)</f>
        <v>0.09</v>
      </c>
      <c r="S39" s="27"/>
      <c r="T39" s="27"/>
      <c r="X39" s="26"/>
    </row>
    <row r="40" spans="1:24">
      <c r="A40" t="s">
        <v>172</v>
      </c>
      <c r="R40" s="24">
        <f>IF(期望!$F$16="√",10%,0)</f>
        <v>0.1</v>
      </c>
      <c r="S40" s="27"/>
      <c r="T40" s="27"/>
      <c r="X40" s="26"/>
    </row>
    <row r="41" spans="1:24">
      <c r="A41" t="s">
        <v>104</v>
      </c>
      <c r="B41" s="24">
        <f>1%*IF(期望!$E$22="易水歌",1,0)</f>
        <v>0</v>
      </c>
      <c r="F41">
        <f>2*IF(期望!$E$22="易水歌",1,0)</f>
        <v>0</v>
      </c>
      <c r="X41" s="26"/>
    </row>
    <row r="42" spans="1:24">
      <c r="A42" t="s">
        <v>78</v>
      </c>
      <c r="B42" s="24">
        <f>2%*IF(期望!$E$22="易水歌",1,0)</f>
        <v>0</v>
      </c>
      <c r="F42">
        <f>4*IF(期望!$E$22="易水歌",1,0)</f>
        <v>0</v>
      </c>
      <c r="X42" s="26"/>
    </row>
    <row r="43" spans="1:24">
      <c r="A43" t="s">
        <v>86</v>
      </c>
      <c r="B43" s="24">
        <f>3%*IF(期望!$E$22="易水歌",1,0)</f>
        <v>0</v>
      </c>
      <c r="F43">
        <f>6*IF(期望!$E$22="易水歌",1,0)</f>
        <v>0</v>
      </c>
      <c r="X43" s="26"/>
    </row>
    <row r="44" spans="1:24">
      <c r="A44" t="s">
        <v>121</v>
      </c>
      <c r="B44" s="24">
        <f>4%*IF(期望!$E$22="易水歌",1,0)</f>
        <v>0</v>
      </c>
      <c r="F44">
        <f>8*IF(期望!$E$22="易水歌",1,0)</f>
        <v>0</v>
      </c>
      <c r="X44" s="26"/>
    </row>
    <row r="45" spans="1:24">
      <c r="A45" t="s">
        <v>91</v>
      </c>
      <c r="B45" s="24">
        <f>5%*IF(期望!$E$22="易水歌",1,0)</f>
        <v>0</v>
      </c>
      <c r="F45">
        <f>10*IF(期望!$E$22="易水歌",1,0)</f>
        <v>0</v>
      </c>
      <c r="X45" s="26"/>
    </row>
    <row r="46" spans="1:24">
      <c r="A46" t="s">
        <v>80</v>
      </c>
      <c r="X46" s="26"/>
    </row>
    <row r="47" spans="1:24">
      <c r="X47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6" workbookViewId="0">
      <selection activeCell="D51" sqref="D5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249</v>
      </c>
      <c r="B1" s="3" t="s">
        <v>250</v>
      </c>
      <c r="C1" s="4" t="s">
        <v>251</v>
      </c>
      <c r="D1" s="5" t="s">
        <v>252</v>
      </c>
    </row>
    <row r="2" spans="1:4">
      <c r="A2" s="6">
        <v>0.1</v>
      </c>
      <c r="B2" s="7">
        <v>1</v>
      </c>
      <c r="C2" s="8" t="s">
        <v>253</v>
      </c>
      <c r="D2" s="4" t="s">
        <v>254</v>
      </c>
    </row>
    <row r="3" spans="1:4">
      <c r="A3" s="9"/>
      <c r="B3" s="10">
        <v>2</v>
      </c>
      <c r="C3" s="11" t="s">
        <v>255</v>
      </c>
    </row>
    <row r="4" spans="1:4">
      <c r="A4" s="9"/>
      <c r="B4" s="10">
        <v>3</v>
      </c>
      <c r="C4" s="11" t="s">
        <v>256</v>
      </c>
    </row>
    <row r="5" spans="1:4">
      <c r="A5" s="9"/>
      <c r="B5" s="12">
        <v>4</v>
      </c>
      <c r="C5" s="11" t="s">
        <v>257</v>
      </c>
    </row>
    <row r="6" spans="1:4">
      <c r="A6" s="9"/>
      <c r="B6" s="12">
        <v>5</v>
      </c>
      <c r="C6" s="11" t="s">
        <v>258</v>
      </c>
    </row>
    <row r="7" spans="1:4">
      <c r="A7" s="9"/>
      <c r="B7" s="12">
        <v>6</v>
      </c>
      <c r="C7" s="11" t="s">
        <v>259</v>
      </c>
    </row>
    <row r="8" ht="14.25" spans="1:4">
      <c r="A8" s="13"/>
      <c r="B8" s="14">
        <v>7</v>
      </c>
      <c r="C8" s="15" t="s">
        <v>260</v>
      </c>
    </row>
    <row r="9" ht="14.25" spans="1:4">
      <c r="A9" s="16">
        <v>0.2</v>
      </c>
      <c r="B9" s="17">
        <v>1</v>
      </c>
      <c r="C9" s="18" t="s">
        <v>261</v>
      </c>
    </row>
    <row r="10" ht="14.25" spans="1:4">
      <c r="A10" s="19">
        <v>0.3</v>
      </c>
      <c r="B10" s="17">
        <v>1</v>
      </c>
      <c r="C10" s="18" t="s">
        <v>261</v>
      </c>
    </row>
    <row r="11" ht="14.25" spans="1:4">
      <c r="A11" s="16">
        <v>0.4</v>
      </c>
      <c r="B11" s="17">
        <v>1</v>
      </c>
      <c r="C11" s="18" t="s">
        <v>262</v>
      </c>
    </row>
    <row r="12" ht="14.25" spans="1:4">
      <c r="A12" s="16">
        <v>0.5</v>
      </c>
      <c r="B12" s="17">
        <v>1</v>
      </c>
      <c r="C12" s="18" t="s">
        <v>263</v>
      </c>
    </row>
    <row r="13" ht="14.25" spans="1:4">
      <c r="A13" s="20">
        <v>1</v>
      </c>
      <c r="B13" s="21">
        <v>1</v>
      </c>
      <c r="C13" s="8" t="s">
        <v>264</v>
      </c>
    </row>
    <row r="14" spans="1:4">
      <c r="A14" s="20">
        <v>1.1</v>
      </c>
      <c r="B14" s="21">
        <v>1</v>
      </c>
      <c r="C14" s="8" t="s">
        <v>265</v>
      </c>
    </row>
    <row r="15" spans="1:4">
      <c r="A15" s="22"/>
      <c r="B15" s="12">
        <v>2</v>
      </c>
      <c r="C15" s="11" t="s">
        <v>266</v>
      </c>
    </row>
    <row r="16" spans="1:4">
      <c r="A16" s="22"/>
      <c r="B16" s="12">
        <v>3</v>
      </c>
      <c r="C16" s="11" t="s">
        <v>267</v>
      </c>
    </row>
    <row r="17" spans="1:3">
      <c r="A17" s="22"/>
      <c r="B17" s="12">
        <v>4</v>
      </c>
      <c r="C17" s="11" t="s">
        <v>268</v>
      </c>
    </row>
    <row r="18" spans="1:3">
      <c r="A18" s="22"/>
      <c r="B18" s="12">
        <v>5</v>
      </c>
      <c r="C18" s="11" t="s">
        <v>269</v>
      </c>
    </row>
    <row r="19" spans="1:3">
      <c r="A19" s="22"/>
      <c r="B19" s="12">
        <v>6</v>
      </c>
      <c r="C19" s="11" t="s">
        <v>270</v>
      </c>
    </row>
    <row r="20" spans="1:3">
      <c r="A20" s="22"/>
      <c r="B20" s="12">
        <v>7</v>
      </c>
      <c r="C20" s="11" t="s">
        <v>271</v>
      </c>
    </row>
    <row r="21" spans="1:3">
      <c r="A21" s="22"/>
      <c r="B21" s="12"/>
      <c r="C21" s="11" t="s">
        <v>272</v>
      </c>
    </row>
    <row r="22" spans="1:3">
      <c r="A22" s="22"/>
      <c r="B22" s="12"/>
      <c r="C22" s="11" t="s">
        <v>273</v>
      </c>
    </row>
    <row r="23" spans="1:3">
      <c r="A23" s="22"/>
      <c r="B23" s="12">
        <v>8</v>
      </c>
      <c r="C23" s="11" t="s">
        <v>274</v>
      </c>
    </row>
    <row r="24" ht="14.25" spans="1:3">
      <c r="A24" s="23"/>
      <c r="B24" s="14"/>
      <c r="C24" s="15" t="s">
        <v>275</v>
      </c>
    </row>
    <row r="25" ht="14.25" spans="1:3">
      <c r="A25" s="16">
        <v>1.2</v>
      </c>
      <c r="B25" s="17">
        <v>1</v>
      </c>
      <c r="C25" s="18" t="s">
        <v>261</v>
      </c>
    </row>
    <row r="26" ht="14.25" spans="1:3">
      <c r="A26" s="16">
        <v>1.3</v>
      </c>
      <c r="B26" s="17">
        <v>1</v>
      </c>
      <c r="C26" s="18" t="s">
        <v>276</v>
      </c>
    </row>
    <row r="27" ht="14.25" spans="1:3">
      <c r="A27" s="20">
        <v>1.4</v>
      </c>
      <c r="B27" s="21">
        <v>1</v>
      </c>
      <c r="C27" s="8" t="s">
        <v>261</v>
      </c>
    </row>
    <row r="28" spans="1:3">
      <c r="A28" s="20">
        <v>2</v>
      </c>
      <c r="B28" s="21">
        <v>1</v>
      </c>
      <c r="C28" s="8" t="s">
        <v>277</v>
      </c>
    </row>
    <row r="29" spans="1:3">
      <c r="A29" s="22"/>
      <c r="B29" s="12">
        <v>2</v>
      </c>
      <c r="C29" s="11" t="s">
        <v>278</v>
      </c>
    </row>
    <row r="30" spans="1:3">
      <c r="A30" s="22"/>
      <c r="B30" s="12">
        <v>3</v>
      </c>
      <c r="C30" s="11" t="s">
        <v>279</v>
      </c>
    </row>
    <row r="31" spans="1:3">
      <c r="A31" s="22"/>
      <c r="B31" s="12">
        <v>4</v>
      </c>
      <c r="C31" s="11" t="s">
        <v>280</v>
      </c>
    </row>
    <row r="32" spans="1:3">
      <c r="A32" s="22"/>
      <c r="B32" s="12">
        <v>5</v>
      </c>
      <c r="C32" s="11" t="s">
        <v>281</v>
      </c>
    </row>
    <row r="33" ht="14.25" spans="1:3">
      <c r="A33" s="23"/>
      <c r="B33" s="14">
        <v>6</v>
      </c>
      <c r="C33" s="15" t="s">
        <v>282</v>
      </c>
    </row>
    <row r="34" ht="14.25" spans="1:3">
      <c r="A34" s="16">
        <v>2.3</v>
      </c>
      <c r="B34" s="17">
        <v>1</v>
      </c>
      <c r="C34" s="18" t="s">
        <v>283</v>
      </c>
    </row>
    <row r="35" ht="14.25" spans="1:3">
      <c r="A35" s="16">
        <v>2.4</v>
      </c>
      <c r="B35" s="17">
        <v>1</v>
      </c>
      <c r="C35" s="18" t="s">
        <v>284</v>
      </c>
    </row>
    <row r="36" ht="14.25" spans="1:3">
      <c r="A36" s="20">
        <v>2.5</v>
      </c>
      <c r="B36" s="21">
        <v>1</v>
      </c>
      <c r="C36" s="8" t="s">
        <v>285</v>
      </c>
    </row>
    <row r="37" spans="1:3">
      <c r="A37" s="20">
        <v>3</v>
      </c>
      <c r="B37" s="21">
        <v>1</v>
      </c>
      <c r="C37" s="8" t="s">
        <v>286</v>
      </c>
    </row>
    <row r="38" spans="1:3">
      <c r="A38" s="22"/>
      <c r="B38" s="12">
        <v>2</v>
      </c>
      <c r="C38" s="11" t="s">
        <v>287</v>
      </c>
    </row>
    <row r="39" spans="1:3">
      <c r="A39" s="22"/>
      <c r="B39" s="12">
        <v>3</v>
      </c>
      <c r="C39" s="11" t="s">
        <v>288</v>
      </c>
    </row>
    <row r="40" spans="1:3">
      <c r="A40" s="22"/>
      <c r="B40" s="12">
        <v>4</v>
      </c>
      <c r="C40" s="11" t="s">
        <v>289</v>
      </c>
    </row>
    <row r="41" ht="14.25" spans="1:3">
      <c r="A41" s="23"/>
      <c r="B41" s="14">
        <v>5</v>
      </c>
      <c r="C41" s="15" t="s">
        <v>290</v>
      </c>
    </row>
    <row r="42" ht="14.25" spans="1:3">
      <c r="A42" s="16">
        <v>3.1</v>
      </c>
      <c r="B42" s="17">
        <v>1</v>
      </c>
      <c r="C42" s="18" t="s">
        <v>291</v>
      </c>
    </row>
    <row r="43" ht="14.25" spans="1:3">
      <c r="A43" s="16">
        <v>3.2</v>
      </c>
      <c r="B43" s="17">
        <v>1</v>
      </c>
      <c r="C43" s="18" t="s">
        <v>292</v>
      </c>
    </row>
    <row r="44" ht="14.25" spans="1:3">
      <c r="A44" s="16">
        <v>3.3</v>
      </c>
      <c r="B44" s="17">
        <v>1</v>
      </c>
      <c r="C44" s="18" t="s">
        <v>293</v>
      </c>
    </row>
    <row r="45" spans="1:3">
      <c r="A45" s="20">
        <v>3.4</v>
      </c>
      <c r="B45" s="21">
        <v>1</v>
      </c>
      <c r="C45" s="8" t="s">
        <v>294</v>
      </c>
    </row>
    <row r="46" spans="1:3">
      <c r="A46" s="22"/>
      <c r="B46">
        <v>2</v>
      </c>
      <c r="C46" s="11" t="s">
        <v>295</v>
      </c>
    </row>
    <row r="47" ht="14.25" spans="1:3">
      <c r="A47" s="23"/>
      <c r="B47" s="14">
        <v>3</v>
      </c>
      <c r="C47" s="15" t="s">
        <v>296</v>
      </c>
    </row>
    <row r="48" ht="14.25" spans="1:3">
      <c r="A48" s="16">
        <v>3.5</v>
      </c>
      <c r="B48" s="17">
        <v>1</v>
      </c>
      <c r="C48" s="18" t="s">
        <v>297</v>
      </c>
    </row>
  </sheetData>
  <mergeCells count="5">
    <mergeCell ref="A2:A8"/>
    <mergeCell ref="A14:A24"/>
    <mergeCell ref="A28:A33"/>
    <mergeCell ref="A37:A41"/>
    <mergeCell ref="A45:A4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2026-10-09T03:49:05Z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