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计算器\"/>
    </mc:Choice>
  </mc:AlternateContent>
  <bookViews>
    <workbookView windowWidth="22188" windowHeight="9767" activeTab="4"/>
  </bookViews>
  <sheets>
    <sheet name="期望" sheetId="1" r:id="rId1"/>
    <sheet name="RD" sheetId="8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<sst xmlns="http://schemas.openxmlformats.org/spreadsheetml/2006/main" count="5122" uniqueCount="241">
  <si>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</si>
  <si>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</si>
  <si>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</si>
  <si>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</si>
  <si>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</si>
  <si>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</si>
  <si>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</si>
  <si>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</si>
  <si>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</si>
  <si>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</si>
  <si>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</si>
  <si>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</si>
  <si>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</si>
  <si>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</si>
  <si>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</si>
  <si>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</si>
  <si>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</si>
  <si>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</si>
  <si>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</si>
  <si>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</si>
  <si>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</si>
  <si>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</si>
  <si>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</si>
  <si>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</si>
  <si>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</si>
  <si>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</si>
  <si>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</si>
  <si>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</si>
  <si>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</si>
  <si>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</si>
  <si>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</si>
  <si>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</si>
  <si>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</si>
  <si>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</si>
  <si>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</si>
  <si>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</si>
  <si>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</si>
  <si>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</si>
  <si>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</si>
  <si>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</si>
  <si>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</si>
  <si>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</si>
  <si>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</si>
  <si>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</si>
  <si>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</si>
  <si>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</si>
  <si>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</si>
  <si>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</si>
  <si>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</si>
  <si>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</si>
  <si>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</si>
  <si>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</si>
  <si>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</si>
  <si>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</si>
  <si>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</si>
  <si>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</si>
  <si>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</si>
  <si>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</si>
  <si>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</si>
  <si>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</si>
  <si>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</si>
  <si>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</si>
  <si>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</si>
  <si>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</si>
  <si>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</si>
  <si>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</si>
  <si>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</si>
  <si>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</si>
  <si>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</si>
  <si>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</si>
  <si>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烟柳</t>
  </si>
  <si>
    <t>防御</t>
  </si>
  <si>
    <t>N/a</t>
  </si>
  <si>
    <t>鸣金</t>
  </si>
  <si>
    <t>外抗</t>
  </si>
  <si>
    <t>裂石</t>
  </si>
  <si>
    <t>伞</t>
  </si>
  <si>
    <t>属抗</t>
  </si>
  <si>
    <t>扇</t>
  </si>
  <si>
    <t>副本天赋</t>
  </si>
  <si>
    <t>破竹</t>
  </si>
  <si>
    <t>单体奇术</t>
  </si>
  <si>
    <t>无相</t>
  </si>
  <si>
    <t>群体奇术</t>
  </si>
  <si>
    <t>伞Q</t>
  </si>
  <si>
    <t>沧海帖1层</t>
  </si>
  <si>
    <t>风墙(弹道)</t>
  </si>
  <si>
    <t>无惧</t>
  </si>
  <si>
    <t>精准率</t>
  </si>
  <si>
    <t>实际属性</t>
  </si>
  <si>
    <t>战斗时间</t>
  </si>
  <si>
    <t>易水歌1层</t>
  </si>
  <si>
    <t>连中</t>
  </si>
  <si>
    <t>会心率</t>
  </si>
  <si>
    <t>伞重击派生</t>
  </si>
  <si>
    <t>易水歌2层</t>
  </si>
  <si>
    <t>惧刃(拐)</t>
  </si>
  <si>
    <t>会意率</t>
  </si>
  <si>
    <t>总伤</t>
  </si>
  <si>
    <t>丢伞</t>
  </si>
  <si>
    <t>沧海帖2层</t>
  </si>
  <si>
    <t>直接会心率</t>
  </si>
  <si>
    <t>伞～每秒</t>
  </si>
  <si>
    <t>易水歌3层</t>
  </si>
  <si>
    <t>直接会意率</t>
  </si>
  <si>
    <t>DPS</t>
  </si>
  <si>
    <t>会心伤害加成</t>
  </si>
  <si>
    <t>小纵地</t>
  </si>
  <si>
    <t>会意伤害加成</t>
  </si>
  <si>
    <t>RDPS</t>
  </si>
  <si>
    <t>易水歌4层</t>
  </si>
  <si>
    <t>沧海帖3层</t>
  </si>
  <si>
    <t>断石5额外</t>
  </si>
  <si>
    <t>阴阳</t>
  </si>
  <si>
    <t>全武增</t>
  </si>
  <si>
    <t>团队增益</t>
  </si>
  <si>
    <t>易水歌5层</t>
  </si>
  <si>
    <t>首领增</t>
  </si>
  <si>
    <t>威</t>
  </si>
  <si>
    <t>√</t>
  </si>
  <si>
    <t>沧海帖</t>
  </si>
  <si>
    <t>毕业率</t>
  </si>
  <si>
    <t>沧海帖4层</t>
  </si>
  <si>
    <t>伞增</t>
  </si>
  <si>
    <t>尘</t>
  </si>
  <si>
    <t>所恨年年</t>
  </si>
  <si>
    <t>扇左蓄</t>
  </si>
  <si>
    <t>扇增</t>
  </si>
  <si>
    <t>虹</t>
  </si>
  <si>
    <t>骑龙回马</t>
  </si>
  <si>
    <t>单体奇术增</t>
  </si>
  <si>
    <t>钧</t>
  </si>
  <si>
    <t>群体奇术增</t>
  </si>
  <si>
    <t>影</t>
  </si>
  <si>
    <t>弹道定音</t>
  </si>
  <si>
    <t>第四心法</t>
  </si>
  <si>
    <t>断石覆盖</t>
  </si>
  <si>
    <t>全蹭</t>
  </si>
  <si>
    <t>春雷</t>
  </si>
  <si>
    <t>N/A</t>
  </si>
  <si>
    <t>所恨</t>
  </si>
  <si>
    <t>固伤加成</t>
  </si>
  <si>
    <t>易水歌</t>
  </si>
  <si>
    <t>沧海帖5层</t>
  </si>
  <si>
    <t>食物加成</t>
  </si>
  <si>
    <t>沧海帖6层</t>
  </si>
  <si>
    <t>扇Q</t>
  </si>
  <si>
    <t>神龙吐火暗灼2hit</t>
  </si>
  <si>
    <t>神龙吐火暗灼dot</t>
  </si>
  <si>
    <t>沧海帖7层</t>
  </si>
  <si>
    <t>惊神(拐)</t>
  </si>
  <si>
    <t>沧海帖8层</t>
  </si>
  <si>
    <t>沧海帖9层</t>
  </si>
  <si>
    <t>沧海帖10层</t>
  </si>
  <si>
    <t>扇～</t>
  </si>
  <si>
    <t>扇强化重击派生</t>
  </si>
  <si>
    <t>风墙(追击)</t>
  </si>
  <si>
    <t>大纵地</t>
  </si>
  <si>
    <t>5惊春</t>
  </si>
  <si>
    <t>低真气追击</t>
  </si>
  <si>
    <t>连中(气竭)</t>
  </si>
  <si>
    <t>断石5</t>
  </si>
  <si>
    <t>气竭</t>
  </si>
  <si>
    <t>真气失衡</t>
  </si>
  <si>
    <t>太白醉月1-4</t>
  </si>
  <si>
    <t>太白醉月5</t>
  </si>
  <si>
    <t>太白醉月暗灼</t>
  </si>
  <si>
    <t>扇普通重击派生</t>
  </si>
  <si>
    <t>3惊春</t>
  </si>
  <si>
    <t>神龙吐火暗灼1hit</t>
  </si>
  <si>
    <t>神龙吐火dot</t>
  </si>
  <si>
    <t>易水歌6重</t>
  </si>
  <si>
    <t>萧呤千浪流星</t>
  </si>
  <si>
    <t>近战笛</t>
  </si>
  <si>
    <t>×</t>
  </si>
  <si>
    <t>特殊技定音</t>
  </si>
  <si>
    <t>伞左蓄每秒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</si>
  <si>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</si>
  <si>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</si>
  <si>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</si>
  <si>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</si>
  <si>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</si>
  <si>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</si>
  <si>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</si>
  <si>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</si>
  <si>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</si>
  <si>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</si>
  <si>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</si>
  <si>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</si>
  <si>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</si>
  <si>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弹道</t>
  </si>
  <si>
    <t>萧呤千浪AOE</t>
  </si>
  <si>
    <t>衍九矢9hit</t>
  </si>
  <si>
    <t>叶龙骧首(32层+60%HP)</t>
  </si>
  <si>
    <t>墨洗翰华(打盾)</t>
  </si>
  <si>
    <t>神龙吐火1hit</t>
  </si>
  <si>
    <t>神龙吐火2hit</t>
  </si>
  <si>
    <t>太白醉月爆燃</t>
  </si>
  <si>
    <t>心法</t>
  </si>
  <si>
    <t>远程笛</t>
  </si>
  <si>
    <t>断石1</t>
  </si>
  <si>
    <t>断石2</t>
  </si>
  <si>
    <t>断石3</t>
  </si>
  <si>
    <t>断石4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</si>
  <si>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</si>
  <si>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</si>
  <si>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</si>
  <si>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</si>
  <si>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</si>
  <si>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</si>
  <si>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</si>
  <si>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</si>
  <si>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轴为苍假象轴,默认风墙全自动蹭断不蹭-4.4%,实际dps应低于计算面板2-3%</t>
  </si>
  <si>
    <t>四下蹭点每下蹭不到-1.1%</t>
  </si>
  <si>
    <t>短时战斗断石大于春雷,易水必带</t>
  </si>
  <si>
    <t>将所恨年年从尘增益区划入公共增益区以观测实际RD</t>
  </si>
  <si>
    <t>修正bug</t>
  </si>
  <si>
    <t>修正尘加成</t>
  </si>
  <si>
    <t>微调了轴,用扇～+强化派生替换龙卷+普通派生,+0.5%</t>
  </si>
  <si>
    <t>更新蕤宾叠奏上半数值,将铁花替换成了无惧</t>
  </si>
  <si>
    <t>轴变更为拏云蛇慢气轴</t>
  </si>
  <si>
    <t>增加了鸣金影提供的rd,约0.4%</t>
  </si>
  <si>
    <t>单体增&gt;全武,阴阳不如用2个骑龙替换2个龙卷</t>
  </si>
  <si>
    <t>气竭保证不谢花覆盖的情况下全力奇术</t>
  </si>
  <si>
    <t>气竭放风墙以外的非奇术技能不如换个武学</t>
  </si>
  <si>
    <t>满血叶龙=2套拳,在不满血且精元溢出的的情况下使用叶龙替换2套拳能多10万</t>
  </si>
  <si>
    <t>2个单增情况下</t>
  </si>
  <si>
    <t>dps:五拳=拉矢=1.2骑龙</t>
  </si>
  <si>
    <t>精元利用率:五拳=1.2骑龙=2拉矢</t>
  </si>
  <si>
    <t>由于奇术占比大幅提升,当前版本小外玉满值约领先0.1%,下半会被大外反超</t>
  </si>
  <si>
    <t>且不存在满值可能,所以默认依然为大外</t>
  </si>
  <si>
    <t>修正九剑rd,约0.75%</t>
  </si>
  <si>
    <t>断石、春雷、所恨三合一版</t>
  </si>
  <si>
    <t>dy@雪皇</t>
  </si>
  <si>
    <t>春雷和所恨毕业率均以断石满蹭为100%毕业率，所以毕业率较低</t>
  </si>
  <si>
    <t>因为是单体轴，所以单体收益较高，会与正常情况有所偏差，不必在意</t>
  </si>
  <si>
    <t>更新蕤宾叠奏下半数值</t>
  </si>
  <si>
    <t>更新虎孟极快气轴，此轴为玉玉鬼脑之幻想进队拉爆队友轴</t>
  </si>
  <si>
    <t>去除了机制时间的所有对小怪输出,并在计算dps时移除了机制时间</t>
  </si>
  <si>
    <t>二气叶龙可能会导致伤害溢出</t>
  </si>
  <si>
    <t>暂时仅支持断石填表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</si>
</sst>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11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176" fontId="0" fillId="0" borderId="4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5" xfId="0" applyFill="1" applyBorder="1" applyAlignment="1">
      <alignment vertical="center"/>
    </xf>
    <xf numFmtId="176" fontId="0" fillId="0" borderId="6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dy@&#38634;&#30343;" TargetMode="External"/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40"/>
  <sheetViews>
    <sheetView workbookViewId="0">
      <selection activeCell="F114" sqref="F114"/>
    </sheetView>
  </sheetViews>
  <sheetFormatPr defaultColWidth="9" defaultRowHeight="14.4"/>
  <cols>
    <col min="1" max="1" width="12.8796296296296" customWidth="1"/>
    <col min="4" max="4" width="9.37962962962963"/>
    <col min="11" max="15" width="12.6296296296296" style="42" customWidth="1"/>
    <col min="17" max="17" width="24.6296296296296" style="48" customWidth="1"/>
    <col min="18" max="34" width="9" style="48"/>
    <col min="36" max="36" width="9.66666666666667" style="41"/>
    <col min="37" max="37" width="9" style="42"/>
    <col min="38" max="38" width="9.66666666666667" style="41"/>
    <col min="39" max="39" width="9" style="42"/>
    <col min="40" max="41" width="9" style="41"/>
    <col min="42" max="42" width="9.66666666666667"/>
    <col min="44" max="46" width="9" style="49"/>
    <col min="49" max="50" width="9" style="49"/>
    <col min="63" max="67" width="9" style="41"/>
    <col min="68" max="69" width="9.00925925925926" style="41" customWidth="1"/>
    <col min="70" max="71" width="9" style="41"/>
  </cols>
  <sheetData>
    <row r="1" spans="1:71">
      <c r="A1" s="50"/>
      <c r="B1" s="51" t="s">
        <v>0</v>
      </c>
      <c r="C1" s="51" t="s">
        <v>1</v>
      </c>
      <c r="D1" s="51" t="s">
        <v>2</v>
      </c>
      <c r="E1" s="52" t="s">
        <v>3</v>
      </c>
      <c r="F1" s="53" t="s">
        <v>4</v>
      </c>
      <c r="G1" s="54" t="s">
        <v>5</v>
      </c>
      <c r="H1" s="53" t="s">
        <v>6</v>
      </c>
      <c r="I1" s="54"/>
      <c r="K1" s="55" t="s">
        <v>7</v>
      </c>
      <c r="L1" s="55" t="s">
        <v>8</v>
      </c>
      <c r="M1" s="55" t="s">
        <v>9</v>
      </c>
      <c r="N1" s="55" t="s">
        <v>10</v>
      </c>
      <c r="O1" s="55" t="s">
        <v>11</v>
      </c>
      <c r="P1" s="56" t="s">
        <v>12</v>
      </c>
      <c r="Q1" s="57" t="s">
        <v>13</v>
      </c>
      <c r="R1" s="57" t="s">
        <v>14</v>
      </c>
      <c r="S1" s="57" t="s">
        <v>15</v>
      </c>
      <c r="T1" s="57" t="s">
        <v>16</v>
      </c>
      <c r="U1" s="57" t="s">
        <v>17</v>
      </c>
      <c r="V1" s="57" t="s">
        <v>18</v>
      </c>
      <c r="W1" s="57" t="s">
        <v>19</v>
      </c>
      <c r="X1" s="57" t="s">
        <v>20</v>
      </c>
      <c r="Y1" s="57" t="s">
        <v>21</v>
      </c>
      <c r="Z1" s="57" t="s">
        <v>22</v>
      </c>
      <c r="AA1" s="57" t="s">
        <v>23</v>
      </c>
      <c r="AB1" s="57" t="s">
        <v>24</v>
      </c>
      <c r="AC1" s="57" t="s">
        <v>25</v>
      </c>
      <c r="AD1" s="57" t="s">
        <v>26</v>
      </c>
      <c r="AE1" s="57" t="s">
        <v>27</v>
      </c>
      <c r="AF1" s="57" t="s">
        <v>28</v>
      </c>
      <c r="AG1" s="57" t="s">
        <v>29</v>
      </c>
      <c r="AH1" s="57" t="s">
        <v>30</v>
      </c>
      <c r="AI1" t="s">
        <v>31</v>
      </c>
      <c r="AJ1" s="41" t="s">
        <v>32</v>
      </c>
      <c r="AK1" s="42" t="s">
        <v>33</v>
      </c>
      <c r="AL1" s="41" t="s">
        <v>34</v>
      </c>
      <c r="AM1" s="42" t="s">
        <v>35</v>
      </c>
      <c r="AN1" s="41" t="s">
        <v>36</v>
      </c>
      <c r="AO1" s="41" t="s">
        <v>37</v>
      </c>
      <c r="AP1" t="s">
        <v>38</v>
      </c>
      <c r="AQ1" t="s">
        <v>39</v>
      </c>
      <c r="AR1" s="49" t="s">
        <v>40</v>
      </c>
      <c r="AS1" s="49" t="s">
        <v>41</v>
      </c>
      <c r="AT1" s="49" t="s">
        <v>42</v>
      </c>
      <c r="AU1" t="s">
        <v>43</v>
      </c>
      <c r="AV1" t="s">
        <v>44</v>
      </c>
      <c r="AW1" s="49" t="s">
        <v>45</v>
      </c>
      <c r="AX1" s="49" t="s">
        <v>46</v>
      </c>
      <c r="AY1" t="s">
        <v>47</v>
      </c>
      <c r="AZ1" t="s">
        <v>48</v>
      </c>
      <c r="BA1" s="49" t="s">
        <v>49</v>
      </c>
      <c r="BB1" s="49" t="s">
        <v>50</v>
      </c>
      <c r="BC1" t="s">
        <v>51</v>
      </c>
      <c r="BD1" t="s">
        <v>52</v>
      </c>
      <c r="BE1" s="49" t="s">
        <v>53</v>
      </c>
      <c r="BF1" s="49" t="s">
        <v>54</v>
      </c>
      <c r="BG1" t="s">
        <v>55</v>
      </c>
      <c r="BH1" t="s">
        <v>56</v>
      </c>
      <c r="BI1" s="49" t="s">
        <v>57</v>
      </c>
      <c r="BJ1" s="49" t="s">
        <v>58</v>
      </c>
      <c r="BK1" s="41" t="s">
        <v>59</v>
      </c>
      <c r="BL1" s="41" t="s">
        <v>60</v>
      </c>
      <c r="BM1" s="41" t="s">
        <v>61</v>
      </c>
      <c r="BN1" s="41" t="s">
        <v>62</v>
      </c>
      <c r="BO1" s="41" t="s">
        <v>63</v>
      </c>
      <c r="BP1" s="41" t="s">
        <v>64</v>
      </c>
      <c r="BQ1" s="41" t="s">
        <v>65</v>
      </c>
      <c r="BR1" s="41" t="s">
        <v>66</v>
      </c>
      <c r="BS1" s="41" t="s">
        <v>67</v>
      </c>
    </row>
    <row r="2" spans="1:71">
      <c r="A2" s="58" t="s">
        <v>68</v>
      </c>
      <c r="B2" s="48">
        <v>2155.4</v>
      </c>
      <c r="C2" s="48">
        <v>5646</v>
      </c>
      <c r="D2" s="48">
        <v>63.5</v>
      </c>
      <c r="E2" s="59">
        <f>IF(J21="N/A",0,2.5%)</f>
        <v>0</v>
      </c>
      <c r="F2" s="60" t="s">
        <v>69</v>
      </c>
      <c r="G2" s="61" t="s">
        <v>70</v>
      </c>
      <c r="H2" s="62" t="s">
        <v>71</v>
      </c>
      <c r="I2" s="11">
        <f>620*(1-IF(F17="√",0.06,0)-IF(D20="√",0.04,0))</f>
        <v>558</v>
      </c>
      <c r="K2" s="55">
        <f>($L2*$BP2+$M2*$BN2+$N2*$BQ2+$O2*$BR2)</f>
        <v>0</v>
      </c>
      <c r="L2" s="55">
        <f>((($AP2+$AQ2)/2*$AJ2+$AK2)*(1+$AR2)*(1+$AS2)+(($AU2+$AV2)/2*IF($G$1="鸣金",$AL2,$AJ2)+IF($G$1="鸣金",$AM2*1.5,0))*(1+$AW2)*(1+$AX2)+(($AY2+$AZ2)/2*IF($G$1="裂石",$AL2,$AJ2)+IF($G$1="裂石",$AM2*1.5,0))*(1+$BA2)*(1+$BB2)+(($BC2+$BD2)/2*IF($G$1="牵丝",$AL2,$AJ2)+IF($G$1="牵丝",$AM2*1.5,0))*(1+$BE2)*(1+$BF2)+(($BG2+$BH2)/2*IF($G$1="破竹",$AL2,$AJ2)+IF($G$1="破竹",$AM2*1.5,0))*(1+$BI2)*(1+$BJ2))*(1+$AN2)*$BM2*$P2*(1+IF(VLOOKUP($Q2,武学奇术!$A:$ZZ,30,FALSE)="弹道",$B$21,0))*(1+$BS2)</f>
        <v>0</v>
      </c>
      <c r="M2" s="55">
        <f>(($AQ2*$AJ2+$AK2)*(1+$AR2)*(1+$AS2)+($AV2*IF($G$1="鸣金",$AL2,$AJ2)+IF($G$1="鸣金",$AM2*1.5,0))*(1+$AW2)*(1+$AX2)+($AZ2*IF($G$1="裂石",$AL2,$AJ2)+IF($G$1="裂石",$AM2*1.5,0))*(1+$BA2)*(1+$BB2)+($BD2*IF($G$1="牵丝",$AL2,$AJ2)+IF($G$1="牵丝",$AM2*1.5,0))*(1+$BE2)*(1+$BF2)+($BH2*IF($G$1="破竹",$AL2,$AJ2)+IF($G$1="破竹",$AM2*1.5,0))*(1+$BI2)*(1+$BJ2))*(1+$AN2)*$BO2*$P2*(1+IF(VLOOKUP($Q2,武学奇术!$A:$ZZ,30,FALSE)="弹道",$B$21,0))*(1+$BS2)</f>
        <v>0</v>
      </c>
      <c r="N2" s="55">
        <f>((($AP2+$AQ2)/2*$AJ2+$AK2)*(1+$AR2)*(1+$AS2)+(($AU2+$AV2)/2*IF($G$1="鸣金",$AL2,$AJ2)+IF($G$1="鸣金",$AM2*1.5,0))*(1+$AW2)*(1+$AX2)+(($AY2+$AZ2)/2*IF($G$1="裂石",$AL2,$AJ2)+IF($G$1="裂石",$AM2*1.5,0))*(1+$BA2)*(1+$BB2)+(($BC2+$BD2)/2*IF($G$1="牵丝",$AL2,$AJ2)+IF($G$1="牵丝",$AM2*1.5,0))*(1+$BE2)*(1+$BF2)+(($BG2+$BH2)/2*IF($G$1="破竹",$AL2,$AJ2)+IF($G$1="破竹",$AM2*1.5,0))*(1+$BI2)*(1+$BJ2))*(1+$AN2)*$P2*(1+IF(VLOOKUP($Q2,武学奇术!$A:$ZZ,30,FALSE)="弹道",$B$21,0))*(1+$BS2)</f>
        <v>0</v>
      </c>
      <c r="O2" s="55">
        <f>((($AP2*$AJ2+$AK2)*(1+$AR2)*(1+$AS2)+($AU2*IF($G$1="鸣金",$AL2,$AJ2)+IF($G$1="鸣金",$AM2*1.5,0))*(1+$AW2)*(1+$AX2)+($AY2*IF($G$1="裂石",$AL2,$AJ2)+IF($G$1="裂石",$AM2*1.5,0))*(1+$BA2)*(1+$BB2)+($BC2*IF($G$1="牵丝",$AL2,$AJ2)+IF($G$1="牵丝",$AM2*1.5,0))*(1+$BE2)*(1+$BF2)+($BG2*IF($G$1="破竹",$AL2,$AJ2)+IF($G$1="破竹",$AM2*1.5,0))*(1+$BI2)*(1+$BJ2))*(1+$AN2))*$P2*(1+IF(VLOOKUP($Q2,武学奇术!$A:$ZZ,30,FALSE)="弹道",$B$21,0))*(1+$BS2)</f>
        <v>0</v>
      </c>
      <c r="P2" s="56">
        <v>1</v>
      </c>
      <c r="Q2" s="57" t="s">
        <v>72</v>
      </c>
      <c r="R2" s="57" t="s">
        <v>72</v>
      </c>
      <c r="S2" s="57" t="s">
        <v>72</v>
      </c>
      <c r="T2" s="57" t="s">
        <v>72</v>
      </c>
      <c r="U2" s="57" t="s">
        <v>72</v>
      </c>
      <c r="V2" s="57" t="s">
        <v>72</v>
      </c>
      <c r="W2" s="57" t="s">
        <v>72</v>
      </c>
      <c r="X2" s="57" t="s">
        <v>72</v>
      </c>
      <c r="Y2" s="57" t="s">
        <v>72</v>
      </c>
      <c r="Z2" s="57" t="s">
        <v>72</v>
      </c>
      <c r="AA2" s="57" t="s">
        <v>72</v>
      </c>
      <c r="AB2" s="57" t="s">
        <v>72</v>
      </c>
      <c r="AC2" s="57" t="s">
        <v>72</v>
      </c>
      <c r="AD2" s="57" t="s">
        <v>72</v>
      </c>
      <c r="AE2" s="57" t="s">
        <v>72</v>
      </c>
      <c r="AF2" s="57" t="s">
        <v>72</v>
      </c>
      <c r="AG2" s="57" t="s">
        <v>72</v>
      </c>
      <c r="AH2" s="57" t="s">
        <v>72</v>
      </c>
      <c r="AI2" t="str">
        <f>VLOOKUP($Q2,武学奇术!$A:$ZZ,25,FALSE)</f>
        <v>心法</v>
      </c>
      <c r="AJ2" s="41">
        <f>VLOOKUP($Q2,武学奇术!$A:$ZZ,26,FALSE)</f>
        <v>0</v>
      </c>
      <c r="AK2" s="42">
        <f>VLOOKUP($Q2,武学奇术!$A:$ZZ,27,FALSE)*(1+IF(OR($AI2=$F$4,$AI2=$F$5),$B$22,0))</f>
        <v>0</v>
      </c>
      <c r="AL2" s="41">
        <f>VLOOKUP($Q2,武学奇术!$A:$ZZ,28,FALSE)</f>
        <v>0</v>
      </c>
      <c r="AM2" s="42">
        <f>VLOOKUP($Q2,武学奇术!$A:$ZZ,29,FALSE)*(1+IF(OR($AI2=$F$4,$AI2=$F$5),$B$22,0))</f>
        <v>0</v>
      </c>
      <c r="AN2" s="41" cm="1">
        <f t="array" ref="AN2">$G$3+IFERROR(VLOOKUP($AI2,$F$4:$G$7,2,FALSE),0)+VLOOKUP($Q2,武学奇术!$A:$ZZ,2,FALSE)+SUM(_xlfn.XLOOKUP($R2:$AH2,增益!$A:$A,增益!$B:$B,0))</f>
        <v>0.1837</v>
      </c>
      <c r="AO2" s="41" cm="1">
        <f t="array" ref="AO2">VLOOKUP($Q2,武学奇术!$A:$ZZ,5,FALSE)+SUM(_xlfn.XLOOKUP($R2:$AH2,增益!$A:$A,增益!$E:$E,0))</f>
        <v>0</v>
      </c>
      <c r="AP2" cm="1">
        <f t="array" ref="AP2">$D$10*(1+$AO2)+VLOOKUP($Q2,武学奇术!$A:$ZZ,3,FALSE)+SUM(_xlfn.XLOOKUP($R2:$AH2,增益!$A:$A,增益!$C:$C,0))-$I$2</f>
        <v>1797.4</v>
      </c>
      <c r="AQ2" cm="1">
        <f t="array" ref="AQ2">$E$10*(1+$AO2)+VLOOKUP($Q2,武学奇术!$A:$ZZ,4,FALSE)+SUM(_xlfn.XLOOKUP($R2:$AH2,增益!$A:$A,增益!$D:$D,0))-$I$2</f>
        <v>5488</v>
      </c>
      <c r="AR2" s="49" cm="1">
        <f t="array" ref="AR2">IF($F$10-$I$3+VLOOKUP($Q2,武学奇术!$A:$ZZ,6,FALSE)+SUM(_xlfn.XLOOKUP(R2:AH2,增益!$A:$A,增益!$F:$F,0))&gt;0,($F$10-$I$3+VLOOKUP($Q2,武学奇术!$A:$ZZ,6,FALSE)+SUM(_xlfn.XLOOKUP(R2:AH2,增益!$A:$A,增益!$F:$F,0)))/200,($F$10-$I$3+VLOOKUP($Q2,武学奇术!$A:$ZZ,6,FALSE)+SUM(_xlfn.XLOOKUP(R2:AH2,增益!$A:$A,增益!$F:$F,0)))/100)</f>
        <v>0.2925</v>
      </c>
      <c r="AS2" s="49" cm="1">
        <f t="array" ref="AS2">$G$10+VLOOKUP($Q2,武学奇术!$A:$ZZ,7,FALSE)+SUM(_xlfn.XLOOKUP(R2:AH2,增益!$A:$A,增益!$G:$G,0))</f>
        <v>0</v>
      </c>
      <c r="AT2" s="41" cm="1">
        <f t="array" ref="AT2">VLOOKUP($Q2,武学奇术!$A:$ZZ,8,FALSE)+SUM(_xlfn.XLOOKUP(R2:AH2,增益!$A:$A,增益!$H:$H,0))</f>
        <v>0</v>
      </c>
      <c r="AU2">
        <f>$D$11*(1+$AT2)</f>
        <v>0</v>
      </c>
      <c r="AV2">
        <f>$E$11*(1+$AT2)</f>
        <v>0</v>
      </c>
      <c r="AW2" s="49" cm="1">
        <f t="array" ref="AW2">IF($F$11-$I$4+VLOOKUP($Q2,武学奇术!$A:$ZZ,9,FALSE)+SUM(_xlfn.XLOOKUP(R2:AH2,增益!$A:$A,增益!$I:$I,0))&gt;0,($F$11-$I$4+VLOOKUP($Q2,武学奇术!$A:$ZZ,9,FALSE)+SUM(_xlfn.XLOOKUP(R2:AH2,增益!$A:$A,增益!$I:$I,0)))/200,($F$11-$I$4+VLOOKUP($Q2,武学奇术!$A:$ZZ,9,FALSE)+SUM(_xlfn.XLOOKUP(R2:AH2,增益!$A:$A,增益!$I:$I,0)))/100)</f>
        <v>-0.3</v>
      </c>
      <c r="AX2" s="49" cm="1">
        <f t="array" ref="AX2">$G$11+VLOOKUP($Q2,武学奇术!$A:$ZZ,10,FALSE)+SUM(_xlfn.XLOOKUP(R2:AH2,增益!$A:$A,增益!$J:$J,0))</f>
        <v>0</v>
      </c>
      <c r="AY2">
        <f>$D$12*(1+$AT2)</f>
        <v>0</v>
      </c>
      <c r="AZ2">
        <f>$E$12*(1+$AT2)</f>
        <v>0</v>
      </c>
      <c r="BA2" s="49" cm="1">
        <f t="array" ref="BA2">IF($F$12-$I$4+VLOOKUP($Q2,武学奇术!$A:$ZZ,11,FALSE)+SUM(_xlfn.XLOOKUP(R2:AH2,增益!$A:$A,增益!$K:$K,0))&gt;0,($F$12-$I$4+VLOOKUP($Q2,武学奇术!$A:$ZZ,11,FALSE)+SUM(_xlfn.XLOOKUP(R2:AH2,增益!$A:$A,增益!$K:$K,0)))/200,($F$12-$I$4+VLOOKUP($Q2,武学奇术!$A:$ZZ,11,FALSE)+SUM(_xlfn.XLOOKUP(R2:AH2,增益!$A:$A,增益!$K:$K,0)))/100)</f>
        <v>-0.3</v>
      </c>
      <c r="BB2" s="49" cm="1">
        <f t="array" ref="BB2">$G$12+VLOOKUP($Q2,武学奇术!$A:$ZZ,12,FALSE)+SUM(_xlfn.XLOOKUP(R2:AH2,增益!$A:$A,增益!$L:$L,0))</f>
        <v>0</v>
      </c>
      <c r="BC2">
        <f>$D$13*(1+$AT2)</f>
        <v>571.2</v>
      </c>
      <c r="BD2">
        <f>$E$13*(1+$AT2)</f>
        <v>1077.4</v>
      </c>
      <c r="BE2" s="49" cm="1">
        <f t="array" ref="BE2">IF($F$13-$I$4+VLOOKUP($Q2,武学奇术!$A:$ZZ,13,FALSE)+SUM(_xlfn.XLOOKUP(R2:AH2,增益!$A:$A,增益!$M:$M,0))&gt;0,($F$13-$I$4+VLOOKUP($Q2,武学奇术!$A:$ZZ,13,FALSE)+SUM(_xlfn.XLOOKUP(R2:AH2,增益!$A:$A,增益!$K:$K,0)))/200,($F$13-$I$4+VLOOKUP($Q2,武学奇术!$A:$ZZ,13,FALSE)+SUM(_xlfn.XLOOKUP(R2:AH2,增益!$A:$A,增益!$M:$M,0)))/100)</f>
        <v>0</v>
      </c>
      <c r="BF2" s="49" cm="1">
        <f t="array" ref="BF2">$G$13+VLOOKUP($Q2,武学奇术!$A:$ZZ,14,FALSE)+SUM(_xlfn.XLOOKUP(R2:AH2,增益!$A:$A,增益!$N:$N,0))</f>
        <v>0.15</v>
      </c>
      <c r="BG2">
        <f>$D$14*(1+$AT2)</f>
        <v>0</v>
      </c>
      <c r="BH2">
        <f>$E$14*(1+$AT2)</f>
        <v>0</v>
      </c>
      <c r="BI2" s="49" cm="1">
        <f t="array" ref="BI2">IF($F$14-$I$4+VLOOKUP($Q2,武学奇术!$A:$ZZ,15,FALSE)+SUM(_xlfn.XLOOKUP(R2:AH2,增益!$A:$A,增益!$O:$O,0))&gt;0,($F$14-$I$4+VLOOKUP($Q2,武学奇术!$A:$ZZ,15,FALSE)+SUM(_xlfn.XLOOKUP(R2:AH2,增益!$A:$A,增益!$O:$O,0)))/200,($F$14-$I$4+VLOOKUP($Q2,武学奇术!$A:$ZZ,15,FALSE)+SUM(_xlfn.XLOOKUP(R2:AH2,增益!$A:$A,增益!$O:$O,0)))/100)</f>
        <v>-0.3</v>
      </c>
      <c r="BJ2" s="49" cm="1">
        <f t="array" ref="BJ2">$G$14+VLOOKUP($Q2,武学奇术!$A:$ZZ,16,FALSE)+SUM(_xlfn.XLOOKUP(R2:AH2,增益!$A:$A,增益!$P:$P,0))</f>
        <v>0</v>
      </c>
      <c r="BK2" s="41">
        <f>MIN(IF(VLOOKUP($Q2,武学奇术!$A:$ZZ,23,FALSE)=1,100%,$B$8),100%)</f>
        <v>1</v>
      </c>
      <c r="BL2" s="41" cm="1">
        <f t="array" ref="BL2">IF(VLOOKUP($Q2,武学奇术!$A:$ZZ,23,FALSE)=1,100%,MIN(80%,$B$9+VLOOKUP($Q2,武学奇术!$A:$ZZ,17,FALSE)+SUM(_xlfn.XLOOKUP(R2:AH2,增益!$A:$A,增益!$Q:$Q,0)))+$B$11+SUM(_xlfn.XLOOKUP(R2:AH2,增益!$A:$A,增益!$U:$U,0)))*IF(VLOOKUP($Q2,武学奇术!$A:$ZZ,24,FALSE)=1,0,1)</f>
        <v>0.9045</v>
      </c>
      <c r="BM2" s="41" cm="1">
        <f t="array" ref="BM2">1+$B$13+VLOOKUP($Q2,武学奇术!$A:$ZZ,18,FALSE)+SUM(_xlfn.XLOOKUP(R2:AH2,增益!$A:$A,增益!$R:$R,0))</f>
        <v>1.5</v>
      </c>
      <c r="BN2" s="41" cm="1">
        <f t="array" ref="BN2">IF(VLOOKUP($Q2,武学奇术!$A:$ZZ,24,FALSE)=1,100%,MIN(40%,$B$10+VLOOKUP($Q2,武学奇术!$A:$ZZ,19,FALSE)+SUM(_xlfn.XLOOKUP(R2:AH2,增益!$A:$A,增益!$S:$S,0)))+$B$12+SUM(_xlfn.XLOOKUP(R2:AH2,增益!$A:$A,增益!$V:$V,0)))*IF(VLOOKUP($Q2,武学奇术!$A:$ZZ,23,FALSE)=1,0,1)</f>
        <v>0.0929</v>
      </c>
      <c r="BO2" s="41" cm="1">
        <f t="array" ref="BO2">1+$B$14+VLOOKUP($Q2,武学奇术!$A:$ZZ,20,FALSE)+SUM(_xlfn.XLOOKUP(R2:AH2,增益!$A:$A,增益!$T:$T,0))</f>
        <v>1.35</v>
      </c>
      <c r="BP2" s="41">
        <f>MIN((1-BN2)*BK2,BK2*BL2)</f>
        <v>0.9045</v>
      </c>
      <c r="BQ2" s="41">
        <f>1-BN2-BP2-BR2</f>
        <v>0.00260000000000005</v>
      </c>
      <c r="BR2" s="41">
        <f>IF(VLOOKUP($Q2,武学奇术!$A:$ZZ,22,FALSE)=1,0,(1-$BK2))*(1-$BN2)</f>
        <v>0</v>
      </c>
      <c r="BS2" s="41" cm="1">
        <f t="array" ref="BS2">SUM(_xlfn.XLOOKUP(R2:AH2,增益!$A:$A,增益!$W:$W,0))+$I$5</f>
        <v>0.06</v>
      </c>
    </row>
    <row r="3" spans="1:71">
      <c r="A3" s="63" t="s">
        <v>73</v>
      </c>
      <c r="B3" s="64"/>
      <c r="C3" s="64"/>
      <c r="D3" s="64"/>
      <c r="E3" s="65"/>
      <c r="F3" s="62" t="s">
        <v>36</v>
      </c>
      <c r="G3" s="66">
        <f>B16+1.5%+IF($D$16="√",8%,0)+IF($C$22="征人归",8%,0)</f>
        <v>0.1837</v>
      </c>
      <c r="H3" s="62" t="s">
        <v>74</v>
      </c>
      <c r="I3" s="11">
        <f>25-IF(D17="√",10,0)-IF(F17="√",10,0)</f>
        <v>5</v>
      </c>
      <c r="K3" s="55">
        <f t="shared" ref="K3:K34" si="0">($L3*$BP3+$M3*$BN3+$N3*$BQ3+$O3*$BR3)</f>
        <v>0</v>
      </c>
      <c r="L3" s="55">
        <f>((($AP3+$AQ3)/2*$AJ3+$AK3)*(1+$AR3)*(1+$AS3)+(($AU3+$AV3)/2*IF($G$1="鸣金",$AL3,$AJ3)+IF($G$1="鸣金",$AM3*1.5,0))*(1+$AW3)*(1+$AX3)+(($AY3+$AZ3)/2*IF($G$1="裂石",$AL3,$AJ3)+IF($G$1="裂石",$AM3*1.5,0))*(1+$BA3)*(1+$BB3)+(($BC3+$BD3)/2*IF($G$1="牵丝",$AL3,$AJ3)+IF($G$1="牵丝",$AM3*1.5,0))*(1+$BE3)*(1+$BF3)+(($BG3+$BH3)/2*IF($G$1="破竹",$AL3,$AJ3)+IF($G$1="破竹",$AM3*1.5,0))*(1+$BI3)*(1+$BJ3))*(1+$AN3)*$BM3*$P3*(1+IF(VLOOKUP($Q3,武学奇术!$A:$ZZ,30,FALSE)="弹道",$B$21,0))*(1+$BS3)</f>
        <v>0</v>
      </c>
      <c r="M3" s="55">
        <f>(($AQ3*$AJ3+$AK3)*(1+$AR3)*(1+$AS3)+($AV3*IF($G$1="鸣金",$AL3,$AJ3)+IF($G$1="鸣金",$AM3*1.5,0))*(1+$AW3)*(1+$AX3)+($AZ3*IF($G$1="裂石",$AL3,$AJ3)+IF($G$1="裂石",$AM3*1.5,0))*(1+$BA3)*(1+$BB3)+($BD3*IF($G$1="牵丝",$AL3,$AJ3)+IF($G$1="牵丝",$AM3*1.5,0))*(1+$BE3)*(1+$BF3)+($BH3*IF($G$1="破竹",$AL3,$AJ3)+IF($G$1="破竹",$AM3*1.5,0))*(1+$BI3)*(1+$BJ3))*(1+$AN3)*$BO3*$P3*(1+IF(VLOOKUP($Q3,武学奇术!$A:$ZZ,30,FALSE)="弹道",$B$21,0))*(1+$BS3)</f>
        <v>0</v>
      </c>
      <c r="N3" s="55">
        <f>((($AP3+$AQ3)/2*$AJ3+$AK3)*(1+$AR3)*(1+$AS3)+(($AU3+$AV3)/2*IF($G$1="鸣金",$AL3,$AJ3)+IF($G$1="鸣金",$AM3*1.5,0))*(1+$AW3)*(1+$AX3)+(($AY3+$AZ3)/2*IF($G$1="裂石",$AL3,$AJ3)+IF($G$1="裂石",$AM3*1.5,0))*(1+$BA3)*(1+$BB3)+(($BC3+$BD3)/2*IF($G$1="牵丝",$AL3,$AJ3)+IF($G$1="牵丝",$AM3*1.5,0))*(1+$BE3)*(1+$BF3)+(($BG3+$BH3)/2*IF($G$1="破竹",$AL3,$AJ3)+IF($G$1="破竹",$AM3*1.5,0))*(1+$BI3)*(1+$BJ3))*(1+$AN3)*$P3*(1+IF(VLOOKUP($Q3,武学奇术!$A:$ZZ,30,FALSE)="弹道",$B$21,0))*(1+$BS3)</f>
        <v>0</v>
      </c>
      <c r="O3" s="55">
        <f>((($AP3*$AJ3+$AK3)*(1+$AR3)*(1+$AS3)+($AU3*IF($G$1="鸣金",$AL3,$AJ3)+IF($G$1="鸣金",$AM3*1.5,0))*(1+$AW3)*(1+$AX3)+($AY3*IF($G$1="裂石",$AL3,$AJ3)+IF($G$1="裂石",$AM3*1.5,0))*(1+$BA3)*(1+$BB3)+($BC3*IF($G$1="牵丝",$AL3,$AJ3)+IF($G$1="牵丝",$AM3*1.5,0))*(1+$BE3)*(1+$BF3)+($BG3*IF($G$1="破竹",$AL3,$AJ3)+IF($G$1="破竹",$AM3*1.5,0))*(1+$BI3)*(1+$BJ3))*(1+$AN3))*$P3*(1+IF(VLOOKUP($Q3,武学奇术!$A:$ZZ,30,FALSE)="弹道",$B$21,0))*(1+$BS3)</f>
        <v>0</v>
      </c>
      <c r="P3" s="56">
        <v>1</v>
      </c>
      <c r="Q3" s="57" t="s">
        <v>72</v>
      </c>
      <c r="R3" s="57" t="s">
        <v>72</v>
      </c>
      <c r="S3" s="57" t="s">
        <v>72</v>
      </c>
      <c r="T3" s="57" t="s">
        <v>72</v>
      </c>
      <c r="U3" s="57" t="s">
        <v>72</v>
      </c>
      <c r="V3" s="57" t="s">
        <v>72</v>
      </c>
      <c r="W3" s="57" t="s">
        <v>72</v>
      </c>
      <c r="X3" s="57" t="s">
        <v>72</v>
      </c>
      <c r="Y3" s="57" t="s">
        <v>72</v>
      </c>
      <c r="Z3" s="57" t="s">
        <v>72</v>
      </c>
      <c r="AA3" s="57" t="s">
        <v>72</v>
      </c>
      <c r="AB3" s="57" t="s">
        <v>72</v>
      </c>
      <c r="AC3" s="57" t="s">
        <v>72</v>
      </c>
      <c r="AD3" s="57" t="s">
        <v>72</v>
      </c>
      <c r="AE3" s="57" t="s">
        <v>72</v>
      </c>
      <c r="AF3" s="57" t="s">
        <v>72</v>
      </c>
      <c r="AG3" s="57" t="s">
        <v>72</v>
      </c>
      <c r="AH3" s="57" t="s">
        <v>72</v>
      </c>
      <c r="AI3" t="str">
        <f>VLOOKUP($Q3,武学奇术!$A:$ZZ,25,FALSE)</f>
        <v>心法</v>
      </c>
      <c r="AJ3" s="41">
        <f>VLOOKUP($Q3,武学奇术!$A:$ZZ,26,FALSE)</f>
        <v>0</v>
      </c>
      <c r="AK3" s="42">
        <f>VLOOKUP($Q3,武学奇术!$A:$ZZ,27,FALSE)*(1+IF(OR($AI3=$F$4,$AI3=$F$5),$B$22,0))</f>
        <v>0</v>
      </c>
      <c r="AL3" s="41">
        <f>VLOOKUP($Q3,武学奇术!$A:$ZZ,28,FALSE)</f>
        <v>0</v>
      </c>
      <c r="AM3" s="42">
        <f>VLOOKUP($Q3,武学奇术!$A:$ZZ,29,FALSE)*(1+IF(OR($AI3=$F$4,$AI3=$F$5),$B$22,0))</f>
        <v>0</v>
      </c>
      <c r="AN3" s="41" cm="1">
        <f t="array" ref="AN3">$G$3+IFERROR(VLOOKUP($AI3,$F$4:$G$7,2,FALSE),0)+VLOOKUP($Q3,武学奇术!$A:$ZZ,2,FALSE)+SUM(_xlfn.XLOOKUP($R3:$AH3,增益!$A:$A,增益!$B:$B,0))</f>
        <v>0.1837</v>
      </c>
      <c r="AO3" s="41" cm="1">
        <f t="array" ref="AO3">VLOOKUP($Q3,武学奇术!$A:$ZZ,5,FALSE)+SUM(_xlfn.XLOOKUP($R3:$AH3,增益!$A:$A,增益!$E:$E,0))</f>
        <v>0</v>
      </c>
      <c r="AP3" cm="1">
        <f t="array" ref="AP3">$D$10*(1+$AO3)+VLOOKUP($Q3,武学奇术!$A:$ZZ,3,FALSE)+SUM(_xlfn.XLOOKUP($R3:$AH3,增益!$A:$A,增益!$C:$C,0))-$I$2</f>
        <v>1797.4</v>
      </c>
      <c r="AQ3" cm="1">
        <f t="array" ref="AQ3">$E$10*(1+$AO3)+VLOOKUP($Q3,武学奇术!$A:$ZZ,4,FALSE)+SUM(_xlfn.XLOOKUP($R3:$AH3,增益!$A:$A,增益!$D:$D,0))-$I$2</f>
        <v>5488</v>
      </c>
      <c r="AR3" s="49" cm="1">
        <f t="array" ref="AR3">IF($F$10-$I$3+VLOOKUP($Q3,武学奇术!$A:$ZZ,6,FALSE)+SUM(_xlfn.XLOOKUP(R3:AH3,增益!$A:$A,增益!$F:$F,0))&gt;0,($F$10-$I$3+VLOOKUP($Q3,武学奇术!$A:$ZZ,6,FALSE)+SUM(_xlfn.XLOOKUP(R3:AH3,增益!$A:$A,增益!$F:$F,0)))/200,($F$10-$I$3+VLOOKUP($Q3,武学奇术!$A:$ZZ,6,FALSE)+SUM(_xlfn.XLOOKUP(R3:AH3,增益!$A:$A,增益!$F:$F,0)))/100)</f>
        <v>0.2925</v>
      </c>
      <c r="AS3" s="49" cm="1">
        <f t="array" ref="AS3">$G$10+VLOOKUP($Q3,武学奇术!$A:$ZZ,7,FALSE)+SUM(_xlfn.XLOOKUP(R3:AH3,增益!$A:$A,增益!$G:$G,0))</f>
        <v>0</v>
      </c>
      <c r="AT3" s="41" cm="1">
        <f t="array" ref="AT3">VLOOKUP($Q3,武学奇术!$A:$ZZ,8,FALSE)+SUM(_xlfn.XLOOKUP(R3:AH3,增益!$A:$A,增益!$H:$H,0))</f>
        <v>0</v>
      </c>
      <c r="AU3">
        <f t="shared" ref="AU3:AU43" si="1">$D$11*(1+$AT3)</f>
        <v>0</v>
      </c>
      <c r="AV3">
        <f t="shared" ref="AV3:AV43" si="2">$E$11*(1+$AT3)</f>
        <v>0</v>
      </c>
      <c r="AW3" s="49" cm="1">
        <f t="array" ref="AW3">IF($F$11-$I$4+VLOOKUP($Q3,武学奇术!$A:$ZZ,9,FALSE)+SUM(_xlfn.XLOOKUP(R3:AH3,增益!$A:$A,增益!$I:$I,0))&gt;0,($F$11-$I$4+VLOOKUP($Q3,武学奇术!$A:$ZZ,9,FALSE)+SUM(_xlfn.XLOOKUP(R3:AH3,增益!$A:$A,增益!$I:$I,0)))/200,($F$11-$I$4+VLOOKUP($Q3,武学奇术!$A:$ZZ,9,FALSE)+SUM(_xlfn.XLOOKUP(R3:AH3,增益!$A:$A,增益!$I:$I,0)))/100)</f>
        <v>-0.3</v>
      </c>
      <c r="AX3" s="49" cm="1">
        <f t="array" ref="AX3">$G$11+VLOOKUP($Q3,武学奇术!$A:$ZZ,10,FALSE)+SUM(_xlfn.XLOOKUP(R3:AH3,增益!$A:$A,增益!$J:$J,0))</f>
        <v>0</v>
      </c>
      <c r="AY3">
        <f t="shared" ref="AY3:AY43" si="3">$D$12*(1+$AT3)</f>
        <v>0</v>
      </c>
      <c r="AZ3">
        <f t="shared" ref="AZ3:AZ43" si="4">$E$12*(1+$AT3)</f>
        <v>0</v>
      </c>
      <c r="BA3" s="49" cm="1">
        <f t="array" ref="BA3">IF($F$12-$I$4+VLOOKUP($Q3,武学奇术!$A:$ZZ,11,FALSE)+SUM(_xlfn.XLOOKUP(R3:AH3,增益!$A:$A,增益!$K:$K,0))&gt;0,($F$12-$I$4+VLOOKUP($Q3,武学奇术!$A:$ZZ,11,FALSE)+SUM(_xlfn.XLOOKUP(R3:AH3,增益!$A:$A,增益!$K:$K,0)))/200,($F$12-$I$4+VLOOKUP($Q3,武学奇术!$A:$ZZ,11,FALSE)+SUM(_xlfn.XLOOKUP(R3:AH3,增益!$A:$A,增益!$K:$K,0)))/100)</f>
        <v>-0.3</v>
      </c>
      <c r="BB3" s="49" cm="1">
        <f t="array" ref="BB3">$G$12+VLOOKUP($Q3,武学奇术!$A:$ZZ,12,FALSE)+SUM(_xlfn.XLOOKUP(R3:AH3,增益!$A:$A,增益!$L:$L,0))</f>
        <v>0</v>
      </c>
      <c r="BC3">
        <f t="shared" ref="BC3:BC34" si="5">$D$13*(1+$AT3)</f>
        <v>571.2</v>
      </c>
      <c r="BD3">
        <f t="shared" ref="BD3:BD34" si="6">$E$13*(1+$AT3)</f>
        <v>1077.4</v>
      </c>
      <c r="BE3" s="49" cm="1">
        <f t="array" ref="BE3">IF($F$13-$I$4+VLOOKUP($Q3,武学奇术!$A:$ZZ,13,FALSE)+SUM(_xlfn.XLOOKUP(R3:AH3,增益!$A:$A,增益!$M:$M,0))&gt;0,($F$13-$I$4+VLOOKUP($Q3,武学奇术!$A:$ZZ,13,FALSE)+SUM(_xlfn.XLOOKUP(R3:AH3,增益!$A:$A,增益!$K:$K,0)))/200,($F$13-$I$4+VLOOKUP($Q3,武学奇术!$A:$ZZ,13,FALSE)+SUM(_xlfn.XLOOKUP(R3:AH3,增益!$A:$A,增益!$M:$M,0)))/100)</f>
        <v>0</v>
      </c>
      <c r="BF3" s="49" cm="1">
        <f t="array" ref="BF3">$G$13+VLOOKUP($Q3,武学奇术!$A:$ZZ,14,FALSE)+SUM(_xlfn.XLOOKUP(R3:AH3,增益!$A:$A,增益!$N:$N,0))</f>
        <v>0.15</v>
      </c>
      <c r="BG3">
        <f t="shared" ref="BG3:BG34" si="7">$D$14*(1+$AT3)</f>
        <v>0</v>
      </c>
      <c r="BH3">
        <f t="shared" ref="BH3:BH34" si="8">$E$14*(1+$AT3)</f>
        <v>0</v>
      </c>
      <c r="BI3" s="49" cm="1">
        <f t="array" ref="BI3">IF($F$14-$I$4+VLOOKUP($Q3,武学奇术!$A:$ZZ,15,FALSE)+SUM(_xlfn.XLOOKUP(R3:AH3,增益!$A:$A,增益!$O:$O,0))&gt;0,($F$14-$I$4+VLOOKUP($Q3,武学奇术!$A:$ZZ,15,FALSE)+SUM(_xlfn.XLOOKUP(R3:AH3,增益!$A:$A,增益!$O:$O,0)))/200,($F$14-$I$4+VLOOKUP($Q3,武学奇术!$A:$ZZ,15,FALSE)+SUM(_xlfn.XLOOKUP(R3:AH3,增益!$A:$A,增益!$O:$O,0)))/100)</f>
        <v>-0.3</v>
      </c>
      <c r="BJ3" s="49" cm="1">
        <f t="array" ref="BJ3">$G$14+VLOOKUP($Q3,武学奇术!$A:$ZZ,16,FALSE)+SUM(_xlfn.XLOOKUP(R3:AH3,增益!$A:$A,增益!$P:$P,0))</f>
        <v>0</v>
      </c>
      <c r="BK3" s="41">
        <f>MIN(IF(VLOOKUP($Q3,武学奇术!$A:$ZZ,23,FALSE)=1,100%,$B$8),100%)</f>
        <v>1</v>
      </c>
      <c r="BL3" s="41" cm="1">
        <f t="array" ref="BL3">IF(VLOOKUP($Q3,武学奇术!$A:$ZZ,23,FALSE)=1,100%,MIN(80%,$B$9+VLOOKUP($Q3,武学奇术!$A:$ZZ,17,FALSE)+SUM(_xlfn.XLOOKUP(R3:AH3,增益!$A:$A,增益!$Q:$Q,0)))+$B$11+SUM(_xlfn.XLOOKUP(R3:AH3,增益!$A:$A,增益!$U:$U,0)))*IF(VLOOKUP($Q3,武学奇术!$A:$ZZ,24,FALSE)=1,0,1)</f>
        <v>0.9045</v>
      </c>
      <c r="BM3" s="41" cm="1">
        <f t="array" ref="BM3">1+$B$13+VLOOKUP($Q3,武学奇术!$A:$ZZ,18,FALSE)+SUM(_xlfn.XLOOKUP(R3:AH3,增益!$A:$A,增益!$R:$R,0))</f>
        <v>1.5</v>
      </c>
      <c r="BN3" s="41" cm="1">
        <f t="array" ref="BN3">IF(VLOOKUP($Q3,武学奇术!$A:$ZZ,24,FALSE)=1,100%,MIN(40%,$B$10+VLOOKUP($Q3,武学奇术!$A:$ZZ,19,FALSE)+SUM(_xlfn.XLOOKUP(R3:AH3,增益!$A:$A,增益!$S:$S,0)))+$B$12+SUM(_xlfn.XLOOKUP(R3:AH3,增益!$A:$A,增益!$V:$V,0)))*IF(VLOOKUP($Q3,武学奇术!$A:$ZZ,23,FALSE)=1,0,1)</f>
        <v>0.0929</v>
      </c>
      <c r="BO3" s="41" cm="1">
        <f t="array" ref="BO3">1+$B$14+VLOOKUP($Q3,武学奇术!$A:$ZZ,20,FALSE)+SUM(_xlfn.XLOOKUP(R3:AH3,增益!$A:$A,增益!$T:$T,0))</f>
        <v>1.35</v>
      </c>
      <c r="BP3" s="41">
        <f t="shared" ref="BP3:BP27" si="9">MIN((1-BN3)*BK3,BK3*BL3)</f>
        <v>0.9045</v>
      </c>
      <c r="BQ3" s="41">
        <f t="shared" ref="BQ3:BQ34" si="10">1-BN3-BP3-BR3</f>
        <v>0.00260000000000005</v>
      </c>
      <c r="BR3" s="41">
        <f>IF(VLOOKUP($Q3,武学奇术!$A:$ZZ,22,FALSE)=1,0,(1-$BK3))*(1-$BN3)</f>
        <v>0</v>
      </c>
      <c r="BS3" s="41" cm="1">
        <f t="array" ref="BS3">SUM(_xlfn.XLOOKUP(R3:AH3,增益!$A:$A,增益!$W:$W,0))+$I$5</f>
        <v>0.06</v>
      </c>
    </row>
    <row r="4" ht="15.15" spans="1:71">
      <c r="A4" s="67" t="s">
        <v>75</v>
      </c>
      <c r="B4" s="68"/>
      <c r="C4" s="68"/>
      <c r="D4" s="68"/>
      <c r="E4" s="69"/>
      <c r="F4" s="62" t="s">
        <v>76</v>
      </c>
      <c r="G4" s="66">
        <f>B15+B17</f>
        <v>0.1704</v>
      </c>
      <c r="H4" s="70" t="s">
        <v>77</v>
      </c>
      <c r="I4" s="15">
        <f>30</f>
        <v>30</v>
      </c>
      <c r="K4" s="55">
        <f t="shared" si="0"/>
        <v>0</v>
      </c>
      <c r="L4" s="55">
        <f>((($AP4+$AQ4)/2*$AJ4+$AK4)*(1+$AR4)*(1+$AS4)+(($AU4+$AV4)/2*IF($G$1="鸣金",$AL4,$AJ4)+IF($G$1="鸣金",$AM4*1.5,0))*(1+$AW4)*(1+$AX4)+(($AY4+$AZ4)/2*IF($G$1="裂石",$AL4,$AJ4)+IF($G$1="裂石",$AM4*1.5,0))*(1+$BA4)*(1+$BB4)+(($BC4+$BD4)/2*IF($G$1="牵丝",$AL4,$AJ4)+IF($G$1="牵丝",$AM4*1.5,0))*(1+$BE4)*(1+$BF4)+(($BG4+$BH4)/2*IF($G$1="破竹",$AL4,$AJ4)+IF($G$1="破竹",$AM4*1.5,0))*(1+$BI4)*(1+$BJ4))*(1+$AN4)*$BM4*$P4*(1+IF(VLOOKUP($Q4,武学奇术!$A:$ZZ,30,FALSE)="弹道",$B$21,0))*(1+$BS4)</f>
        <v>0</v>
      </c>
      <c r="M4" s="55">
        <f>(($AQ4*$AJ4+$AK4)*(1+$AR4)*(1+$AS4)+($AV4*IF($G$1="鸣金",$AL4,$AJ4)+IF($G$1="鸣金",$AM4*1.5,0))*(1+$AW4)*(1+$AX4)+($AZ4*IF($G$1="裂石",$AL4,$AJ4)+IF($G$1="裂石",$AM4*1.5,0))*(1+$BA4)*(1+$BB4)+($BD4*IF($G$1="牵丝",$AL4,$AJ4)+IF($G$1="牵丝",$AM4*1.5,0))*(1+$BE4)*(1+$BF4)+($BH4*IF($G$1="破竹",$AL4,$AJ4)+IF($G$1="破竹",$AM4*1.5,0))*(1+$BI4)*(1+$BJ4))*(1+$AN4)*$BO4*$P4*(1+IF(VLOOKUP($Q4,武学奇术!$A:$ZZ,30,FALSE)="弹道",$B$21,0))*(1+$BS4)</f>
        <v>0</v>
      </c>
      <c r="N4" s="55">
        <f>((($AP4+$AQ4)/2*$AJ4+$AK4)*(1+$AR4)*(1+$AS4)+(($AU4+$AV4)/2*IF($G$1="鸣金",$AL4,$AJ4)+IF($G$1="鸣金",$AM4*1.5,0))*(1+$AW4)*(1+$AX4)+(($AY4+$AZ4)/2*IF($G$1="裂石",$AL4,$AJ4)+IF($G$1="裂石",$AM4*1.5,0))*(1+$BA4)*(1+$BB4)+(($BC4+$BD4)/2*IF($G$1="牵丝",$AL4,$AJ4)+IF($G$1="牵丝",$AM4*1.5,0))*(1+$BE4)*(1+$BF4)+(($BG4+$BH4)/2*IF($G$1="破竹",$AL4,$AJ4)+IF($G$1="破竹",$AM4*1.5,0))*(1+$BI4)*(1+$BJ4))*(1+$AN4)*$P4*(1+IF(VLOOKUP($Q4,武学奇术!$A:$ZZ,30,FALSE)="弹道",$B$21,0))*(1+$BS4)</f>
        <v>0</v>
      </c>
      <c r="O4" s="55">
        <f>((($AP4*$AJ4+$AK4)*(1+$AR4)*(1+$AS4)+($AU4*IF($G$1="鸣金",$AL4,$AJ4)+IF($G$1="鸣金",$AM4*1.5,0))*(1+$AW4)*(1+$AX4)+($AY4*IF($G$1="裂石",$AL4,$AJ4)+IF($G$1="裂石",$AM4*1.5,0))*(1+$BA4)*(1+$BB4)+($BC4*IF($G$1="牵丝",$AL4,$AJ4)+IF($G$1="牵丝",$AM4*1.5,0))*(1+$BE4)*(1+$BF4)+($BG4*IF($G$1="破竹",$AL4,$AJ4)+IF($G$1="破竹",$AM4*1.5,0))*(1+$BI4)*(1+$BJ4))*(1+$AN4))*$P4*(1+IF(VLOOKUP($Q4,武学奇术!$A:$ZZ,30,FALSE)="弹道",$B$21,0))*(1+$BS4)</f>
        <v>0</v>
      </c>
      <c r="P4" s="56">
        <v>1</v>
      </c>
      <c r="Q4" s="57" t="s">
        <v>72</v>
      </c>
      <c r="R4" s="57" t="s">
        <v>72</v>
      </c>
      <c r="S4" s="57" t="s">
        <v>72</v>
      </c>
      <c r="T4" s="57" t="s">
        <v>72</v>
      </c>
      <c r="U4" s="57" t="s">
        <v>72</v>
      </c>
      <c r="V4" s="57" t="s">
        <v>72</v>
      </c>
      <c r="W4" s="57" t="s">
        <v>72</v>
      </c>
      <c r="X4" s="57" t="s">
        <v>72</v>
      </c>
      <c r="Y4" s="57" t="s">
        <v>72</v>
      </c>
      <c r="Z4" s="57" t="s">
        <v>72</v>
      </c>
      <c r="AA4" s="57" t="s">
        <v>72</v>
      </c>
      <c r="AB4" s="57" t="s">
        <v>72</v>
      </c>
      <c r="AC4" s="57" t="s">
        <v>72</v>
      </c>
      <c r="AD4" s="57" t="s">
        <v>72</v>
      </c>
      <c r="AE4" s="57" t="s">
        <v>72</v>
      </c>
      <c r="AF4" s="57" t="s">
        <v>72</v>
      </c>
      <c r="AG4" s="57" t="s">
        <v>72</v>
      </c>
      <c r="AH4" s="57" t="s">
        <v>72</v>
      </c>
      <c r="AI4" t="str">
        <f>VLOOKUP($Q4,武学奇术!$A:$ZZ,25,FALSE)</f>
        <v>心法</v>
      </c>
      <c r="AJ4" s="41">
        <f>VLOOKUP($Q4,武学奇术!$A:$ZZ,26,FALSE)</f>
        <v>0</v>
      </c>
      <c r="AK4" s="42">
        <f>VLOOKUP($Q4,武学奇术!$A:$ZZ,27,FALSE)*(1+IF(OR($AI4=$F$4,$AI4=$F$5),$B$22,0))</f>
        <v>0</v>
      </c>
      <c r="AL4" s="41">
        <f>VLOOKUP($Q4,武学奇术!$A:$ZZ,28,FALSE)</f>
        <v>0</v>
      </c>
      <c r="AM4" s="42">
        <f>VLOOKUP($Q4,武学奇术!$A:$ZZ,29,FALSE)*(1+IF(OR($AI4=$F$4,$AI4=$F$5),$B$22,0))</f>
        <v>0</v>
      </c>
      <c r="AN4" s="41" cm="1">
        <f t="array" ref="AN4">$G$3+IFERROR(VLOOKUP($AI4,$F$4:$G$7,2,FALSE),0)+VLOOKUP($Q4,武学奇术!$A:$ZZ,2,FALSE)+SUM(_xlfn.XLOOKUP($R4:$AH4,增益!$A:$A,增益!$B:$B,0))</f>
        <v>0.1837</v>
      </c>
      <c r="AO4" s="41" cm="1">
        <f t="array" ref="AO4">VLOOKUP($Q4,武学奇术!$A:$ZZ,5,FALSE)+SUM(_xlfn.XLOOKUP($R4:$AH4,增益!$A:$A,增益!$E:$E,0))</f>
        <v>0</v>
      </c>
      <c r="AP4" cm="1">
        <f t="array" ref="AP4">$D$10*(1+$AO4)+VLOOKUP($Q4,武学奇术!$A:$ZZ,3,FALSE)+SUM(_xlfn.XLOOKUP($R4:$AH4,增益!$A:$A,增益!$C:$C,0))-$I$2</f>
        <v>1797.4</v>
      </c>
      <c r="AQ4" cm="1">
        <f t="array" ref="AQ4">$E$10*(1+$AO4)+VLOOKUP($Q4,武学奇术!$A:$ZZ,4,FALSE)+SUM(_xlfn.XLOOKUP($R4:$AH4,增益!$A:$A,增益!$D:$D,0))-$I$2</f>
        <v>5488</v>
      </c>
      <c r="AR4" s="49" cm="1">
        <f t="array" ref="AR4">IF($F$10-$I$3+VLOOKUP($Q4,武学奇术!$A:$ZZ,6,FALSE)+SUM(_xlfn.XLOOKUP(R4:AH4,增益!$A:$A,增益!$F:$F,0))&gt;0,($F$10-$I$3+VLOOKUP($Q4,武学奇术!$A:$ZZ,6,FALSE)+SUM(_xlfn.XLOOKUP(R4:AH4,增益!$A:$A,增益!$F:$F,0)))/200,($F$10-$I$3+VLOOKUP($Q4,武学奇术!$A:$ZZ,6,FALSE)+SUM(_xlfn.XLOOKUP(R4:AH4,增益!$A:$A,增益!$F:$F,0)))/100)</f>
        <v>0.2925</v>
      </c>
      <c r="AS4" s="49" cm="1">
        <f t="array" ref="AS4">$G$10+VLOOKUP($Q4,武学奇术!$A:$ZZ,7,FALSE)+SUM(_xlfn.XLOOKUP(R4:AH4,增益!$A:$A,增益!$G:$G,0))</f>
        <v>0</v>
      </c>
      <c r="AT4" s="41" cm="1">
        <f t="array" ref="AT4">VLOOKUP($Q4,武学奇术!$A:$ZZ,8,FALSE)+SUM(_xlfn.XLOOKUP(R4:AH4,增益!$A:$A,增益!$H:$H,0))</f>
        <v>0</v>
      </c>
      <c r="AU4">
        <f t="shared" si="1"/>
        <v>0</v>
      </c>
      <c r="AV4">
        <f t="shared" si="2"/>
        <v>0</v>
      </c>
      <c r="AW4" s="49" cm="1">
        <f t="array" ref="AW4">IF($F$11-$I$4+VLOOKUP($Q4,武学奇术!$A:$ZZ,9,FALSE)+SUM(_xlfn.XLOOKUP(R4:AH4,增益!$A:$A,增益!$I:$I,0))&gt;0,($F$11-$I$4+VLOOKUP($Q4,武学奇术!$A:$ZZ,9,FALSE)+SUM(_xlfn.XLOOKUP(R4:AH4,增益!$A:$A,增益!$I:$I,0)))/200,($F$11-$I$4+VLOOKUP($Q4,武学奇术!$A:$ZZ,9,FALSE)+SUM(_xlfn.XLOOKUP(R4:AH4,增益!$A:$A,增益!$I:$I,0)))/100)</f>
        <v>-0.3</v>
      </c>
      <c r="AX4" s="49" cm="1">
        <f t="array" ref="AX4">$G$11+VLOOKUP($Q4,武学奇术!$A:$ZZ,10,FALSE)+SUM(_xlfn.XLOOKUP(R4:AH4,增益!$A:$A,增益!$J:$J,0))</f>
        <v>0</v>
      </c>
      <c r="AY4">
        <f t="shared" si="3"/>
        <v>0</v>
      </c>
      <c r="AZ4">
        <f t="shared" si="4"/>
        <v>0</v>
      </c>
      <c r="BA4" s="49" cm="1">
        <f t="array" ref="BA4">IF($F$12-$I$4+VLOOKUP($Q4,武学奇术!$A:$ZZ,11,FALSE)+SUM(_xlfn.XLOOKUP(R4:AH4,增益!$A:$A,增益!$K:$K,0))&gt;0,($F$12-$I$4+VLOOKUP($Q4,武学奇术!$A:$ZZ,11,FALSE)+SUM(_xlfn.XLOOKUP(R4:AH4,增益!$A:$A,增益!$K:$K,0)))/200,($F$12-$I$4+VLOOKUP($Q4,武学奇术!$A:$ZZ,11,FALSE)+SUM(_xlfn.XLOOKUP(R4:AH4,增益!$A:$A,增益!$K:$K,0)))/100)</f>
        <v>-0.3</v>
      </c>
      <c r="BB4" s="49" cm="1">
        <f t="array" ref="BB4">$G$12+VLOOKUP($Q4,武学奇术!$A:$ZZ,12,FALSE)+SUM(_xlfn.XLOOKUP(R4:AH4,增益!$A:$A,增益!$L:$L,0))</f>
        <v>0</v>
      </c>
      <c r="BC4">
        <f t="shared" si="5"/>
        <v>571.2</v>
      </c>
      <c r="BD4">
        <f t="shared" si="6"/>
        <v>1077.4</v>
      </c>
      <c r="BE4" s="49" cm="1">
        <f t="array" ref="BE4">IF($F$13-$I$4+VLOOKUP($Q4,武学奇术!$A:$ZZ,13,FALSE)+SUM(_xlfn.XLOOKUP(R4:AH4,增益!$A:$A,增益!$M:$M,0))&gt;0,($F$13-$I$4+VLOOKUP($Q4,武学奇术!$A:$ZZ,13,FALSE)+SUM(_xlfn.XLOOKUP(R4:AH4,增益!$A:$A,增益!$K:$K,0)))/200,($F$13-$I$4+VLOOKUP($Q4,武学奇术!$A:$ZZ,13,FALSE)+SUM(_xlfn.XLOOKUP(R4:AH4,增益!$A:$A,增益!$M:$M,0)))/100)</f>
        <v>0</v>
      </c>
      <c r="BF4" s="49" cm="1">
        <f t="array" ref="BF4">$G$13+VLOOKUP($Q4,武学奇术!$A:$ZZ,14,FALSE)+SUM(_xlfn.XLOOKUP(R4:AH4,增益!$A:$A,增益!$N:$N,0))</f>
        <v>0.15</v>
      </c>
      <c r="BG4">
        <f t="shared" si="7"/>
        <v>0</v>
      </c>
      <c r="BH4">
        <f t="shared" si="8"/>
        <v>0</v>
      </c>
      <c r="BI4" s="49" cm="1">
        <f t="array" ref="BI4">IF($F$14-$I$4+VLOOKUP($Q4,武学奇术!$A:$ZZ,15,FALSE)+SUM(_xlfn.XLOOKUP(R4:AH4,增益!$A:$A,增益!$O:$O,0))&gt;0,($F$14-$I$4+VLOOKUP($Q4,武学奇术!$A:$ZZ,15,FALSE)+SUM(_xlfn.XLOOKUP(R4:AH4,增益!$A:$A,增益!$O:$O,0)))/200,($F$14-$I$4+VLOOKUP($Q4,武学奇术!$A:$ZZ,15,FALSE)+SUM(_xlfn.XLOOKUP(R4:AH4,增益!$A:$A,增益!$O:$O,0)))/100)</f>
        <v>-0.3</v>
      </c>
      <c r="BJ4" s="49" cm="1">
        <f t="array" ref="BJ4">$G$14+VLOOKUP($Q4,武学奇术!$A:$ZZ,16,FALSE)+SUM(_xlfn.XLOOKUP(R4:AH4,增益!$A:$A,增益!$P:$P,0))</f>
        <v>0</v>
      </c>
      <c r="BK4" s="41">
        <f>MIN(IF(VLOOKUP($Q4,武学奇术!$A:$ZZ,23,FALSE)=1,100%,$B$8),100%)</f>
        <v>1</v>
      </c>
      <c r="BL4" s="41" cm="1">
        <f t="array" ref="BL4">IF(VLOOKUP($Q4,武学奇术!$A:$ZZ,23,FALSE)=1,100%,MIN(80%,$B$9+VLOOKUP($Q4,武学奇术!$A:$ZZ,17,FALSE)+SUM(_xlfn.XLOOKUP(R4:AH4,增益!$A:$A,增益!$Q:$Q,0)))+$B$11+SUM(_xlfn.XLOOKUP(R4:AH4,增益!$A:$A,增益!$U:$U,0)))*IF(VLOOKUP($Q4,武学奇术!$A:$ZZ,24,FALSE)=1,0,1)</f>
        <v>0.9045</v>
      </c>
      <c r="BM4" s="41" cm="1">
        <f t="array" ref="BM4">1+$B$13+VLOOKUP($Q4,武学奇术!$A:$ZZ,18,FALSE)+SUM(_xlfn.XLOOKUP(R4:AH4,增益!$A:$A,增益!$R:$R,0))</f>
        <v>1.5</v>
      </c>
      <c r="BN4" s="41" cm="1">
        <f t="array" ref="BN4">IF(VLOOKUP($Q4,武学奇术!$A:$ZZ,24,FALSE)=1,100%,MIN(40%,$B$10+VLOOKUP($Q4,武学奇术!$A:$ZZ,19,FALSE)+SUM(_xlfn.XLOOKUP(R4:AH4,增益!$A:$A,增益!$S:$S,0)))+$B$12+SUM(_xlfn.XLOOKUP(R4:AH4,增益!$A:$A,增益!$V:$V,0)))*IF(VLOOKUP($Q4,武学奇术!$A:$ZZ,23,FALSE)=1,0,1)</f>
        <v>0.0929</v>
      </c>
      <c r="BO4" s="41" cm="1">
        <f t="array" ref="BO4">1+$B$14+VLOOKUP($Q4,武学奇术!$A:$ZZ,20,FALSE)+SUM(_xlfn.XLOOKUP(R4:AH4,增益!$A:$A,增益!$T:$T,0))</f>
        <v>1.35</v>
      </c>
      <c r="BP4" s="41">
        <f t="shared" si="9"/>
        <v>0.9045</v>
      </c>
      <c r="BQ4" s="41">
        <f t="shared" si="10"/>
        <v>0.00260000000000005</v>
      </c>
      <c r="BR4" s="41">
        <f>IF(VLOOKUP($Q4,武学奇术!$A:$ZZ,22,FALSE)=1,0,(1-$BK4))*(1-$BN4)</f>
        <v>0</v>
      </c>
      <c r="BS4" s="41" cm="1">
        <f t="array" ref="BS4">SUM(_xlfn.XLOOKUP(R4:AH4,增益!$A:$A,增益!$W:$W,0))+$I$5</f>
        <v>0.06</v>
      </c>
    </row>
    <row r="5" spans="1:71">
      <c r="A5" s="71" t="s">
        <v>5</v>
      </c>
      <c r="B5" s="72">
        <v>492</v>
      </c>
      <c r="C5" s="72">
        <v>985</v>
      </c>
      <c r="D5" s="72">
        <v>30</v>
      </c>
      <c r="E5" s="73">
        <v>0.15</v>
      </c>
      <c r="F5" s="62" t="s">
        <v>78</v>
      </c>
      <c r="G5" s="66">
        <f>B15+B18</f>
        <v>0.0852</v>
      </c>
      <c r="H5" t="s">
        <v>79</v>
      </c>
      <c r="I5" s="44">
        <v>0.06</v>
      </c>
      <c r="K5" s="55">
        <f t="shared" si="0"/>
        <v>0</v>
      </c>
      <c r="L5" s="55">
        <f>((($AP5+$AQ5)/2*$AJ5+$AK5)*(1+$AR5)*(1+$AS5)+(($AU5+$AV5)/2*IF($G$1="鸣金",$AL5,$AJ5)+IF($G$1="鸣金",$AM5*1.5,0))*(1+$AW5)*(1+$AX5)+(($AY5+$AZ5)/2*IF($G$1="裂石",$AL5,$AJ5)+IF($G$1="裂石",$AM5*1.5,0))*(1+$BA5)*(1+$BB5)+(($BC5+$BD5)/2*IF($G$1="牵丝",$AL5,$AJ5)+IF($G$1="牵丝",$AM5*1.5,0))*(1+$BE5)*(1+$BF5)+(($BG5+$BH5)/2*IF($G$1="破竹",$AL5,$AJ5)+IF($G$1="破竹",$AM5*1.5,0))*(1+$BI5)*(1+$BJ5))*(1+$AN5)*$BM5*$P5*(1+IF(VLOOKUP($Q5,武学奇术!$A:$ZZ,30,FALSE)="弹道",$B$21,0))*(1+$BS5)</f>
        <v>0</v>
      </c>
      <c r="M5" s="55">
        <f>(($AQ5*$AJ5+$AK5)*(1+$AR5)*(1+$AS5)+($AV5*IF($G$1="鸣金",$AL5,$AJ5)+IF($G$1="鸣金",$AM5*1.5,0))*(1+$AW5)*(1+$AX5)+($AZ5*IF($G$1="裂石",$AL5,$AJ5)+IF($G$1="裂石",$AM5*1.5,0))*(1+$BA5)*(1+$BB5)+($BD5*IF($G$1="牵丝",$AL5,$AJ5)+IF($G$1="牵丝",$AM5*1.5,0))*(1+$BE5)*(1+$BF5)+($BH5*IF($G$1="破竹",$AL5,$AJ5)+IF($G$1="破竹",$AM5*1.5,0))*(1+$BI5)*(1+$BJ5))*(1+$AN5)*$BO5*$P5*(1+IF(VLOOKUP($Q5,武学奇术!$A:$ZZ,30,FALSE)="弹道",$B$21,0))*(1+$BS5)</f>
        <v>0</v>
      </c>
      <c r="N5" s="55">
        <f>((($AP5+$AQ5)/2*$AJ5+$AK5)*(1+$AR5)*(1+$AS5)+(($AU5+$AV5)/2*IF($G$1="鸣金",$AL5,$AJ5)+IF($G$1="鸣金",$AM5*1.5,0))*(1+$AW5)*(1+$AX5)+(($AY5+$AZ5)/2*IF($G$1="裂石",$AL5,$AJ5)+IF($G$1="裂石",$AM5*1.5,0))*(1+$BA5)*(1+$BB5)+(($BC5+$BD5)/2*IF($G$1="牵丝",$AL5,$AJ5)+IF($G$1="牵丝",$AM5*1.5,0))*(1+$BE5)*(1+$BF5)+(($BG5+$BH5)/2*IF($G$1="破竹",$AL5,$AJ5)+IF($G$1="破竹",$AM5*1.5,0))*(1+$BI5)*(1+$BJ5))*(1+$AN5)*$P5*(1+IF(VLOOKUP($Q5,武学奇术!$A:$ZZ,30,FALSE)="弹道",$B$21,0))*(1+$BS5)</f>
        <v>0</v>
      </c>
      <c r="O5" s="55">
        <f>((($AP5*$AJ5+$AK5)*(1+$AR5)*(1+$AS5)+($AU5*IF($G$1="鸣金",$AL5,$AJ5)+IF($G$1="鸣金",$AM5*1.5,0))*(1+$AW5)*(1+$AX5)+($AY5*IF($G$1="裂石",$AL5,$AJ5)+IF($G$1="裂石",$AM5*1.5,0))*(1+$BA5)*(1+$BB5)+($BC5*IF($G$1="牵丝",$AL5,$AJ5)+IF($G$1="牵丝",$AM5*1.5,0))*(1+$BE5)*(1+$BF5)+($BG5*IF($G$1="破竹",$AL5,$AJ5)+IF($G$1="破竹",$AM5*1.5,0))*(1+$BI5)*(1+$BJ5))*(1+$AN5))*$P5*(1+IF(VLOOKUP($Q5,武学奇术!$A:$ZZ,30,FALSE)="弹道",$B$21,0))*(1+$BS5)</f>
        <v>0</v>
      </c>
      <c r="P5" s="56">
        <v>1</v>
      </c>
      <c r="Q5" s="57" t="s">
        <v>72</v>
      </c>
      <c r="R5" s="57" t="s">
        <v>72</v>
      </c>
      <c r="S5" s="57" t="s">
        <v>72</v>
      </c>
      <c r="T5" s="57" t="s">
        <v>72</v>
      </c>
      <c r="U5" s="57" t="s">
        <v>72</v>
      </c>
      <c r="V5" s="57" t="s">
        <v>72</v>
      </c>
      <c r="W5" s="57" t="s">
        <v>72</v>
      </c>
      <c r="X5" s="57" t="s">
        <v>72</v>
      </c>
      <c r="Y5" s="57" t="s">
        <v>72</v>
      </c>
      <c r="Z5" s="57" t="s">
        <v>72</v>
      </c>
      <c r="AA5" s="57" t="s">
        <v>72</v>
      </c>
      <c r="AB5" s="57" t="s">
        <v>72</v>
      </c>
      <c r="AC5" s="57" t="s">
        <v>72</v>
      </c>
      <c r="AD5" s="57" t="s">
        <v>72</v>
      </c>
      <c r="AE5" s="57" t="s">
        <v>72</v>
      </c>
      <c r="AF5" s="57" t="s">
        <v>72</v>
      </c>
      <c r="AG5" s="57" t="s">
        <v>72</v>
      </c>
      <c r="AH5" s="57" t="s">
        <v>72</v>
      </c>
      <c r="AI5" t="str">
        <f>VLOOKUP($Q5,武学奇术!$A:$ZZ,25,FALSE)</f>
        <v>心法</v>
      </c>
      <c r="AJ5" s="41">
        <f>VLOOKUP($Q5,武学奇术!$A:$ZZ,26,FALSE)</f>
        <v>0</v>
      </c>
      <c r="AK5" s="42">
        <f>VLOOKUP($Q5,武学奇术!$A:$ZZ,27,FALSE)*(1+IF(OR($AI5=$F$4,$AI5=$F$5),$B$22,0))</f>
        <v>0</v>
      </c>
      <c r="AL5" s="41">
        <f>VLOOKUP($Q5,武学奇术!$A:$ZZ,28,FALSE)</f>
        <v>0</v>
      </c>
      <c r="AM5" s="42">
        <f>VLOOKUP($Q5,武学奇术!$A:$ZZ,29,FALSE)*(1+IF(OR($AI5=$F$4,$AI5=$F$5),$B$22,0))</f>
        <v>0</v>
      </c>
      <c r="AN5" s="41" cm="1">
        <f t="array" ref="AN5">$G$3+IFERROR(VLOOKUP($AI5,$F$4:$G$7,2,FALSE),0)+VLOOKUP($Q5,武学奇术!$A:$ZZ,2,FALSE)+SUM(_xlfn.XLOOKUP($R5:$AH5,增益!$A:$A,增益!$B:$B,0))</f>
        <v>0.1837</v>
      </c>
      <c r="AO5" s="41" cm="1">
        <f t="array" ref="AO5">VLOOKUP($Q5,武学奇术!$A:$ZZ,5,FALSE)+SUM(_xlfn.XLOOKUP($R5:$AH5,增益!$A:$A,增益!$E:$E,0))</f>
        <v>0</v>
      </c>
      <c r="AP5" cm="1">
        <f t="array" ref="AP5">$D$10*(1+$AO5)+VLOOKUP($Q5,武学奇术!$A:$ZZ,3,FALSE)+SUM(_xlfn.XLOOKUP($R5:$AH5,增益!$A:$A,增益!$C:$C,0))-$I$2</f>
        <v>1797.4</v>
      </c>
      <c r="AQ5" cm="1">
        <f t="array" ref="AQ5">$E$10*(1+$AO5)+VLOOKUP($Q5,武学奇术!$A:$ZZ,4,FALSE)+SUM(_xlfn.XLOOKUP($R5:$AH5,增益!$A:$A,增益!$D:$D,0))-$I$2</f>
        <v>5488</v>
      </c>
      <c r="AR5" s="49" cm="1">
        <f t="array" ref="AR5">IF($F$10-$I$3+VLOOKUP($Q5,武学奇术!$A:$ZZ,6,FALSE)+SUM(_xlfn.XLOOKUP(R5:AH5,增益!$A:$A,增益!$F:$F,0))&gt;0,($F$10-$I$3+VLOOKUP($Q5,武学奇术!$A:$ZZ,6,FALSE)+SUM(_xlfn.XLOOKUP(R5:AH5,增益!$A:$A,增益!$F:$F,0)))/200,($F$10-$I$3+VLOOKUP($Q5,武学奇术!$A:$ZZ,6,FALSE)+SUM(_xlfn.XLOOKUP(R5:AH5,增益!$A:$A,增益!$F:$F,0)))/100)</f>
        <v>0.2925</v>
      </c>
      <c r="AS5" s="49" cm="1">
        <f t="array" ref="AS5">$G$10+VLOOKUP($Q5,武学奇术!$A:$ZZ,7,FALSE)+SUM(_xlfn.XLOOKUP(R5:AH5,增益!$A:$A,增益!$G:$G,0))</f>
        <v>0</v>
      </c>
      <c r="AT5" s="41" cm="1">
        <f t="array" ref="AT5">VLOOKUP($Q5,武学奇术!$A:$ZZ,8,FALSE)+SUM(_xlfn.XLOOKUP(R5:AH5,增益!$A:$A,增益!$H:$H,0))</f>
        <v>0</v>
      </c>
      <c r="AU5">
        <f t="shared" si="1"/>
        <v>0</v>
      </c>
      <c r="AV5">
        <f t="shared" si="2"/>
        <v>0</v>
      </c>
      <c r="AW5" s="49" cm="1">
        <f t="array" ref="AW5">IF($F$11-$I$4+VLOOKUP($Q5,武学奇术!$A:$ZZ,9,FALSE)+SUM(_xlfn.XLOOKUP(R5:AH5,增益!$A:$A,增益!$I:$I,0))&gt;0,($F$11-$I$4+VLOOKUP($Q5,武学奇术!$A:$ZZ,9,FALSE)+SUM(_xlfn.XLOOKUP(R5:AH5,增益!$A:$A,增益!$I:$I,0)))/200,($F$11-$I$4+VLOOKUP($Q5,武学奇术!$A:$ZZ,9,FALSE)+SUM(_xlfn.XLOOKUP(R5:AH5,增益!$A:$A,增益!$I:$I,0)))/100)</f>
        <v>-0.3</v>
      </c>
      <c r="AX5" s="49" cm="1">
        <f t="array" ref="AX5">$G$11+VLOOKUP($Q5,武学奇术!$A:$ZZ,10,FALSE)+SUM(_xlfn.XLOOKUP(R5:AH5,增益!$A:$A,增益!$J:$J,0))</f>
        <v>0</v>
      </c>
      <c r="AY5">
        <f t="shared" si="3"/>
        <v>0</v>
      </c>
      <c r="AZ5">
        <f t="shared" si="4"/>
        <v>0</v>
      </c>
      <c r="BA5" s="49" cm="1">
        <f t="array" ref="BA5">IF($F$12-$I$4+VLOOKUP($Q5,武学奇术!$A:$ZZ,11,FALSE)+SUM(_xlfn.XLOOKUP(R5:AH5,增益!$A:$A,增益!$K:$K,0))&gt;0,($F$12-$I$4+VLOOKUP($Q5,武学奇术!$A:$ZZ,11,FALSE)+SUM(_xlfn.XLOOKUP(R5:AH5,增益!$A:$A,增益!$K:$K,0)))/200,($F$12-$I$4+VLOOKUP($Q5,武学奇术!$A:$ZZ,11,FALSE)+SUM(_xlfn.XLOOKUP(R5:AH5,增益!$A:$A,增益!$K:$K,0)))/100)</f>
        <v>-0.3</v>
      </c>
      <c r="BB5" s="49" cm="1">
        <f t="array" ref="BB5">$G$12+VLOOKUP($Q5,武学奇术!$A:$ZZ,12,FALSE)+SUM(_xlfn.XLOOKUP(R5:AH5,增益!$A:$A,增益!$L:$L,0))</f>
        <v>0</v>
      </c>
      <c r="BC5">
        <f t="shared" si="5"/>
        <v>571.2</v>
      </c>
      <c r="BD5">
        <f t="shared" si="6"/>
        <v>1077.4</v>
      </c>
      <c r="BE5" s="49" cm="1">
        <f t="array" ref="BE5">IF($F$13-$I$4+VLOOKUP($Q5,武学奇术!$A:$ZZ,13,FALSE)+SUM(_xlfn.XLOOKUP(R5:AH5,增益!$A:$A,增益!$M:$M,0))&gt;0,($F$13-$I$4+VLOOKUP($Q5,武学奇术!$A:$ZZ,13,FALSE)+SUM(_xlfn.XLOOKUP(R5:AH5,增益!$A:$A,增益!$K:$K,0)))/200,($F$13-$I$4+VLOOKUP($Q5,武学奇术!$A:$ZZ,13,FALSE)+SUM(_xlfn.XLOOKUP(R5:AH5,增益!$A:$A,增益!$M:$M,0)))/100)</f>
        <v>0</v>
      </c>
      <c r="BF5" s="49" cm="1">
        <f t="array" ref="BF5">$G$13+VLOOKUP($Q5,武学奇术!$A:$ZZ,14,FALSE)+SUM(_xlfn.XLOOKUP(R5:AH5,增益!$A:$A,增益!$N:$N,0))</f>
        <v>0.15</v>
      </c>
      <c r="BG5">
        <f t="shared" si="7"/>
        <v>0</v>
      </c>
      <c r="BH5">
        <f t="shared" si="8"/>
        <v>0</v>
      </c>
      <c r="BI5" s="49" cm="1">
        <f t="array" ref="BI5">IF($F$14-$I$4+VLOOKUP($Q5,武学奇术!$A:$ZZ,15,FALSE)+SUM(_xlfn.XLOOKUP(R5:AH5,增益!$A:$A,增益!$O:$O,0))&gt;0,($F$14-$I$4+VLOOKUP($Q5,武学奇术!$A:$ZZ,15,FALSE)+SUM(_xlfn.XLOOKUP(R5:AH5,增益!$A:$A,增益!$O:$O,0)))/200,($F$14-$I$4+VLOOKUP($Q5,武学奇术!$A:$ZZ,15,FALSE)+SUM(_xlfn.XLOOKUP(R5:AH5,增益!$A:$A,增益!$O:$O,0)))/100)</f>
        <v>-0.3</v>
      </c>
      <c r="BJ5" s="49" cm="1">
        <f t="array" ref="BJ5">$G$14+VLOOKUP($Q5,武学奇术!$A:$ZZ,16,FALSE)+SUM(_xlfn.XLOOKUP(R5:AH5,增益!$A:$A,增益!$P:$P,0))</f>
        <v>0</v>
      </c>
      <c r="BK5" s="41">
        <f>MIN(IF(VLOOKUP($Q5,武学奇术!$A:$ZZ,23,FALSE)=1,100%,$B$8),100%)</f>
        <v>1</v>
      </c>
      <c r="BL5" s="41" cm="1">
        <f t="array" ref="BL5">IF(VLOOKUP($Q5,武学奇术!$A:$ZZ,23,FALSE)=1,100%,MIN(80%,$B$9+VLOOKUP($Q5,武学奇术!$A:$ZZ,17,FALSE)+SUM(_xlfn.XLOOKUP(R5:AH5,增益!$A:$A,增益!$Q:$Q,0)))+$B$11+SUM(_xlfn.XLOOKUP(R5:AH5,增益!$A:$A,增益!$U:$U,0)))*IF(VLOOKUP($Q5,武学奇术!$A:$ZZ,24,FALSE)=1,0,1)</f>
        <v>0.9045</v>
      </c>
      <c r="BM5" s="41" cm="1">
        <f t="array" ref="BM5">1+$B$13+VLOOKUP($Q5,武学奇术!$A:$ZZ,18,FALSE)+SUM(_xlfn.XLOOKUP(R5:AH5,增益!$A:$A,增益!$R:$R,0))</f>
        <v>1.5</v>
      </c>
      <c r="BN5" s="41" cm="1">
        <f t="array" ref="BN5">IF(VLOOKUP($Q5,武学奇术!$A:$ZZ,24,FALSE)=1,100%,MIN(40%,$B$10+VLOOKUP($Q5,武学奇术!$A:$ZZ,19,FALSE)+SUM(_xlfn.XLOOKUP(R5:AH5,增益!$A:$A,增益!$S:$S,0)))+$B$12+SUM(_xlfn.XLOOKUP(R5:AH5,增益!$A:$A,增益!$V:$V,0)))*IF(VLOOKUP($Q5,武学奇术!$A:$ZZ,23,FALSE)=1,0,1)</f>
        <v>0.0929</v>
      </c>
      <c r="BO5" s="41" cm="1">
        <f t="array" ref="BO5">1+$B$14+VLOOKUP($Q5,武学奇术!$A:$ZZ,20,FALSE)+SUM(_xlfn.XLOOKUP(R5:AH5,增益!$A:$A,增益!$T:$T,0))</f>
        <v>1.35</v>
      </c>
      <c r="BP5" s="41">
        <f t="shared" si="9"/>
        <v>0.9045</v>
      </c>
      <c r="BQ5" s="41">
        <f t="shared" si="10"/>
        <v>0.00260000000000005</v>
      </c>
      <c r="BR5" s="41">
        <f>IF(VLOOKUP($Q5,武学奇术!$A:$ZZ,22,FALSE)=1,0,(1-$BK5))*(1-$BN5)</f>
        <v>0</v>
      </c>
      <c r="BS5" s="41" cm="1">
        <f t="array" ref="BS5">SUM(_xlfn.XLOOKUP(R5:AH5,增益!$A:$A,增益!$W:$W,0))+$I$5</f>
        <v>0.06</v>
      </c>
    </row>
    <row r="6" spans="1:71">
      <c r="A6" s="74" t="s">
        <v>80</v>
      </c>
      <c r="B6" s="75"/>
      <c r="C6" s="75"/>
      <c r="D6" s="75"/>
      <c r="E6" s="76"/>
      <c r="F6" s="62" t="s">
        <v>81</v>
      </c>
      <c r="G6" s="66">
        <f>B19</f>
        <v>0.2678</v>
      </c>
      <c r="K6" s="55">
        <f t="shared" si="0"/>
        <v>0</v>
      </c>
      <c r="L6" s="55">
        <f>((($AP6+$AQ6)/2*$AJ6+$AK6)*(1+$AR6)*(1+$AS6)+(($AU6+$AV6)/2*IF($G$1="鸣金",$AL6,$AJ6)+IF($G$1="鸣金",$AM6*1.5,0))*(1+$AW6)*(1+$AX6)+(($AY6+$AZ6)/2*IF($G$1="裂石",$AL6,$AJ6)+IF($G$1="裂石",$AM6*1.5,0))*(1+$BA6)*(1+$BB6)+(($BC6+$BD6)/2*IF($G$1="牵丝",$AL6,$AJ6)+IF($G$1="牵丝",$AM6*1.5,0))*(1+$BE6)*(1+$BF6)+(($BG6+$BH6)/2*IF($G$1="破竹",$AL6,$AJ6)+IF($G$1="破竹",$AM6*1.5,0))*(1+$BI6)*(1+$BJ6))*(1+$AN6)*$BM6*$P6*(1+IF(VLOOKUP($Q6,武学奇术!$A:$ZZ,30,FALSE)="弹道",$B$21,0))*(1+$BS6)</f>
        <v>0</v>
      </c>
      <c r="M6" s="55">
        <f>(($AQ6*$AJ6+$AK6)*(1+$AR6)*(1+$AS6)+($AV6*IF($G$1="鸣金",$AL6,$AJ6)+IF($G$1="鸣金",$AM6*1.5,0))*(1+$AW6)*(1+$AX6)+($AZ6*IF($G$1="裂石",$AL6,$AJ6)+IF($G$1="裂石",$AM6*1.5,0))*(1+$BA6)*(1+$BB6)+($BD6*IF($G$1="牵丝",$AL6,$AJ6)+IF($G$1="牵丝",$AM6*1.5,0))*(1+$BE6)*(1+$BF6)+($BH6*IF($G$1="破竹",$AL6,$AJ6)+IF($G$1="破竹",$AM6*1.5,0))*(1+$BI6)*(1+$BJ6))*(1+$AN6)*$BO6*$P6*(1+IF(VLOOKUP($Q6,武学奇术!$A:$ZZ,30,FALSE)="弹道",$B$21,0))*(1+$BS6)</f>
        <v>0</v>
      </c>
      <c r="N6" s="55">
        <f>((($AP6+$AQ6)/2*$AJ6+$AK6)*(1+$AR6)*(1+$AS6)+(($AU6+$AV6)/2*IF($G$1="鸣金",$AL6,$AJ6)+IF($G$1="鸣金",$AM6*1.5,0))*(1+$AW6)*(1+$AX6)+(($AY6+$AZ6)/2*IF($G$1="裂石",$AL6,$AJ6)+IF($G$1="裂石",$AM6*1.5,0))*(1+$BA6)*(1+$BB6)+(($BC6+$BD6)/2*IF($G$1="牵丝",$AL6,$AJ6)+IF($G$1="牵丝",$AM6*1.5,0))*(1+$BE6)*(1+$BF6)+(($BG6+$BH6)/2*IF($G$1="破竹",$AL6,$AJ6)+IF($G$1="破竹",$AM6*1.5,0))*(1+$BI6)*(1+$BJ6))*(1+$AN6)*$P6*(1+IF(VLOOKUP($Q6,武学奇术!$A:$ZZ,30,FALSE)="弹道",$B$21,0))*(1+$BS6)</f>
        <v>0</v>
      </c>
      <c r="O6" s="55">
        <f>((($AP6*$AJ6+$AK6)*(1+$AR6)*(1+$AS6)+($AU6*IF($G$1="鸣金",$AL6,$AJ6)+IF($G$1="鸣金",$AM6*1.5,0))*(1+$AW6)*(1+$AX6)+($AY6*IF($G$1="裂石",$AL6,$AJ6)+IF($G$1="裂石",$AM6*1.5,0))*(1+$BA6)*(1+$BB6)+($BC6*IF($G$1="牵丝",$AL6,$AJ6)+IF($G$1="牵丝",$AM6*1.5,0))*(1+$BE6)*(1+$BF6)+($BG6*IF($G$1="破竹",$AL6,$AJ6)+IF($G$1="破竹",$AM6*1.5,0))*(1+$BI6)*(1+$BJ6))*(1+$AN6))*$P6*(1+IF(VLOOKUP($Q6,武学奇术!$A:$ZZ,30,FALSE)="弹道",$B$21,0))*(1+$BS6)</f>
        <v>0</v>
      </c>
      <c r="P6" s="56">
        <v>1</v>
      </c>
      <c r="Q6" s="57" t="s">
        <v>72</v>
      </c>
      <c r="R6" s="57" t="s">
        <v>72</v>
      </c>
      <c r="S6" s="57" t="s">
        <v>72</v>
      </c>
      <c r="T6" s="57" t="s">
        <v>72</v>
      </c>
      <c r="U6" s="57" t="s">
        <v>72</v>
      </c>
      <c r="V6" s="57" t="s">
        <v>72</v>
      </c>
      <c r="W6" s="57" t="s">
        <v>72</v>
      </c>
      <c r="X6" s="57" t="s">
        <v>72</v>
      </c>
      <c r="Y6" s="57" t="s">
        <v>72</v>
      </c>
      <c r="Z6" s="57" t="s">
        <v>72</v>
      </c>
      <c r="AA6" s="57" t="s">
        <v>72</v>
      </c>
      <c r="AB6" s="57" t="s">
        <v>72</v>
      </c>
      <c r="AC6" s="57" t="s">
        <v>72</v>
      </c>
      <c r="AD6" s="57" t="s">
        <v>72</v>
      </c>
      <c r="AE6" s="57" t="s">
        <v>72</v>
      </c>
      <c r="AF6" s="57" t="s">
        <v>72</v>
      </c>
      <c r="AG6" s="57" t="s">
        <v>72</v>
      </c>
      <c r="AH6" s="57" t="s">
        <v>72</v>
      </c>
      <c r="AI6" t="str">
        <f>VLOOKUP($Q6,武学奇术!$A:$ZZ,25,FALSE)</f>
        <v>心法</v>
      </c>
      <c r="AJ6" s="41">
        <f>VLOOKUP($Q6,武学奇术!$A:$ZZ,26,FALSE)</f>
        <v>0</v>
      </c>
      <c r="AK6" s="42">
        <f>VLOOKUP($Q6,武学奇术!$A:$ZZ,27,FALSE)*(1+IF(OR($AI6=$F$4,$AI6=$F$5),$B$22,0))</f>
        <v>0</v>
      </c>
      <c r="AL6" s="41">
        <f>VLOOKUP($Q6,武学奇术!$A:$ZZ,28,FALSE)</f>
        <v>0</v>
      </c>
      <c r="AM6" s="42">
        <f>VLOOKUP($Q6,武学奇术!$A:$ZZ,29,FALSE)*(1+IF(OR($AI6=$F$4,$AI6=$F$5),$B$22,0))</f>
        <v>0</v>
      </c>
      <c r="AN6" s="41" cm="1">
        <f t="array" ref="AN6">$G$3+IFERROR(VLOOKUP($AI6,$F$4:$G$7,2,FALSE),0)+VLOOKUP($Q6,武学奇术!$A:$ZZ,2,FALSE)+SUM(_xlfn.XLOOKUP($R6:$AH6,增益!$A:$A,增益!$B:$B,0))</f>
        <v>0.1837</v>
      </c>
      <c r="AO6" s="41" cm="1">
        <f t="array" ref="AO6">VLOOKUP($Q6,武学奇术!$A:$ZZ,5,FALSE)+SUM(_xlfn.XLOOKUP($R6:$AH6,增益!$A:$A,增益!$E:$E,0))</f>
        <v>0</v>
      </c>
      <c r="AP6" cm="1">
        <f t="array" ref="AP6">$D$10*(1+$AO6)+VLOOKUP($Q6,武学奇术!$A:$ZZ,3,FALSE)+SUM(_xlfn.XLOOKUP($R6:$AH6,增益!$A:$A,增益!$C:$C,0))-$I$2</f>
        <v>1797.4</v>
      </c>
      <c r="AQ6" cm="1">
        <f t="array" ref="AQ6">$E$10*(1+$AO6)+VLOOKUP($Q6,武学奇术!$A:$ZZ,4,FALSE)+SUM(_xlfn.XLOOKUP($R6:$AH6,增益!$A:$A,增益!$D:$D,0))-$I$2</f>
        <v>5488</v>
      </c>
      <c r="AR6" s="49" cm="1">
        <f t="array" ref="AR6">IF($F$10-$I$3+VLOOKUP($Q6,武学奇术!$A:$ZZ,6,FALSE)+SUM(_xlfn.XLOOKUP(R6:AH6,增益!$A:$A,增益!$F:$F,0))&gt;0,($F$10-$I$3+VLOOKUP($Q6,武学奇术!$A:$ZZ,6,FALSE)+SUM(_xlfn.XLOOKUP(R6:AH6,增益!$A:$A,增益!$F:$F,0)))/200,($F$10-$I$3+VLOOKUP($Q6,武学奇术!$A:$ZZ,6,FALSE)+SUM(_xlfn.XLOOKUP(R6:AH6,增益!$A:$A,增益!$F:$F,0)))/100)</f>
        <v>0.2925</v>
      </c>
      <c r="AS6" s="49" cm="1">
        <f t="array" ref="AS6">$G$10+VLOOKUP($Q6,武学奇术!$A:$ZZ,7,FALSE)+SUM(_xlfn.XLOOKUP(R6:AH6,增益!$A:$A,增益!$G:$G,0))</f>
        <v>0</v>
      </c>
      <c r="AT6" s="41" cm="1">
        <f t="array" ref="AT6">VLOOKUP($Q6,武学奇术!$A:$ZZ,8,FALSE)+SUM(_xlfn.XLOOKUP(R6:AH6,增益!$A:$A,增益!$H:$H,0))</f>
        <v>0</v>
      </c>
      <c r="AU6">
        <f t="shared" si="1"/>
        <v>0</v>
      </c>
      <c r="AV6">
        <f t="shared" si="2"/>
        <v>0</v>
      </c>
      <c r="AW6" s="49" cm="1">
        <f t="array" ref="AW6">IF($F$11-$I$4+VLOOKUP($Q6,武学奇术!$A:$ZZ,9,FALSE)+SUM(_xlfn.XLOOKUP(R6:AH6,增益!$A:$A,增益!$I:$I,0))&gt;0,($F$11-$I$4+VLOOKUP($Q6,武学奇术!$A:$ZZ,9,FALSE)+SUM(_xlfn.XLOOKUP(R6:AH6,增益!$A:$A,增益!$I:$I,0)))/200,($F$11-$I$4+VLOOKUP($Q6,武学奇术!$A:$ZZ,9,FALSE)+SUM(_xlfn.XLOOKUP(R6:AH6,增益!$A:$A,增益!$I:$I,0)))/100)</f>
        <v>-0.3</v>
      </c>
      <c r="AX6" s="49" cm="1">
        <f t="array" ref="AX6">$G$11+VLOOKUP($Q6,武学奇术!$A:$ZZ,10,FALSE)+SUM(_xlfn.XLOOKUP(R6:AH6,增益!$A:$A,增益!$J:$J,0))</f>
        <v>0</v>
      </c>
      <c r="AY6">
        <f t="shared" si="3"/>
        <v>0</v>
      </c>
      <c r="AZ6">
        <f t="shared" si="4"/>
        <v>0</v>
      </c>
      <c r="BA6" s="49" cm="1">
        <f t="array" ref="BA6">IF($F$12-$I$4+VLOOKUP($Q6,武学奇术!$A:$ZZ,11,FALSE)+SUM(_xlfn.XLOOKUP(R6:AH6,增益!$A:$A,增益!$K:$K,0))&gt;0,($F$12-$I$4+VLOOKUP($Q6,武学奇术!$A:$ZZ,11,FALSE)+SUM(_xlfn.XLOOKUP(R6:AH6,增益!$A:$A,增益!$K:$K,0)))/200,($F$12-$I$4+VLOOKUP($Q6,武学奇术!$A:$ZZ,11,FALSE)+SUM(_xlfn.XLOOKUP(R6:AH6,增益!$A:$A,增益!$K:$K,0)))/100)</f>
        <v>-0.3</v>
      </c>
      <c r="BB6" s="49" cm="1">
        <f t="array" ref="BB6">$G$12+VLOOKUP($Q6,武学奇术!$A:$ZZ,12,FALSE)+SUM(_xlfn.XLOOKUP(R6:AH6,增益!$A:$A,增益!$L:$L,0))</f>
        <v>0</v>
      </c>
      <c r="BC6">
        <f t="shared" si="5"/>
        <v>571.2</v>
      </c>
      <c r="BD6">
        <f t="shared" si="6"/>
        <v>1077.4</v>
      </c>
      <c r="BE6" s="49" cm="1">
        <f t="array" ref="BE6">IF($F$13-$I$4+VLOOKUP($Q6,武学奇术!$A:$ZZ,13,FALSE)+SUM(_xlfn.XLOOKUP(R6:AH6,增益!$A:$A,增益!$M:$M,0))&gt;0,($F$13-$I$4+VLOOKUP($Q6,武学奇术!$A:$ZZ,13,FALSE)+SUM(_xlfn.XLOOKUP(R6:AH6,增益!$A:$A,增益!$K:$K,0)))/200,($F$13-$I$4+VLOOKUP($Q6,武学奇术!$A:$ZZ,13,FALSE)+SUM(_xlfn.XLOOKUP(R6:AH6,增益!$A:$A,增益!$M:$M,0)))/100)</f>
        <v>0</v>
      </c>
      <c r="BF6" s="49" cm="1">
        <f t="array" ref="BF6">$G$13+VLOOKUP($Q6,武学奇术!$A:$ZZ,14,FALSE)+SUM(_xlfn.XLOOKUP(R6:AH6,增益!$A:$A,增益!$N:$N,0))</f>
        <v>0.15</v>
      </c>
      <c r="BG6">
        <f t="shared" si="7"/>
        <v>0</v>
      </c>
      <c r="BH6">
        <f t="shared" si="8"/>
        <v>0</v>
      </c>
      <c r="BI6" s="49" cm="1">
        <f t="array" ref="BI6">IF($F$14-$I$4+VLOOKUP($Q6,武学奇术!$A:$ZZ,15,FALSE)+SUM(_xlfn.XLOOKUP(R6:AH6,增益!$A:$A,增益!$O:$O,0))&gt;0,($F$14-$I$4+VLOOKUP($Q6,武学奇术!$A:$ZZ,15,FALSE)+SUM(_xlfn.XLOOKUP(R6:AH6,增益!$A:$A,增益!$O:$O,0)))/200,($F$14-$I$4+VLOOKUP($Q6,武学奇术!$A:$ZZ,15,FALSE)+SUM(_xlfn.XLOOKUP(R6:AH6,增益!$A:$A,增益!$O:$O,0)))/100)</f>
        <v>-0.3</v>
      </c>
      <c r="BJ6" s="49" cm="1">
        <f t="array" ref="BJ6">$G$14+VLOOKUP($Q6,武学奇术!$A:$ZZ,16,FALSE)+SUM(_xlfn.XLOOKUP(R6:AH6,增益!$A:$A,增益!$P:$P,0))</f>
        <v>0</v>
      </c>
      <c r="BK6" s="41">
        <f>MIN(IF(VLOOKUP($Q6,武学奇术!$A:$ZZ,23,FALSE)=1,100%,$B$8),100%)</f>
        <v>1</v>
      </c>
      <c r="BL6" s="41" cm="1">
        <f t="array" ref="BL6">IF(VLOOKUP($Q6,武学奇术!$A:$ZZ,23,FALSE)=1,100%,MIN(80%,$B$9+VLOOKUP($Q6,武学奇术!$A:$ZZ,17,FALSE)+SUM(_xlfn.XLOOKUP(R6:AH6,增益!$A:$A,增益!$Q:$Q,0)))+$B$11+SUM(_xlfn.XLOOKUP(R6:AH6,增益!$A:$A,增益!$U:$U,0)))*IF(VLOOKUP($Q6,武学奇术!$A:$ZZ,24,FALSE)=1,0,1)</f>
        <v>0.9045</v>
      </c>
      <c r="BM6" s="41" cm="1">
        <f t="array" ref="BM6">1+$B$13+VLOOKUP($Q6,武学奇术!$A:$ZZ,18,FALSE)+SUM(_xlfn.XLOOKUP(R6:AH6,增益!$A:$A,增益!$R:$R,0))</f>
        <v>1.5</v>
      </c>
      <c r="BN6" s="41" cm="1">
        <f t="array" ref="BN6">IF(VLOOKUP($Q6,武学奇术!$A:$ZZ,24,FALSE)=1,100%,MIN(40%,$B$10+VLOOKUP($Q6,武学奇术!$A:$ZZ,19,FALSE)+SUM(_xlfn.XLOOKUP(R6:AH6,增益!$A:$A,增益!$S:$S,0)))+$B$12+SUM(_xlfn.XLOOKUP(R6:AH6,增益!$A:$A,增益!$V:$V,0)))*IF(VLOOKUP($Q6,武学奇术!$A:$ZZ,23,FALSE)=1,0,1)</f>
        <v>0.0929</v>
      </c>
      <c r="BO6" s="41" cm="1">
        <f t="array" ref="BO6">1+$B$14+VLOOKUP($Q6,武学奇术!$A:$ZZ,20,FALSE)+SUM(_xlfn.XLOOKUP(R6:AH6,增益!$A:$A,增益!$T:$T,0))</f>
        <v>1.35</v>
      </c>
      <c r="BP6" s="41">
        <f t="shared" si="9"/>
        <v>0.9045</v>
      </c>
      <c r="BQ6" s="41">
        <f t="shared" si="10"/>
        <v>0.00260000000000005</v>
      </c>
      <c r="BR6" s="41">
        <f>IF(VLOOKUP($Q6,武学奇术!$A:$ZZ,22,FALSE)=1,0,(1-$BK6))*(1-$BN6)</f>
        <v>0</v>
      </c>
      <c r="BS6" s="41" cm="1">
        <f t="array" ref="BS6">SUM(_xlfn.XLOOKUP(R6:AH6,增益!$A:$A,增益!$W:$W,0))+$I$5</f>
        <v>0.06</v>
      </c>
    </row>
    <row r="7" ht="15.15" spans="1:71">
      <c r="A7" s="102" t="s">
        <v>82</v>
      </c>
      <c r="B7" s="78">
        <v>79.2</v>
      </c>
      <c r="C7" s="78">
        <v>92.4</v>
      </c>
      <c r="D7" s="79"/>
      <c r="E7" s="80"/>
      <c r="F7" s="70" t="s">
        <v>83</v>
      </c>
      <c r="G7" s="81">
        <f>B20</f>
        <v>0</v>
      </c>
      <c r="K7" s="55">
        <f t="shared" si="0"/>
        <v>66305.5108001558</v>
      </c>
      <c r="L7" s="55">
        <f>((($AP7+$AQ7)/2*$AJ7+$AK7)*(1+$AR7)*(1+$AS7)+(($AU7+$AV7)/2*IF($G$1="鸣金",$AL7,$AJ7)+IF($G$1="鸣金",$AM7*1.5,0))*(1+$AW7)*(1+$AX7)+(($AY7+$AZ7)/2*IF($G$1="裂石",$AL7,$AJ7)+IF($G$1="裂石",$AM7*1.5,0))*(1+$BA7)*(1+$BB7)+(($BC7+$BD7)/2*IF($G$1="牵丝",$AL7,$AJ7)+IF($G$1="牵丝",$AM7*1.5,0))*(1+$BE7)*(1+$BF7)+(($BG7+$BH7)/2*IF($G$1="破竹",$AL7,$AJ7)+IF($G$1="破竹",$AM7*1.5,0))*(1+$BI7)*(1+$BJ7))*(1+$AN7)*$BM7*$P7*(1+IF(VLOOKUP($Q7,武学奇术!$A:$ZZ,30,FALSE)="弹道",$B$21,0))*(1+$BS7)</f>
        <v>66299.3946411697</v>
      </c>
      <c r="M7" s="55">
        <f>(($AQ7*$AJ7+$AK7)*(1+$AR7)*(1+$AS7)+($AV7*IF($G$1="鸣金",$AL7,$AJ7)+IF($G$1="鸣金",$AM7*1.5,0))*(1+$AW7)*(1+$AX7)+($AZ7*IF($G$1="裂石",$AL7,$AJ7)+IF($G$1="裂石",$AM7*1.5,0))*(1+$BA7)*(1+$BB7)+($BD7*IF($G$1="牵丝",$AL7,$AJ7)+IF($G$1="牵丝",$AM7*1.5,0))*(1+$BE7)*(1+$BF7)+($BH7*IF($G$1="破竹",$AL7,$AJ7)+IF($G$1="破竹",$AM7*1.5,0))*(1+$BI7)*(1+$BJ7))*(1+$AN7)*$BO7*$P7*(1+IF(VLOOKUP($Q7,武学奇术!$A:$ZZ,30,FALSE)="弹道",$B$21,0))*(1+$BS7)</f>
        <v>67228.4969936633</v>
      </c>
      <c r="N7" s="55">
        <f>((($AP7+$AQ7)/2*$AJ7+$AK7)*(1+$AR7)*(1+$AS7)+(($AU7+$AV7)/2*IF($G$1="鸣金",$AL7,$AJ7)+IF($G$1="鸣金",$AM7*1.5,0))*(1+$AW7)*(1+$AX7)+(($AY7+$AZ7)/2*IF($G$1="裂石",$AL7,$AJ7)+IF($G$1="裂石",$AM7*1.5,0))*(1+$BA7)*(1+$BB7)+(($BC7+$BD7)/2*IF($G$1="牵丝",$AL7,$AJ7)+IF($G$1="牵丝",$AM7*1.5,0))*(1+$BE7)*(1+$BF7)+(($BG7+$BH7)/2*IF($G$1="破竹",$AL7,$AJ7)+IF($G$1="破竹",$AM7*1.5,0))*(1+$BI7)*(1+$BJ7))*(1+$AN7)*$P7*(1+IF(VLOOKUP($Q7,武学奇术!$A:$ZZ,30,FALSE)="弹道",$B$21,0))*(1+$BS7)</f>
        <v>35454.2217332458</v>
      </c>
      <c r="O7" s="55">
        <f>((($AP7*$AJ7+$AK7)*(1+$AR7)*(1+$AS7)+($AU7*IF($G$1="鸣金",$AL7,$AJ7)+IF($G$1="鸣金",$AM7*1.5,0))*(1+$AW7)*(1+$AX7)+($AY7*IF($G$1="裂石",$AL7,$AJ7)+IF($G$1="裂石",$AM7*1.5,0))*(1+$BA7)*(1+$BB7)+($BC7*IF($G$1="牵丝",$AL7,$AJ7)+IF($G$1="牵丝",$AM7*1.5,0))*(1+$BE7)*(1+$BF7)+($BG7*IF($G$1="破竹",$AL7,$AJ7)+IF($G$1="破竹",$AM7*1.5,0))*(1+$BI7)*(1+$BJ7))*(1+$AN7))*$P7*(1+IF(VLOOKUP($Q7,武学奇术!$A:$ZZ,30,FALSE)="弹道",$B$21,0))*(1+$BS7)</f>
        <v>21109.5568045188</v>
      </c>
      <c r="P7" s="56">
        <v>1</v>
      </c>
      <c r="Q7" s="57" t="s">
        <v>84</v>
      </c>
      <c r="R7" s="57" t="s">
        <v>72</v>
      </c>
      <c r="S7" s="57" t="s">
        <v>85</v>
      </c>
      <c r="T7" s="57" t="s">
        <v>72</v>
      </c>
      <c r="U7" s="57" t="s">
        <v>72</v>
      </c>
      <c r="V7" s="57" t="s">
        <v>86</v>
      </c>
      <c r="W7" s="57" t="s">
        <v>72</v>
      </c>
      <c r="X7" s="57" t="s">
        <v>72</v>
      </c>
      <c r="Y7" s="57" t="s">
        <v>72</v>
      </c>
      <c r="Z7" s="57" t="s">
        <v>72</v>
      </c>
      <c r="AA7" s="57" t="s">
        <v>72</v>
      </c>
      <c r="AB7" s="57" t="s">
        <v>72</v>
      </c>
      <c r="AC7" s="57" t="s">
        <v>72</v>
      </c>
      <c r="AD7" s="57" t="s">
        <v>72</v>
      </c>
      <c r="AE7" s="57" t="s">
        <v>72</v>
      </c>
      <c r="AF7" s="57" t="s">
        <v>72</v>
      </c>
      <c r="AG7" s="57" t="s">
        <v>72</v>
      </c>
      <c r="AH7" s="57" t="s">
        <v>87</v>
      </c>
      <c r="AI7" t="str">
        <f>VLOOKUP($Q7,武学奇术!$A:$ZZ,25,FALSE)</f>
        <v>伞</v>
      </c>
      <c r="AJ7" s="41">
        <f>VLOOKUP($Q7,武学奇术!$A:$ZZ,26,FALSE)</f>
        <v>2.3397</v>
      </c>
      <c r="AK7" s="42">
        <f>VLOOKUP($Q7,武学奇术!$A:$ZZ,27,FALSE)*(1+IF(OR($AI7=$F$4,$AI7=$F$5),$B$22,0))</f>
        <v>907.2</v>
      </c>
      <c r="AL7" s="41">
        <f>VLOOKUP($Q7,武学奇术!$A:$ZZ,28,FALSE)</f>
        <v>3.5095</v>
      </c>
      <c r="AM7" s="42">
        <f>VLOOKUP($Q7,武学奇术!$A:$ZZ,29,FALSE)*(1+IF(OR($AI7=$F$4,$AI7=$F$5),$B$22,0))</f>
        <v>494.2</v>
      </c>
      <c r="AN7" s="41" cm="1">
        <f t="array" ref="AN7">$G$3+IFERROR(VLOOKUP($AI7,$F$4:$G$7,2,FALSE),0)+VLOOKUP($Q7,武学奇术!$A:$ZZ,2,FALSE)+SUM(_xlfn.XLOOKUP($R7:$AH7,增益!$A:$A,增益!$B:$B,0))</f>
        <v>0.7541</v>
      </c>
      <c r="AO7" s="41" cm="1">
        <f t="array" ref="AO7">VLOOKUP($Q7,武学奇术!$A:$ZZ,5,FALSE)+SUM(_xlfn.XLOOKUP($R7:$AH7,增益!$A:$A,增益!$E:$E,0))</f>
        <v>0</v>
      </c>
      <c r="AP7" cm="1">
        <f t="array" ref="AP7">$D$10*(1+$AO7)+VLOOKUP($Q7,武学奇术!$A:$ZZ,3,FALSE)+SUM(_xlfn.XLOOKUP($R7:$AH7,增益!$A:$A,增益!$C:$C,0))-$I$2</f>
        <v>1797.4</v>
      </c>
      <c r="AQ7" cm="1">
        <f t="array" ref="AQ7">$E$10*(1+$AO7)+VLOOKUP($Q7,武学奇术!$A:$ZZ,4,FALSE)+SUM(_xlfn.XLOOKUP($R7:$AH7,增益!$A:$A,增益!$D:$D,0))-$I$2</f>
        <v>5488</v>
      </c>
      <c r="AR7" s="49" cm="1">
        <f t="array" ref="AR7">IF($F$10-$I$3+VLOOKUP($Q7,武学奇术!$A:$ZZ,6,FALSE)+SUM(_xlfn.XLOOKUP(R7:AH7,增益!$A:$A,增益!$F:$F,0))&gt;0,($F$10-$I$3+VLOOKUP($Q7,武学奇术!$A:$ZZ,6,FALSE)+SUM(_xlfn.XLOOKUP(R7:AH7,增益!$A:$A,增益!$F:$F,0)))/200,($F$10-$I$3+VLOOKUP($Q7,武学奇术!$A:$ZZ,6,FALSE)+SUM(_xlfn.XLOOKUP(R7:AH7,增益!$A:$A,增益!$F:$F,0)))/100)</f>
        <v>0.3175</v>
      </c>
      <c r="AS7" s="49" cm="1">
        <f t="array" ref="AS7">$G$10+VLOOKUP($Q7,武学奇术!$A:$ZZ,7,FALSE)+SUM(_xlfn.XLOOKUP(R7:AH7,增益!$A:$A,增益!$G:$G,0))</f>
        <v>0.1</v>
      </c>
      <c r="AT7" s="41" cm="1">
        <f t="array" ref="AT7">VLOOKUP($Q7,武学奇术!$A:$ZZ,8,FALSE)+SUM(_xlfn.XLOOKUP(R7:AH7,增益!$A:$A,增益!$H:$H,0))</f>
        <v>0</v>
      </c>
      <c r="AU7">
        <f t="shared" si="1"/>
        <v>0</v>
      </c>
      <c r="AV7">
        <f t="shared" si="2"/>
        <v>0</v>
      </c>
      <c r="AW7" s="49" cm="1">
        <f t="array" ref="AW7">IF($F$11-$I$4+VLOOKUP($Q7,武学奇术!$A:$ZZ,9,FALSE)+SUM(_xlfn.XLOOKUP(R7:AH7,增益!$A:$A,增益!$I:$I,0))&gt;0,($F$11-$I$4+VLOOKUP($Q7,武学奇术!$A:$ZZ,9,FALSE)+SUM(_xlfn.XLOOKUP(R7:AH7,增益!$A:$A,增益!$I:$I,0)))/200,($F$11-$I$4+VLOOKUP($Q7,武学奇术!$A:$ZZ,9,FALSE)+SUM(_xlfn.XLOOKUP(R7:AH7,增益!$A:$A,增益!$I:$I,0)))/100)</f>
        <v>-0.3</v>
      </c>
      <c r="AX7" s="49" cm="1">
        <f t="array" ref="AX7">$G$11+VLOOKUP($Q7,武学奇术!$A:$ZZ,10,FALSE)+SUM(_xlfn.XLOOKUP(R7:AH7,增益!$A:$A,增益!$J:$J,0))</f>
        <v>0</v>
      </c>
      <c r="AY7">
        <f t="shared" si="3"/>
        <v>0</v>
      </c>
      <c r="AZ7">
        <f t="shared" si="4"/>
        <v>0</v>
      </c>
      <c r="BA7" s="49" cm="1">
        <f t="array" ref="BA7">IF($F$12-$I$4+VLOOKUP($Q7,武学奇术!$A:$ZZ,11,FALSE)+SUM(_xlfn.XLOOKUP(R7:AH7,增益!$A:$A,增益!$K:$K,0))&gt;0,($F$12-$I$4+VLOOKUP($Q7,武学奇术!$A:$ZZ,11,FALSE)+SUM(_xlfn.XLOOKUP(R7:AH7,增益!$A:$A,增益!$K:$K,0)))/200,($F$12-$I$4+VLOOKUP($Q7,武学奇术!$A:$ZZ,11,FALSE)+SUM(_xlfn.XLOOKUP(R7:AH7,增益!$A:$A,增益!$K:$K,0)))/100)</f>
        <v>-0.3</v>
      </c>
      <c r="BB7" s="49" cm="1">
        <f t="array" ref="BB7">$G$12+VLOOKUP($Q7,武学奇术!$A:$ZZ,12,FALSE)+SUM(_xlfn.XLOOKUP(R7:AH7,增益!$A:$A,增益!$L:$L,0))</f>
        <v>0</v>
      </c>
      <c r="BC7">
        <f t="shared" si="5"/>
        <v>571.2</v>
      </c>
      <c r="BD7">
        <f t="shared" si="6"/>
        <v>1077.4</v>
      </c>
      <c r="BE7" s="49" cm="1">
        <f t="array" ref="BE7">IF($F$13-$I$4+VLOOKUP($Q7,武学奇术!$A:$ZZ,13,FALSE)+SUM(_xlfn.XLOOKUP(R7:AH7,增益!$A:$A,增益!$M:$M,0))&gt;0,($F$13-$I$4+VLOOKUP($Q7,武学奇术!$A:$ZZ,13,FALSE)+SUM(_xlfn.XLOOKUP(R7:AH7,增益!$A:$A,增益!$K:$K,0)))/200,($F$13-$I$4+VLOOKUP($Q7,武学奇术!$A:$ZZ,13,FALSE)+SUM(_xlfn.XLOOKUP(R7:AH7,增益!$A:$A,增益!$M:$M,0)))/100)</f>
        <v>0</v>
      </c>
      <c r="BF7" s="49" cm="1">
        <f t="array" ref="BF7">$G$13+VLOOKUP($Q7,武学奇术!$A:$ZZ,14,FALSE)+SUM(_xlfn.XLOOKUP(R7:AH7,增益!$A:$A,增益!$N:$N,0))</f>
        <v>0.25</v>
      </c>
      <c r="BG7">
        <f t="shared" si="7"/>
        <v>0</v>
      </c>
      <c r="BH7">
        <f t="shared" si="8"/>
        <v>0</v>
      </c>
      <c r="BI7" s="49" cm="1">
        <f t="array" ref="BI7">IF($F$14-$I$4+VLOOKUP($Q7,武学奇术!$A:$ZZ,15,FALSE)+SUM(_xlfn.XLOOKUP(R7:AH7,增益!$A:$A,增益!$O:$O,0))&gt;0,($F$14-$I$4+VLOOKUP($Q7,武学奇术!$A:$ZZ,15,FALSE)+SUM(_xlfn.XLOOKUP(R7:AH7,增益!$A:$A,增益!$O:$O,0)))/200,($F$14-$I$4+VLOOKUP($Q7,武学奇术!$A:$ZZ,15,FALSE)+SUM(_xlfn.XLOOKUP(R7:AH7,增益!$A:$A,增益!$O:$O,0)))/100)</f>
        <v>-0.3</v>
      </c>
      <c r="BJ7" s="49" cm="1">
        <f t="array" ref="BJ7">$G$14+VLOOKUP($Q7,武学奇术!$A:$ZZ,16,FALSE)+SUM(_xlfn.XLOOKUP(R7:AH7,增益!$A:$A,增益!$P:$P,0))</f>
        <v>0</v>
      </c>
      <c r="BK7" s="41">
        <f>MIN(IF(VLOOKUP($Q7,武学奇术!$A:$ZZ,23,FALSE)=1,100%,$B$8),100%)</f>
        <v>1</v>
      </c>
      <c r="BL7" s="41" cm="1">
        <f t="array" ref="BL7">IF(VLOOKUP($Q7,武学奇术!$A:$ZZ,23,FALSE)=1,100%,MIN(80%,$B$9+VLOOKUP($Q7,武学奇术!$A:$ZZ,17,FALSE)+SUM(_xlfn.XLOOKUP(R7:AH7,增益!$A:$A,增益!$Q:$Q,0)))+$B$11+SUM(_xlfn.XLOOKUP(R7:AH7,增益!$A:$A,增益!$U:$U,0)))*IF(VLOOKUP($Q7,武学奇术!$A:$ZZ,24,FALSE)=1,0,1)</f>
        <v>0.9045</v>
      </c>
      <c r="BM7" s="41" cm="1">
        <f t="array" ref="BM7">1+$B$13+VLOOKUP($Q7,武学奇术!$A:$ZZ,18,FALSE)+SUM(_xlfn.XLOOKUP(R7:AH7,增益!$A:$A,增益!$R:$R,0))</f>
        <v>1.87</v>
      </c>
      <c r="BN7" s="41" cm="1">
        <f t="array" ref="BN7">IF(VLOOKUP($Q7,武学奇术!$A:$ZZ,24,FALSE)=1,100%,MIN(40%,$B$10+VLOOKUP($Q7,武学奇术!$A:$ZZ,19,FALSE)+SUM(_xlfn.XLOOKUP(R7:AH7,增益!$A:$A,增益!$S:$S,0)))+$B$12+SUM(_xlfn.XLOOKUP(R7:AH7,增益!$A:$A,增益!$V:$V,0)))*IF(VLOOKUP($Q7,武学奇术!$A:$ZZ,23,FALSE)=1,0,1)</f>
        <v>0.0929</v>
      </c>
      <c r="BO7" s="41" cm="1">
        <f t="array" ref="BO7">1+$B$14+VLOOKUP($Q7,武学奇术!$A:$ZZ,20,FALSE)+SUM(_xlfn.XLOOKUP(R7:AH7,增益!$A:$A,增益!$T:$T,0))</f>
        <v>1.35</v>
      </c>
      <c r="BP7" s="41">
        <f t="shared" si="9"/>
        <v>0.9045</v>
      </c>
      <c r="BQ7" s="41">
        <f t="shared" si="10"/>
        <v>0.00260000000000005</v>
      </c>
      <c r="BR7" s="41">
        <f>IF(VLOOKUP($Q7,武学奇术!$A:$ZZ,22,FALSE)=1,0,(1-$BK7))*(1-$BN7)</f>
        <v>0</v>
      </c>
      <c r="BS7" s="41" cm="1">
        <f t="array" ref="BS7">SUM(_xlfn.XLOOKUP(R7:AH7,增益!$A:$A,增益!$W:$W,0))+$I$5</f>
        <v>0.11</v>
      </c>
    </row>
    <row r="8" spans="1:71">
      <c r="A8" s="82" t="s">
        <v>88</v>
      </c>
      <c r="B8" s="83">
        <v>1</v>
      </c>
      <c r="C8" s="53" t="s">
        <v>89</v>
      </c>
      <c r="D8" s="84"/>
      <c r="E8" s="84"/>
      <c r="F8" s="84"/>
      <c r="G8" s="54"/>
      <c r="H8" s="85" t="s">
        <v>90</v>
      </c>
      <c r="I8" s="20">
        <v>102</v>
      </c>
      <c r="J8" s="86"/>
      <c r="K8" s="55">
        <f t="shared" si="0"/>
        <v>76568.8398277978</v>
      </c>
      <c r="L8" s="55">
        <f>((($AP8+$AQ8)/2*$AJ8+$AK8)*(1+$AR8)*(1+$AS8)+(($AU8+$AV8)/2*IF($G$1="鸣金",$AL8,$AJ8)+IF($G$1="鸣金",$AM8*1.5,0))*(1+$AW8)*(1+$AX8)+(($AY8+$AZ8)/2*IF($G$1="裂石",$AL8,$AJ8)+IF($G$1="裂石",$AM8*1.5,0))*(1+$BA8)*(1+$BB8)+(($BC8+$BD8)/2*IF($G$1="牵丝",$AL8,$AJ8)+IF($G$1="牵丝",$AM8*1.5,0))*(1+$BE8)*(1+$BF8)+(($BG8+$BH8)/2*IF($G$1="破竹",$AL8,$AJ8)+IF($G$1="破竹",$AM8*1.5,0))*(1+$BI8)*(1+$BJ8))*(1+$AN8)*$BM8*$P8*(1+IF(VLOOKUP($Q8,武学奇术!$A:$ZZ,30,FALSE)="弹道",$B$21,0))*(1+$BS8)</f>
        <v>76560.228540757</v>
      </c>
      <c r="M8" s="55">
        <f>(($AQ8*$AJ8+$AK8)*(1+$AR8)*(1+$AS8)+($AV8*IF($G$1="鸣金",$AL8,$AJ8)+IF($G$1="鸣金",$AM8*1.5,0))*(1+$AW8)*(1+$AX8)+($AZ8*IF($G$1="裂石",$AL8,$AJ8)+IF($G$1="裂石",$AM8*1.5,0))*(1+$BA8)*(1+$BB8)+($BD8*IF($G$1="牵丝",$AL8,$AJ8)+IF($G$1="牵丝",$AM8*1.5,0))*(1+$BE8)*(1+$BF8)+($BH8*IF($G$1="破竹",$AL8,$AJ8)+IF($G$1="破竹",$AM8*1.5,0))*(1+$BI8)*(1+$BJ8))*(1+$AN8)*$BO8*$P8*(1+IF(VLOOKUP($Q8,武学奇术!$A:$ZZ,30,FALSE)="弹道",$B$21,0))*(1+$BS8)</f>
        <v>77649.7926383463</v>
      </c>
      <c r="N8" s="55">
        <f>((($AP8+$AQ8)/2*$AJ8+$AK8)*(1+$AR8)*(1+$AS8)+(($AU8+$AV8)/2*IF($G$1="鸣金",$AL8,$AJ8)+IF($G$1="鸣金",$AM8*1.5,0))*(1+$AW8)*(1+$AX8)+(($AY8+$AZ8)/2*IF($G$1="裂石",$AL8,$AJ8)+IF($G$1="裂石",$AM8*1.5,0))*(1+$BA8)*(1+$BB8)+(($BC8+$BD8)/2*IF($G$1="牵丝",$AL8,$AJ8)+IF($G$1="牵丝",$AM8*1.5,0))*(1+$BE8)*(1+$BF8)+(($BG8+$BH8)/2*IF($G$1="破竹",$AL8,$AJ8)+IF($G$1="破竹",$AM8*1.5,0))*(1+$BI8)*(1+$BJ8))*(1+$AN8)*$P8*(1+IF(VLOOKUP($Q8,武学奇术!$A:$ZZ,30,FALSE)="弹道",$B$21,0))*(1+$BS8)</f>
        <v>40941.2986848968</v>
      </c>
      <c r="O8" s="55">
        <f>((($AP8*$AJ8+$AK8)*(1+$AR8)*(1+$AS8)+($AU8*IF($G$1="鸣金",$AL8,$AJ8)+IF($G$1="鸣金",$AM8*1.5,0))*(1+$AW8)*(1+$AX8)+($AY8*IF($G$1="裂石",$AL8,$AJ8)+IF($G$1="裂石",$AM8*1.5,0))*(1+$BA8)*(1+$BB8)+($BC8*IF($G$1="牵丝",$AL8,$AJ8)+IF($G$1="牵丝",$AM8*1.5,0))*(1+$BE8)*(1+$BF8)+($BG8*IF($G$1="破竹",$AL8,$AJ8)+IF($G$1="破竹",$AM8*1.5,0))*(1+$BI8)*(1+$BJ8))*(1+$AN8))*$P8*(1+IF(VLOOKUP($Q8,武学奇术!$A:$ZZ,30,FALSE)="弹道",$B$21,0))*(1+$BS8)</f>
        <v>24364.2324525</v>
      </c>
      <c r="P8" s="56">
        <v>1</v>
      </c>
      <c r="Q8" s="57" t="s">
        <v>84</v>
      </c>
      <c r="R8" s="57" t="s">
        <v>91</v>
      </c>
      <c r="S8" s="57" t="s">
        <v>85</v>
      </c>
      <c r="T8" s="57" t="s">
        <v>92</v>
      </c>
      <c r="U8" s="57" t="s">
        <v>72</v>
      </c>
      <c r="V8" s="57" t="s">
        <v>86</v>
      </c>
      <c r="W8" s="57" t="s">
        <v>72</v>
      </c>
      <c r="X8" s="57" t="s">
        <v>72</v>
      </c>
      <c r="Y8" s="57" t="s">
        <v>72</v>
      </c>
      <c r="Z8" s="57" t="s">
        <v>72</v>
      </c>
      <c r="AA8" s="57" t="s">
        <v>72</v>
      </c>
      <c r="AB8" s="57" t="s">
        <v>72</v>
      </c>
      <c r="AC8" s="57" t="s">
        <v>72</v>
      </c>
      <c r="AD8" s="57" t="s">
        <v>72</v>
      </c>
      <c r="AE8" s="57" t="s">
        <v>72</v>
      </c>
      <c r="AF8" s="57" t="s">
        <v>72</v>
      </c>
      <c r="AG8" s="57" t="s">
        <v>72</v>
      </c>
      <c r="AH8" s="57" t="s">
        <v>87</v>
      </c>
      <c r="AI8" t="str">
        <f>VLOOKUP($Q8,武学奇术!$A:$ZZ,25,FALSE)</f>
        <v>伞</v>
      </c>
      <c r="AJ8" s="41">
        <f>VLOOKUP($Q8,武学奇术!$A:$ZZ,26,FALSE)</f>
        <v>2.3397</v>
      </c>
      <c r="AK8" s="42">
        <f>VLOOKUP($Q8,武学奇术!$A:$ZZ,27,FALSE)*(1+IF(OR($AI8=$F$4,$AI8=$F$5),$B$22,0))</f>
        <v>907.2</v>
      </c>
      <c r="AL8" s="41">
        <f>VLOOKUP($Q8,武学奇术!$A:$ZZ,28,FALSE)</f>
        <v>3.5095</v>
      </c>
      <c r="AM8" s="42">
        <f>VLOOKUP($Q8,武学奇术!$A:$ZZ,29,FALSE)*(1+IF(OR($AI8=$F$4,$AI8=$F$5),$B$22,0))</f>
        <v>494.2</v>
      </c>
      <c r="AN8" s="41" cm="1">
        <f t="array" ref="AN8">$G$3+IFERROR(VLOOKUP($AI8,$F$4:$G$7,2,FALSE),0)+VLOOKUP($Q8,武学奇术!$A:$ZZ,2,FALSE)+SUM(_xlfn.XLOOKUP($R8:$AH8,增益!$A:$A,增益!$B:$B,0))</f>
        <v>1.0141</v>
      </c>
      <c r="AO8" s="41" cm="1">
        <f t="array" ref="AO8">VLOOKUP($Q8,武学奇术!$A:$ZZ,5,FALSE)+SUM(_xlfn.XLOOKUP($R8:$AH8,增益!$A:$A,增益!$E:$E,0))</f>
        <v>0</v>
      </c>
      <c r="AP8" cm="1">
        <f t="array" ref="AP8">$D$10*(1+$AO8)+VLOOKUP($Q8,武学奇术!$A:$ZZ,3,FALSE)+SUM(_xlfn.XLOOKUP($R8:$AH8,增益!$A:$A,增益!$C:$C,0))-$I$2</f>
        <v>1797.4</v>
      </c>
      <c r="AQ8" cm="1">
        <f t="array" ref="AQ8">$E$10*(1+$AO8)+VLOOKUP($Q8,武学奇术!$A:$ZZ,4,FALSE)+SUM(_xlfn.XLOOKUP($R8:$AH8,增益!$A:$A,增益!$D:$D,0))-$I$2</f>
        <v>5488</v>
      </c>
      <c r="AR8" s="49" cm="1">
        <f t="array" ref="AR8">IF($F$10-$I$3+VLOOKUP($Q8,武学奇术!$A:$ZZ,6,FALSE)+SUM(_xlfn.XLOOKUP(R8:AH8,增益!$A:$A,增益!$F:$F,0))&gt;0,($F$10-$I$3+VLOOKUP($Q8,武学奇术!$A:$ZZ,6,FALSE)+SUM(_xlfn.XLOOKUP(R8:AH8,增益!$A:$A,增益!$F:$F,0)))/200,($F$10-$I$3+VLOOKUP($Q8,武学奇术!$A:$ZZ,6,FALSE)+SUM(_xlfn.XLOOKUP(R8:AH8,增益!$A:$A,增益!$F:$F,0)))/100)</f>
        <v>0.3275</v>
      </c>
      <c r="AS8" s="49" cm="1">
        <f t="array" ref="AS8">$G$10+VLOOKUP($Q8,武学奇术!$A:$ZZ,7,FALSE)+SUM(_xlfn.XLOOKUP(R8:AH8,增益!$A:$A,增益!$G:$G,0))</f>
        <v>0.1</v>
      </c>
      <c r="AT8" s="41" cm="1">
        <f t="array" ref="AT8">VLOOKUP($Q8,武学奇术!$A:$ZZ,8,FALSE)+SUM(_xlfn.XLOOKUP(R8:AH8,增益!$A:$A,增益!$H:$H,0))</f>
        <v>0</v>
      </c>
      <c r="AU8">
        <f t="shared" si="1"/>
        <v>0</v>
      </c>
      <c r="AV8">
        <f t="shared" si="2"/>
        <v>0</v>
      </c>
      <c r="AW8" s="49" cm="1">
        <f t="array" ref="AW8">IF($F$11-$I$4+VLOOKUP($Q8,武学奇术!$A:$ZZ,9,FALSE)+SUM(_xlfn.XLOOKUP(R8:AH8,增益!$A:$A,增益!$I:$I,0))&gt;0,($F$11-$I$4+VLOOKUP($Q8,武学奇术!$A:$ZZ,9,FALSE)+SUM(_xlfn.XLOOKUP(R8:AH8,增益!$A:$A,增益!$I:$I,0)))/200,($F$11-$I$4+VLOOKUP($Q8,武学奇术!$A:$ZZ,9,FALSE)+SUM(_xlfn.XLOOKUP(R8:AH8,增益!$A:$A,增益!$I:$I,0)))/100)</f>
        <v>-0.3</v>
      </c>
      <c r="AX8" s="49" cm="1">
        <f t="array" ref="AX8">$G$11+VLOOKUP($Q8,武学奇术!$A:$ZZ,10,FALSE)+SUM(_xlfn.XLOOKUP(R8:AH8,增益!$A:$A,增益!$J:$J,0))</f>
        <v>0</v>
      </c>
      <c r="AY8">
        <f t="shared" si="3"/>
        <v>0</v>
      </c>
      <c r="AZ8">
        <f t="shared" si="4"/>
        <v>0</v>
      </c>
      <c r="BA8" s="49" cm="1">
        <f t="array" ref="BA8">IF($F$12-$I$4+VLOOKUP($Q8,武学奇术!$A:$ZZ,11,FALSE)+SUM(_xlfn.XLOOKUP(R8:AH8,增益!$A:$A,增益!$K:$K,0))&gt;0,($F$12-$I$4+VLOOKUP($Q8,武学奇术!$A:$ZZ,11,FALSE)+SUM(_xlfn.XLOOKUP(R8:AH8,增益!$A:$A,增益!$K:$K,0)))/200,($F$12-$I$4+VLOOKUP($Q8,武学奇术!$A:$ZZ,11,FALSE)+SUM(_xlfn.XLOOKUP(R8:AH8,增益!$A:$A,增益!$K:$K,0)))/100)</f>
        <v>-0.3</v>
      </c>
      <c r="BB8" s="49" cm="1">
        <f t="array" ref="BB8">$G$12+VLOOKUP($Q8,武学奇术!$A:$ZZ,12,FALSE)+SUM(_xlfn.XLOOKUP(R8:AH8,增益!$A:$A,增益!$L:$L,0))</f>
        <v>0</v>
      </c>
      <c r="BC8">
        <f t="shared" si="5"/>
        <v>571.2</v>
      </c>
      <c r="BD8">
        <f t="shared" si="6"/>
        <v>1077.4</v>
      </c>
      <c r="BE8" s="49" cm="1">
        <f t="array" ref="BE8">IF($F$13-$I$4+VLOOKUP($Q8,武学奇术!$A:$ZZ,13,FALSE)+SUM(_xlfn.XLOOKUP(R8:AH8,增益!$A:$A,增益!$M:$M,0))&gt;0,($F$13-$I$4+VLOOKUP($Q8,武学奇术!$A:$ZZ,13,FALSE)+SUM(_xlfn.XLOOKUP(R8:AH8,增益!$A:$A,增益!$K:$K,0)))/200,($F$13-$I$4+VLOOKUP($Q8,武学奇术!$A:$ZZ,13,FALSE)+SUM(_xlfn.XLOOKUP(R8:AH8,增益!$A:$A,增益!$M:$M,0)))/100)</f>
        <v>0</v>
      </c>
      <c r="BF8" s="49" cm="1">
        <f t="array" ref="BF8">$G$13+VLOOKUP($Q8,武学奇术!$A:$ZZ,14,FALSE)+SUM(_xlfn.XLOOKUP(R8:AH8,增益!$A:$A,增益!$N:$N,0))</f>
        <v>0.25</v>
      </c>
      <c r="BG8">
        <f t="shared" si="7"/>
        <v>0</v>
      </c>
      <c r="BH8">
        <f t="shared" si="8"/>
        <v>0</v>
      </c>
      <c r="BI8" s="49" cm="1">
        <f t="array" ref="BI8">IF($F$14-$I$4+VLOOKUP($Q8,武学奇术!$A:$ZZ,15,FALSE)+SUM(_xlfn.XLOOKUP(R8:AH8,增益!$A:$A,增益!$O:$O,0))&gt;0,($F$14-$I$4+VLOOKUP($Q8,武学奇术!$A:$ZZ,15,FALSE)+SUM(_xlfn.XLOOKUP(R8:AH8,增益!$A:$A,增益!$O:$O,0)))/200,($F$14-$I$4+VLOOKUP($Q8,武学奇术!$A:$ZZ,15,FALSE)+SUM(_xlfn.XLOOKUP(R8:AH8,增益!$A:$A,增益!$O:$O,0)))/100)</f>
        <v>-0.3</v>
      </c>
      <c r="BJ8" s="49" cm="1">
        <f t="array" ref="BJ8">$G$14+VLOOKUP($Q8,武学奇术!$A:$ZZ,16,FALSE)+SUM(_xlfn.XLOOKUP(R8:AH8,增益!$A:$A,增益!$P:$P,0))</f>
        <v>0</v>
      </c>
      <c r="BK8" s="41">
        <f>MIN(IF(VLOOKUP($Q8,武学奇术!$A:$ZZ,23,FALSE)=1,100%,$B$8),100%)</f>
        <v>1</v>
      </c>
      <c r="BL8" s="41" cm="1">
        <f t="array" ref="BL8">IF(VLOOKUP($Q8,武学奇术!$A:$ZZ,23,FALSE)=1,100%,MIN(80%,$B$9+VLOOKUP($Q8,武学奇术!$A:$ZZ,17,FALSE)+SUM(_xlfn.XLOOKUP(R8:AH8,增益!$A:$A,增益!$Q:$Q,0)))+$B$11+SUM(_xlfn.XLOOKUP(R8:AH8,增益!$A:$A,增益!$U:$U,0)))*IF(VLOOKUP($Q8,武学奇术!$A:$ZZ,24,FALSE)=1,0,1)</f>
        <v>0.9045</v>
      </c>
      <c r="BM8" s="41" cm="1">
        <f t="array" ref="BM8">1+$B$13+VLOOKUP($Q8,武学奇术!$A:$ZZ,18,FALSE)+SUM(_xlfn.XLOOKUP(R8:AH8,增益!$A:$A,增益!$R:$R,0))</f>
        <v>1.87</v>
      </c>
      <c r="BN8" s="41" cm="1">
        <f t="array" ref="BN8">IF(VLOOKUP($Q8,武学奇术!$A:$ZZ,24,FALSE)=1,100%,MIN(40%,$B$10+VLOOKUP($Q8,武学奇术!$A:$ZZ,19,FALSE)+SUM(_xlfn.XLOOKUP(R8:AH8,增益!$A:$A,增益!$S:$S,0)))+$B$12+SUM(_xlfn.XLOOKUP(R8:AH8,增益!$A:$A,增益!$V:$V,0)))*IF(VLOOKUP($Q8,武学奇术!$A:$ZZ,23,FALSE)=1,0,1)</f>
        <v>0.0929</v>
      </c>
      <c r="BO8" s="41" cm="1">
        <f t="array" ref="BO8">1+$B$14+VLOOKUP($Q8,武学奇术!$A:$ZZ,20,FALSE)+SUM(_xlfn.XLOOKUP(R8:AH8,增益!$A:$A,增益!$T:$T,0))</f>
        <v>1.35</v>
      </c>
      <c r="BP8" s="41">
        <f t="shared" si="9"/>
        <v>0.9045</v>
      </c>
      <c r="BQ8" s="41">
        <f t="shared" si="10"/>
        <v>0.00260000000000005</v>
      </c>
      <c r="BR8" s="41">
        <f>IF(VLOOKUP($Q8,武学奇术!$A:$ZZ,22,FALSE)=1,0,(1-$BK8))*(1-$BN8)</f>
        <v>0</v>
      </c>
      <c r="BS8" s="41" cm="1">
        <f t="array" ref="BS8">SUM(_xlfn.XLOOKUP(R8:AH8,增益!$A:$A,增益!$W:$W,0))+$I$5</f>
        <v>0.11</v>
      </c>
    </row>
    <row r="9" ht="15.15" spans="1:71">
      <c r="A9" s="58" t="s">
        <v>93</v>
      </c>
      <c r="B9" s="87">
        <v>0.7715</v>
      </c>
      <c r="C9" s="62"/>
      <c r="D9" t="s">
        <v>0</v>
      </c>
      <c r="E9" t="s">
        <v>1</v>
      </c>
      <c r="F9" s="56" t="s">
        <v>2</v>
      </c>
      <c r="G9" s="61" t="s">
        <v>3</v>
      </c>
      <c r="H9" s="88"/>
      <c r="I9" s="23"/>
      <c r="J9" s="89"/>
      <c r="K9" s="55">
        <f t="shared" si="0"/>
        <v>31693.3629922287</v>
      </c>
      <c r="L9" s="55">
        <f>((($AP9+$AQ9)/2*$AJ9+$AK9)*(1+$AR9)*(1+$AS9)+(($AU9+$AV9)/2*IF($G$1="鸣金",$AL9,$AJ9)+IF($G$1="鸣金",$AM9*1.5,0))*(1+$AW9)*(1+$AX9)+(($AY9+$AZ9)/2*IF($G$1="裂石",$AL9,$AJ9)+IF($G$1="裂石",$AM9*1.5,0))*(1+$BA9)*(1+$BB9)+(($BC9+$BD9)/2*IF($G$1="牵丝",$AL9,$AJ9)+IF($G$1="牵丝",$AM9*1.5,0))*(1+$BE9)*(1+$BF9)+(($BG9+$BH9)/2*IF($G$1="破竹",$AL9,$AJ9)+IF($G$1="破竹",$AM9*1.5,0))*(1+$BI9)*(1+$BJ9))*(1+$AN9)*$BM9*$P9*(1+IF(VLOOKUP($Q9,武学奇术!$A:$ZZ,30,FALSE)="弹道",$B$21,0))*(1+$BS9)</f>
        <v>30992.5663301616</v>
      </c>
      <c r="M9" s="55">
        <f>(($AQ9*$AJ9+$AK9)*(1+$AR9)*(1+$AS9)+($AV9*IF($G$1="鸣金",$AL9,$AJ9)+IF($G$1="鸣金",$AM9*1.5,0))*(1+$AW9)*(1+$AX9)+($AZ9*IF($G$1="裂石",$AL9,$AJ9)+IF($G$1="裂石",$AM9*1.5,0))*(1+$BA9)*(1+$BB9)+($BD9*IF($G$1="牵丝",$AL9,$AJ9)+IF($G$1="牵丝",$AM9*1.5,0))*(1+$BE9)*(1+$BF9)+($BH9*IF($G$1="破竹",$AL9,$AJ9)+IF($G$1="破竹",$AM9*1.5,0))*(1+$BI9)*(1+$BJ9))*(1+$AN9)*$BO9*$P9*(1+IF(VLOOKUP($Q9,武学奇术!$A:$ZZ,30,FALSE)="弹道",$B$21,0))*(1+$BS9)</f>
        <v>38829.0857142118</v>
      </c>
      <c r="N9" s="55">
        <f>((($AP9+$AQ9)/2*$AJ9+$AK9)*(1+$AR9)*(1+$AS9)+(($AU9+$AV9)/2*IF($G$1="鸣金",$AL9,$AJ9)+IF($G$1="鸣金",$AM9*1.5,0))*(1+$AW9)*(1+$AX9)+(($AY9+$AZ9)/2*IF($G$1="裂石",$AL9,$AJ9)+IF($G$1="裂石",$AM9*1.5,0))*(1+$BA9)*(1+$BB9)+(($BC9+$BD9)/2*IF($G$1="牵丝",$AL9,$AJ9)+IF($G$1="牵丝",$AM9*1.5,0))*(1+$BE9)*(1+$BF9)+(($BG9+$BH9)/2*IF($G$1="破竹",$AL9,$AJ9)+IF($G$1="破竹",$AM9*1.5,0))*(1+$BI9)*(1+$BJ9))*(1+$AN9)*$P9*(1+IF(VLOOKUP($Q9,武学奇术!$A:$ZZ,30,FALSE)="弹道",$B$21,0))*(1+$BS9)</f>
        <v>20524.8783643454</v>
      </c>
      <c r="O9" s="55">
        <f>((($AP9*$AJ9+$AK9)*(1+$AR9)*(1+$AS9)+($AU9*IF($G$1="鸣金",$AL9,$AJ9)+IF($G$1="鸣金",$AM9*1.5,0))*(1+$AW9)*(1+$AX9)+($AY9*IF($G$1="裂石",$AL9,$AJ9)+IF($G$1="裂石",$AM9*1.5,0))*(1+$BA9)*(1+$BB9)+($BC9*IF($G$1="牵丝",$AL9,$AJ9)+IF($G$1="牵丝",$AM9*1.5,0))*(1+$BE9)*(1+$BF9)+($BG9*IF($G$1="破竹",$AL9,$AJ9)+IF($G$1="破竹",$AM9*1.5,0))*(1+$BI9)*(1+$BJ9))*(1+$AN9))*$P9*(1+IF(VLOOKUP($Q9,武学奇术!$A:$ZZ,30,FALSE)="弹道",$B$21,0))*(1+$BS9)</f>
        <v>12287.4710144599</v>
      </c>
      <c r="P9" s="56">
        <v>1</v>
      </c>
      <c r="Q9" s="57" t="s">
        <v>94</v>
      </c>
      <c r="R9" s="57" t="s">
        <v>95</v>
      </c>
      <c r="S9" s="57" t="s">
        <v>85</v>
      </c>
      <c r="T9" s="57" t="s">
        <v>72</v>
      </c>
      <c r="U9" s="57" t="s">
        <v>72</v>
      </c>
      <c r="V9" s="57" t="s">
        <v>72</v>
      </c>
      <c r="W9" s="57" t="s">
        <v>72</v>
      </c>
      <c r="X9" s="57" t="s">
        <v>72</v>
      </c>
      <c r="Y9" s="57" t="s">
        <v>72</v>
      </c>
      <c r="Z9" s="57" t="s">
        <v>72</v>
      </c>
      <c r="AA9" s="57" t="s">
        <v>72</v>
      </c>
      <c r="AB9" s="57" t="s">
        <v>96</v>
      </c>
      <c r="AC9" s="57" t="s">
        <v>72</v>
      </c>
      <c r="AD9" s="57" t="s">
        <v>72</v>
      </c>
      <c r="AE9" s="57" t="s">
        <v>72</v>
      </c>
      <c r="AF9" s="57" t="s">
        <v>72</v>
      </c>
      <c r="AG9" s="57" t="s">
        <v>72</v>
      </c>
      <c r="AH9" s="57" t="s">
        <v>87</v>
      </c>
      <c r="AI9" t="str">
        <f>VLOOKUP($Q9,武学奇术!$A:$ZZ,25,FALSE)</f>
        <v>伞</v>
      </c>
      <c r="AJ9" s="41">
        <f>VLOOKUP($Q9,武学奇术!$A:$ZZ,26,FALSE)</f>
        <v>1.7001</v>
      </c>
      <c r="AK9" s="42">
        <f>VLOOKUP($Q9,武学奇术!$A:$ZZ,27,FALSE)*(1+IF(OR($AI9=$F$4,$AI9=$F$5),$B$22,0))</f>
        <v>659.4</v>
      </c>
      <c r="AL9" s="41">
        <f>VLOOKUP($Q9,武学奇术!$A:$ZZ,28,FALSE)</f>
        <v>2.5502</v>
      </c>
      <c r="AM9" s="42">
        <f>VLOOKUP($Q9,武学奇术!$A:$ZZ,29,FALSE)*(1+IF(OR($AI9=$F$4,$AI9=$F$5),$B$22,0))</f>
        <v>358.4</v>
      </c>
      <c r="AN9" s="41" cm="1">
        <f t="array" ref="AN9">$G$3+IFERROR(VLOOKUP($AI9,$F$4:$G$7,2,FALSE),0)+VLOOKUP($Q9,武学奇术!$A:$ZZ,2,FALSE)+SUM(_xlfn.XLOOKUP($R9:$AH9,增益!$A:$A,增益!$B:$B,0))</f>
        <v>0.3741</v>
      </c>
      <c r="AO9" s="41" cm="1">
        <f t="array" ref="AO9">VLOOKUP($Q9,武学奇术!$A:$ZZ,5,FALSE)+SUM(_xlfn.XLOOKUP($R9:$AH9,增益!$A:$A,增益!$E:$E,0))</f>
        <v>0</v>
      </c>
      <c r="AP9" cm="1">
        <f t="array" ref="AP9">$D$10*(1+$AO9)+VLOOKUP($Q9,武学奇术!$A:$ZZ,3,FALSE)+SUM(_xlfn.XLOOKUP($R9:$AH9,增益!$A:$A,增益!$C:$C,0))-$I$2</f>
        <v>1797.4</v>
      </c>
      <c r="AQ9" cm="1">
        <f t="array" ref="AQ9">$E$10*(1+$AO9)+VLOOKUP($Q9,武学奇术!$A:$ZZ,4,FALSE)+SUM(_xlfn.XLOOKUP($R9:$AH9,增益!$A:$A,增益!$D:$D,0))-$I$2</f>
        <v>5488</v>
      </c>
      <c r="AR9" s="49" cm="1">
        <f t="array" ref="AR9">IF($F$10-$I$3+VLOOKUP($Q9,武学奇术!$A:$ZZ,6,FALSE)+SUM(_xlfn.XLOOKUP(R9:AH9,增益!$A:$A,增益!$F:$F,0))&gt;0,($F$10-$I$3+VLOOKUP($Q9,武学奇术!$A:$ZZ,6,FALSE)+SUM(_xlfn.XLOOKUP(R9:AH9,增益!$A:$A,增益!$F:$F,0)))/200,($F$10-$I$3+VLOOKUP($Q9,武学奇术!$A:$ZZ,6,FALSE)+SUM(_xlfn.XLOOKUP(R9:AH9,增益!$A:$A,增益!$F:$F,0)))/100)</f>
        <v>0.3125</v>
      </c>
      <c r="AS9" s="49" cm="1">
        <f t="array" ref="AS9">$G$10+VLOOKUP($Q9,武学奇术!$A:$ZZ,7,FALSE)+SUM(_xlfn.XLOOKUP(R9:AH9,增益!$A:$A,增益!$G:$G,0))</f>
        <v>0.1</v>
      </c>
      <c r="AT9" s="41" cm="1">
        <f t="array" ref="AT9">VLOOKUP($Q9,武学奇术!$A:$ZZ,8,FALSE)+SUM(_xlfn.XLOOKUP(R9:AH9,增益!$A:$A,增益!$H:$H,0))</f>
        <v>0</v>
      </c>
      <c r="AU9">
        <f t="shared" si="1"/>
        <v>0</v>
      </c>
      <c r="AV9">
        <f t="shared" si="2"/>
        <v>0</v>
      </c>
      <c r="AW9" s="49" cm="1">
        <f t="array" ref="AW9">IF($F$11-$I$4+VLOOKUP($Q9,武学奇术!$A:$ZZ,9,FALSE)+SUM(_xlfn.XLOOKUP(R9:AH9,增益!$A:$A,增益!$I:$I,0))&gt;0,($F$11-$I$4+VLOOKUP($Q9,武学奇术!$A:$ZZ,9,FALSE)+SUM(_xlfn.XLOOKUP(R9:AH9,增益!$A:$A,增益!$I:$I,0)))/200,($F$11-$I$4+VLOOKUP($Q9,武学奇术!$A:$ZZ,9,FALSE)+SUM(_xlfn.XLOOKUP(R9:AH9,增益!$A:$A,增益!$I:$I,0)))/100)</f>
        <v>-0.14</v>
      </c>
      <c r="AX9" s="49" cm="1">
        <f t="array" ref="AX9">$G$11+VLOOKUP($Q9,武学奇术!$A:$ZZ,10,FALSE)+SUM(_xlfn.XLOOKUP(R9:AH9,增益!$A:$A,增益!$J:$J,0))</f>
        <v>0</v>
      </c>
      <c r="AY9">
        <f t="shared" si="3"/>
        <v>0</v>
      </c>
      <c r="AZ9">
        <f t="shared" si="4"/>
        <v>0</v>
      </c>
      <c r="BA9" s="49" cm="1">
        <f t="array" ref="BA9">IF($F$12-$I$4+VLOOKUP($Q9,武学奇术!$A:$ZZ,11,FALSE)+SUM(_xlfn.XLOOKUP(R9:AH9,增益!$A:$A,增益!$K:$K,0))&gt;0,($F$12-$I$4+VLOOKUP($Q9,武学奇术!$A:$ZZ,11,FALSE)+SUM(_xlfn.XLOOKUP(R9:AH9,增益!$A:$A,增益!$K:$K,0)))/200,($F$12-$I$4+VLOOKUP($Q9,武学奇术!$A:$ZZ,11,FALSE)+SUM(_xlfn.XLOOKUP(R9:AH9,增益!$A:$A,增益!$K:$K,0)))/100)</f>
        <v>-0.14</v>
      </c>
      <c r="BB9" s="49" cm="1">
        <f t="array" ref="BB9">$G$12+VLOOKUP($Q9,武学奇术!$A:$ZZ,12,FALSE)+SUM(_xlfn.XLOOKUP(R9:AH9,增益!$A:$A,增益!$L:$L,0))</f>
        <v>0</v>
      </c>
      <c r="BC9">
        <f t="shared" si="5"/>
        <v>571.2</v>
      </c>
      <c r="BD9">
        <f t="shared" si="6"/>
        <v>1077.4</v>
      </c>
      <c r="BE9" s="49" cm="1">
        <f t="array" ref="BE9">IF($F$13-$I$4+VLOOKUP($Q9,武学奇术!$A:$ZZ,13,FALSE)+SUM(_xlfn.XLOOKUP(R9:AH9,增益!$A:$A,增益!$M:$M,0))&gt;0,($F$13-$I$4+VLOOKUP($Q9,武学奇术!$A:$ZZ,13,FALSE)+SUM(_xlfn.XLOOKUP(R9:AH9,增益!$A:$A,增益!$K:$K,0)))/200,($F$13-$I$4+VLOOKUP($Q9,武学奇术!$A:$ZZ,13,FALSE)+SUM(_xlfn.XLOOKUP(R9:AH9,增益!$A:$A,增益!$M:$M,0)))/100)</f>
        <v>0.08</v>
      </c>
      <c r="BF9" s="49" cm="1">
        <f t="array" ref="BF9">$G$13+VLOOKUP($Q9,武学奇术!$A:$ZZ,14,FALSE)+SUM(_xlfn.XLOOKUP(R9:AH9,增益!$A:$A,增益!$N:$N,0))</f>
        <v>0.25</v>
      </c>
      <c r="BG9">
        <f t="shared" si="7"/>
        <v>0</v>
      </c>
      <c r="BH9">
        <f t="shared" si="8"/>
        <v>0</v>
      </c>
      <c r="BI9" s="49" cm="1">
        <f t="array" ref="BI9">IF($F$14-$I$4+VLOOKUP($Q9,武学奇术!$A:$ZZ,15,FALSE)+SUM(_xlfn.XLOOKUP(R9:AH9,增益!$A:$A,增益!$O:$O,0))&gt;0,($F$14-$I$4+VLOOKUP($Q9,武学奇术!$A:$ZZ,15,FALSE)+SUM(_xlfn.XLOOKUP(R9:AH9,增益!$A:$A,增益!$O:$O,0)))/200,($F$14-$I$4+VLOOKUP($Q9,武学奇术!$A:$ZZ,15,FALSE)+SUM(_xlfn.XLOOKUP(R9:AH9,增益!$A:$A,增益!$O:$O,0)))/100)</f>
        <v>-0.14</v>
      </c>
      <c r="BJ9" s="49" cm="1">
        <f t="array" ref="BJ9">$G$14+VLOOKUP($Q9,武学奇术!$A:$ZZ,16,FALSE)+SUM(_xlfn.XLOOKUP(R9:AH9,增益!$A:$A,增益!$P:$P,0))</f>
        <v>0</v>
      </c>
      <c r="BK9" s="41">
        <f>MIN(IF(VLOOKUP($Q9,武学奇术!$A:$ZZ,23,FALSE)=1,100%,$B$8),100%)</f>
        <v>1</v>
      </c>
      <c r="BL9" s="41" cm="1">
        <f t="array" ref="BL9">IF(VLOOKUP($Q9,武学奇术!$A:$ZZ,23,FALSE)=1,100%,MIN(80%,$B$9+VLOOKUP($Q9,武学奇术!$A:$ZZ,17,FALSE)+SUM(_xlfn.XLOOKUP(R9:AH9,增益!$A:$A,增益!$Q:$Q,0)))+$B$11+SUM(_xlfn.XLOOKUP(R9:AH9,增益!$A:$A,增益!$U:$U,0)))*IF(VLOOKUP($Q9,武学奇术!$A:$ZZ,24,FALSE)=1,0,1)</f>
        <v>0.9045</v>
      </c>
      <c r="BM9" s="41" cm="1">
        <f t="array" ref="BM9">1+$B$13+VLOOKUP($Q9,武学奇术!$A:$ZZ,18,FALSE)+SUM(_xlfn.XLOOKUP(R9:AH9,增益!$A:$A,增益!$R:$R,0))</f>
        <v>1.51</v>
      </c>
      <c r="BN9" s="41" cm="1">
        <f t="array" ref="BN9">IF(VLOOKUP($Q9,武学奇术!$A:$ZZ,24,FALSE)=1,100%,MIN(40%,$B$10+VLOOKUP($Q9,武学奇术!$A:$ZZ,19,FALSE)+SUM(_xlfn.XLOOKUP(R9:AH9,增益!$A:$A,增益!$S:$S,0)))+$B$12+SUM(_xlfn.XLOOKUP(R9:AH9,增益!$A:$A,增益!$V:$V,0)))*IF(VLOOKUP($Q9,武学奇术!$A:$ZZ,23,FALSE)=1,0,1)</f>
        <v>0.0929</v>
      </c>
      <c r="BO9" s="41" cm="1">
        <f t="array" ref="BO9">1+$B$14+VLOOKUP($Q9,武学奇术!$A:$ZZ,20,FALSE)+SUM(_xlfn.XLOOKUP(R9:AH9,增益!$A:$A,增益!$T:$T,0))</f>
        <v>1.35</v>
      </c>
      <c r="BP9" s="41">
        <f t="shared" si="9"/>
        <v>0.9045</v>
      </c>
      <c r="BQ9" s="41">
        <f t="shared" si="10"/>
        <v>0.00260000000000005</v>
      </c>
      <c r="BR9" s="41">
        <f>IF(VLOOKUP($Q9,武学奇术!$A:$ZZ,22,FALSE)=1,0,(1-$BK9))*(1-$BN9)</f>
        <v>0</v>
      </c>
      <c r="BS9" s="41" cm="1">
        <f t="array" ref="BS9">SUM(_xlfn.XLOOKUP(R9:AH9,增益!$A:$A,增益!$W:$W,0))+$I$5</f>
        <v>0.11</v>
      </c>
    </row>
    <row r="10" spans="1:71">
      <c r="A10" s="58" t="s">
        <v>97</v>
      </c>
      <c r="B10" s="87">
        <v>0.0929</v>
      </c>
      <c r="C10" s="62" t="s">
        <v>68</v>
      </c>
      <c r="D10">
        <f>(B2+B23)*IF($G$2="撼天",1.06,1)</f>
        <v>2355.4</v>
      </c>
      <c r="E10">
        <f>MAX(B2+B23,C2+B24)*IF($G$2="撼天",1.06,1)</f>
        <v>6046</v>
      </c>
      <c r="F10">
        <f>D2</f>
        <v>63.5</v>
      </c>
      <c r="G10" s="105">
        <f>E2</f>
        <v>0</v>
      </c>
      <c r="H10" s="85" t="s">
        <v>98</v>
      </c>
      <c r="I10" s="90">
        <f>SUM(K:K)</f>
        <v>15919657.6496174</v>
      </c>
      <c r="J10" s="91"/>
      <c r="K10" s="55">
        <f t="shared" si="0"/>
        <v>13357.6423738595</v>
      </c>
      <c r="L10" s="55">
        <f>((($AP10+$AQ10)/2*$AJ10+$AK10)*(1+$AR10)*(1+$AS10)+(($AU10+$AV10)/2*IF($G$1="鸣金",$AL10,$AJ10)+IF($G$1="鸣金",$AM10*1.5,0))*(1+$AW10)*(1+$AX10)+(($AY10+$AZ10)/2*IF($G$1="裂石",$AL10,$AJ10)+IF($G$1="裂石",$AM10*1.5,0))*(1+$BA10)*(1+$BB10)+(($BC10+$BD10)/2*IF($G$1="牵丝",$AL10,$AJ10)+IF($G$1="牵丝",$AM10*1.5,0))*(1+$BE10)*(1+$BF10)+(($BG10+$BH10)/2*IF($G$1="破竹",$AL10,$AJ10)+IF($G$1="破竹",$AM10*1.5,0))*(1+$BI10)*(1+$BJ10))*(1+$AN10)*$BM10*$P10*(1+IF(VLOOKUP($Q10,武学奇术!$A:$ZZ,30,FALSE)="弹道",$B$21,0))*(1+$BS10)</f>
        <v>13071.9451820017</v>
      </c>
      <c r="M10" s="55">
        <f>(($AQ10*$AJ10+$AK10)*(1+$AR10)*(1+$AS10)+($AV10*IF($G$1="鸣金",$AL10,$AJ10)+IF($G$1="鸣金",$AM10*1.5,0))*(1+$AW10)*(1+$AX10)+($AZ10*IF($G$1="裂石",$AL10,$AJ10)+IF($G$1="裂石",$AM10*1.5,0))*(1+$BA10)*(1+$BB10)+($BD10*IF($G$1="牵丝",$AL10,$AJ10)+IF($G$1="牵丝",$AM10*1.5,0))*(1+$BE10)*(1+$BF10)+($BH10*IF($G$1="破竹",$AL10,$AJ10)+IF($G$1="破竹",$AM10*1.5,0))*(1+$BI10)*(1+$BJ10))*(1+$AN10)*$BO10*$P10*(1+IF(VLOOKUP($Q10,武学奇术!$A:$ZZ,30,FALSE)="弹道",$B$21,0))*(1+$BS10)</f>
        <v>16272.4225027612</v>
      </c>
      <c r="N10" s="55">
        <f>((($AP10+$AQ10)/2*$AJ10+$AK10)*(1+$AR10)*(1+$AS10)+(($AU10+$AV10)/2*IF($G$1="鸣金",$AL10,$AJ10)+IF($G$1="鸣金",$AM10*1.5,0))*(1+$AW10)*(1+$AX10)+(($AY10+$AZ10)/2*IF($G$1="裂石",$AL10,$AJ10)+IF($G$1="裂石",$AM10*1.5,0))*(1+$BA10)*(1+$BB10)+(($BC10+$BD10)/2*IF($G$1="牵丝",$AL10,$AJ10)+IF($G$1="牵丝",$AM10*1.5,0))*(1+$BE10)*(1+$BF10)+(($BG10+$BH10)/2*IF($G$1="破竹",$AL10,$AJ10)+IF($G$1="破竹",$AM10*1.5,0))*(1+$BI10)*(1+$BJ10))*(1+$AN10)*$P10*(1+IF(VLOOKUP($Q10,武学奇术!$A:$ZZ,30,FALSE)="弹道",$B$21,0))*(1+$BS10)</f>
        <v>8599.96393552746</v>
      </c>
      <c r="O10" s="55">
        <f>((($AP10*$AJ10+$AK10)*(1+$AR10)*(1+$AS10)+($AU10*IF($G$1="鸣金",$AL10,$AJ10)+IF($G$1="鸣金",$AM10*1.5,0))*(1+$AW10)*(1+$AX10)+($AY10*IF($G$1="裂石",$AL10,$AJ10)+IF($G$1="裂石",$AM10*1.5,0))*(1+$BA10)*(1+$BB10)+($BC10*IF($G$1="牵丝",$AL10,$AJ10)+IF($G$1="牵丝",$AM10*1.5,0))*(1+$BE10)*(1+$BF10)+($BG10*IF($G$1="破竹",$AL10,$AJ10)+IF($G$1="破竹",$AM10*1.5,0))*(1+$BI10)*(1+$BJ10))*(1+$AN10))*$P10*(1+IF(VLOOKUP($Q10,武学奇术!$A:$ZZ,30,FALSE)="弹道",$B$21,0))*(1+$BS10)</f>
        <v>5146.28157271328</v>
      </c>
      <c r="P10" s="56">
        <v>1</v>
      </c>
      <c r="Q10" s="57" t="s">
        <v>99</v>
      </c>
      <c r="R10" s="57" t="s">
        <v>95</v>
      </c>
      <c r="S10" s="57" t="s">
        <v>100</v>
      </c>
      <c r="T10" s="57" t="s">
        <v>72</v>
      </c>
      <c r="U10" s="57" t="s">
        <v>72</v>
      </c>
      <c r="V10" s="57" t="s">
        <v>72</v>
      </c>
      <c r="W10" s="57" t="s">
        <v>72</v>
      </c>
      <c r="X10" s="57" t="s">
        <v>72</v>
      </c>
      <c r="Y10" s="57" t="s">
        <v>72</v>
      </c>
      <c r="Z10" s="57" t="s">
        <v>72</v>
      </c>
      <c r="AA10" s="57" t="s">
        <v>72</v>
      </c>
      <c r="AB10" s="57" t="s">
        <v>96</v>
      </c>
      <c r="AC10" s="57" t="s">
        <v>72</v>
      </c>
      <c r="AD10" s="57" t="s">
        <v>72</v>
      </c>
      <c r="AE10" s="57" t="s">
        <v>72</v>
      </c>
      <c r="AF10" s="57" t="s">
        <v>72</v>
      </c>
      <c r="AG10" s="57" t="s">
        <v>72</v>
      </c>
      <c r="AH10" s="57" t="s">
        <v>87</v>
      </c>
      <c r="AI10" t="str">
        <f>VLOOKUP($Q10,武学奇术!$A:$ZZ,25,FALSE)</f>
        <v>伞</v>
      </c>
      <c r="AJ10" s="41">
        <f>VLOOKUP($Q10,武学奇术!$A:$ZZ,26,FALSE)</f>
        <v>0.54</v>
      </c>
      <c r="AK10" s="42">
        <f>VLOOKUP($Q10,武学奇术!$A:$ZZ,27,FALSE)*(1+IF(OR($AI10=$F$4,$AI10=$F$5),$B$22,0))</f>
        <v>207.2</v>
      </c>
      <c r="AL10" s="41">
        <f>VLOOKUP($Q10,武学奇术!$A:$ZZ,28,FALSE)</f>
        <v>0.81</v>
      </c>
      <c r="AM10" s="42">
        <f>VLOOKUP($Q10,武学奇术!$A:$ZZ,29,FALSE)*(1+IF(OR($AI10=$F$4,$AI10=$F$5),$B$22,0))</f>
        <v>114.1</v>
      </c>
      <c r="AN10" s="41" cm="1">
        <f t="array" ref="AN10">$G$3+IFERROR(VLOOKUP($AI10,$F$4:$G$7,2,FALSE),0)+VLOOKUP($Q10,武学奇术!$A:$ZZ,2,FALSE)+SUM(_xlfn.XLOOKUP($R10:$AH10,增益!$A:$A,增益!$B:$B,0))</f>
        <v>0.3741</v>
      </c>
      <c r="AO10" s="41" cm="1">
        <f t="array" ref="AO10">VLOOKUP($Q10,武学奇术!$A:$ZZ,5,FALSE)+SUM(_xlfn.XLOOKUP($R10:$AH10,增益!$A:$A,增益!$E:$E,0))</f>
        <v>0</v>
      </c>
      <c r="AP10" cm="1">
        <f t="array" ref="AP10">$D$10*(1+$AO10)+VLOOKUP($Q10,武学奇术!$A:$ZZ,3,FALSE)+SUM(_xlfn.XLOOKUP($R10:$AH10,增益!$A:$A,增益!$C:$C,0))-$I$2</f>
        <v>1797.4</v>
      </c>
      <c r="AQ10" cm="1">
        <f t="array" ref="AQ10">$E$10*(1+$AO10)+VLOOKUP($Q10,武学奇术!$A:$ZZ,4,FALSE)+SUM(_xlfn.XLOOKUP($R10:$AH10,增益!$A:$A,增益!$D:$D,0))-$I$2</f>
        <v>5488</v>
      </c>
      <c r="AR10" s="49" cm="1">
        <f t="array" ref="AR10">IF($F$10-$I$3+VLOOKUP($Q10,武学奇术!$A:$ZZ,6,FALSE)+SUM(_xlfn.XLOOKUP(R10:AH10,增益!$A:$A,增益!$F:$F,0))&gt;0,($F$10-$I$3+VLOOKUP($Q10,武学奇术!$A:$ZZ,6,FALSE)+SUM(_xlfn.XLOOKUP(R10:AH10,增益!$A:$A,增益!$F:$F,0)))/200,($F$10-$I$3+VLOOKUP($Q10,武学奇术!$A:$ZZ,6,FALSE)+SUM(_xlfn.XLOOKUP(R10:AH10,增益!$A:$A,增益!$F:$F,0)))/100)</f>
        <v>0.3125</v>
      </c>
      <c r="AS10" s="49" cm="1">
        <f t="array" ref="AS10">$G$10+VLOOKUP($Q10,武学奇术!$A:$ZZ,7,FALSE)+SUM(_xlfn.XLOOKUP(R10:AH10,增益!$A:$A,增益!$G:$G,0))</f>
        <v>0.1</v>
      </c>
      <c r="AT10" s="41" cm="1">
        <f t="array" ref="AT10">VLOOKUP($Q10,武学奇术!$A:$ZZ,8,FALSE)+SUM(_xlfn.XLOOKUP(R10:AH10,增益!$A:$A,增益!$H:$H,0))</f>
        <v>0</v>
      </c>
      <c r="AU10">
        <f t="shared" si="1"/>
        <v>0</v>
      </c>
      <c r="AV10">
        <f t="shared" si="2"/>
        <v>0</v>
      </c>
      <c r="AW10" s="49" cm="1">
        <f t="array" ref="AW10">IF($F$11-$I$4+VLOOKUP($Q10,武学奇术!$A:$ZZ,9,FALSE)+SUM(_xlfn.XLOOKUP(R10:AH10,增益!$A:$A,增益!$I:$I,0))&gt;0,($F$11-$I$4+VLOOKUP($Q10,武学奇术!$A:$ZZ,9,FALSE)+SUM(_xlfn.XLOOKUP(R10:AH10,增益!$A:$A,增益!$I:$I,0)))/200,($F$11-$I$4+VLOOKUP($Q10,武学奇术!$A:$ZZ,9,FALSE)+SUM(_xlfn.XLOOKUP(R10:AH10,增益!$A:$A,增益!$I:$I,0)))/100)</f>
        <v>-0.14</v>
      </c>
      <c r="AX10" s="49" cm="1">
        <f t="array" ref="AX10">$G$11+VLOOKUP($Q10,武学奇术!$A:$ZZ,10,FALSE)+SUM(_xlfn.XLOOKUP(R10:AH10,增益!$A:$A,增益!$J:$J,0))</f>
        <v>0</v>
      </c>
      <c r="AY10">
        <f t="shared" si="3"/>
        <v>0</v>
      </c>
      <c r="AZ10">
        <f t="shared" si="4"/>
        <v>0</v>
      </c>
      <c r="BA10" s="49" cm="1">
        <f t="array" ref="BA10">IF($F$12-$I$4+VLOOKUP($Q10,武学奇术!$A:$ZZ,11,FALSE)+SUM(_xlfn.XLOOKUP(R10:AH10,增益!$A:$A,增益!$K:$K,0))&gt;0,($F$12-$I$4+VLOOKUP($Q10,武学奇术!$A:$ZZ,11,FALSE)+SUM(_xlfn.XLOOKUP(R10:AH10,增益!$A:$A,增益!$K:$K,0)))/200,($F$12-$I$4+VLOOKUP($Q10,武学奇术!$A:$ZZ,11,FALSE)+SUM(_xlfn.XLOOKUP(R10:AH10,增益!$A:$A,增益!$K:$K,0)))/100)</f>
        <v>-0.14</v>
      </c>
      <c r="BB10" s="49" cm="1">
        <f t="array" ref="BB10">$G$12+VLOOKUP($Q10,武学奇术!$A:$ZZ,12,FALSE)+SUM(_xlfn.XLOOKUP(R10:AH10,增益!$A:$A,增益!$L:$L,0))</f>
        <v>0</v>
      </c>
      <c r="BC10">
        <f t="shared" si="5"/>
        <v>571.2</v>
      </c>
      <c r="BD10">
        <f t="shared" si="6"/>
        <v>1077.4</v>
      </c>
      <c r="BE10" s="49" cm="1">
        <f t="array" ref="BE10">IF($F$13-$I$4+VLOOKUP($Q10,武学奇术!$A:$ZZ,13,FALSE)+SUM(_xlfn.XLOOKUP(R10:AH10,增益!$A:$A,增益!$M:$M,0))&gt;0,($F$13-$I$4+VLOOKUP($Q10,武学奇术!$A:$ZZ,13,FALSE)+SUM(_xlfn.XLOOKUP(R10:AH10,增益!$A:$A,增益!$K:$K,0)))/200,($F$13-$I$4+VLOOKUP($Q10,武学奇术!$A:$ZZ,13,FALSE)+SUM(_xlfn.XLOOKUP(R10:AH10,增益!$A:$A,增益!$M:$M,0)))/100)</f>
        <v>0.08</v>
      </c>
      <c r="BF10" s="49" cm="1">
        <f t="array" ref="BF10">$G$13+VLOOKUP($Q10,武学奇术!$A:$ZZ,14,FALSE)+SUM(_xlfn.XLOOKUP(R10:AH10,增益!$A:$A,增益!$N:$N,0))</f>
        <v>0.25</v>
      </c>
      <c r="BG10">
        <f t="shared" si="7"/>
        <v>0</v>
      </c>
      <c r="BH10">
        <f t="shared" si="8"/>
        <v>0</v>
      </c>
      <c r="BI10" s="49" cm="1">
        <f t="array" ref="BI10">IF($F$14-$I$4+VLOOKUP($Q10,武学奇术!$A:$ZZ,15,FALSE)+SUM(_xlfn.XLOOKUP(R10:AH10,增益!$A:$A,增益!$O:$O,0))&gt;0,($F$14-$I$4+VLOOKUP($Q10,武学奇术!$A:$ZZ,15,FALSE)+SUM(_xlfn.XLOOKUP(R10:AH10,增益!$A:$A,增益!$O:$O,0)))/200,($F$14-$I$4+VLOOKUP($Q10,武学奇术!$A:$ZZ,15,FALSE)+SUM(_xlfn.XLOOKUP(R10:AH10,增益!$A:$A,增益!$O:$O,0)))/100)</f>
        <v>-0.14</v>
      </c>
      <c r="BJ10" s="49" cm="1">
        <f t="array" ref="BJ10">$G$14+VLOOKUP($Q10,武学奇术!$A:$ZZ,16,FALSE)+SUM(_xlfn.XLOOKUP(R10:AH10,增益!$A:$A,增益!$P:$P,0))</f>
        <v>0</v>
      </c>
      <c r="BK10" s="41">
        <f>MIN(IF(VLOOKUP($Q10,武学奇术!$A:$ZZ,23,FALSE)=1,100%,$B$8),100%)</f>
        <v>1</v>
      </c>
      <c r="BL10" s="41" cm="1">
        <f t="array" ref="BL10">IF(VLOOKUP($Q10,武学奇术!$A:$ZZ,23,FALSE)=1,100%,MIN(80%,$B$9+VLOOKUP($Q10,武学奇术!$A:$ZZ,17,FALSE)+SUM(_xlfn.XLOOKUP(R10:AH10,增益!$A:$A,增益!$Q:$Q,0)))+$B$11+SUM(_xlfn.XLOOKUP(R10:AH10,增益!$A:$A,增益!$U:$U,0)))*IF(VLOOKUP($Q10,武学奇术!$A:$ZZ,24,FALSE)=1,0,1)</f>
        <v>0.9045</v>
      </c>
      <c r="BM10" s="41" cm="1">
        <f t="array" ref="BM10">1+$B$13+VLOOKUP($Q10,武学奇术!$A:$ZZ,18,FALSE)+SUM(_xlfn.XLOOKUP(R10:AH10,增益!$A:$A,增益!$R:$R,0))</f>
        <v>1.52</v>
      </c>
      <c r="BN10" s="41" cm="1">
        <f t="array" ref="BN10">IF(VLOOKUP($Q10,武学奇术!$A:$ZZ,24,FALSE)=1,100%,MIN(40%,$B$10+VLOOKUP($Q10,武学奇术!$A:$ZZ,19,FALSE)+SUM(_xlfn.XLOOKUP(R10:AH10,增益!$A:$A,增益!$S:$S,0)))+$B$12+SUM(_xlfn.XLOOKUP(R10:AH10,增益!$A:$A,增益!$V:$V,0)))*IF(VLOOKUP($Q10,武学奇术!$A:$ZZ,23,FALSE)=1,0,1)</f>
        <v>0.0929</v>
      </c>
      <c r="BO10" s="41" cm="1">
        <f t="array" ref="BO10">1+$B$14+VLOOKUP($Q10,武学奇术!$A:$ZZ,20,FALSE)+SUM(_xlfn.XLOOKUP(R10:AH10,增益!$A:$A,增益!$T:$T,0))</f>
        <v>1.35</v>
      </c>
      <c r="BP10" s="41">
        <f t="shared" si="9"/>
        <v>0.9045</v>
      </c>
      <c r="BQ10" s="41">
        <f t="shared" si="10"/>
        <v>0.00260000000000005</v>
      </c>
      <c r="BR10" s="41">
        <f>IF(VLOOKUP($Q10,武学奇术!$A:$ZZ,22,FALSE)=1,0,(1-$BK10))*(1-$BN10)</f>
        <v>0</v>
      </c>
      <c r="BS10" s="41" cm="1">
        <f t="array" ref="BS10">SUM(_xlfn.XLOOKUP(R10:AH10,增益!$A:$A,增益!$W:$W,0))+$I$5</f>
        <v>0.11</v>
      </c>
    </row>
    <row r="11" ht="15.15" spans="1:71">
      <c r="A11" s="58" t="s">
        <v>101</v>
      </c>
      <c r="B11" s="87">
        <v>0.133</v>
      </c>
      <c r="C11" s="62" t="s">
        <v>73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105">
        <f>E3</f>
        <v>0</v>
      </c>
      <c r="H11" s="88"/>
      <c r="I11" s="92"/>
      <c r="J11" s="93"/>
      <c r="K11" s="55">
        <f t="shared" si="0"/>
        <v>26544.624884919</v>
      </c>
      <c r="L11" s="55">
        <f>((($AP11+$AQ11)/2*$AJ11+$AK11)*(1+$AR11)*(1+$AS11)+(($AU11+$AV11)/2*IF($G$1="鸣金",$AL11,$AJ11)+IF($G$1="鸣金",$AM11*1.5,0))*(1+$AW11)*(1+$AX11)+(($AY11+$AZ11)/2*IF($G$1="裂石",$AL11,$AJ11)+IF($G$1="裂石",$AM11*1.5,0))*(1+$BA11)*(1+$BB11)+(($BC11+$BD11)/2*IF($G$1="牵丝",$AL11,$AJ11)+IF($G$1="牵丝",$AM11*1.5,0))*(1+$BE11)*(1+$BF11)+(($BG11+$BH11)/2*IF($G$1="破竹",$AL11,$AJ11)+IF($G$1="破竹",$AM11*1.5,0))*(1+$BI11)*(1+$BJ11))*(1+$AN11)*$BM11*$P11*(1+IF(VLOOKUP($Q11,武学奇术!$A:$ZZ,30,FALSE)="弹道",$B$21,0))*(1+$BS11)</f>
        <v>26559.3758391878</v>
      </c>
      <c r="M11" s="55">
        <f>(($AQ11*$AJ11+$AK11)*(1+$AR11)*(1+$AS11)+($AV11*IF($G$1="鸣金",$AL11,$AJ11)+IF($G$1="鸣金",$AM11*1.5,0))*(1+$AW11)*(1+$AX11)+($AZ11*IF($G$1="裂石",$AL11,$AJ11)+IF($G$1="裂石",$AM11*1.5,0))*(1+$BA11)*(1+$BB11)+($BD11*IF($G$1="牵丝",$AL11,$AJ11)+IF($G$1="牵丝",$AM11*1.5,0))*(1+$BE11)*(1+$BF11)+($BH11*IF($G$1="破竹",$AL11,$AJ11)+IF($G$1="破竹",$AM11*1.5,0))*(1+$BI11)*(1+$BJ11))*(1+$AN11)*$BO11*$P11*(1+IF(VLOOKUP($Q11,武学奇术!$A:$ZZ,30,FALSE)="弹道",$B$21,0))*(1+$BS11)</f>
        <v>26748.5294583551</v>
      </c>
      <c r="N11" s="55">
        <f>((($AP11+$AQ11)/2*$AJ11+$AK11)*(1+$AR11)*(1+$AS11)+(($AU11+$AV11)/2*IF($G$1="鸣金",$AL11,$AJ11)+IF($G$1="鸣金",$AM11*1.5,0))*(1+$AW11)*(1+$AX11)+(($AY11+$AZ11)/2*IF($G$1="裂石",$AL11,$AJ11)+IF($G$1="裂石",$AM11*1.5,0))*(1+$BA11)*(1+$BB11)+(($BC11+$BD11)/2*IF($G$1="牵丝",$AL11,$AJ11)+IF($G$1="牵丝",$AM11*1.5,0))*(1+$BE11)*(1+$BF11)+(($BG11+$BH11)/2*IF($G$1="破竹",$AL11,$AJ11)+IF($G$1="破竹",$AM11*1.5,0))*(1+$BI11)*(1+$BJ11))*(1+$AN11)*$P11*(1+IF(VLOOKUP($Q11,武学奇术!$A:$ZZ,30,FALSE)="弹道",$B$21,0))*(1+$BS11)</f>
        <v>14127.327574036</v>
      </c>
      <c r="O11" s="55">
        <f>((($AP11*$AJ11+$AK11)*(1+$AR11)*(1+$AS11)+($AU11*IF($G$1="鸣金",$AL11,$AJ11)+IF($G$1="鸣金",$AM11*1.5,0))*(1+$AW11)*(1+$AX11)+($AY11*IF($G$1="裂石",$AL11,$AJ11)+IF($G$1="裂石",$AM11*1.5,0))*(1+$BA11)*(1+$BB11)+($BC11*IF($G$1="牵丝",$AL11,$AJ11)+IF($G$1="牵丝",$AM11*1.5,0))*(1+$BE11)*(1+$BF11)+($BG11*IF($G$1="破竹",$AL11,$AJ11)+IF($G$1="破竹",$AM11*1.5,0))*(1+$BI11)*(1+$BJ11))*(1+$AN11))*$P11*(1+IF(VLOOKUP($Q11,武学奇术!$A:$ZZ,30,FALSE)="弹道",$B$21,0))*(1+$BS11)</f>
        <v>8440.9296233646</v>
      </c>
      <c r="P11" s="56">
        <v>0.5</v>
      </c>
      <c r="Q11" s="57" t="s">
        <v>102</v>
      </c>
      <c r="R11" s="57" t="s">
        <v>103</v>
      </c>
      <c r="S11" s="57" t="s">
        <v>100</v>
      </c>
      <c r="T11" s="57" t="s">
        <v>92</v>
      </c>
      <c r="U11" s="57" t="s">
        <v>72</v>
      </c>
      <c r="V11" s="57" t="s">
        <v>86</v>
      </c>
      <c r="W11" s="57" t="s">
        <v>72</v>
      </c>
      <c r="X11" s="57" t="s">
        <v>72</v>
      </c>
      <c r="Y11" s="57" t="s">
        <v>72</v>
      </c>
      <c r="Z11" s="57" t="s">
        <v>72</v>
      </c>
      <c r="AA11" s="57" t="s">
        <v>72</v>
      </c>
      <c r="AB11" s="57" t="s">
        <v>96</v>
      </c>
      <c r="AC11" s="57" t="s">
        <v>72</v>
      </c>
      <c r="AD11" s="57" t="s">
        <v>72</v>
      </c>
      <c r="AE11" s="57" t="s">
        <v>72</v>
      </c>
      <c r="AF11" s="57" t="s">
        <v>72</v>
      </c>
      <c r="AG11" s="57" t="s">
        <v>72</v>
      </c>
      <c r="AH11" s="57" t="s">
        <v>87</v>
      </c>
      <c r="AI11" t="str">
        <f>VLOOKUP($Q11,武学奇术!$A:$ZZ,25,FALSE)</f>
        <v>伞</v>
      </c>
      <c r="AJ11" s="41">
        <f>VLOOKUP($Q11,武学奇术!$A:$ZZ,26,FALSE)</f>
        <v>1.174955</v>
      </c>
      <c r="AK11" s="42">
        <f>VLOOKUP($Q11,武学奇术!$A:$ZZ,27,FALSE)*(1+IF(OR($AI11=$F$4,$AI11=$F$5),$B$22,0))</f>
        <v>454.02</v>
      </c>
      <c r="AL11" s="41">
        <f>VLOOKUP($Q11,武学奇术!$A:$ZZ,28,FALSE)</f>
        <v>1.762375</v>
      </c>
      <c r="AM11" s="42">
        <f>VLOOKUP($Q11,武学奇术!$A:$ZZ,29,FALSE)*(1+IF(OR($AI11=$F$4,$AI11=$F$5),$B$22,0))</f>
        <v>247.94</v>
      </c>
      <c r="AN11" s="41" cm="1">
        <f t="array" ref="AN11">$G$3+IFERROR(VLOOKUP($AI11,$F$4:$G$7,2,FALSE),0)+VLOOKUP($Q11,武学奇术!$A:$ZZ,2,FALSE)+SUM(_xlfn.XLOOKUP($R11:$AH11,增益!$A:$A,增益!$B:$B,0))</f>
        <v>1.0341</v>
      </c>
      <c r="AO11" s="41" cm="1">
        <f t="array" ref="AO11">VLOOKUP($Q11,武学奇术!$A:$ZZ,5,FALSE)+SUM(_xlfn.XLOOKUP($R11:$AH11,增益!$A:$A,增益!$E:$E,0))</f>
        <v>0</v>
      </c>
      <c r="AP11" cm="1">
        <f t="array" ref="AP11">$D$10*(1+$AO11)+VLOOKUP($Q11,武学奇术!$A:$ZZ,3,FALSE)+SUM(_xlfn.XLOOKUP($R11:$AH11,增益!$A:$A,增益!$C:$C,0))-$I$2</f>
        <v>1797.4</v>
      </c>
      <c r="AQ11" cm="1">
        <f t="array" ref="AQ11">$E$10*(1+$AO11)+VLOOKUP($Q11,武学奇术!$A:$ZZ,4,FALSE)+SUM(_xlfn.XLOOKUP($R11:$AH11,增益!$A:$A,增益!$D:$D,0))-$I$2</f>
        <v>5488</v>
      </c>
      <c r="AR11" s="49" cm="1">
        <f t="array" ref="AR11">IF($F$10-$I$3+VLOOKUP($Q11,武学奇术!$A:$ZZ,6,FALSE)+SUM(_xlfn.XLOOKUP(R11:AH11,增益!$A:$A,增益!$F:$F,0))&gt;0,($F$10-$I$3+VLOOKUP($Q11,武学奇术!$A:$ZZ,6,FALSE)+SUM(_xlfn.XLOOKUP(R11:AH11,增益!$A:$A,增益!$F:$F,0)))/200,($F$10-$I$3+VLOOKUP($Q11,武学奇术!$A:$ZZ,6,FALSE)+SUM(_xlfn.XLOOKUP(R11:AH11,增益!$A:$A,增益!$F:$F,0)))/100)</f>
        <v>0.3475</v>
      </c>
      <c r="AS11" s="49" cm="1">
        <f t="array" ref="AS11">$G$10+VLOOKUP($Q11,武学奇术!$A:$ZZ,7,FALSE)+SUM(_xlfn.XLOOKUP(R11:AH11,增益!$A:$A,增益!$G:$G,0))</f>
        <v>0.1</v>
      </c>
      <c r="AT11" s="41" cm="1">
        <f t="array" ref="AT11">VLOOKUP($Q11,武学奇术!$A:$ZZ,8,FALSE)+SUM(_xlfn.XLOOKUP(R11:AH11,增益!$A:$A,增益!$H:$H,0))</f>
        <v>0</v>
      </c>
      <c r="AU11">
        <f t="shared" si="1"/>
        <v>0</v>
      </c>
      <c r="AV11">
        <f t="shared" si="2"/>
        <v>0</v>
      </c>
      <c r="AW11" s="49" cm="1">
        <f t="array" ref="AW11">IF($F$11-$I$4+VLOOKUP($Q11,武学奇术!$A:$ZZ,9,FALSE)+SUM(_xlfn.XLOOKUP(R11:AH11,增益!$A:$A,增益!$I:$I,0))&gt;0,($F$11-$I$4+VLOOKUP($Q11,武学奇术!$A:$ZZ,9,FALSE)+SUM(_xlfn.XLOOKUP(R11:AH11,增益!$A:$A,增益!$I:$I,0)))/200,($F$11-$I$4+VLOOKUP($Q11,武学奇术!$A:$ZZ,9,FALSE)+SUM(_xlfn.XLOOKUP(R11:AH11,增益!$A:$A,增益!$I:$I,0)))/100)</f>
        <v>-0.14</v>
      </c>
      <c r="AX11" s="49" cm="1">
        <f t="array" ref="AX11">$G$11+VLOOKUP($Q11,武学奇术!$A:$ZZ,10,FALSE)+SUM(_xlfn.XLOOKUP(R11:AH11,增益!$A:$A,增益!$J:$J,0))</f>
        <v>0</v>
      </c>
      <c r="AY11">
        <f t="shared" si="3"/>
        <v>0</v>
      </c>
      <c r="AZ11">
        <f t="shared" si="4"/>
        <v>0</v>
      </c>
      <c r="BA11" s="49" cm="1">
        <f t="array" ref="BA11">IF($F$12-$I$4+VLOOKUP($Q11,武学奇术!$A:$ZZ,11,FALSE)+SUM(_xlfn.XLOOKUP(R11:AH11,增益!$A:$A,增益!$K:$K,0))&gt;0,($F$12-$I$4+VLOOKUP($Q11,武学奇术!$A:$ZZ,11,FALSE)+SUM(_xlfn.XLOOKUP(R11:AH11,增益!$A:$A,增益!$K:$K,0)))/200,($F$12-$I$4+VLOOKUP($Q11,武学奇术!$A:$ZZ,11,FALSE)+SUM(_xlfn.XLOOKUP(R11:AH11,增益!$A:$A,增益!$K:$K,0)))/100)</f>
        <v>-0.14</v>
      </c>
      <c r="BB11" s="49" cm="1">
        <f t="array" ref="BB11">$G$12+VLOOKUP($Q11,武学奇术!$A:$ZZ,12,FALSE)+SUM(_xlfn.XLOOKUP(R11:AH11,增益!$A:$A,增益!$L:$L,0))</f>
        <v>0</v>
      </c>
      <c r="BC11">
        <f t="shared" si="5"/>
        <v>571.2</v>
      </c>
      <c r="BD11">
        <f t="shared" si="6"/>
        <v>1077.4</v>
      </c>
      <c r="BE11" s="49" cm="1">
        <f t="array" ref="BE11">IF($F$13-$I$4+VLOOKUP($Q11,武学奇术!$A:$ZZ,13,FALSE)+SUM(_xlfn.XLOOKUP(R11:AH11,增益!$A:$A,增益!$M:$M,0))&gt;0,($F$13-$I$4+VLOOKUP($Q11,武学奇术!$A:$ZZ,13,FALSE)+SUM(_xlfn.XLOOKUP(R11:AH11,增益!$A:$A,增益!$K:$K,0)))/200,($F$13-$I$4+VLOOKUP($Q11,武学奇术!$A:$ZZ,13,FALSE)+SUM(_xlfn.XLOOKUP(R11:AH11,增益!$A:$A,增益!$M:$M,0)))/100)</f>
        <v>0.08</v>
      </c>
      <c r="BF11" s="49" cm="1">
        <f t="array" ref="BF11">$G$13+VLOOKUP($Q11,武学奇术!$A:$ZZ,14,FALSE)+SUM(_xlfn.XLOOKUP(R11:AH11,增益!$A:$A,增益!$N:$N,0))</f>
        <v>0.25</v>
      </c>
      <c r="BG11">
        <f t="shared" si="7"/>
        <v>0</v>
      </c>
      <c r="BH11">
        <f t="shared" si="8"/>
        <v>0</v>
      </c>
      <c r="BI11" s="49" cm="1">
        <f t="array" ref="BI11">IF($F$14-$I$4+VLOOKUP($Q11,武学奇术!$A:$ZZ,15,FALSE)+SUM(_xlfn.XLOOKUP(R11:AH11,增益!$A:$A,增益!$O:$O,0))&gt;0,($F$14-$I$4+VLOOKUP($Q11,武学奇术!$A:$ZZ,15,FALSE)+SUM(_xlfn.XLOOKUP(R11:AH11,增益!$A:$A,增益!$O:$O,0)))/200,($F$14-$I$4+VLOOKUP($Q11,武学奇术!$A:$ZZ,15,FALSE)+SUM(_xlfn.XLOOKUP(R11:AH11,增益!$A:$A,增益!$O:$O,0)))/100)</f>
        <v>-0.14</v>
      </c>
      <c r="BJ11" s="49" cm="1">
        <f t="array" ref="BJ11">$G$14+VLOOKUP($Q11,武学奇术!$A:$ZZ,16,FALSE)+SUM(_xlfn.XLOOKUP(R11:AH11,增益!$A:$A,增益!$P:$P,0))</f>
        <v>0</v>
      </c>
      <c r="BK11" s="41">
        <f>MIN(IF(VLOOKUP($Q11,武学奇术!$A:$ZZ,23,FALSE)=1,100%,$B$8),100%)</f>
        <v>1</v>
      </c>
      <c r="BL11" s="41" cm="1">
        <f t="array" ref="BL11">IF(VLOOKUP($Q11,武学奇术!$A:$ZZ,23,FALSE)=1,100%,MIN(80%,$B$9+VLOOKUP($Q11,武学奇术!$A:$ZZ,17,FALSE)+SUM(_xlfn.XLOOKUP(R11:AH11,增益!$A:$A,增益!$Q:$Q,0)))+$B$11+SUM(_xlfn.XLOOKUP(R11:AH11,增益!$A:$A,增益!$U:$U,0)))*IF(VLOOKUP($Q11,武学奇术!$A:$ZZ,24,FALSE)=1,0,1)</f>
        <v>0.9045</v>
      </c>
      <c r="BM11" s="41" cm="1">
        <f t="array" ref="BM11">1+$B$13+VLOOKUP($Q11,武学奇术!$A:$ZZ,18,FALSE)+SUM(_xlfn.XLOOKUP(R11:AH11,增益!$A:$A,增益!$R:$R,0))</f>
        <v>1.88</v>
      </c>
      <c r="BN11" s="41" cm="1">
        <f t="array" ref="BN11">IF(VLOOKUP($Q11,武学奇术!$A:$ZZ,24,FALSE)=1,100%,MIN(40%,$B$10+VLOOKUP($Q11,武学奇术!$A:$ZZ,19,FALSE)+SUM(_xlfn.XLOOKUP(R11:AH11,增益!$A:$A,增益!$S:$S,0)))+$B$12+SUM(_xlfn.XLOOKUP(R11:AH11,增益!$A:$A,增益!$V:$V,0)))*IF(VLOOKUP($Q11,武学奇术!$A:$ZZ,23,FALSE)=1,0,1)</f>
        <v>0.0929</v>
      </c>
      <c r="BO11" s="41" cm="1">
        <f t="array" ref="BO11">1+$B$14+VLOOKUP($Q11,武学奇术!$A:$ZZ,20,FALSE)+SUM(_xlfn.XLOOKUP(R11:AH11,增益!$A:$A,增益!$T:$T,0))</f>
        <v>1.35</v>
      </c>
      <c r="BP11" s="41">
        <f t="shared" si="9"/>
        <v>0.9045</v>
      </c>
      <c r="BQ11" s="41">
        <f t="shared" si="10"/>
        <v>0.00260000000000005</v>
      </c>
      <c r="BR11" s="41">
        <f>IF(VLOOKUP($Q11,武学奇术!$A:$ZZ,22,FALSE)=1,0,(1-$BK11))*(1-$BN11)</f>
        <v>0</v>
      </c>
      <c r="BS11" s="41" cm="1">
        <f t="array" ref="BS11">SUM(_xlfn.XLOOKUP(R11:AH11,增益!$A:$A,增益!$W:$W,0))+$I$5</f>
        <v>0.11</v>
      </c>
    </row>
    <row r="12" spans="1:71">
      <c r="A12" s="58" t="s">
        <v>104</v>
      </c>
      <c r="B12" s="87">
        <v>0</v>
      </c>
      <c r="C12" s="62" t="s">
        <v>75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105">
        <f>E4</f>
        <v>0</v>
      </c>
      <c r="H12" s="85" t="s">
        <v>105</v>
      </c>
      <c r="I12" s="55">
        <f>I10/I8</f>
        <v>156075.074996249</v>
      </c>
      <c r="J12" s="94"/>
      <c r="K12" s="55">
        <f t="shared" si="0"/>
        <v>26268.4989422032</v>
      </c>
      <c r="L12" s="55">
        <f>((($AP12+$AQ12)/2*$AJ12+$AK12)*(1+$AR12)*(1+$AS12)+(($AU12+$AV12)/2*IF($G$1="鸣金",$AL12,$AJ12)+IF($G$1="鸣金",$AM12*1.5,0))*(1+$AW12)*(1+$AX12)+(($AY12+$AZ12)/2*IF($G$1="裂石",$AL12,$AJ12)+IF($G$1="裂石",$AM12*1.5,0))*(1+$BA12)*(1+$BB12)+(($BC12+$BD12)/2*IF($G$1="牵丝",$AL12,$AJ12)+IF($G$1="牵丝",$AM12*1.5,0))*(1+$BE12)*(1+$BF12)+(($BG12+$BH12)/2*IF($G$1="破竹",$AL12,$AJ12)+IF($G$1="破竹",$AM12*1.5,0))*(1+$BI12)*(1+$BJ12))*(1+$AN12)*$BM12*$P12*(1+IF(VLOOKUP($Q12,武学奇术!$A:$ZZ,30,FALSE)="弹道",$B$21,0))*(1+$BS12)</f>
        <v>26283.6340489941</v>
      </c>
      <c r="M12" s="55">
        <f>(($AQ12*$AJ12+$AK12)*(1+$AR12)*(1+$AS12)+($AV12*IF($G$1="鸣金",$AL12,$AJ12)+IF($G$1="鸣金",$AM12*1.5,0))*(1+$AW12)*(1+$AX12)+($AZ12*IF($G$1="裂石",$AL12,$AJ12)+IF($G$1="裂石",$AM12*1.5,0))*(1+$BA12)*(1+$BB12)+($BD12*IF($G$1="牵丝",$AL12,$AJ12)+IF($G$1="牵丝",$AM12*1.5,0))*(1+$BE12)*(1+$BF12)+($BH12*IF($G$1="破竹",$AL12,$AJ12)+IF($G$1="破竹",$AM12*1.5,0))*(1+$BI12)*(1+$BJ12))*(1+$AN12)*$BO12*$P12*(1+IF(VLOOKUP($Q12,武学奇术!$A:$ZZ,30,FALSE)="弹道",$B$21,0))*(1+$BS12)</f>
        <v>26465.0402392312</v>
      </c>
      <c r="N12" s="55">
        <f>((($AP12+$AQ12)/2*$AJ12+$AK12)*(1+$AR12)*(1+$AS12)+(($AU12+$AV12)/2*IF($G$1="鸣金",$AL12,$AJ12)+IF($G$1="鸣金",$AM12*1.5,0))*(1+$AW12)*(1+$AX12)+(($AY12+$AZ12)/2*IF($G$1="裂石",$AL12,$AJ12)+IF($G$1="裂石",$AM12*1.5,0))*(1+$BA12)*(1+$BB12)+(($BC12+$BD12)/2*IF($G$1="牵丝",$AL12,$AJ12)+IF($G$1="牵丝",$AM12*1.5,0))*(1+$BE12)*(1+$BF12)+(($BG12+$BH12)/2*IF($G$1="破竹",$AL12,$AJ12)+IF($G$1="破竹",$AM12*1.5,0))*(1+$BI12)*(1+$BJ12))*(1+$AN12)*$P12*(1+IF(VLOOKUP($Q12,武学奇术!$A:$ZZ,30,FALSE)="弹道",$B$21,0))*(1+$BS12)</f>
        <v>13980.6564090394</v>
      </c>
      <c r="O12" s="55">
        <f>((($AP12*$AJ12+$AK12)*(1+$AR12)*(1+$AS12)+($AU12*IF($G$1="鸣金",$AL12,$AJ12)+IF($G$1="鸣金",$AM12*1.5,0))*(1+$AW12)*(1+$AX12)+($AY12*IF($G$1="裂石",$AL12,$AJ12)+IF($G$1="裂石",$AM12*1.5,0))*(1+$BA12)*(1+$BB12)+($BC12*IF($G$1="牵丝",$AL12,$AJ12)+IF($G$1="牵丝",$AM12*1.5,0))*(1+$BE12)*(1+$BF12)+($BG12*IF($G$1="破竹",$AL12,$AJ12)+IF($G$1="破竹",$AM12*1.5,0))*(1+$BI12)*(1+$BJ12))*(1+$AN12))*$P12*(1+IF(VLOOKUP($Q12,武学奇术!$A:$ZZ,30,FALSE)="弹道",$B$21,0))*(1+$BS12)</f>
        <v>8357.57930753723</v>
      </c>
      <c r="P12" s="56">
        <v>0.5</v>
      </c>
      <c r="Q12" s="57" t="s">
        <v>102</v>
      </c>
      <c r="R12" s="57" t="s">
        <v>95</v>
      </c>
      <c r="S12" s="57" t="s">
        <v>100</v>
      </c>
      <c r="T12" s="57" t="s">
        <v>92</v>
      </c>
      <c r="U12" s="57" t="s">
        <v>72</v>
      </c>
      <c r="V12" s="57" t="s">
        <v>86</v>
      </c>
      <c r="W12" s="57" t="s">
        <v>72</v>
      </c>
      <c r="X12" s="57" t="s">
        <v>72</v>
      </c>
      <c r="Y12" s="57" t="s">
        <v>72</v>
      </c>
      <c r="Z12" s="57" t="s">
        <v>72</v>
      </c>
      <c r="AA12" s="57" t="s">
        <v>72</v>
      </c>
      <c r="AB12" s="57" t="s">
        <v>96</v>
      </c>
      <c r="AC12" s="57" t="s">
        <v>72</v>
      </c>
      <c r="AD12" s="57" t="s">
        <v>72</v>
      </c>
      <c r="AE12" s="57" t="s">
        <v>72</v>
      </c>
      <c r="AF12" s="57" t="s">
        <v>72</v>
      </c>
      <c r="AG12" s="57" t="s">
        <v>72</v>
      </c>
      <c r="AH12" s="57" t="s">
        <v>87</v>
      </c>
      <c r="AI12" t="str">
        <f>VLOOKUP($Q12,武学奇术!$A:$ZZ,25,FALSE)</f>
        <v>伞</v>
      </c>
      <c r="AJ12" s="41">
        <f>VLOOKUP($Q12,武学奇术!$A:$ZZ,26,FALSE)</f>
        <v>1.174955</v>
      </c>
      <c r="AK12" s="42">
        <f>VLOOKUP($Q12,武学奇术!$A:$ZZ,27,FALSE)*(1+IF(OR($AI12=$F$4,$AI12=$F$5),$B$22,0))</f>
        <v>454.02</v>
      </c>
      <c r="AL12" s="41">
        <f>VLOOKUP($Q12,武学奇术!$A:$ZZ,28,FALSE)</f>
        <v>1.762375</v>
      </c>
      <c r="AM12" s="42">
        <f>VLOOKUP($Q12,武学奇术!$A:$ZZ,29,FALSE)*(1+IF(OR($AI12=$F$4,$AI12=$F$5),$B$22,0))</f>
        <v>247.94</v>
      </c>
      <c r="AN12" s="41" cm="1">
        <f t="array" ref="AN12">$G$3+IFERROR(VLOOKUP($AI12,$F$4:$G$7,2,FALSE),0)+VLOOKUP($Q12,武学奇术!$A:$ZZ,2,FALSE)+SUM(_xlfn.XLOOKUP($R12:$AH12,增益!$A:$A,增益!$B:$B,0))</f>
        <v>1.0241</v>
      </c>
      <c r="AO12" s="41" cm="1">
        <f t="array" ref="AO12">VLOOKUP($Q12,武学奇术!$A:$ZZ,5,FALSE)+SUM(_xlfn.XLOOKUP($R12:$AH12,增益!$A:$A,增益!$E:$E,0))</f>
        <v>0</v>
      </c>
      <c r="AP12" cm="1">
        <f t="array" ref="AP12">$D$10*(1+$AO12)+VLOOKUP($Q12,武学奇术!$A:$ZZ,3,FALSE)+SUM(_xlfn.XLOOKUP($R12:$AH12,增益!$A:$A,增益!$C:$C,0))-$I$2</f>
        <v>1797.4</v>
      </c>
      <c r="AQ12" cm="1">
        <f t="array" ref="AQ12">$E$10*(1+$AO12)+VLOOKUP($Q12,武学奇术!$A:$ZZ,4,FALSE)+SUM(_xlfn.XLOOKUP($R12:$AH12,增益!$A:$A,增益!$D:$D,0))-$I$2</f>
        <v>5488</v>
      </c>
      <c r="AR12" s="49" cm="1">
        <f t="array" ref="AR12">IF($F$10-$I$3+VLOOKUP($Q12,武学奇术!$A:$ZZ,6,FALSE)+SUM(_xlfn.XLOOKUP(R12:AH12,增益!$A:$A,增益!$F:$F,0))&gt;0,($F$10-$I$3+VLOOKUP($Q12,武学奇术!$A:$ZZ,6,FALSE)+SUM(_xlfn.XLOOKUP(R12:AH12,增益!$A:$A,增益!$F:$F,0)))/200,($F$10-$I$3+VLOOKUP($Q12,武学奇术!$A:$ZZ,6,FALSE)+SUM(_xlfn.XLOOKUP(R12:AH12,增益!$A:$A,增益!$F:$F,0)))/100)</f>
        <v>0.3375</v>
      </c>
      <c r="AS12" s="49" cm="1">
        <f t="array" ref="AS12">$G$10+VLOOKUP($Q12,武学奇术!$A:$ZZ,7,FALSE)+SUM(_xlfn.XLOOKUP(R12:AH12,增益!$A:$A,增益!$G:$G,0))</f>
        <v>0.1</v>
      </c>
      <c r="AT12" s="41" cm="1">
        <f t="array" ref="AT12">VLOOKUP($Q12,武学奇术!$A:$ZZ,8,FALSE)+SUM(_xlfn.XLOOKUP(R12:AH12,增益!$A:$A,增益!$H:$H,0))</f>
        <v>0</v>
      </c>
      <c r="AU12">
        <f t="shared" si="1"/>
        <v>0</v>
      </c>
      <c r="AV12">
        <f t="shared" si="2"/>
        <v>0</v>
      </c>
      <c r="AW12" s="49" cm="1">
        <f t="array" ref="AW12">IF($F$11-$I$4+VLOOKUP($Q12,武学奇术!$A:$ZZ,9,FALSE)+SUM(_xlfn.XLOOKUP(R12:AH12,增益!$A:$A,增益!$I:$I,0))&gt;0,($F$11-$I$4+VLOOKUP($Q12,武学奇术!$A:$ZZ,9,FALSE)+SUM(_xlfn.XLOOKUP(R12:AH12,增益!$A:$A,增益!$I:$I,0)))/200,($F$11-$I$4+VLOOKUP($Q12,武学奇术!$A:$ZZ,9,FALSE)+SUM(_xlfn.XLOOKUP(R12:AH12,增益!$A:$A,增益!$I:$I,0)))/100)</f>
        <v>-0.14</v>
      </c>
      <c r="AX12" s="49" cm="1">
        <f t="array" ref="AX12">$G$11+VLOOKUP($Q12,武学奇术!$A:$ZZ,10,FALSE)+SUM(_xlfn.XLOOKUP(R12:AH12,增益!$A:$A,增益!$J:$J,0))</f>
        <v>0</v>
      </c>
      <c r="AY12">
        <f t="shared" si="3"/>
        <v>0</v>
      </c>
      <c r="AZ12">
        <f t="shared" si="4"/>
        <v>0</v>
      </c>
      <c r="BA12" s="49" cm="1">
        <f t="array" ref="BA12">IF($F$12-$I$4+VLOOKUP($Q12,武学奇术!$A:$ZZ,11,FALSE)+SUM(_xlfn.XLOOKUP(R12:AH12,增益!$A:$A,增益!$K:$K,0))&gt;0,($F$12-$I$4+VLOOKUP($Q12,武学奇术!$A:$ZZ,11,FALSE)+SUM(_xlfn.XLOOKUP(R12:AH12,增益!$A:$A,增益!$K:$K,0)))/200,($F$12-$I$4+VLOOKUP($Q12,武学奇术!$A:$ZZ,11,FALSE)+SUM(_xlfn.XLOOKUP(R12:AH12,增益!$A:$A,增益!$K:$K,0)))/100)</f>
        <v>-0.14</v>
      </c>
      <c r="BB12" s="49" cm="1">
        <f t="array" ref="BB12">$G$12+VLOOKUP($Q12,武学奇术!$A:$ZZ,12,FALSE)+SUM(_xlfn.XLOOKUP(R12:AH12,增益!$A:$A,增益!$L:$L,0))</f>
        <v>0</v>
      </c>
      <c r="BC12">
        <f t="shared" si="5"/>
        <v>571.2</v>
      </c>
      <c r="BD12">
        <f t="shared" si="6"/>
        <v>1077.4</v>
      </c>
      <c r="BE12" s="49" cm="1">
        <f t="array" ref="BE12">IF($F$13-$I$4+VLOOKUP($Q12,武学奇术!$A:$ZZ,13,FALSE)+SUM(_xlfn.XLOOKUP(R12:AH12,增益!$A:$A,增益!$M:$M,0))&gt;0,($F$13-$I$4+VLOOKUP($Q12,武学奇术!$A:$ZZ,13,FALSE)+SUM(_xlfn.XLOOKUP(R12:AH12,增益!$A:$A,增益!$K:$K,0)))/200,($F$13-$I$4+VLOOKUP($Q12,武学奇术!$A:$ZZ,13,FALSE)+SUM(_xlfn.XLOOKUP(R12:AH12,增益!$A:$A,增益!$M:$M,0)))/100)</f>
        <v>0.08</v>
      </c>
      <c r="BF12" s="49" cm="1">
        <f t="array" ref="BF12">$G$13+VLOOKUP($Q12,武学奇术!$A:$ZZ,14,FALSE)+SUM(_xlfn.XLOOKUP(R12:AH12,增益!$A:$A,增益!$N:$N,0))</f>
        <v>0.25</v>
      </c>
      <c r="BG12">
        <f t="shared" si="7"/>
        <v>0</v>
      </c>
      <c r="BH12">
        <f t="shared" si="8"/>
        <v>0</v>
      </c>
      <c r="BI12" s="49" cm="1">
        <f t="array" ref="BI12">IF($F$14-$I$4+VLOOKUP($Q12,武学奇术!$A:$ZZ,15,FALSE)+SUM(_xlfn.XLOOKUP(R12:AH12,增益!$A:$A,增益!$O:$O,0))&gt;0,($F$14-$I$4+VLOOKUP($Q12,武学奇术!$A:$ZZ,15,FALSE)+SUM(_xlfn.XLOOKUP(R12:AH12,增益!$A:$A,增益!$O:$O,0)))/200,($F$14-$I$4+VLOOKUP($Q12,武学奇术!$A:$ZZ,15,FALSE)+SUM(_xlfn.XLOOKUP(R12:AH12,增益!$A:$A,增益!$O:$O,0)))/100)</f>
        <v>-0.14</v>
      </c>
      <c r="BJ12" s="49" cm="1">
        <f t="array" ref="BJ12">$G$14+VLOOKUP($Q12,武学奇术!$A:$ZZ,16,FALSE)+SUM(_xlfn.XLOOKUP(R12:AH12,增益!$A:$A,增益!$P:$P,0))</f>
        <v>0</v>
      </c>
      <c r="BK12" s="41">
        <f>MIN(IF(VLOOKUP($Q12,武学奇术!$A:$ZZ,23,FALSE)=1,100%,$B$8),100%)</f>
        <v>1</v>
      </c>
      <c r="BL12" s="41" cm="1">
        <f t="array" ref="BL12">IF(VLOOKUP($Q12,武学奇术!$A:$ZZ,23,FALSE)=1,100%,MIN(80%,$B$9+VLOOKUP($Q12,武学奇术!$A:$ZZ,17,FALSE)+SUM(_xlfn.XLOOKUP(R12:AH12,增益!$A:$A,增益!$Q:$Q,0)))+$B$11+SUM(_xlfn.XLOOKUP(R12:AH12,增益!$A:$A,增益!$U:$U,0)))*IF(VLOOKUP($Q12,武学奇术!$A:$ZZ,24,FALSE)=1,0,1)</f>
        <v>0.9045</v>
      </c>
      <c r="BM12" s="41" cm="1">
        <f t="array" ref="BM12">1+$B$13+VLOOKUP($Q12,武学奇术!$A:$ZZ,18,FALSE)+SUM(_xlfn.XLOOKUP(R12:AH12,增益!$A:$A,增益!$R:$R,0))</f>
        <v>1.88</v>
      </c>
      <c r="BN12" s="41" cm="1">
        <f t="array" ref="BN12">IF(VLOOKUP($Q12,武学奇术!$A:$ZZ,24,FALSE)=1,100%,MIN(40%,$B$10+VLOOKUP($Q12,武学奇术!$A:$ZZ,19,FALSE)+SUM(_xlfn.XLOOKUP(R12:AH12,增益!$A:$A,增益!$S:$S,0)))+$B$12+SUM(_xlfn.XLOOKUP(R12:AH12,增益!$A:$A,增益!$V:$V,0)))*IF(VLOOKUP($Q12,武学奇术!$A:$ZZ,23,FALSE)=1,0,1)</f>
        <v>0.0929</v>
      </c>
      <c r="BO12" s="41" cm="1">
        <f t="array" ref="BO12">1+$B$14+VLOOKUP($Q12,武学奇术!$A:$ZZ,20,FALSE)+SUM(_xlfn.XLOOKUP(R12:AH12,增益!$A:$A,增益!$T:$T,0))</f>
        <v>1.35</v>
      </c>
      <c r="BP12" s="41">
        <f t="shared" si="9"/>
        <v>0.9045</v>
      </c>
      <c r="BQ12" s="41">
        <f t="shared" si="10"/>
        <v>0.00260000000000005</v>
      </c>
      <c r="BR12" s="41">
        <f>IF(VLOOKUP($Q12,武学奇术!$A:$ZZ,22,FALSE)=1,0,(1-$BK12))*(1-$BN12)</f>
        <v>0</v>
      </c>
      <c r="BS12" s="41" cm="1">
        <f t="array" ref="BS12">SUM(_xlfn.XLOOKUP(R12:AH12,增益!$A:$A,增益!$W:$W,0))+$I$5</f>
        <v>0.11</v>
      </c>
    </row>
    <row r="13" ht="15.15" spans="1:71">
      <c r="A13" s="58" t="s">
        <v>106</v>
      </c>
      <c r="B13" s="87">
        <f>50%+IF(G2="时雨",10%,0)</f>
        <v>0.5</v>
      </c>
      <c r="C13" s="62" t="s">
        <v>5</v>
      </c>
      <c r="D13">
        <f>(B5+IF($G$1=$C13,$B$7,0))*IF($G$2="撼天",1.06,1)</f>
        <v>571.2</v>
      </c>
      <c r="E13">
        <f>(MAX(B5,C5)+IF($G$1=$C13,$C$7,0))*IF($G$2="撼天",1.06,1)</f>
        <v>1077.4</v>
      </c>
      <c r="F13">
        <f>D5</f>
        <v>30</v>
      </c>
      <c r="G13" s="105">
        <f>E5</f>
        <v>0.15</v>
      </c>
      <c r="H13" s="88"/>
      <c r="I13" s="95"/>
      <c r="J13" s="93"/>
      <c r="K13" s="55">
        <f t="shared" si="0"/>
        <v>56169.4297144867</v>
      </c>
      <c r="L13" s="55">
        <f>((($AP13+$AQ13)/2*$AJ13+$AK13)*(1+$AR13)*(1+$AS13)+(($AU13+$AV13)/2*IF($G$1="鸣金",$AL13,$AJ13)+IF($G$1="鸣金",$AM13*1.5,0))*(1+$AW13)*(1+$AX13)+(($AY13+$AZ13)/2*IF($G$1="裂石",$AL13,$AJ13)+IF($G$1="裂石",$AM13*1.5,0))*(1+$BA13)*(1+$BB13)+(($BC13+$BD13)/2*IF($G$1="牵丝",$AL13,$AJ13)+IF($G$1="牵丝",$AM13*1.5,0))*(1+$BE13)*(1+$BF13)+(($BG13+$BH13)/2*IF($G$1="破竹",$AL13,$AJ13)+IF($G$1="破竹",$AM13*1.5,0))*(1+$BI13)*(1+$BJ13))*(1+$AN13)*$BM13*$P13*(1+IF(VLOOKUP($Q13,武学奇术!$A:$ZZ,30,FALSE)="弹道",$B$21,0))*(1+$BS13)</f>
        <v>56193.0972445786</v>
      </c>
      <c r="M13" s="55">
        <f>(($AQ13*$AJ13+$AK13)*(1+$AR13)*(1+$AS13)+($AV13*IF($G$1="鸣金",$AL13,$AJ13)+IF($G$1="鸣金",$AM13*1.5,0))*(1+$AW13)*(1+$AX13)+($AZ13*IF($G$1="裂石",$AL13,$AJ13)+IF($G$1="裂石",$AM13*1.5,0))*(1+$BA13)*(1+$BB13)+($BD13*IF($G$1="牵丝",$AL13,$AJ13)+IF($G$1="牵丝",$AM13*1.5,0))*(1+$BE13)*(1+$BF13)+($BH13*IF($G$1="破竹",$AL13,$AJ13)+IF($G$1="破竹",$AM13*1.5,0))*(1+$BI13)*(1+$BJ13))*(1+$AN13)*$BO13*$P13*(1+IF(VLOOKUP($Q13,武学奇术!$A:$ZZ,30,FALSE)="弹道",$B$21,0))*(1+$BS13)</f>
        <v>56674.4822268457</v>
      </c>
      <c r="N13" s="55">
        <f>((($AP13+$AQ13)/2*$AJ13+$AK13)*(1+$AR13)*(1+$AS13)+(($AU13+$AV13)/2*IF($G$1="鸣金",$AL13,$AJ13)+IF($G$1="鸣金",$AM13*1.5,0))*(1+$AW13)*(1+$AX13)+(($AY13+$AZ13)/2*IF($G$1="裂石",$AL13,$AJ13)+IF($G$1="裂石",$AM13*1.5,0))*(1+$BA13)*(1+$BB13)+(($BC13+$BD13)/2*IF($G$1="牵丝",$AL13,$AJ13)+IF($G$1="牵丝",$AM13*1.5,0))*(1+$BE13)*(1+$BF13)+(($BG13+$BH13)/2*IF($G$1="破竹",$AL13,$AJ13)+IF($G$1="破竹",$AM13*1.5,0))*(1+$BI13)*(1+$BJ13))*(1+$AN13)*$P13*(1+IF(VLOOKUP($Q13,武学奇术!$A:$ZZ,30,FALSE)="弹道",$B$21,0))*(1+$BS13)</f>
        <v>29889.9453428609</v>
      </c>
      <c r="O13" s="55">
        <f>((($AP13*$AJ13+$AK13)*(1+$AR13)*(1+$AS13)+($AU13*IF($G$1="鸣金",$AL13,$AJ13)+IF($G$1="鸣金",$AM13*1.5,0))*(1+$AW13)*(1+$AX13)+($AY13*IF($G$1="裂石",$AL13,$AJ13)+IF($G$1="裂石",$AM13*1.5,0))*(1+$BA13)*(1+$BB13)+($BC13*IF($G$1="牵丝",$AL13,$AJ13)+IF($G$1="牵丝",$AM13*1.5,0))*(1+$BE13)*(1+$BF13)+($BG13*IF($G$1="破竹",$AL13,$AJ13)+IF($G$1="破竹",$AM13*1.5,0))*(1+$BI13)*(1+$BJ13))*(1+$AN13))*$P13*(1+IF(VLOOKUP($Q13,武学奇术!$A:$ZZ,30,FALSE)="弹道",$B$21,0))*(1+$BS13)</f>
        <v>17798.7927399103</v>
      </c>
      <c r="P13" s="56">
        <v>1</v>
      </c>
      <c r="Q13" s="57" t="s">
        <v>102</v>
      </c>
      <c r="R13" s="57" t="s">
        <v>103</v>
      </c>
      <c r="S13" s="57" t="s">
        <v>100</v>
      </c>
      <c r="T13" s="57" t="s">
        <v>92</v>
      </c>
      <c r="U13" s="57" t="s">
        <v>107</v>
      </c>
      <c r="V13" s="57" t="s">
        <v>86</v>
      </c>
      <c r="W13" s="57" t="s">
        <v>72</v>
      </c>
      <c r="X13" s="57" t="s">
        <v>72</v>
      </c>
      <c r="Y13" s="57" t="s">
        <v>72</v>
      </c>
      <c r="Z13" s="57" t="s">
        <v>72</v>
      </c>
      <c r="AA13" s="57" t="s">
        <v>72</v>
      </c>
      <c r="AB13" s="57" t="s">
        <v>96</v>
      </c>
      <c r="AC13" s="57" t="s">
        <v>72</v>
      </c>
      <c r="AD13" s="57" t="s">
        <v>72</v>
      </c>
      <c r="AE13" s="57" t="s">
        <v>72</v>
      </c>
      <c r="AF13" s="57" t="s">
        <v>72</v>
      </c>
      <c r="AG13" s="57" t="s">
        <v>72</v>
      </c>
      <c r="AH13" s="57" t="s">
        <v>87</v>
      </c>
      <c r="AI13" t="str">
        <f>VLOOKUP($Q13,武学奇术!$A:$ZZ,25,FALSE)</f>
        <v>伞</v>
      </c>
      <c r="AJ13" s="41">
        <f>VLOOKUP($Q13,武学奇术!$A:$ZZ,26,FALSE)</f>
        <v>1.174955</v>
      </c>
      <c r="AK13" s="42">
        <f>VLOOKUP($Q13,武学奇术!$A:$ZZ,27,FALSE)*(1+IF(OR($AI13=$F$4,$AI13=$F$5),$B$22,0))</f>
        <v>454.02</v>
      </c>
      <c r="AL13" s="41">
        <f>VLOOKUP($Q13,武学奇术!$A:$ZZ,28,FALSE)</f>
        <v>1.762375</v>
      </c>
      <c r="AM13" s="42">
        <f>VLOOKUP($Q13,武学奇术!$A:$ZZ,29,FALSE)*(1+IF(OR($AI13=$F$4,$AI13=$F$5),$B$22,0))</f>
        <v>247.94</v>
      </c>
      <c r="AN13" s="41" cm="1">
        <f t="array" ref="AN13">$G$3+IFERROR(VLOOKUP($AI13,$F$4:$G$7,2,FALSE),0)+VLOOKUP($Q13,武学奇术!$A:$ZZ,2,FALSE)+SUM(_xlfn.XLOOKUP($R13:$AH13,增益!$A:$A,增益!$B:$B,0))</f>
        <v>1.0341</v>
      </c>
      <c r="AO13" s="41" cm="1">
        <f t="array" ref="AO13">VLOOKUP($Q13,武学奇术!$A:$ZZ,5,FALSE)+SUM(_xlfn.XLOOKUP($R13:$AH13,增益!$A:$A,增益!$E:$E,0))</f>
        <v>0.075</v>
      </c>
      <c r="AP13" cm="1">
        <f t="array" ref="AP13">$D$10*(1+$AO13)+VLOOKUP($Q13,武学奇术!$A:$ZZ,3,FALSE)+SUM(_xlfn.XLOOKUP($R13:$AH13,增益!$A:$A,增益!$C:$C,0))-$I$2</f>
        <v>1974.055</v>
      </c>
      <c r="AQ13" cm="1">
        <f t="array" ref="AQ13">$E$10*(1+$AO13)+VLOOKUP($Q13,武学奇术!$A:$ZZ,4,FALSE)+SUM(_xlfn.XLOOKUP($R13:$AH13,增益!$A:$A,增益!$D:$D,0))-$I$2</f>
        <v>5941.45</v>
      </c>
      <c r="AR13" s="49" cm="1">
        <f t="array" ref="AR13">IF($F$10-$I$3+VLOOKUP($Q13,武学奇术!$A:$ZZ,6,FALSE)+SUM(_xlfn.XLOOKUP(R13:AH13,增益!$A:$A,增益!$F:$F,0))&gt;0,($F$10-$I$3+VLOOKUP($Q13,武学奇术!$A:$ZZ,6,FALSE)+SUM(_xlfn.XLOOKUP(R13:AH13,增益!$A:$A,增益!$F:$F,0)))/200,($F$10-$I$3+VLOOKUP($Q13,武学奇术!$A:$ZZ,6,FALSE)+SUM(_xlfn.XLOOKUP(R13:AH13,增益!$A:$A,增益!$F:$F,0)))/100)</f>
        <v>0.3475</v>
      </c>
      <c r="AS13" s="49" cm="1">
        <f t="array" ref="AS13">$G$10+VLOOKUP($Q13,武学奇术!$A:$ZZ,7,FALSE)+SUM(_xlfn.XLOOKUP(R13:AH13,增益!$A:$A,增益!$G:$G,0))</f>
        <v>0.1</v>
      </c>
      <c r="AT13" s="41" cm="1">
        <f t="array" ref="AT13">VLOOKUP($Q13,武学奇术!$A:$ZZ,8,FALSE)+SUM(_xlfn.XLOOKUP(R13:AH13,增益!$A:$A,增益!$H:$H,0))</f>
        <v>0</v>
      </c>
      <c r="AU13">
        <f t="shared" si="1"/>
        <v>0</v>
      </c>
      <c r="AV13">
        <f t="shared" si="2"/>
        <v>0</v>
      </c>
      <c r="AW13" s="49" cm="1">
        <f t="array" ref="AW13">IF($F$11-$I$4+VLOOKUP($Q13,武学奇术!$A:$ZZ,9,FALSE)+SUM(_xlfn.XLOOKUP(R13:AH13,增益!$A:$A,增益!$I:$I,0))&gt;0,($F$11-$I$4+VLOOKUP($Q13,武学奇术!$A:$ZZ,9,FALSE)+SUM(_xlfn.XLOOKUP(R13:AH13,增益!$A:$A,增益!$I:$I,0)))/200,($F$11-$I$4+VLOOKUP($Q13,武学奇术!$A:$ZZ,9,FALSE)+SUM(_xlfn.XLOOKUP(R13:AH13,增益!$A:$A,增益!$I:$I,0)))/100)</f>
        <v>-0.14</v>
      </c>
      <c r="AX13" s="49" cm="1">
        <f t="array" ref="AX13">$G$11+VLOOKUP($Q13,武学奇术!$A:$ZZ,10,FALSE)+SUM(_xlfn.XLOOKUP(R13:AH13,增益!$A:$A,增益!$J:$J,0))</f>
        <v>0</v>
      </c>
      <c r="AY13">
        <f t="shared" si="3"/>
        <v>0</v>
      </c>
      <c r="AZ13">
        <f t="shared" si="4"/>
        <v>0</v>
      </c>
      <c r="BA13" s="49" cm="1">
        <f t="array" ref="BA13">IF($F$12-$I$4+VLOOKUP($Q13,武学奇术!$A:$ZZ,11,FALSE)+SUM(_xlfn.XLOOKUP(R13:AH13,增益!$A:$A,增益!$K:$K,0))&gt;0,($F$12-$I$4+VLOOKUP($Q13,武学奇术!$A:$ZZ,11,FALSE)+SUM(_xlfn.XLOOKUP(R13:AH13,增益!$A:$A,增益!$K:$K,0)))/200,($F$12-$I$4+VLOOKUP($Q13,武学奇术!$A:$ZZ,11,FALSE)+SUM(_xlfn.XLOOKUP(R13:AH13,增益!$A:$A,增益!$K:$K,0)))/100)</f>
        <v>-0.14</v>
      </c>
      <c r="BB13" s="49" cm="1">
        <f t="array" ref="BB13">$G$12+VLOOKUP($Q13,武学奇术!$A:$ZZ,12,FALSE)+SUM(_xlfn.XLOOKUP(R13:AH13,增益!$A:$A,增益!$L:$L,0))</f>
        <v>0</v>
      </c>
      <c r="BC13">
        <f t="shared" si="5"/>
        <v>571.2</v>
      </c>
      <c r="BD13">
        <f t="shared" si="6"/>
        <v>1077.4</v>
      </c>
      <c r="BE13" s="49" cm="1">
        <f t="array" ref="BE13">IF($F$13-$I$4+VLOOKUP($Q13,武学奇术!$A:$ZZ,13,FALSE)+SUM(_xlfn.XLOOKUP(R13:AH13,增益!$A:$A,增益!$M:$M,0))&gt;0,($F$13-$I$4+VLOOKUP($Q13,武学奇术!$A:$ZZ,13,FALSE)+SUM(_xlfn.XLOOKUP(R13:AH13,增益!$A:$A,增益!$K:$K,0)))/200,($F$13-$I$4+VLOOKUP($Q13,武学奇术!$A:$ZZ,13,FALSE)+SUM(_xlfn.XLOOKUP(R13:AH13,增益!$A:$A,增益!$M:$M,0)))/100)</f>
        <v>0.08</v>
      </c>
      <c r="BF13" s="49" cm="1">
        <f t="array" ref="BF13">$G$13+VLOOKUP($Q13,武学奇术!$A:$ZZ,14,FALSE)+SUM(_xlfn.XLOOKUP(R13:AH13,增益!$A:$A,增益!$N:$N,0))</f>
        <v>0.25</v>
      </c>
      <c r="BG13">
        <f t="shared" si="7"/>
        <v>0</v>
      </c>
      <c r="BH13">
        <f t="shared" si="8"/>
        <v>0</v>
      </c>
      <c r="BI13" s="49" cm="1">
        <f t="array" ref="BI13">IF($F$14-$I$4+VLOOKUP($Q13,武学奇术!$A:$ZZ,15,FALSE)+SUM(_xlfn.XLOOKUP(R13:AH13,增益!$A:$A,增益!$O:$O,0))&gt;0,($F$14-$I$4+VLOOKUP($Q13,武学奇术!$A:$ZZ,15,FALSE)+SUM(_xlfn.XLOOKUP(R13:AH13,增益!$A:$A,增益!$O:$O,0)))/200,($F$14-$I$4+VLOOKUP($Q13,武学奇术!$A:$ZZ,15,FALSE)+SUM(_xlfn.XLOOKUP(R13:AH13,增益!$A:$A,增益!$O:$O,0)))/100)</f>
        <v>-0.14</v>
      </c>
      <c r="BJ13" s="49" cm="1">
        <f t="array" ref="BJ13">$G$14+VLOOKUP($Q13,武学奇术!$A:$ZZ,16,FALSE)+SUM(_xlfn.XLOOKUP(R13:AH13,增益!$A:$A,增益!$P:$P,0))</f>
        <v>0</v>
      </c>
      <c r="BK13" s="41">
        <f>MIN(IF(VLOOKUP($Q13,武学奇术!$A:$ZZ,23,FALSE)=1,100%,$B$8),100%)</f>
        <v>1</v>
      </c>
      <c r="BL13" s="41" cm="1">
        <f t="array" ref="BL13">IF(VLOOKUP($Q13,武学奇术!$A:$ZZ,23,FALSE)=1,100%,MIN(80%,$B$9+VLOOKUP($Q13,武学奇术!$A:$ZZ,17,FALSE)+SUM(_xlfn.XLOOKUP(R13:AH13,增益!$A:$A,增益!$Q:$Q,0)))+$B$11+SUM(_xlfn.XLOOKUP(R13:AH13,增益!$A:$A,增益!$U:$U,0)))*IF(VLOOKUP($Q13,武学奇术!$A:$ZZ,24,FALSE)=1,0,1)</f>
        <v>0.9045</v>
      </c>
      <c r="BM13" s="41" cm="1">
        <f t="array" ref="BM13">1+$B$13+VLOOKUP($Q13,武学奇术!$A:$ZZ,18,FALSE)+SUM(_xlfn.XLOOKUP(R13:AH13,增益!$A:$A,增益!$R:$R,0))</f>
        <v>1.88</v>
      </c>
      <c r="BN13" s="41" cm="1">
        <f t="array" ref="BN13">IF(VLOOKUP($Q13,武学奇术!$A:$ZZ,24,FALSE)=1,100%,MIN(40%,$B$10+VLOOKUP($Q13,武学奇术!$A:$ZZ,19,FALSE)+SUM(_xlfn.XLOOKUP(R13:AH13,增益!$A:$A,增益!$S:$S,0)))+$B$12+SUM(_xlfn.XLOOKUP(R13:AH13,增益!$A:$A,增益!$V:$V,0)))*IF(VLOOKUP($Q13,武学奇术!$A:$ZZ,23,FALSE)=1,0,1)</f>
        <v>0.0929</v>
      </c>
      <c r="BO13" s="41" cm="1">
        <f t="array" ref="BO13">1+$B$14+VLOOKUP($Q13,武学奇术!$A:$ZZ,20,FALSE)+SUM(_xlfn.XLOOKUP(R13:AH13,增益!$A:$A,增益!$T:$T,0))</f>
        <v>1.35</v>
      </c>
      <c r="BP13" s="41">
        <f t="shared" si="9"/>
        <v>0.9045</v>
      </c>
      <c r="BQ13" s="41">
        <f t="shared" si="10"/>
        <v>0.00260000000000005</v>
      </c>
      <c r="BR13" s="41">
        <f>IF(VLOOKUP($Q13,武学奇术!$A:$ZZ,22,FALSE)=1,0,(1-$BK13))*(1-$BN13)</f>
        <v>0</v>
      </c>
      <c r="BS13" s="41" cm="1">
        <f t="array" ref="BS13">SUM(_xlfn.XLOOKUP(R13:AH13,增益!$A:$A,增益!$W:$W,0))+$I$5</f>
        <v>0.11</v>
      </c>
    </row>
    <row r="14" ht="15.15" spans="1:71">
      <c r="A14" s="58" t="s">
        <v>108</v>
      </c>
      <c r="B14" s="87">
        <v>0.35</v>
      </c>
      <c r="C14" s="70" t="s">
        <v>80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106">
        <f>E6</f>
        <v>0</v>
      </c>
      <c r="H14" s="53" t="s">
        <v>109</v>
      </c>
      <c r="I14" s="90">
        <f>RD!I14+IF(J21="带",30000,0)</f>
        <v>131997.518179442</v>
      </c>
      <c r="J14" s="91"/>
      <c r="K14" s="55">
        <f t="shared" si="0"/>
        <v>293351.513223216</v>
      </c>
      <c r="L14" s="55">
        <f>((($AP14+$AQ14)/2*$AJ14+$AK14)*(1+$AR14)*(1+$AS14)+(($AU14+$AV14)/2*IF($G$1="鸣金",$AL14,$AJ14)+IF($G$1="鸣金",$AM14*1.5,0))*(1+$AW14)*(1+$AX14)+(($AY14+$AZ14)/2*IF($G$1="裂石",$AL14,$AJ14)+IF($G$1="裂石",$AM14*1.5,0))*(1+$BA14)*(1+$BB14)+(($BC14+$BD14)/2*IF($G$1="牵丝",$AL14,$AJ14)+IF($G$1="牵丝",$AM14*1.5,0))*(1+$BE14)*(1+$BF14)+(($BG14+$BH14)/2*IF($G$1="破竹",$AL14,$AJ14)+IF($G$1="破竹",$AM14*1.5,0))*(1+$BI14)*(1+$BJ14))*(1+$AN14)*$BM14*$P14*(1+IF(VLOOKUP($Q14,武学奇术!$A:$ZZ,30,FALSE)="弹道",$B$21,0))*(1+$BS14)</f>
        <v>296841.842864136</v>
      </c>
      <c r="M14" s="55">
        <f>(($AQ14*$AJ14+$AK14)*(1+$AR14)*(1+$AS14)+($AV14*IF($G$1="鸣金",$AL14,$AJ14)+IF($G$1="鸣金",$AM14*1.5,0))*(1+$AW14)*(1+$AX14)+($AZ14*IF($G$1="裂石",$AL14,$AJ14)+IF($G$1="裂石",$AM14*1.5,0))*(1+$BA14)*(1+$BB14)+($BD14*IF($G$1="牵丝",$AL14,$AJ14)+IF($G$1="牵丝",$AM14*1.5,0))*(1+$BE14)*(1+$BF14)+($BH14*IF($G$1="破竹",$AL14,$AJ14)+IF($G$1="破竹",$AM14*1.5,0))*(1+$BI14)*(1+$BJ14))*(1+$AN14)*$BO14*$P14*(1+IF(VLOOKUP($Q14,武学奇术!$A:$ZZ,30,FALSE)="弹道",$B$21,0))*(1+$BS14)</f>
        <v>263696.63492615</v>
      </c>
      <c r="N14" s="55">
        <f>((($AP14+$AQ14)/2*$AJ14+$AK14)*(1+$AR14)*(1+$AS14)+(($AU14+$AV14)/2*IF($G$1="鸣金",$AL14,$AJ14)+IF($G$1="鸣金",$AM14*1.5,0))*(1+$AW14)*(1+$AX14)+(($AY14+$AZ14)/2*IF($G$1="裂石",$AL14,$AJ14)+IF($G$1="裂石",$AM14*1.5,0))*(1+$BA14)*(1+$BB14)+(($BC14+$BD14)/2*IF($G$1="牵丝",$AL14,$AJ14)+IF($G$1="牵丝",$AM14*1.5,0))*(1+$BE14)*(1+$BF14)+(($BG14+$BH14)/2*IF($G$1="破竹",$AL14,$AJ14)+IF($G$1="破竹",$AM14*1.5,0))*(1+$BI14)*(1+$BJ14))*(1+$AN14)*$P14*(1+IF(VLOOKUP($Q14,武学奇术!$A:$ZZ,30,FALSE)="弹道",$B$21,0))*(1+$BS14)</f>
        <v>138711.141525297</v>
      </c>
      <c r="O14" s="55">
        <f>((($AP14*$AJ14+$AK14)*(1+$AR14)*(1+$AS14)+($AU14*IF($G$1="鸣金",$AL14,$AJ14)+IF($G$1="鸣金",$AM14*1.5,0))*(1+$AW14)*(1+$AX14)+($AY14*IF($G$1="裂石",$AL14,$AJ14)+IF($G$1="裂石",$AM14*1.5,0))*(1+$BA14)*(1+$BB14)+($BC14*IF($G$1="牵丝",$AL14,$AJ14)+IF($G$1="牵丝",$AM14*1.5,0))*(1+$BE14)*(1+$BF14)+($BG14*IF($G$1="破竹",$AL14,$AJ14)+IF($G$1="破竹",$AM14*1.5,0))*(1+$BI14)*(1+$BJ14))*(1+$AN14))*$P14*(1+IF(VLOOKUP($Q14,武学奇术!$A:$ZZ,30,FALSE)="弹道",$B$21,0))*(1+$BS14)</f>
        <v>82091.4423645574</v>
      </c>
      <c r="P14" s="56">
        <v>4</v>
      </c>
      <c r="Q14" s="57" t="s">
        <v>102</v>
      </c>
      <c r="R14" s="57" t="s">
        <v>110</v>
      </c>
      <c r="S14" s="57" t="s">
        <v>111</v>
      </c>
      <c r="T14" s="57" t="s">
        <v>92</v>
      </c>
      <c r="U14" s="57" t="s">
        <v>107</v>
      </c>
      <c r="V14" s="57" t="s">
        <v>86</v>
      </c>
      <c r="W14" s="57" t="s">
        <v>72</v>
      </c>
      <c r="X14" s="57" t="s">
        <v>72</v>
      </c>
      <c r="Y14" s="57" t="s">
        <v>112</v>
      </c>
      <c r="Z14" s="57" t="s">
        <v>113</v>
      </c>
      <c r="AA14" s="57" t="s">
        <v>72</v>
      </c>
      <c r="AB14" s="57" t="s">
        <v>96</v>
      </c>
      <c r="AC14" s="57" t="s">
        <v>72</v>
      </c>
      <c r="AD14" s="57" t="s">
        <v>72</v>
      </c>
      <c r="AE14" s="57" t="s">
        <v>72</v>
      </c>
      <c r="AF14" s="57" t="s">
        <v>72</v>
      </c>
      <c r="AG14" s="57" t="s">
        <v>72</v>
      </c>
      <c r="AH14" s="57" t="s">
        <v>87</v>
      </c>
      <c r="AI14" t="str">
        <f>VLOOKUP($Q14,武学奇术!$A:$ZZ,25,FALSE)</f>
        <v>伞</v>
      </c>
      <c r="AJ14" s="41">
        <f>VLOOKUP($Q14,武学奇术!$A:$ZZ,26,FALSE)</f>
        <v>1.174955</v>
      </c>
      <c r="AK14" s="42">
        <f>VLOOKUP($Q14,武学奇术!$A:$ZZ,27,FALSE)*(1+IF(OR($AI14=$F$4,$AI14=$F$5),$B$22,0))</f>
        <v>454.02</v>
      </c>
      <c r="AL14" s="41">
        <f>VLOOKUP($Q14,武学奇术!$A:$ZZ,28,FALSE)</f>
        <v>1.762375</v>
      </c>
      <c r="AM14" s="42">
        <f>VLOOKUP($Q14,武学奇术!$A:$ZZ,29,FALSE)*(1+IF(OR($AI14=$F$4,$AI14=$F$5),$B$22,0))</f>
        <v>247.94</v>
      </c>
      <c r="AN14" s="41" cm="1">
        <f t="array" ref="AN14">$G$3+IFERROR(VLOOKUP($AI14,$F$4:$G$7,2,FALSE),0)+VLOOKUP($Q14,武学奇术!$A:$ZZ,2,FALSE)+SUM(_xlfn.XLOOKUP($R14:$AH14,增益!$A:$A,增益!$B:$B,0))</f>
        <v>1.1941</v>
      </c>
      <c r="AO14" s="41" cm="1">
        <f t="array" ref="AO14">VLOOKUP($Q14,武学奇术!$A:$ZZ,5,FALSE)+SUM(_xlfn.XLOOKUP($R14:$AH14,增益!$A:$A,增益!$E:$E,0))</f>
        <v>0.075</v>
      </c>
      <c r="AP14" cm="1">
        <f t="array" ref="AP14">$D$10*(1+$AO14)+VLOOKUP($Q14,武学奇术!$A:$ZZ,3,FALSE)+SUM(_xlfn.XLOOKUP($R14:$AH14,增益!$A:$A,增益!$C:$C,0))-$I$2</f>
        <v>1974.055</v>
      </c>
      <c r="AQ14" cm="1">
        <f t="array" ref="AQ14">$E$10*(1+$AO14)+VLOOKUP($Q14,武学奇术!$A:$ZZ,4,FALSE)+SUM(_xlfn.XLOOKUP($R14:$AH14,增益!$A:$A,增益!$D:$D,0))-$I$2</f>
        <v>5941.45</v>
      </c>
      <c r="AR14" s="49" cm="1">
        <f t="array" ref="AR14">IF($F$10-$I$3+VLOOKUP($Q14,武学奇术!$A:$ZZ,6,FALSE)+SUM(_xlfn.XLOOKUP(R14:AH14,增益!$A:$A,增益!$F:$F,0))&gt;0,($F$10-$I$3+VLOOKUP($Q14,武学奇术!$A:$ZZ,6,FALSE)+SUM(_xlfn.XLOOKUP(R14:AH14,增益!$A:$A,增益!$F:$F,0)))/200,($F$10-$I$3+VLOOKUP($Q14,武学奇术!$A:$ZZ,6,FALSE)+SUM(_xlfn.XLOOKUP(R14:AH14,增益!$A:$A,增益!$F:$F,0)))/100)</f>
        <v>0.4825</v>
      </c>
      <c r="AS14" s="49" cm="1">
        <f t="array" ref="AS14">$G$10+VLOOKUP($Q14,武学奇术!$A:$ZZ,7,FALSE)+SUM(_xlfn.XLOOKUP(R14:AH14,增益!$A:$A,增益!$G:$G,0))</f>
        <v>0.1</v>
      </c>
      <c r="AT14" s="41" cm="1">
        <f t="array" ref="AT14">VLOOKUP($Q14,武学奇术!$A:$ZZ,8,FALSE)+SUM(_xlfn.XLOOKUP(R14:AH14,增益!$A:$A,增益!$H:$H,0))</f>
        <v>0</v>
      </c>
      <c r="AU14">
        <f t="shared" si="1"/>
        <v>0</v>
      </c>
      <c r="AV14">
        <f t="shared" si="2"/>
        <v>0</v>
      </c>
      <c r="AW14" s="49" cm="1">
        <f t="array" ref="AW14">IF($F$11-$I$4+VLOOKUP($Q14,武学奇术!$A:$ZZ,9,FALSE)+SUM(_xlfn.XLOOKUP(R14:AH14,增益!$A:$A,增益!$I:$I,0))&gt;0,($F$11-$I$4+VLOOKUP($Q14,武学奇术!$A:$ZZ,9,FALSE)+SUM(_xlfn.XLOOKUP(R14:AH14,增益!$A:$A,增益!$I:$I,0)))/200,($F$11-$I$4+VLOOKUP($Q14,武学奇术!$A:$ZZ,9,FALSE)+SUM(_xlfn.XLOOKUP(R14:AH14,增益!$A:$A,增益!$I:$I,0)))/100)</f>
        <v>-0.14</v>
      </c>
      <c r="AX14" s="49" cm="1">
        <f t="array" ref="AX14">$G$11+VLOOKUP($Q14,武学奇术!$A:$ZZ,10,FALSE)+SUM(_xlfn.XLOOKUP(R14:AH14,增益!$A:$A,增益!$J:$J,0))</f>
        <v>0</v>
      </c>
      <c r="AY14">
        <f t="shared" si="3"/>
        <v>0</v>
      </c>
      <c r="AZ14">
        <f t="shared" si="4"/>
        <v>0</v>
      </c>
      <c r="BA14" s="49" cm="1">
        <f t="array" ref="BA14">IF($F$12-$I$4+VLOOKUP($Q14,武学奇术!$A:$ZZ,11,FALSE)+SUM(_xlfn.XLOOKUP(R14:AH14,增益!$A:$A,增益!$K:$K,0))&gt;0,($F$12-$I$4+VLOOKUP($Q14,武学奇术!$A:$ZZ,11,FALSE)+SUM(_xlfn.XLOOKUP(R14:AH14,增益!$A:$A,增益!$K:$K,0)))/200,($F$12-$I$4+VLOOKUP($Q14,武学奇术!$A:$ZZ,11,FALSE)+SUM(_xlfn.XLOOKUP(R14:AH14,增益!$A:$A,增益!$K:$K,0)))/100)</f>
        <v>-0.14</v>
      </c>
      <c r="BB14" s="49" cm="1">
        <f t="array" ref="BB14">$G$12+VLOOKUP($Q14,武学奇术!$A:$ZZ,12,FALSE)+SUM(_xlfn.XLOOKUP(R14:AH14,增益!$A:$A,增益!$L:$L,0))</f>
        <v>0</v>
      </c>
      <c r="BC14">
        <f t="shared" si="5"/>
        <v>571.2</v>
      </c>
      <c r="BD14">
        <f t="shared" si="6"/>
        <v>1077.4</v>
      </c>
      <c r="BE14" s="49" cm="1">
        <f t="array" ref="BE14">IF($F$13-$I$4+VLOOKUP($Q14,武学奇术!$A:$ZZ,13,FALSE)+SUM(_xlfn.XLOOKUP(R14:AH14,增益!$A:$A,增益!$M:$M,0))&gt;0,($F$13-$I$4+VLOOKUP($Q14,武学奇术!$A:$ZZ,13,FALSE)+SUM(_xlfn.XLOOKUP(R14:AH14,增益!$A:$A,增益!$K:$K,0)))/200,($F$13-$I$4+VLOOKUP($Q14,武学奇术!$A:$ZZ,13,FALSE)+SUM(_xlfn.XLOOKUP(R14:AH14,增益!$A:$A,增益!$M:$M,0)))/100)</f>
        <v>0.08</v>
      </c>
      <c r="BF14" s="49" cm="1">
        <f t="array" ref="BF14">$G$13+VLOOKUP($Q14,武学奇术!$A:$ZZ,14,FALSE)+SUM(_xlfn.XLOOKUP(R14:AH14,增益!$A:$A,增益!$N:$N,0))</f>
        <v>0.25</v>
      </c>
      <c r="BG14">
        <f t="shared" si="7"/>
        <v>0</v>
      </c>
      <c r="BH14">
        <f t="shared" si="8"/>
        <v>0</v>
      </c>
      <c r="BI14" s="49" cm="1">
        <f t="array" ref="BI14">IF($F$14-$I$4+VLOOKUP($Q14,武学奇术!$A:$ZZ,15,FALSE)+SUM(_xlfn.XLOOKUP(R14:AH14,增益!$A:$A,增益!$O:$O,0))&gt;0,($F$14-$I$4+VLOOKUP($Q14,武学奇术!$A:$ZZ,15,FALSE)+SUM(_xlfn.XLOOKUP(R14:AH14,增益!$A:$A,增益!$O:$O,0)))/200,($F$14-$I$4+VLOOKUP($Q14,武学奇术!$A:$ZZ,15,FALSE)+SUM(_xlfn.XLOOKUP(R14:AH14,增益!$A:$A,增益!$O:$O,0)))/100)</f>
        <v>-0.14</v>
      </c>
      <c r="BJ14" s="49" cm="1">
        <f t="array" ref="BJ14">$G$14+VLOOKUP($Q14,武学奇术!$A:$ZZ,16,FALSE)+SUM(_xlfn.XLOOKUP(R14:AH14,增益!$A:$A,增益!$P:$P,0))</f>
        <v>0</v>
      </c>
      <c r="BK14" s="41">
        <f>MIN(IF(VLOOKUP($Q14,武学奇术!$A:$ZZ,23,FALSE)=1,100%,$B$8),100%)</f>
        <v>1</v>
      </c>
      <c r="BL14" s="41" cm="1">
        <f t="array" ref="BL14">IF(VLOOKUP($Q14,武学奇术!$A:$ZZ,23,FALSE)=1,100%,MIN(80%,$B$9+VLOOKUP($Q14,武学奇术!$A:$ZZ,17,FALSE)+SUM(_xlfn.XLOOKUP(R14:AH14,增益!$A:$A,增益!$Q:$Q,0)))+$B$11+SUM(_xlfn.XLOOKUP(R14:AH14,增益!$A:$A,增益!$U:$U,0)))*IF(VLOOKUP($Q14,武学奇术!$A:$ZZ,24,FALSE)=1,0,1)</f>
        <v>0.9045</v>
      </c>
      <c r="BM14" s="41" cm="1">
        <f t="array" ref="BM14">1+$B$13+VLOOKUP($Q14,武学奇术!$A:$ZZ,18,FALSE)+SUM(_xlfn.XLOOKUP(R14:AH14,增益!$A:$A,增益!$R:$R,0))</f>
        <v>2.14</v>
      </c>
      <c r="BN14" s="41" cm="1">
        <f t="array" ref="BN14">IF(VLOOKUP($Q14,武学奇术!$A:$ZZ,24,FALSE)=1,100%,MIN(40%,$B$10+VLOOKUP($Q14,武学奇术!$A:$ZZ,19,FALSE)+SUM(_xlfn.XLOOKUP(R14:AH14,增益!$A:$A,增益!$S:$S,0)))+$B$12+SUM(_xlfn.XLOOKUP(R14:AH14,增益!$A:$A,增益!$V:$V,0)))*IF(VLOOKUP($Q14,武学奇术!$A:$ZZ,23,FALSE)=1,0,1)</f>
        <v>0.0929</v>
      </c>
      <c r="BO14" s="41" cm="1">
        <f t="array" ref="BO14">1+$B$14+VLOOKUP($Q14,武学奇术!$A:$ZZ,20,FALSE)+SUM(_xlfn.XLOOKUP(R14:AH14,增益!$A:$A,增益!$T:$T,0))</f>
        <v>1.35</v>
      </c>
      <c r="BP14" s="41">
        <f t="shared" si="9"/>
        <v>0.9045</v>
      </c>
      <c r="BQ14" s="41">
        <f t="shared" si="10"/>
        <v>0.00260000000000005</v>
      </c>
      <c r="BR14" s="41">
        <f>IF(VLOOKUP($Q14,武学奇术!$A:$ZZ,22,FALSE)=1,0,(1-$BK14))*(1-$BN14)</f>
        <v>0</v>
      </c>
      <c r="BS14" s="41" cm="1">
        <f t="array" ref="BS14">SUM(_xlfn.XLOOKUP(R14:AH14,增益!$A:$A,增益!$W:$W,0))+$I$5</f>
        <v>0.11</v>
      </c>
    </row>
    <row r="15" ht="15.15" spans="1:71">
      <c r="A15" s="58" t="s">
        <v>114</v>
      </c>
      <c r="B15" s="87">
        <v>0.0852</v>
      </c>
      <c r="C15" s="56" t="s">
        <v>115</v>
      </c>
      <c r="D15" s="56"/>
      <c r="F15" s="96"/>
      <c r="H15" s="97"/>
      <c r="I15" s="92"/>
      <c r="J15" s="93"/>
      <c r="K15" s="55">
        <f t="shared" si="0"/>
        <v>148113.390822223</v>
      </c>
      <c r="L15" s="55">
        <f>((($AP15+$AQ15)/2*$AJ15+$AK15)*(1+$AR15)*(1+$AS15)+(($AU15+$AV15)/2*IF($G$1="鸣金",$AL15,$AJ15)+IF($G$1="鸣金",$AM15*1.5,0))*(1+$AW15)*(1+$AX15)+(($AY15+$AZ15)/2*IF($G$1="裂石",$AL15,$AJ15)+IF($G$1="裂石",$AM15*1.5,0))*(1+$BA15)*(1+$BB15)+(($BC15+$BD15)/2*IF($G$1="牵丝",$AL15,$AJ15)+IF($G$1="牵丝",$AM15*1.5,0))*(1+$BE15)*(1+$BF15)+(($BG15+$BH15)/2*IF($G$1="破竹",$AL15,$AJ15)+IF($G$1="破竹",$AM15*1.5,0))*(1+$BI15)*(1+$BJ15))*(1+$AN15)*$BM15*$P15*(1+IF(VLOOKUP($Q15,武学奇术!$A:$ZZ,30,FALSE)="弹道",$B$21,0))*(1+$BS15)</f>
        <v>149873.430993118</v>
      </c>
      <c r="M15" s="55">
        <f>(($AQ15*$AJ15+$AK15)*(1+$AR15)*(1+$AS15)+($AV15*IF($G$1="鸣金",$AL15,$AJ15)+IF($G$1="鸣金",$AM15*1.5,0))*(1+$AW15)*(1+$AX15)+($AZ15*IF($G$1="裂石",$AL15,$AJ15)+IF($G$1="裂石",$AM15*1.5,0))*(1+$BA15)*(1+$BB15)+($BD15*IF($G$1="牵丝",$AL15,$AJ15)+IF($G$1="牵丝",$AM15*1.5,0))*(1+$BE15)*(1+$BF15)+($BH15*IF($G$1="破竹",$AL15,$AJ15)+IF($G$1="破竹",$AM15*1.5,0))*(1+$BI15)*(1+$BJ15))*(1+$AN15)*$BO15*$P15*(1+IF(VLOOKUP($Q15,武学奇术!$A:$ZZ,30,FALSE)="弹道",$B$21,0))*(1+$BS15)</f>
        <v>133162.360319946</v>
      </c>
      <c r="N15" s="55">
        <f>((($AP15+$AQ15)/2*$AJ15+$AK15)*(1+$AR15)*(1+$AS15)+(($AU15+$AV15)/2*IF($G$1="鸣金",$AL15,$AJ15)+IF($G$1="鸣金",$AM15*1.5,0))*(1+$AW15)*(1+$AX15)+(($AY15+$AZ15)/2*IF($G$1="裂石",$AL15,$AJ15)+IF($G$1="裂石",$AM15*1.5,0))*(1+$BA15)*(1+$BB15)+(($BC15+$BD15)/2*IF($G$1="牵丝",$AL15,$AJ15)+IF($G$1="牵丝",$AM15*1.5,0))*(1+$BE15)*(1+$BF15)+(($BG15+$BH15)/2*IF($G$1="破竹",$AL15,$AJ15)+IF($G$1="破竹",$AM15*1.5,0))*(1+$BI15)*(1+$BJ15))*(1+$AN15)*$P15*(1+IF(VLOOKUP($Q15,武学奇术!$A:$ZZ,30,FALSE)="弹道",$B$21,0))*(1+$BS15)</f>
        <v>70034.3135481859</v>
      </c>
      <c r="O15" s="55">
        <f>((($AP15*$AJ15+$AK15)*(1+$AR15)*(1+$AS15)+($AU15*IF($G$1="鸣金",$AL15,$AJ15)+IF($G$1="鸣金",$AM15*1.5,0))*(1+$AW15)*(1+$AX15)+($AY15*IF($G$1="裂石",$AL15,$AJ15)+IF($G$1="裂石",$AM15*1.5,0))*(1+$BA15)*(1+$BB15)+($BC15*IF($G$1="牵丝",$AL15,$AJ15)+IF($G$1="牵丝",$AM15*1.5,0))*(1+$BE15)*(1+$BF15)+($BG15*IF($G$1="破竹",$AL15,$AJ15)+IF($G$1="破竹",$AM15*1.5,0))*(1+$BI15)*(1+$BJ15))*(1+$AN15))*$P15*(1+IF(VLOOKUP($Q15,武学奇术!$A:$ZZ,30,FALSE)="弹道",$B$21,0))*(1+$BS15)</f>
        <v>41429.8416741899</v>
      </c>
      <c r="P15" s="56">
        <v>2</v>
      </c>
      <c r="Q15" s="57" t="s">
        <v>102</v>
      </c>
      <c r="R15" s="57" t="s">
        <v>116</v>
      </c>
      <c r="S15" s="57" t="s">
        <v>111</v>
      </c>
      <c r="T15" s="57" t="s">
        <v>92</v>
      </c>
      <c r="U15" s="57" t="s">
        <v>107</v>
      </c>
      <c r="V15" s="57" t="s">
        <v>86</v>
      </c>
      <c r="W15" s="57" t="s">
        <v>72</v>
      </c>
      <c r="X15" s="57" t="s">
        <v>72</v>
      </c>
      <c r="Y15" s="57" t="s">
        <v>112</v>
      </c>
      <c r="Z15" s="57" t="s">
        <v>113</v>
      </c>
      <c r="AA15" s="57" t="s">
        <v>72</v>
      </c>
      <c r="AB15" s="57" t="s">
        <v>96</v>
      </c>
      <c r="AC15" s="57" t="s">
        <v>72</v>
      </c>
      <c r="AD15" s="57" t="s">
        <v>72</v>
      </c>
      <c r="AE15" s="57" t="s">
        <v>72</v>
      </c>
      <c r="AF15" s="57" t="s">
        <v>72</v>
      </c>
      <c r="AG15" s="57" t="s">
        <v>72</v>
      </c>
      <c r="AH15" s="57" t="s">
        <v>87</v>
      </c>
      <c r="AI15" t="str">
        <f>VLOOKUP($Q15,武学奇术!$A:$ZZ,25,FALSE)</f>
        <v>伞</v>
      </c>
      <c r="AJ15" s="41">
        <f>VLOOKUP($Q15,武学奇术!$A:$ZZ,26,FALSE)</f>
        <v>1.174955</v>
      </c>
      <c r="AK15" s="42">
        <f>VLOOKUP($Q15,武学奇术!$A:$ZZ,27,FALSE)*(1+IF(OR($AI15=$F$4,$AI15=$F$5),$B$22,0))</f>
        <v>454.02</v>
      </c>
      <c r="AL15" s="41">
        <f>VLOOKUP($Q15,武学奇术!$A:$ZZ,28,FALSE)</f>
        <v>1.762375</v>
      </c>
      <c r="AM15" s="42">
        <f>VLOOKUP($Q15,武学奇术!$A:$ZZ,29,FALSE)*(1+IF(OR($AI15=$F$4,$AI15=$F$5),$B$22,0))</f>
        <v>247.94</v>
      </c>
      <c r="AN15" s="41" cm="1">
        <f t="array" ref="AN15">$G$3+IFERROR(VLOOKUP($AI15,$F$4:$G$7,2,FALSE),0)+VLOOKUP($Q15,武学奇术!$A:$ZZ,2,FALSE)+SUM(_xlfn.XLOOKUP($R15:$AH15,增益!$A:$A,增益!$B:$B,0))</f>
        <v>1.2041</v>
      </c>
      <c r="AO15" s="41" cm="1">
        <f t="array" ref="AO15">VLOOKUP($Q15,武学奇术!$A:$ZZ,5,FALSE)+SUM(_xlfn.XLOOKUP($R15:$AH15,增益!$A:$A,增益!$E:$E,0))</f>
        <v>0.075</v>
      </c>
      <c r="AP15" cm="1">
        <f t="array" ref="AP15">$D$10*(1+$AO15)+VLOOKUP($Q15,武学奇术!$A:$ZZ,3,FALSE)+SUM(_xlfn.XLOOKUP($R15:$AH15,增益!$A:$A,增益!$C:$C,0))-$I$2</f>
        <v>1974.055</v>
      </c>
      <c r="AQ15" cm="1">
        <f t="array" ref="AQ15">$E$10*(1+$AO15)+VLOOKUP($Q15,武学奇术!$A:$ZZ,4,FALSE)+SUM(_xlfn.XLOOKUP($R15:$AH15,增益!$A:$A,增益!$D:$D,0))-$I$2</f>
        <v>5941.45</v>
      </c>
      <c r="AR15" s="49" cm="1">
        <f t="array" ref="AR15">IF($F$10-$I$3+VLOOKUP($Q15,武学奇术!$A:$ZZ,6,FALSE)+SUM(_xlfn.XLOOKUP(R15:AH15,增益!$A:$A,增益!$F:$F,0))&gt;0,($F$10-$I$3+VLOOKUP($Q15,武学奇术!$A:$ZZ,6,FALSE)+SUM(_xlfn.XLOOKUP(R15:AH15,增益!$A:$A,增益!$F:$F,0)))/200,($F$10-$I$3+VLOOKUP($Q15,武学奇术!$A:$ZZ,6,FALSE)+SUM(_xlfn.XLOOKUP(R15:AH15,增益!$A:$A,增益!$F:$F,0)))/100)</f>
        <v>0.4925</v>
      </c>
      <c r="AS15" s="49" cm="1">
        <f t="array" ref="AS15">$G$10+VLOOKUP($Q15,武学奇术!$A:$ZZ,7,FALSE)+SUM(_xlfn.XLOOKUP(R15:AH15,增益!$A:$A,增益!$G:$G,0))</f>
        <v>0.1</v>
      </c>
      <c r="AT15" s="41" cm="1">
        <f t="array" ref="AT15">VLOOKUP($Q15,武学奇术!$A:$ZZ,8,FALSE)+SUM(_xlfn.XLOOKUP(R15:AH15,增益!$A:$A,增益!$H:$H,0))</f>
        <v>0</v>
      </c>
      <c r="AU15">
        <f t="shared" si="1"/>
        <v>0</v>
      </c>
      <c r="AV15">
        <f t="shared" si="2"/>
        <v>0</v>
      </c>
      <c r="AW15" s="49" cm="1">
        <f t="array" ref="AW15">IF($F$11-$I$4+VLOOKUP($Q15,武学奇术!$A:$ZZ,9,FALSE)+SUM(_xlfn.XLOOKUP(R15:AH15,增益!$A:$A,增益!$I:$I,0))&gt;0,($F$11-$I$4+VLOOKUP($Q15,武学奇术!$A:$ZZ,9,FALSE)+SUM(_xlfn.XLOOKUP(R15:AH15,增益!$A:$A,增益!$I:$I,0)))/200,($F$11-$I$4+VLOOKUP($Q15,武学奇术!$A:$ZZ,9,FALSE)+SUM(_xlfn.XLOOKUP(R15:AH15,增益!$A:$A,增益!$I:$I,0)))/100)</f>
        <v>-0.14</v>
      </c>
      <c r="AX15" s="49" cm="1">
        <f t="array" ref="AX15">$G$11+VLOOKUP($Q15,武学奇术!$A:$ZZ,10,FALSE)+SUM(_xlfn.XLOOKUP(R15:AH15,增益!$A:$A,增益!$J:$J,0))</f>
        <v>0</v>
      </c>
      <c r="AY15">
        <f t="shared" si="3"/>
        <v>0</v>
      </c>
      <c r="AZ15">
        <f t="shared" si="4"/>
        <v>0</v>
      </c>
      <c r="BA15" s="49" cm="1">
        <f t="array" ref="BA15">IF($F$12-$I$4+VLOOKUP($Q15,武学奇术!$A:$ZZ,11,FALSE)+SUM(_xlfn.XLOOKUP(R15:AH15,增益!$A:$A,增益!$K:$K,0))&gt;0,($F$12-$I$4+VLOOKUP($Q15,武学奇术!$A:$ZZ,11,FALSE)+SUM(_xlfn.XLOOKUP(R15:AH15,增益!$A:$A,增益!$K:$K,0)))/200,($F$12-$I$4+VLOOKUP($Q15,武学奇术!$A:$ZZ,11,FALSE)+SUM(_xlfn.XLOOKUP(R15:AH15,增益!$A:$A,增益!$K:$K,0)))/100)</f>
        <v>-0.14</v>
      </c>
      <c r="BB15" s="49" cm="1">
        <f t="array" ref="BB15">$G$12+VLOOKUP($Q15,武学奇术!$A:$ZZ,12,FALSE)+SUM(_xlfn.XLOOKUP(R15:AH15,增益!$A:$A,增益!$L:$L,0))</f>
        <v>0</v>
      </c>
      <c r="BC15">
        <f t="shared" si="5"/>
        <v>571.2</v>
      </c>
      <c r="BD15">
        <f t="shared" si="6"/>
        <v>1077.4</v>
      </c>
      <c r="BE15" s="49" cm="1">
        <f t="array" ref="BE15">IF($F$13-$I$4+VLOOKUP($Q15,武学奇术!$A:$ZZ,13,FALSE)+SUM(_xlfn.XLOOKUP(R15:AH15,增益!$A:$A,增益!$M:$M,0))&gt;0,($F$13-$I$4+VLOOKUP($Q15,武学奇术!$A:$ZZ,13,FALSE)+SUM(_xlfn.XLOOKUP(R15:AH15,增益!$A:$A,增益!$K:$K,0)))/200,($F$13-$I$4+VLOOKUP($Q15,武学奇术!$A:$ZZ,13,FALSE)+SUM(_xlfn.XLOOKUP(R15:AH15,增益!$A:$A,增益!$M:$M,0)))/100)</f>
        <v>0.08</v>
      </c>
      <c r="BF15" s="49" cm="1">
        <f t="array" ref="BF15">$G$13+VLOOKUP($Q15,武学奇术!$A:$ZZ,14,FALSE)+SUM(_xlfn.XLOOKUP(R15:AH15,增益!$A:$A,增益!$N:$N,0))</f>
        <v>0.25</v>
      </c>
      <c r="BG15">
        <f t="shared" si="7"/>
        <v>0</v>
      </c>
      <c r="BH15">
        <f t="shared" si="8"/>
        <v>0</v>
      </c>
      <c r="BI15" s="49" cm="1">
        <f t="array" ref="BI15">IF($F$14-$I$4+VLOOKUP($Q15,武学奇术!$A:$ZZ,15,FALSE)+SUM(_xlfn.XLOOKUP(R15:AH15,增益!$A:$A,增益!$O:$O,0))&gt;0,($F$14-$I$4+VLOOKUP($Q15,武学奇术!$A:$ZZ,15,FALSE)+SUM(_xlfn.XLOOKUP(R15:AH15,增益!$A:$A,增益!$O:$O,0)))/200,($F$14-$I$4+VLOOKUP($Q15,武学奇术!$A:$ZZ,15,FALSE)+SUM(_xlfn.XLOOKUP(R15:AH15,增益!$A:$A,增益!$O:$O,0)))/100)</f>
        <v>-0.14</v>
      </c>
      <c r="BJ15" s="49" cm="1">
        <f t="array" ref="BJ15">$G$14+VLOOKUP($Q15,武学奇术!$A:$ZZ,16,FALSE)+SUM(_xlfn.XLOOKUP(R15:AH15,增益!$A:$A,增益!$P:$P,0))</f>
        <v>0</v>
      </c>
      <c r="BK15" s="41">
        <f>MIN(IF(VLOOKUP($Q15,武学奇术!$A:$ZZ,23,FALSE)=1,100%,$B$8),100%)</f>
        <v>1</v>
      </c>
      <c r="BL15" s="41" cm="1">
        <f t="array" ref="BL15">IF(VLOOKUP($Q15,武学奇术!$A:$ZZ,23,FALSE)=1,100%,MIN(80%,$B$9+VLOOKUP($Q15,武学奇术!$A:$ZZ,17,FALSE)+SUM(_xlfn.XLOOKUP(R15:AH15,增益!$A:$A,增益!$Q:$Q,0)))+$B$11+SUM(_xlfn.XLOOKUP(R15:AH15,增益!$A:$A,增益!$U:$U,0)))*IF(VLOOKUP($Q15,武学奇术!$A:$ZZ,24,FALSE)=1,0,1)</f>
        <v>0.9045</v>
      </c>
      <c r="BM15" s="41" cm="1">
        <f t="array" ref="BM15">1+$B$13+VLOOKUP($Q15,武学奇术!$A:$ZZ,18,FALSE)+SUM(_xlfn.XLOOKUP(R15:AH15,增益!$A:$A,增益!$R:$R,0))</f>
        <v>2.14</v>
      </c>
      <c r="BN15" s="41" cm="1">
        <f t="array" ref="BN15">IF(VLOOKUP($Q15,武学奇术!$A:$ZZ,24,FALSE)=1,100%,MIN(40%,$B$10+VLOOKUP($Q15,武学奇术!$A:$ZZ,19,FALSE)+SUM(_xlfn.XLOOKUP(R15:AH15,增益!$A:$A,增益!$S:$S,0)))+$B$12+SUM(_xlfn.XLOOKUP(R15:AH15,增益!$A:$A,增益!$V:$V,0)))*IF(VLOOKUP($Q15,武学奇术!$A:$ZZ,23,FALSE)=1,0,1)</f>
        <v>0.0929</v>
      </c>
      <c r="BO15" s="41" cm="1">
        <f t="array" ref="BO15">1+$B$14+VLOOKUP($Q15,武学奇术!$A:$ZZ,20,FALSE)+SUM(_xlfn.XLOOKUP(R15:AH15,增益!$A:$A,增益!$T:$T,0))</f>
        <v>1.35</v>
      </c>
      <c r="BP15" s="41">
        <f t="shared" si="9"/>
        <v>0.9045</v>
      </c>
      <c r="BQ15" s="41">
        <f t="shared" si="10"/>
        <v>0.00260000000000005</v>
      </c>
      <c r="BR15" s="41">
        <f>IF(VLOOKUP($Q15,武学奇术!$A:$ZZ,22,FALSE)=1,0,(1-$BK15))*(1-$BN15)</f>
        <v>0</v>
      </c>
      <c r="BS15" s="41" cm="1">
        <f t="array" ref="BS15">SUM(_xlfn.XLOOKUP(R15:AH15,增益!$A:$A,增益!$W:$W,0))+$I$5</f>
        <v>0.11</v>
      </c>
    </row>
    <row r="16" spans="1:71">
      <c r="A16" s="58" t="s">
        <v>117</v>
      </c>
      <c r="B16" s="87">
        <v>0.0887</v>
      </c>
      <c r="C16" s="56" t="s">
        <v>118</v>
      </c>
      <c r="D16" s="96" t="s">
        <v>119</v>
      </c>
      <c r="E16" s="56" t="s">
        <v>120</v>
      </c>
      <c r="F16" s="96" t="s">
        <v>119</v>
      </c>
      <c r="H16" s="85" t="s">
        <v>121</v>
      </c>
      <c r="I16" s="98">
        <f>I12/156075.07</f>
        <v>1.00000003201183</v>
      </c>
      <c r="J16" s="99"/>
      <c r="K16" s="55">
        <f t="shared" si="0"/>
        <v>148746.851188267</v>
      </c>
      <c r="L16" s="55">
        <f>((($AP16+$AQ16)/2*$AJ16+$AK16)*(1+$AR16)*(1+$AS16)+(($AU16+$AV16)/2*IF($G$1="鸣金",$AL16,$AJ16)+IF($G$1="鸣金",$AM16*1.5,0))*(1+$AW16)*(1+$AX16)+(($AY16+$AZ16)/2*IF($G$1="裂石",$AL16,$AJ16)+IF($G$1="裂石",$AM16*1.5,0))*(1+$BA16)*(1+$BB16)+(($BC16+$BD16)/2*IF($G$1="牵丝",$AL16,$AJ16)+IF($G$1="牵丝",$AM16*1.5,0))*(1+$BE16)*(1+$BF16)+(($BG16+$BH16)/2*IF($G$1="破竹",$AL16,$AJ16)+IF($G$1="破竹",$AM16*1.5,0))*(1+$BI16)*(1+$BJ16))*(1+$AN16)*$BM16*$P16*(1+IF(VLOOKUP($Q16,武学奇术!$A:$ZZ,30,FALSE)="弹道",$B$21,0))*(1+$BS16)</f>
        <v>150573.7741286</v>
      </c>
      <c r="M16" s="55">
        <f>(($AQ16*$AJ16+$AK16)*(1+$AR16)*(1+$AS16)+($AV16*IF($G$1="鸣金",$AL16,$AJ16)+IF($G$1="鸣金",$AM16*1.5,0))*(1+$AW16)*(1+$AX16)+($AZ16*IF($G$1="裂石",$AL16,$AJ16)+IF($G$1="裂石",$AM16*1.5,0))*(1+$BA16)*(1+$BB16)+($BD16*IF($G$1="牵丝",$AL16,$AJ16)+IF($G$1="牵丝",$AM16*1.5,0))*(1+$BE16)*(1+$BF16)+($BH16*IF($G$1="破竹",$AL16,$AJ16)+IF($G$1="破竹",$AM16*1.5,0))*(1+$BI16)*(1+$BJ16))*(1+$AN16)*$BO16*$P16*(1+IF(VLOOKUP($Q16,武学奇术!$A:$ZZ,30,FALSE)="弹道",$B$21,0))*(1+$BS16)</f>
        <v>133162.360319946</v>
      </c>
      <c r="N16" s="55">
        <f>((($AP16+$AQ16)/2*$AJ16+$AK16)*(1+$AR16)*(1+$AS16)+(($AU16+$AV16)/2*IF($G$1="鸣金",$AL16,$AJ16)+IF($G$1="鸣金",$AM16*1.5,0))*(1+$AW16)*(1+$AX16)+(($AY16+$AZ16)/2*IF($G$1="裂石",$AL16,$AJ16)+IF($G$1="裂石",$AM16*1.5,0))*(1+$BA16)*(1+$BB16)+(($BC16+$BD16)/2*IF($G$1="牵丝",$AL16,$AJ16)+IF($G$1="牵丝",$AM16*1.5,0))*(1+$BE16)*(1+$BF16)+(($BG16+$BH16)/2*IF($G$1="破竹",$AL16,$AJ16)+IF($G$1="破竹",$AM16*1.5,0))*(1+$BI16)*(1+$BJ16))*(1+$AN16)*$P16*(1+IF(VLOOKUP($Q16,武学奇术!$A:$ZZ,30,FALSE)="弹道",$B$21,0))*(1+$BS16)</f>
        <v>70034.3135481859</v>
      </c>
      <c r="O16" s="55">
        <f>((($AP16*$AJ16+$AK16)*(1+$AR16)*(1+$AS16)+($AU16*IF($G$1="鸣金",$AL16,$AJ16)+IF($G$1="鸣金",$AM16*1.5,0))*(1+$AW16)*(1+$AX16)+($AY16*IF($G$1="裂石",$AL16,$AJ16)+IF($G$1="裂石",$AM16*1.5,0))*(1+$BA16)*(1+$BB16)+($BC16*IF($G$1="牵丝",$AL16,$AJ16)+IF($G$1="牵丝",$AM16*1.5,0))*(1+$BE16)*(1+$BF16)+($BG16*IF($G$1="破竹",$AL16,$AJ16)+IF($G$1="破竹",$AM16*1.5,0))*(1+$BI16)*(1+$BJ16))*(1+$AN16))*$P16*(1+IF(VLOOKUP($Q16,武学奇术!$A:$ZZ,30,FALSE)="弹道",$B$21,0))*(1+$BS16)</f>
        <v>41429.8416741899</v>
      </c>
      <c r="P16" s="56">
        <v>2</v>
      </c>
      <c r="Q16" s="57" t="s">
        <v>102</v>
      </c>
      <c r="R16" s="57" t="s">
        <v>116</v>
      </c>
      <c r="S16" s="57" t="s">
        <v>122</v>
      </c>
      <c r="T16" s="57" t="s">
        <v>92</v>
      </c>
      <c r="U16" s="57" t="s">
        <v>107</v>
      </c>
      <c r="V16" s="57" t="s">
        <v>86</v>
      </c>
      <c r="W16" s="57" t="s">
        <v>72</v>
      </c>
      <c r="X16" s="57" t="s">
        <v>72</v>
      </c>
      <c r="Y16" s="57" t="s">
        <v>112</v>
      </c>
      <c r="Z16" s="57" t="s">
        <v>113</v>
      </c>
      <c r="AA16" s="57" t="s">
        <v>72</v>
      </c>
      <c r="AB16" s="57" t="s">
        <v>96</v>
      </c>
      <c r="AC16" s="57" t="s">
        <v>72</v>
      </c>
      <c r="AD16" s="57" t="s">
        <v>72</v>
      </c>
      <c r="AE16" s="57" t="s">
        <v>72</v>
      </c>
      <c r="AF16" s="57" t="s">
        <v>72</v>
      </c>
      <c r="AG16" s="57" t="s">
        <v>72</v>
      </c>
      <c r="AH16" s="57" t="s">
        <v>87</v>
      </c>
      <c r="AI16" t="str">
        <f>VLOOKUP($Q16,武学奇术!$A:$ZZ,25,FALSE)</f>
        <v>伞</v>
      </c>
      <c r="AJ16" s="41">
        <f>VLOOKUP($Q16,武学奇术!$A:$ZZ,26,FALSE)</f>
        <v>1.174955</v>
      </c>
      <c r="AK16" s="42">
        <f>VLOOKUP($Q16,武学奇术!$A:$ZZ,27,FALSE)*(1+IF(OR($AI16=$F$4,$AI16=$F$5),$B$22,0))</f>
        <v>454.02</v>
      </c>
      <c r="AL16" s="41">
        <f>VLOOKUP($Q16,武学奇术!$A:$ZZ,28,FALSE)</f>
        <v>1.762375</v>
      </c>
      <c r="AM16" s="42">
        <f>VLOOKUP($Q16,武学奇术!$A:$ZZ,29,FALSE)*(1+IF(OR($AI16=$F$4,$AI16=$F$5),$B$22,0))</f>
        <v>247.94</v>
      </c>
      <c r="AN16" s="41" cm="1">
        <f t="array" ref="AN16">$G$3+IFERROR(VLOOKUP($AI16,$F$4:$G$7,2,FALSE),0)+VLOOKUP($Q16,武学奇术!$A:$ZZ,2,FALSE)+SUM(_xlfn.XLOOKUP($R16:$AH16,增益!$A:$A,增益!$B:$B,0))</f>
        <v>1.2041</v>
      </c>
      <c r="AO16" s="41" cm="1">
        <f t="array" ref="AO16">VLOOKUP($Q16,武学奇术!$A:$ZZ,5,FALSE)+SUM(_xlfn.XLOOKUP($R16:$AH16,增益!$A:$A,增益!$E:$E,0))</f>
        <v>0.075</v>
      </c>
      <c r="AP16" cm="1">
        <f t="array" ref="AP16">$D$10*(1+$AO16)+VLOOKUP($Q16,武学奇术!$A:$ZZ,3,FALSE)+SUM(_xlfn.XLOOKUP($R16:$AH16,增益!$A:$A,增益!$C:$C,0))-$I$2</f>
        <v>1974.055</v>
      </c>
      <c r="AQ16" cm="1">
        <f t="array" ref="AQ16">$E$10*(1+$AO16)+VLOOKUP($Q16,武学奇术!$A:$ZZ,4,FALSE)+SUM(_xlfn.XLOOKUP($R16:$AH16,增益!$A:$A,增益!$D:$D,0))-$I$2</f>
        <v>5941.45</v>
      </c>
      <c r="AR16" s="49" cm="1">
        <f t="array" ref="AR16">IF($F$10-$I$3+VLOOKUP($Q16,武学奇术!$A:$ZZ,6,FALSE)+SUM(_xlfn.XLOOKUP(R16:AH16,增益!$A:$A,增益!$F:$F,0))&gt;0,($F$10-$I$3+VLOOKUP($Q16,武学奇术!$A:$ZZ,6,FALSE)+SUM(_xlfn.XLOOKUP(R16:AH16,增益!$A:$A,增益!$F:$F,0)))/200,($F$10-$I$3+VLOOKUP($Q16,武学奇术!$A:$ZZ,6,FALSE)+SUM(_xlfn.XLOOKUP(R16:AH16,增益!$A:$A,增益!$F:$F,0)))/100)</f>
        <v>0.4925</v>
      </c>
      <c r="AS16" s="49" cm="1">
        <f t="array" ref="AS16">$G$10+VLOOKUP($Q16,武学奇术!$A:$ZZ,7,FALSE)+SUM(_xlfn.XLOOKUP(R16:AH16,增益!$A:$A,增益!$G:$G,0))</f>
        <v>0.1</v>
      </c>
      <c r="AT16" s="41" cm="1">
        <f t="array" ref="AT16">VLOOKUP($Q16,武学奇术!$A:$ZZ,8,FALSE)+SUM(_xlfn.XLOOKUP(R16:AH16,增益!$A:$A,增益!$H:$H,0))</f>
        <v>0</v>
      </c>
      <c r="AU16">
        <f t="shared" si="1"/>
        <v>0</v>
      </c>
      <c r="AV16">
        <f t="shared" si="2"/>
        <v>0</v>
      </c>
      <c r="AW16" s="49" cm="1">
        <f t="array" ref="AW16">IF($F$11-$I$4+VLOOKUP($Q16,武学奇术!$A:$ZZ,9,FALSE)+SUM(_xlfn.XLOOKUP(R16:AH16,增益!$A:$A,增益!$I:$I,0))&gt;0,($F$11-$I$4+VLOOKUP($Q16,武学奇术!$A:$ZZ,9,FALSE)+SUM(_xlfn.XLOOKUP(R16:AH16,增益!$A:$A,增益!$I:$I,0)))/200,($F$11-$I$4+VLOOKUP($Q16,武学奇术!$A:$ZZ,9,FALSE)+SUM(_xlfn.XLOOKUP(R16:AH16,增益!$A:$A,增益!$I:$I,0)))/100)</f>
        <v>-0.14</v>
      </c>
      <c r="AX16" s="49" cm="1">
        <f t="array" ref="AX16">$G$11+VLOOKUP($Q16,武学奇术!$A:$ZZ,10,FALSE)+SUM(_xlfn.XLOOKUP(R16:AH16,增益!$A:$A,增益!$J:$J,0))</f>
        <v>0</v>
      </c>
      <c r="AY16">
        <f t="shared" si="3"/>
        <v>0</v>
      </c>
      <c r="AZ16">
        <f t="shared" si="4"/>
        <v>0</v>
      </c>
      <c r="BA16" s="49" cm="1">
        <f t="array" ref="BA16">IF($F$12-$I$4+VLOOKUP($Q16,武学奇术!$A:$ZZ,11,FALSE)+SUM(_xlfn.XLOOKUP(R16:AH16,增益!$A:$A,增益!$K:$K,0))&gt;0,($F$12-$I$4+VLOOKUP($Q16,武学奇术!$A:$ZZ,11,FALSE)+SUM(_xlfn.XLOOKUP(R16:AH16,增益!$A:$A,增益!$K:$K,0)))/200,($F$12-$I$4+VLOOKUP($Q16,武学奇术!$A:$ZZ,11,FALSE)+SUM(_xlfn.XLOOKUP(R16:AH16,增益!$A:$A,增益!$K:$K,0)))/100)</f>
        <v>-0.14</v>
      </c>
      <c r="BB16" s="49" cm="1">
        <f t="array" ref="BB16">$G$12+VLOOKUP($Q16,武学奇术!$A:$ZZ,12,FALSE)+SUM(_xlfn.XLOOKUP(R16:AH16,增益!$A:$A,增益!$L:$L,0))</f>
        <v>0</v>
      </c>
      <c r="BC16">
        <f t="shared" si="5"/>
        <v>571.2</v>
      </c>
      <c r="BD16">
        <f t="shared" si="6"/>
        <v>1077.4</v>
      </c>
      <c r="BE16" s="49" cm="1">
        <f t="array" ref="BE16">IF($F$13-$I$4+VLOOKUP($Q16,武学奇术!$A:$ZZ,13,FALSE)+SUM(_xlfn.XLOOKUP(R16:AH16,增益!$A:$A,增益!$M:$M,0))&gt;0,($F$13-$I$4+VLOOKUP($Q16,武学奇术!$A:$ZZ,13,FALSE)+SUM(_xlfn.XLOOKUP(R16:AH16,增益!$A:$A,增益!$K:$K,0)))/200,($F$13-$I$4+VLOOKUP($Q16,武学奇术!$A:$ZZ,13,FALSE)+SUM(_xlfn.XLOOKUP(R16:AH16,增益!$A:$A,增益!$M:$M,0)))/100)</f>
        <v>0.08</v>
      </c>
      <c r="BF16" s="49" cm="1">
        <f t="array" ref="BF16">$G$13+VLOOKUP($Q16,武学奇术!$A:$ZZ,14,FALSE)+SUM(_xlfn.XLOOKUP(R16:AH16,增益!$A:$A,增益!$N:$N,0))</f>
        <v>0.25</v>
      </c>
      <c r="BG16">
        <f t="shared" si="7"/>
        <v>0</v>
      </c>
      <c r="BH16">
        <f t="shared" si="8"/>
        <v>0</v>
      </c>
      <c r="BI16" s="49" cm="1">
        <f t="array" ref="BI16">IF($F$14-$I$4+VLOOKUP($Q16,武学奇术!$A:$ZZ,15,FALSE)+SUM(_xlfn.XLOOKUP(R16:AH16,增益!$A:$A,增益!$O:$O,0))&gt;0,($F$14-$I$4+VLOOKUP($Q16,武学奇术!$A:$ZZ,15,FALSE)+SUM(_xlfn.XLOOKUP(R16:AH16,增益!$A:$A,增益!$O:$O,0)))/200,($F$14-$I$4+VLOOKUP($Q16,武学奇术!$A:$ZZ,15,FALSE)+SUM(_xlfn.XLOOKUP(R16:AH16,增益!$A:$A,增益!$O:$O,0)))/100)</f>
        <v>-0.14</v>
      </c>
      <c r="BJ16" s="49" cm="1">
        <f t="array" ref="BJ16">$G$14+VLOOKUP($Q16,武学奇术!$A:$ZZ,16,FALSE)+SUM(_xlfn.XLOOKUP(R16:AH16,增益!$A:$A,增益!$P:$P,0))</f>
        <v>0</v>
      </c>
      <c r="BK16" s="41">
        <f>MIN(IF(VLOOKUP($Q16,武学奇术!$A:$ZZ,23,FALSE)=1,100%,$B$8),100%)</f>
        <v>1</v>
      </c>
      <c r="BL16" s="41" cm="1">
        <f t="array" ref="BL16">IF(VLOOKUP($Q16,武学奇术!$A:$ZZ,23,FALSE)=1,100%,MIN(80%,$B$9+VLOOKUP($Q16,武学奇术!$A:$ZZ,17,FALSE)+SUM(_xlfn.XLOOKUP(R16:AH16,增益!$A:$A,增益!$Q:$Q,0)))+$B$11+SUM(_xlfn.XLOOKUP(R16:AH16,增益!$A:$A,增益!$U:$U,0)))*IF(VLOOKUP($Q16,武学奇术!$A:$ZZ,24,FALSE)=1,0,1)</f>
        <v>0.9045</v>
      </c>
      <c r="BM16" s="41" cm="1">
        <f t="array" ref="BM16">1+$B$13+VLOOKUP($Q16,武学奇术!$A:$ZZ,18,FALSE)+SUM(_xlfn.XLOOKUP(R16:AH16,增益!$A:$A,增益!$R:$R,0))</f>
        <v>2.15</v>
      </c>
      <c r="BN16" s="41" cm="1">
        <f t="array" ref="BN16">IF(VLOOKUP($Q16,武学奇术!$A:$ZZ,24,FALSE)=1,100%,MIN(40%,$B$10+VLOOKUP($Q16,武学奇术!$A:$ZZ,19,FALSE)+SUM(_xlfn.XLOOKUP(R16:AH16,增益!$A:$A,增益!$S:$S,0)))+$B$12+SUM(_xlfn.XLOOKUP(R16:AH16,增益!$A:$A,增益!$V:$V,0)))*IF(VLOOKUP($Q16,武学奇术!$A:$ZZ,23,FALSE)=1,0,1)</f>
        <v>0.0929</v>
      </c>
      <c r="BO16" s="41" cm="1">
        <f t="array" ref="BO16">1+$B$14+VLOOKUP($Q16,武学奇术!$A:$ZZ,20,FALSE)+SUM(_xlfn.XLOOKUP(R16:AH16,增益!$A:$A,增益!$T:$T,0))</f>
        <v>1.35</v>
      </c>
      <c r="BP16" s="41">
        <f t="shared" si="9"/>
        <v>0.9045</v>
      </c>
      <c r="BQ16" s="41">
        <f t="shared" si="10"/>
        <v>0.00260000000000005</v>
      </c>
      <c r="BR16" s="41">
        <f>IF(VLOOKUP($Q16,武学奇术!$A:$ZZ,22,FALSE)=1,0,(1-$BK16))*(1-$BN16)</f>
        <v>0</v>
      </c>
      <c r="BS16" s="41" cm="1">
        <f t="array" ref="BS16">SUM(_xlfn.XLOOKUP(R16:AH16,增益!$A:$A,增益!$W:$W,0))+$I$5</f>
        <v>0.11</v>
      </c>
    </row>
    <row r="17" ht="15.15" spans="1:71">
      <c r="A17" s="58" t="s">
        <v>123</v>
      </c>
      <c r="B17" s="87">
        <v>0.0852</v>
      </c>
      <c r="C17" s="56" t="s">
        <v>124</v>
      </c>
      <c r="D17" s="96" t="s">
        <v>119</v>
      </c>
      <c r="E17" s="56" t="s">
        <v>125</v>
      </c>
      <c r="F17" s="96" t="s">
        <v>119</v>
      </c>
      <c r="H17" s="88"/>
      <c r="I17" s="100"/>
      <c r="J17" s="101"/>
      <c r="K17" s="55">
        <f t="shared" si="0"/>
        <v>49219.110847695</v>
      </c>
      <c r="L17" s="55">
        <f>((($AP17+$AQ17)/2*$AJ17+$AK17)*(1+$AR17)*(1+$AS17)+(($AU17+$AV17)/2*IF($G$1="鸣金",$AL17,$AJ17)+IF($G$1="鸣金",$AM17*1.5,0))*(1+$AW17)*(1+$AX17)+(($AY17+$AZ17)/2*IF($G$1="裂石",$AL17,$AJ17)+IF($G$1="裂石",$AM17*1.5,0))*(1+$BA17)*(1+$BB17)+(($BC17+$BD17)/2*IF($G$1="牵丝",$AL17,$AJ17)+IF($G$1="牵丝",$AM17*1.5,0))*(1+$BE17)*(1+$BF17)+(($BG17+$BH17)/2*IF($G$1="破竹",$AL17,$AJ17)+IF($G$1="破竹",$AM17*1.5,0))*(1+$BI17)*(1+$BJ17))*(1+$AN17)*$BM17*$P17*(1+IF(VLOOKUP($Q17,武学奇术!$A:$ZZ,30,FALSE)="弹道",$B$21,0))*(1+$BS17)</f>
        <v>48166.107575511</v>
      </c>
      <c r="M17" s="55">
        <f>(($AQ17*$AJ17+$AK17)*(1+$AR17)*(1+$AS17)+($AV17*IF($G$1="鸣金",$AL17,$AJ17)+IF($G$1="鸣金",$AM17*1.5,0))*(1+$AW17)*(1+$AX17)+($AZ17*IF($G$1="裂石",$AL17,$AJ17)+IF($G$1="裂石",$AM17*1.5,0))*(1+$BA17)*(1+$BB17)+($BD17*IF($G$1="牵丝",$AL17,$AJ17)+IF($G$1="牵丝",$AM17*1.5,0))*(1+$BE17)*(1+$BF17)+($BH17*IF($G$1="破竹",$AL17,$AJ17)+IF($G$1="破竹",$AM17*1.5,0))*(1+$BI17)*(1+$BJ17))*(1+$AN17)*$BO17*$P17*(1+IF(VLOOKUP($Q17,武学奇术!$A:$ZZ,30,FALSE)="弹道",$B$21,0))*(1+$BS17)</f>
        <v>59962.0791292595</v>
      </c>
      <c r="N17" s="55">
        <f>((($AP17+$AQ17)/2*$AJ17+$AK17)*(1+$AR17)*(1+$AS17)+(($AU17+$AV17)/2*IF($G$1="鸣金",$AL17,$AJ17)+IF($G$1="鸣金",$AM17*1.5,0))*(1+$AW17)*(1+$AX17)+(($AY17+$AZ17)/2*IF($G$1="裂石",$AL17,$AJ17)+IF($G$1="裂石",$AM17*1.5,0))*(1+$BA17)*(1+$BB17)+(($BC17+$BD17)/2*IF($G$1="牵丝",$AL17,$AJ17)+IF($G$1="牵丝",$AM17*1.5,0))*(1+$BE17)*(1+$BF17)+(($BG17+$BH17)/2*IF($G$1="破竹",$AL17,$AJ17)+IF($G$1="破竹",$AM17*1.5,0))*(1+$BI17)*(1+$BJ17))*(1+$AN17)*$P17*(1+IF(VLOOKUP($Q17,武学奇术!$A:$ZZ,30,FALSE)="弹道",$B$21,0))*(1+$BS17)</f>
        <v>31688.2286680994</v>
      </c>
      <c r="O17" s="55">
        <f>((($AP17*$AJ17+$AK17)*(1+$AR17)*(1+$AS17)+($AU17*IF($G$1="鸣金",$AL17,$AJ17)+IF($G$1="鸣金",$AM17*1.5,0))*(1+$AW17)*(1+$AX17)+($AY17*IF($G$1="裂石",$AL17,$AJ17)+IF($G$1="裂石",$AM17*1.5,0))*(1+$BA17)*(1+$BB17)+($BC17*IF($G$1="牵丝",$AL17,$AJ17)+IF($G$1="牵丝",$AM17*1.5,0))*(1+$BE17)*(1+$BF17)+($BG17*IF($G$1="破竹",$AL17,$AJ17)+IF($G$1="破竹",$AM17*1.5,0))*(1+$BI17)*(1+$BJ17))*(1+$AN17))*$P17*(1+IF(VLOOKUP($Q17,武学奇术!$A:$ZZ,30,FALSE)="弹道",$B$21,0))*(1+$BS17)</f>
        <v>18960.1024256361</v>
      </c>
      <c r="P17" s="56">
        <v>1</v>
      </c>
      <c r="Q17" s="57" t="s">
        <v>126</v>
      </c>
      <c r="R17" s="57" t="s">
        <v>103</v>
      </c>
      <c r="S17" s="57" t="s">
        <v>100</v>
      </c>
      <c r="T17" s="57" t="s">
        <v>72</v>
      </c>
      <c r="U17" s="57" t="s">
        <v>72</v>
      </c>
      <c r="V17" s="57" t="s">
        <v>72</v>
      </c>
      <c r="W17" s="57" t="s">
        <v>72</v>
      </c>
      <c r="X17" s="57" t="s">
        <v>72</v>
      </c>
      <c r="Y17" s="57" t="s">
        <v>72</v>
      </c>
      <c r="Z17" s="57" t="s">
        <v>72</v>
      </c>
      <c r="AA17" s="57" t="s">
        <v>72</v>
      </c>
      <c r="AB17" s="57" t="s">
        <v>96</v>
      </c>
      <c r="AC17" s="57" t="s">
        <v>72</v>
      </c>
      <c r="AD17" s="57" t="s">
        <v>72</v>
      </c>
      <c r="AE17" s="57" t="s">
        <v>72</v>
      </c>
      <c r="AF17" s="57" t="s">
        <v>72</v>
      </c>
      <c r="AG17" s="57" t="s">
        <v>72</v>
      </c>
      <c r="AH17" s="57" t="s">
        <v>87</v>
      </c>
      <c r="AI17" t="str">
        <f>VLOOKUP($Q17,武学奇术!$A:$ZZ,25,FALSE)</f>
        <v>扇</v>
      </c>
      <c r="AJ17" s="41">
        <f>VLOOKUP($Q17,武学奇术!$A:$ZZ,26,FALSE)</f>
        <v>2.76138</v>
      </c>
      <c r="AK17" s="42">
        <f>VLOOKUP($Q17,武学奇术!$A:$ZZ,27,FALSE)*(1+IF(OR($AI17=$F$4,$AI17=$F$5),$B$22,0))</f>
        <v>1069.81</v>
      </c>
      <c r="AL17" s="41">
        <f>VLOOKUP($Q17,武学奇术!$A:$ZZ,28,FALSE)</f>
        <v>4.14207</v>
      </c>
      <c r="AM17" s="42">
        <f>VLOOKUP($Q17,武学奇术!$A:$ZZ,29,FALSE)*(1+IF(OR($AI17=$F$4,$AI17=$F$5),$B$22,0))</f>
        <v>582.61</v>
      </c>
      <c r="AN17" s="41" cm="1">
        <f t="array" ref="AN17">$G$3+IFERROR(VLOOKUP($AI17,$F$4:$G$7,2,FALSE),0)+VLOOKUP($Q17,武学奇术!$A:$ZZ,2,FALSE)+SUM(_xlfn.XLOOKUP($R17:$AH17,增益!$A:$A,增益!$B:$B,0))</f>
        <v>0.2989</v>
      </c>
      <c r="AO17" s="41" cm="1">
        <f t="array" ref="AO17">VLOOKUP($Q17,武学奇术!$A:$ZZ,5,FALSE)+SUM(_xlfn.XLOOKUP($R17:$AH17,增益!$A:$A,增益!$E:$E,0))</f>
        <v>0</v>
      </c>
      <c r="AP17" cm="1">
        <f t="array" ref="AP17">$D$10*(1+$AO17)+VLOOKUP($Q17,武学奇术!$A:$ZZ,3,FALSE)+SUM(_xlfn.XLOOKUP($R17:$AH17,增益!$A:$A,增益!$C:$C,0))-$I$2</f>
        <v>1797.4</v>
      </c>
      <c r="AQ17" cm="1">
        <f t="array" ref="AQ17">$E$10*(1+$AO17)+VLOOKUP($Q17,武学奇术!$A:$ZZ,4,FALSE)+SUM(_xlfn.XLOOKUP($R17:$AH17,增益!$A:$A,增益!$D:$D,0))-$I$2</f>
        <v>5488</v>
      </c>
      <c r="AR17" s="49" cm="1">
        <f t="array" ref="AR17">IF($F$10-$I$3+VLOOKUP($Q17,武学奇术!$A:$ZZ,6,FALSE)+SUM(_xlfn.XLOOKUP(R17:AH17,增益!$A:$A,增益!$F:$F,0))&gt;0,($F$10-$I$3+VLOOKUP($Q17,武学奇术!$A:$ZZ,6,FALSE)+SUM(_xlfn.XLOOKUP(R17:AH17,增益!$A:$A,增益!$F:$F,0)))/200,($F$10-$I$3+VLOOKUP($Q17,武学奇术!$A:$ZZ,6,FALSE)+SUM(_xlfn.XLOOKUP(R17:AH17,增益!$A:$A,增益!$F:$F,0)))/100)</f>
        <v>0.3225</v>
      </c>
      <c r="AS17" s="49" cm="1">
        <f t="array" ref="AS17">$G$10+VLOOKUP($Q17,武学奇术!$A:$ZZ,7,FALSE)+SUM(_xlfn.XLOOKUP(R17:AH17,增益!$A:$A,增益!$G:$G,0))</f>
        <v>0.1</v>
      </c>
      <c r="AT17" s="41" cm="1">
        <f t="array" ref="AT17">VLOOKUP($Q17,武学奇术!$A:$ZZ,8,FALSE)+SUM(_xlfn.XLOOKUP(R17:AH17,增益!$A:$A,增益!$H:$H,0))</f>
        <v>0</v>
      </c>
      <c r="AU17">
        <f t="shared" si="1"/>
        <v>0</v>
      </c>
      <c r="AV17">
        <f t="shared" si="2"/>
        <v>0</v>
      </c>
      <c r="AW17" s="49" cm="1">
        <f t="array" ref="AW17">IF($F$11-$I$4+VLOOKUP($Q17,武学奇术!$A:$ZZ,9,FALSE)+SUM(_xlfn.XLOOKUP(R17:AH17,增益!$A:$A,增益!$I:$I,0))&gt;0,($F$11-$I$4+VLOOKUP($Q17,武学奇术!$A:$ZZ,9,FALSE)+SUM(_xlfn.XLOOKUP(R17:AH17,增益!$A:$A,增益!$I:$I,0)))/200,($F$11-$I$4+VLOOKUP($Q17,武学奇术!$A:$ZZ,9,FALSE)+SUM(_xlfn.XLOOKUP(R17:AH17,增益!$A:$A,增益!$I:$I,0)))/100)</f>
        <v>-0.14</v>
      </c>
      <c r="AX17" s="49" cm="1">
        <f t="array" ref="AX17">$G$11+VLOOKUP($Q17,武学奇术!$A:$ZZ,10,FALSE)+SUM(_xlfn.XLOOKUP(R17:AH17,增益!$A:$A,增益!$J:$J,0))</f>
        <v>0</v>
      </c>
      <c r="AY17">
        <f t="shared" si="3"/>
        <v>0</v>
      </c>
      <c r="AZ17">
        <f t="shared" si="4"/>
        <v>0</v>
      </c>
      <c r="BA17" s="49" cm="1">
        <f t="array" ref="BA17">IF($F$12-$I$4+VLOOKUP($Q17,武学奇术!$A:$ZZ,11,FALSE)+SUM(_xlfn.XLOOKUP(R17:AH17,增益!$A:$A,增益!$K:$K,0))&gt;0,($F$12-$I$4+VLOOKUP($Q17,武学奇术!$A:$ZZ,11,FALSE)+SUM(_xlfn.XLOOKUP(R17:AH17,增益!$A:$A,增益!$K:$K,0)))/200,($F$12-$I$4+VLOOKUP($Q17,武学奇术!$A:$ZZ,11,FALSE)+SUM(_xlfn.XLOOKUP(R17:AH17,增益!$A:$A,增益!$K:$K,0)))/100)</f>
        <v>-0.14</v>
      </c>
      <c r="BB17" s="49" cm="1">
        <f t="array" ref="BB17">$G$12+VLOOKUP($Q17,武学奇术!$A:$ZZ,12,FALSE)+SUM(_xlfn.XLOOKUP(R17:AH17,增益!$A:$A,增益!$L:$L,0))</f>
        <v>0</v>
      </c>
      <c r="BC17">
        <f t="shared" si="5"/>
        <v>571.2</v>
      </c>
      <c r="BD17">
        <f t="shared" si="6"/>
        <v>1077.4</v>
      </c>
      <c r="BE17" s="49" cm="1">
        <f t="array" ref="BE17">IF($F$13-$I$4+VLOOKUP($Q17,武学奇术!$A:$ZZ,13,FALSE)+SUM(_xlfn.XLOOKUP(R17:AH17,增益!$A:$A,增益!$M:$M,0))&gt;0,($F$13-$I$4+VLOOKUP($Q17,武学奇术!$A:$ZZ,13,FALSE)+SUM(_xlfn.XLOOKUP(R17:AH17,增益!$A:$A,增益!$K:$K,0)))/200,($F$13-$I$4+VLOOKUP($Q17,武学奇术!$A:$ZZ,13,FALSE)+SUM(_xlfn.XLOOKUP(R17:AH17,增益!$A:$A,增益!$M:$M,0)))/100)</f>
        <v>0.08</v>
      </c>
      <c r="BF17" s="49" cm="1">
        <f t="array" ref="BF17">$G$13+VLOOKUP($Q17,武学奇术!$A:$ZZ,14,FALSE)+SUM(_xlfn.XLOOKUP(R17:AH17,增益!$A:$A,增益!$N:$N,0))</f>
        <v>0.25</v>
      </c>
      <c r="BG17">
        <f t="shared" si="7"/>
        <v>0</v>
      </c>
      <c r="BH17">
        <f t="shared" si="8"/>
        <v>0</v>
      </c>
      <c r="BI17" s="49" cm="1">
        <f t="array" ref="BI17">IF($F$14-$I$4+VLOOKUP($Q17,武学奇术!$A:$ZZ,15,FALSE)+SUM(_xlfn.XLOOKUP(R17:AH17,增益!$A:$A,增益!$O:$O,0))&gt;0,($F$14-$I$4+VLOOKUP($Q17,武学奇术!$A:$ZZ,15,FALSE)+SUM(_xlfn.XLOOKUP(R17:AH17,增益!$A:$A,增益!$O:$O,0)))/200,($F$14-$I$4+VLOOKUP($Q17,武学奇术!$A:$ZZ,15,FALSE)+SUM(_xlfn.XLOOKUP(R17:AH17,增益!$A:$A,增益!$O:$O,0)))/100)</f>
        <v>-0.14</v>
      </c>
      <c r="BJ17" s="49" cm="1">
        <f t="array" ref="BJ17">$G$14+VLOOKUP($Q17,武学奇术!$A:$ZZ,16,FALSE)+SUM(_xlfn.XLOOKUP(R17:AH17,增益!$A:$A,增益!$P:$P,0))</f>
        <v>0</v>
      </c>
      <c r="BK17" s="41">
        <f>MIN(IF(VLOOKUP($Q17,武学奇术!$A:$ZZ,23,FALSE)=1,100%,$B$8),100%)</f>
        <v>1</v>
      </c>
      <c r="BL17" s="41" cm="1">
        <f t="array" ref="BL17">IF(VLOOKUP($Q17,武学奇术!$A:$ZZ,23,FALSE)=1,100%,MIN(80%,$B$9+VLOOKUP($Q17,武学奇术!$A:$ZZ,17,FALSE)+SUM(_xlfn.XLOOKUP(R17:AH17,增益!$A:$A,增益!$Q:$Q,0)))+$B$11+SUM(_xlfn.XLOOKUP(R17:AH17,增益!$A:$A,增益!$U:$U,0)))*IF(VLOOKUP($Q17,武学奇术!$A:$ZZ,24,FALSE)=1,0,1)</f>
        <v>0.9045</v>
      </c>
      <c r="BM17" s="41" cm="1">
        <f t="array" ref="BM17">1+$B$13+VLOOKUP($Q17,武学奇术!$A:$ZZ,18,FALSE)+SUM(_xlfn.XLOOKUP(R17:AH17,增益!$A:$A,增益!$R:$R,0))</f>
        <v>1.52</v>
      </c>
      <c r="BN17" s="41" cm="1">
        <f t="array" ref="BN17">IF(VLOOKUP($Q17,武学奇术!$A:$ZZ,24,FALSE)=1,100%,MIN(40%,$B$10+VLOOKUP($Q17,武学奇术!$A:$ZZ,19,FALSE)+SUM(_xlfn.XLOOKUP(R17:AH17,增益!$A:$A,增益!$S:$S,0)))+$B$12+SUM(_xlfn.XLOOKUP(R17:AH17,增益!$A:$A,增益!$V:$V,0)))*IF(VLOOKUP($Q17,武学奇术!$A:$ZZ,23,FALSE)=1,0,1)</f>
        <v>0.0929</v>
      </c>
      <c r="BO17" s="41" cm="1">
        <f t="array" ref="BO17">1+$B$14+VLOOKUP($Q17,武学奇术!$A:$ZZ,20,FALSE)+SUM(_xlfn.XLOOKUP(R17:AH17,增益!$A:$A,增益!$T:$T,0))</f>
        <v>1.35</v>
      </c>
      <c r="BP17" s="41">
        <f t="shared" si="9"/>
        <v>0.9045</v>
      </c>
      <c r="BQ17" s="41">
        <f t="shared" si="10"/>
        <v>0.00260000000000005</v>
      </c>
      <c r="BR17" s="41">
        <f>IF(VLOOKUP($Q17,武学奇术!$A:$ZZ,22,FALSE)=1,0,(1-$BK17))*(1-$BN17)</f>
        <v>0</v>
      </c>
      <c r="BS17" s="41" cm="1">
        <f t="array" ref="BS17">SUM(_xlfn.XLOOKUP(R17:AH17,增益!$A:$A,增益!$W:$W,0))+$I$5</f>
        <v>0.11</v>
      </c>
    </row>
    <row r="18" spans="1:71">
      <c r="A18" s="58" t="s">
        <v>127</v>
      </c>
      <c r="B18" s="87">
        <v>0</v>
      </c>
      <c r="C18" s="56" t="s">
        <v>128</v>
      </c>
      <c r="D18" s="96" t="s">
        <v>119</v>
      </c>
      <c r="K18" s="55">
        <f t="shared" si="0"/>
        <v>175947.436379767</v>
      </c>
      <c r="L18" s="55">
        <f>((($AP18+$AQ18)/2*$AJ18+$AK18)*(1+$AR18)*(1+$AS18)+(($AU18+$AV18)/2*IF($G$1="鸣金",$AL18,$AJ18)+IF($G$1="鸣金",$AM18*1.5,0))*(1+$AW18)*(1+$AX18)+(($AY18+$AZ18)/2*IF($G$1="裂石",$AL18,$AJ18)+IF($G$1="裂石",$AM18*1.5,0))*(1+$BA18)*(1+$BB18)+(($BC18+$BD18)/2*IF($G$1="牵丝",$AL18,$AJ18)+IF($G$1="牵丝",$AM18*1.5,0))*(1+$BE18)*(1+$BF18)+(($BG18+$BH18)/2*IF($G$1="破竹",$AL18,$AJ18)+IF($G$1="破竹",$AM18*1.5,0))*(1+$BI18)*(1+$BJ18))*(1+$AN18)*$BM18*$P18*(1+IF(VLOOKUP($Q18,武学奇术!$A:$ZZ,30,FALSE)="弹道",$B$21,0))*(1+$BS18)</f>
        <v>174603.337589654</v>
      </c>
      <c r="M18" s="55">
        <f>(($AQ18*$AJ18+$AK18)*(1+$AR18)*(1+$AS18)+($AV18*IF($G$1="鸣金",$AL18,$AJ18)+IF($G$1="鸣金",$AM18*1.5,0))*(1+$AW18)*(1+$AX18)+($AZ18*IF($G$1="裂石",$AL18,$AJ18)+IF($G$1="裂石",$AM18*1.5,0))*(1+$BA18)*(1+$BB18)+($BD18*IF($G$1="牵丝",$AL18,$AJ18)+IF($G$1="牵丝",$AM18*1.5,0))*(1+$BE18)*(1+$BF18)+($BH18*IF($G$1="破竹",$AL18,$AJ18)+IF($G$1="破竹",$AM18*1.5,0))*(1+$BI18)*(1+$BJ18))*(1+$AN18)*$BO18*$P18*(1+IF(VLOOKUP($Q18,武学奇术!$A:$ZZ,30,FALSE)="弹道",$B$21,0))*(1+$BS18)</f>
        <v>191212.905779643</v>
      </c>
      <c r="N18" s="55">
        <f>((($AP18+$AQ18)/2*$AJ18+$AK18)*(1+$AR18)*(1+$AS18)+(($AU18+$AV18)/2*IF($G$1="鸣金",$AL18,$AJ18)+IF($G$1="鸣金",$AM18*1.5,0))*(1+$AW18)*(1+$AX18)+(($AY18+$AZ18)/2*IF($G$1="裂石",$AL18,$AJ18)+IF($G$1="裂石",$AM18*1.5,0))*(1+$BA18)*(1+$BB18)+(($BC18+$BD18)/2*IF($G$1="牵丝",$AL18,$AJ18)+IF($G$1="牵丝",$AM18*1.5,0))*(1+$BE18)*(1+$BF18)+(($BG18+$BH18)/2*IF($G$1="破竹",$AL18,$AJ18)+IF($G$1="破竹",$AM18*1.5,0))*(1+$BI18)*(1+$BJ18))*(1+$AN18)*$P18*(1+IF(VLOOKUP($Q18,武学奇术!$A:$ZZ,30,FALSE)="弹道",$B$21,0))*(1+$BS18)</f>
        <v>98091.7626908167</v>
      </c>
      <c r="O18" s="55">
        <f>((($AP18*$AJ18+$AK18)*(1+$AR18)*(1+$AS18)+($AU18*IF($G$1="鸣金",$AL18,$AJ18)+IF($G$1="鸣金",$AM18*1.5,0))*(1+$AW18)*(1+$AX18)+($AY18*IF($G$1="裂石",$AL18,$AJ18)+IF($G$1="裂石",$AM18*1.5,0))*(1+$BA18)*(1+$BB18)+($BC18*IF($G$1="牵丝",$AL18,$AJ18)+IF($G$1="牵丝",$AM18*1.5,0))*(1+$BE18)*(1+$BF18)+($BG18*IF($G$1="破竹",$AL18,$AJ18)+IF($G$1="破竹",$AM18*1.5,0))*(1+$BI18)*(1+$BJ18))*(1+$AN18))*$P18*(1+IF(VLOOKUP($Q18,武学奇术!$A:$ZZ,30,FALSE)="弹道",$B$21,0))*(1+$BS18)</f>
        <v>54544.3359152315</v>
      </c>
      <c r="P18" s="56">
        <v>1</v>
      </c>
      <c r="Q18" s="57" t="s">
        <v>129</v>
      </c>
      <c r="R18" s="57" t="s">
        <v>110</v>
      </c>
      <c r="S18" s="57" t="s">
        <v>111</v>
      </c>
      <c r="T18" s="57" t="s">
        <v>72</v>
      </c>
      <c r="U18" s="57" t="s">
        <v>107</v>
      </c>
      <c r="V18" s="57" t="s">
        <v>72</v>
      </c>
      <c r="W18" s="57" t="s">
        <v>72</v>
      </c>
      <c r="X18" s="57" t="s">
        <v>72</v>
      </c>
      <c r="Y18" s="57" t="s">
        <v>112</v>
      </c>
      <c r="Z18" s="57" t="s">
        <v>113</v>
      </c>
      <c r="AA18" s="57" t="s">
        <v>72</v>
      </c>
      <c r="AB18" s="57" t="s">
        <v>96</v>
      </c>
      <c r="AC18" s="57" t="s">
        <v>72</v>
      </c>
      <c r="AD18" s="57" t="s">
        <v>72</v>
      </c>
      <c r="AE18" s="57" t="s">
        <v>72</v>
      </c>
      <c r="AF18" s="57" t="s">
        <v>72</v>
      </c>
      <c r="AG18" s="57" t="s">
        <v>72</v>
      </c>
      <c r="AH18" s="57" t="s">
        <v>87</v>
      </c>
      <c r="AI18" t="str">
        <f>VLOOKUP($Q18,武学奇术!$A:$ZZ,25,FALSE)</f>
        <v>单体奇术</v>
      </c>
      <c r="AJ18" s="41">
        <f>VLOOKUP($Q18,武学奇术!$A:$ZZ,26,FALSE)</f>
        <v>7.1074</v>
      </c>
      <c r="AK18" s="42">
        <f>VLOOKUP($Q18,武学奇术!$A:$ZZ,27,FALSE)*(1+IF(OR($AI18=$F$4,$AI18=$F$5),$B$22,0))</f>
        <v>1320</v>
      </c>
      <c r="AL18" s="41">
        <f>VLOOKUP($Q18,武学奇术!$A:$ZZ,28,FALSE)</f>
        <v>10.6596</v>
      </c>
      <c r="AM18" s="42">
        <f>VLOOKUP($Q18,武学奇术!$A:$ZZ,29,FALSE)*(1+IF(OR($AI18=$F$4,$AI18=$F$5),$B$22,0))</f>
        <v>0</v>
      </c>
      <c r="AN18" s="41" cm="1">
        <f t="array" ref="AN18">$G$3+IFERROR(VLOOKUP($AI18,$F$4:$G$7,2,FALSE),0)+VLOOKUP($Q18,武学奇术!$A:$ZZ,2,FALSE)+SUM(_xlfn.XLOOKUP($R18:$AH18,增益!$A:$A,增益!$B:$B,0))</f>
        <v>0.6415</v>
      </c>
      <c r="AO18" s="41" cm="1">
        <f t="array" ref="AO18">VLOOKUP($Q18,武学奇术!$A:$ZZ,5,FALSE)+SUM(_xlfn.XLOOKUP($R18:$AH18,增益!$A:$A,增益!$E:$E,0))</f>
        <v>0.075</v>
      </c>
      <c r="AP18" cm="1">
        <f t="array" ref="AP18">$D$10*(1+$AO18)+VLOOKUP($Q18,武学奇术!$A:$ZZ,3,FALSE)+SUM(_xlfn.XLOOKUP($R18:$AH18,增益!$A:$A,增益!$C:$C,0))-$I$2</f>
        <v>1974.055</v>
      </c>
      <c r="AQ18" cm="1">
        <f t="array" ref="AQ18">$E$10*(1+$AO18)+VLOOKUP($Q18,武学奇术!$A:$ZZ,4,FALSE)+SUM(_xlfn.XLOOKUP($R18:$AH18,增益!$A:$A,增益!$D:$D,0))-$I$2</f>
        <v>5941.45</v>
      </c>
      <c r="AR18" s="49" cm="1">
        <f t="array" ref="AR18">IF($F$10-$I$3+VLOOKUP($Q18,武学奇术!$A:$ZZ,6,FALSE)+SUM(_xlfn.XLOOKUP(R18:AH18,增益!$A:$A,增益!$F:$F,0))&gt;0,($F$10-$I$3+VLOOKUP($Q18,武学奇术!$A:$ZZ,6,FALSE)+SUM(_xlfn.XLOOKUP(R18:AH18,增益!$A:$A,增益!$F:$F,0)))/200,($F$10-$I$3+VLOOKUP($Q18,武学奇术!$A:$ZZ,6,FALSE)+SUM(_xlfn.XLOOKUP(R18:AH18,增益!$A:$A,增益!$F:$F,0)))/100)</f>
        <v>0.4575</v>
      </c>
      <c r="AS18" s="49" cm="1">
        <f t="array" ref="AS18">$G$10+VLOOKUP($Q18,武学奇术!$A:$ZZ,7,FALSE)+SUM(_xlfn.XLOOKUP(R18:AH18,增益!$A:$A,增益!$G:$G,0))</f>
        <v>0</v>
      </c>
      <c r="AT18" s="41" cm="1">
        <f t="array" ref="AT18">VLOOKUP($Q18,武学奇术!$A:$ZZ,8,FALSE)+SUM(_xlfn.XLOOKUP(R18:AH18,增益!$A:$A,增益!$H:$H,0))</f>
        <v>0</v>
      </c>
      <c r="AU18">
        <f t="shared" si="1"/>
        <v>0</v>
      </c>
      <c r="AV18">
        <f t="shared" si="2"/>
        <v>0</v>
      </c>
      <c r="AW18" s="49" cm="1">
        <f t="array" ref="AW18">IF($F$11-$I$4+VLOOKUP($Q18,武学奇术!$A:$ZZ,9,FALSE)+SUM(_xlfn.XLOOKUP(R18:AH18,增益!$A:$A,增益!$I:$I,0))&gt;0,($F$11-$I$4+VLOOKUP($Q18,武学奇术!$A:$ZZ,9,FALSE)+SUM(_xlfn.XLOOKUP(R18:AH18,增益!$A:$A,增益!$I:$I,0)))/200,($F$11-$I$4+VLOOKUP($Q18,武学奇术!$A:$ZZ,9,FALSE)+SUM(_xlfn.XLOOKUP(R18:AH18,增益!$A:$A,增益!$I:$I,0)))/100)</f>
        <v>-0.14</v>
      </c>
      <c r="AX18" s="49" cm="1">
        <f t="array" ref="AX18">$G$11+VLOOKUP($Q18,武学奇术!$A:$ZZ,10,FALSE)+SUM(_xlfn.XLOOKUP(R18:AH18,增益!$A:$A,增益!$J:$J,0))</f>
        <v>0</v>
      </c>
      <c r="AY18">
        <f t="shared" si="3"/>
        <v>0</v>
      </c>
      <c r="AZ18">
        <f t="shared" si="4"/>
        <v>0</v>
      </c>
      <c r="BA18" s="49" cm="1">
        <f t="array" ref="BA18">IF($F$12-$I$4+VLOOKUP($Q18,武学奇术!$A:$ZZ,11,FALSE)+SUM(_xlfn.XLOOKUP(R18:AH18,增益!$A:$A,增益!$K:$K,0))&gt;0,($F$12-$I$4+VLOOKUP($Q18,武学奇术!$A:$ZZ,11,FALSE)+SUM(_xlfn.XLOOKUP(R18:AH18,增益!$A:$A,增益!$K:$K,0)))/200,($F$12-$I$4+VLOOKUP($Q18,武学奇术!$A:$ZZ,11,FALSE)+SUM(_xlfn.XLOOKUP(R18:AH18,增益!$A:$A,增益!$K:$K,0)))/100)</f>
        <v>-0.14</v>
      </c>
      <c r="BB18" s="49" cm="1">
        <f t="array" ref="BB18">$G$12+VLOOKUP($Q18,武学奇术!$A:$ZZ,12,FALSE)+SUM(_xlfn.XLOOKUP(R18:AH18,增益!$A:$A,增益!$L:$L,0))</f>
        <v>0</v>
      </c>
      <c r="BC18">
        <f t="shared" si="5"/>
        <v>571.2</v>
      </c>
      <c r="BD18">
        <f t="shared" si="6"/>
        <v>1077.4</v>
      </c>
      <c r="BE18" s="49" cm="1">
        <f t="array" ref="BE18">IF($F$13-$I$4+VLOOKUP($Q18,武学奇术!$A:$ZZ,13,FALSE)+SUM(_xlfn.XLOOKUP(R18:AH18,增益!$A:$A,增益!$M:$M,0))&gt;0,($F$13-$I$4+VLOOKUP($Q18,武学奇术!$A:$ZZ,13,FALSE)+SUM(_xlfn.XLOOKUP(R18:AH18,增益!$A:$A,增益!$K:$K,0)))/200,($F$13-$I$4+VLOOKUP($Q18,武学奇术!$A:$ZZ,13,FALSE)+SUM(_xlfn.XLOOKUP(R18:AH18,增益!$A:$A,增益!$M:$M,0)))/100)</f>
        <v>0.08</v>
      </c>
      <c r="BF18" s="49" cm="1">
        <f t="array" ref="BF18">$G$13+VLOOKUP($Q18,武学奇术!$A:$ZZ,14,FALSE)+SUM(_xlfn.XLOOKUP(R18:AH18,增益!$A:$A,增益!$N:$N,0))</f>
        <v>0.15</v>
      </c>
      <c r="BG18">
        <f t="shared" si="7"/>
        <v>0</v>
      </c>
      <c r="BH18">
        <f t="shared" si="8"/>
        <v>0</v>
      </c>
      <c r="BI18" s="49" cm="1">
        <f t="array" ref="BI18">IF($F$14-$I$4+VLOOKUP($Q18,武学奇术!$A:$ZZ,15,FALSE)+SUM(_xlfn.XLOOKUP(R18:AH18,增益!$A:$A,增益!$O:$O,0))&gt;0,($F$14-$I$4+VLOOKUP($Q18,武学奇术!$A:$ZZ,15,FALSE)+SUM(_xlfn.XLOOKUP(R18:AH18,增益!$A:$A,增益!$O:$O,0)))/200,($F$14-$I$4+VLOOKUP($Q18,武学奇术!$A:$ZZ,15,FALSE)+SUM(_xlfn.XLOOKUP(R18:AH18,增益!$A:$A,增益!$O:$O,0)))/100)</f>
        <v>-0.14</v>
      </c>
      <c r="BJ18" s="49" cm="1">
        <f t="array" ref="BJ18">$G$14+VLOOKUP($Q18,武学奇术!$A:$ZZ,16,FALSE)+SUM(_xlfn.XLOOKUP(R18:AH18,增益!$A:$A,增益!$P:$P,0))</f>
        <v>0</v>
      </c>
      <c r="BK18" s="41">
        <f>MIN(IF(VLOOKUP($Q18,武学奇术!$A:$ZZ,23,FALSE)=1,100%,$B$8),100%)</f>
        <v>1</v>
      </c>
      <c r="BL18" s="41" cm="1">
        <f t="array" ref="BL18">IF(VLOOKUP($Q18,武学奇术!$A:$ZZ,23,FALSE)=1,100%,MIN(80%,$B$9+VLOOKUP($Q18,武学奇术!$A:$ZZ,17,FALSE)+SUM(_xlfn.XLOOKUP(R18:AH18,增益!$A:$A,增益!$Q:$Q,0)))+$B$11+SUM(_xlfn.XLOOKUP(R18:AH18,增益!$A:$A,增益!$U:$U,0)))*IF(VLOOKUP($Q18,武学奇术!$A:$ZZ,24,FALSE)=1,0,1)</f>
        <v>0.9045</v>
      </c>
      <c r="BM18" s="41" cm="1">
        <f t="array" ref="BM18">1+$B$13+VLOOKUP($Q18,武学奇术!$A:$ZZ,18,FALSE)+SUM(_xlfn.XLOOKUP(R18:AH18,增益!$A:$A,增益!$R:$R,0))</f>
        <v>1.78</v>
      </c>
      <c r="BN18" s="41" cm="1">
        <f t="array" ref="BN18">IF(VLOOKUP($Q18,武学奇术!$A:$ZZ,24,FALSE)=1,100%,MIN(40%,$B$10+VLOOKUP($Q18,武学奇术!$A:$ZZ,19,FALSE)+SUM(_xlfn.XLOOKUP(R18:AH18,增益!$A:$A,增益!$S:$S,0)))+$B$12+SUM(_xlfn.XLOOKUP(R18:AH18,增益!$A:$A,增益!$V:$V,0)))*IF(VLOOKUP($Q18,武学奇术!$A:$ZZ,23,FALSE)=1,0,1)</f>
        <v>0.0929</v>
      </c>
      <c r="BO18" s="41" cm="1">
        <f t="array" ref="BO18">1+$B$14+VLOOKUP($Q18,武学奇术!$A:$ZZ,20,FALSE)+SUM(_xlfn.XLOOKUP(R18:AH18,增益!$A:$A,增益!$T:$T,0))</f>
        <v>1.35</v>
      </c>
      <c r="BP18" s="41">
        <f t="shared" si="9"/>
        <v>0.9045</v>
      </c>
      <c r="BQ18" s="41">
        <f t="shared" si="10"/>
        <v>0.00260000000000005</v>
      </c>
      <c r="BR18" s="41">
        <f>IF(VLOOKUP($Q18,武学奇术!$A:$ZZ,22,FALSE)=1,0,(1-$BK18))*(1-$BN18)</f>
        <v>0</v>
      </c>
      <c r="BS18" s="41" cm="1">
        <f t="array" ref="BS18">SUM(_xlfn.XLOOKUP(R18:AH18,增益!$A:$A,增益!$W:$W,0))+$I$5</f>
        <v>0.11</v>
      </c>
    </row>
    <row r="19" spans="1:71">
      <c r="A19" s="58" t="s">
        <v>130</v>
      </c>
      <c r="B19" s="87">
        <v>0.2678</v>
      </c>
      <c r="C19" s="56" t="s">
        <v>131</v>
      </c>
      <c r="D19" s="96" t="s">
        <v>119</v>
      </c>
      <c r="K19" s="55">
        <f t="shared" si="0"/>
        <v>92387.1185600535</v>
      </c>
      <c r="L19" s="55">
        <f>((($AP19+$AQ19)/2*$AJ19+$AK19)*(1+$AR19)*(1+$AS19)+(($AU19+$AV19)/2*IF($G$1="鸣金",$AL19,$AJ19)+IF($G$1="鸣金",$AM19*1.5,0))*(1+$AW19)*(1+$AX19)+(($AY19+$AZ19)/2*IF($G$1="裂石",$AL19,$AJ19)+IF($G$1="裂石",$AM19*1.5,0))*(1+$BA19)*(1+$BB19)+(($BC19+$BD19)/2*IF($G$1="牵丝",$AL19,$AJ19)+IF($G$1="牵丝",$AM19*1.5,0))*(1+$BE19)*(1+$BF19)+(($BG19+$BH19)/2*IF($G$1="破竹",$AL19,$AJ19)+IF($G$1="破竹",$AM19*1.5,0))*(1+$BI19)*(1+$BJ19))*(1+$AN19)*$BM19*$P19*(1+IF(VLOOKUP($Q19,武学奇术!$A:$ZZ,30,FALSE)="弹道",$B$21,0))*(1+$BS19)</f>
        <v>91915.7370615299</v>
      </c>
      <c r="M19" s="55">
        <f>(($AQ19*$AJ19+$AK19)*(1+$AR19)*(1+$AS19)+($AV19*IF($G$1="鸣金",$AL19,$AJ19)+IF($G$1="鸣金",$AM19*1.5,0))*(1+$AW19)*(1+$AX19)+($AZ19*IF($G$1="裂石",$AL19,$AJ19)+IF($G$1="裂石",$AM19*1.5,0))*(1+$BA19)*(1+$BB19)+($BD19*IF($G$1="牵丝",$AL19,$AJ19)+IF($G$1="牵丝",$AM19*1.5,0))*(1+$BE19)*(1+$BF19)+($BH19*IF($G$1="破竹",$AL19,$AJ19)+IF($G$1="破竹",$AM19*1.5,0))*(1+$BI19)*(1+$BJ19))*(1+$AN19)*$BO19*$P19*(1+IF(VLOOKUP($Q19,武学奇术!$A:$ZZ,30,FALSE)="弹道",$B$21,0))*(1+$BS19)</f>
        <v>98117.0661584973</v>
      </c>
      <c r="N19" s="55">
        <f>((($AP19+$AQ19)/2*$AJ19+$AK19)*(1+$AR19)*(1+$AS19)+(($AU19+$AV19)/2*IF($G$1="鸣金",$AL19,$AJ19)+IF($G$1="鸣金",$AM19*1.5,0))*(1+$AW19)*(1+$AX19)+(($AY19+$AZ19)/2*IF($G$1="裂石",$AL19,$AJ19)+IF($G$1="裂石",$AM19*1.5,0))*(1+$BA19)*(1+$BB19)+(($BC19+$BD19)/2*IF($G$1="牵丝",$AL19,$AJ19)+IF($G$1="牵丝",$AM19*1.5,0))*(1+$BE19)*(1+$BF19)+(($BG19+$BH19)/2*IF($G$1="破竹",$AL19,$AJ19)+IF($G$1="破竹",$AM19*1.5,0))*(1+$BI19)*(1+$BJ19))*(1+$AN19)*$P19*(1+IF(VLOOKUP($Q19,武学奇术!$A:$ZZ,30,FALSE)="弹道",$B$21,0))*(1+$BS19)</f>
        <v>51638.0545289494</v>
      </c>
      <c r="O19" s="55">
        <f>((($AP19*$AJ19+$AK19)*(1+$AR19)*(1+$AS19)+($AU19*IF($G$1="鸣金",$AL19,$AJ19)+IF($G$1="鸣金",$AM19*1.5,0))*(1+$AW19)*(1+$AX19)+($AY19*IF($G$1="裂石",$AL19,$AJ19)+IF($G$1="裂石",$AM19*1.5,0))*(1+$BA19)*(1+$BB19)+($BC19*IF($G$1="牵丝",$AL19,$AJ19)+IF($G$1="牵丝",$AM19*1.5,0))*(1+$BE19)*(1+$BF19)+($BG19*IF($G$1="破竹",$AL19,$AJ19)+IF($G$1="破竹",$AM19*1.5,0))*(1+$BI19)*(1+$BJ19))*(1+$AN19))*$P19*(1+IF(VLOOKUP($Q19,武学奇术!$A:$ZZ,30,FALSE)="弹道",$B$21,0))*(1+$BS19)</f>
        <v>30596.8007923452</v>
      </c>
      <c r="P19" s="56">
        <v>1</v>
      </c>
      <c r="Q19" s="57" t="s">
        <v>126</v>
      </c>
      <c r="R19" s="57" t="s">
        <v>110</v>
      </c>
      <c r="S19" s="57" t="s">
        <v>111</v>
      </c>
      <c r="T19" s="57" t="s">
        <v>72</v>
      </c>
      <c r="U19" s="57" t="s">
        <v>107</v>
      </c>
      <c r="V19" s="57" t="s">
        <v>86</v>
      </c>
      <c r="W19" s="57" t="s">
        <v>72</v>
      </c>
      <c r="X19" s="57" t="s">
        <v>72</v>
      </c>
      <c r="Y19" s="57" t="s">
        <v>112</v>
      </c>
      <c r="Z19" s="57" t="s">
        <v>113</v>
      </c>
      <c r="AA19" s="57" t="s">
        <v>72</v>
      </c>
      <c r="AB19" s="57" t="s">
        <v>96</v>
      </c>
      <c r="AC19" s="57" t="s">
        <v>72</v>
      </c>
      <c r="AD19" s="57" t="s">
        <v>72</v>
      </c>
      <c r="AE19" s="57" t="s">
        <v>72</v>
      </c>
      <c r="AF19" s="57" t="s">
        <v>72</v>
      </c>
      <c r="AG19" s="57" t="s">
        <v>72</v>
      </c>
      <c r="AH19" s="57" t="s">
        <v>87</v>
      </c>
      <c r="AI19" t="str">
        <f>VLOOKUP($Q19,武学奇术!$A:$ZZ,25,FALSE)</f>
        <v>扇</v>
      </c>
      <c r="AJ19" s="41">
        <f>VLOOKUP($Q19,武学奇术!$A:$ZZ,26,FALSE)</f>
        <v>2.76138</v>
      </c>
      <c r="AK19" s="42">
        <f>VLOOKUP($Q19,武学奇术!$A:$ZZ,27,FALSE)*(1+IF(OR($AI19=$F$4,$AI19=$F$5),$B$22,0))</f>
        <v>1069.81</v>
      </c>
      <c r="AL19" s="41">
        <f>VLOOKUP($Q19,武学奇术!$A:$ZZ,28,FALSE)</f>
        <v>4.14207</v>
      </c>
      <c r="AM19" s="42">
        <f>VLOOKUP($Q19,武学奇术!$A:$ZZ,29,FALSE)*(1+IF(OR($AI19=$F$4,$AI19=$F$5),$B$22,0))</f>
        <v>582.61</v>
      </c>
      <c r="AN19" s="41" cm="1">
        <f t="array" ref="AN19">$G$3+IFERROR(VLOOKUP($AI19,$F$4:$G$7,2,FALSE),0)+VLOOKUP($Q19,武学奇术!$A:$ZZ,2,FALSE)+SUM(_xlfn.XLOOKUP($R19:$AH19,增益!$A:$A,增益!$B:$B,0))</f>
        <v>0.8589</v>
      </c>
      <c r="AO19" s="41" cm="1">
        <f t="array" ref="AO19">VLOOKUP($Q19,武学奇术!$A:$ZZ,5,FALSE)+SUM(_xlfn.XLOOKUP($R19:$AH19,增益!$A:$A,增益!$E:$E,0))</f>
        <v>0.075</v>
      </c>
      <c r="AP19" cm="1">
        <f t="array" ref="AP19">$D$10*(1+$AO19)+VLOOKUP($Q19,武学奇术!$A:$ZZ,3,FALSE)+SUM(_xlfn.XLOOKUP($R19:$AH19,增益!$A:$A,增益!$C:$C,0))-$I$2</f>
        <v>1974.055</v>
      </c>
      <c r="AQ19" cm="1">
        <f t="array" ref="AQ19">$E$10*(1+$AO19)+VLOOKUP($Q19,武学奇术!$A:$ZZ,4,FALSE)+SUM(_xlfn.XLOOKUP($R19:$AH19,增益!$A:$A,增益!$D:$D,0))-$I$2</f>
        <v>5941.45</v>
      </c>
      <c r="AR19" s="49" cm="1">
        <f t="array" ref="AR19">IF($F$10-$I$3+VLOOKUP($Q19,武学奇术!$A:$ZZ,6,FALSE)+SUM(_xlfn.XLOOKUP(R19:AH19,增益!$A:$A,增益!$F:$F,0))&gt;0,($F$10-$I$3+VLOOKUP($Q19,武学奇术!$A:$ZZ,6,FALSE)+SUM(_xlfn.XLOOKUP(R19:AH19,增益!$A:$A,增益!$F:$F,0)))/200,($F$10-$I$3+VLOOKUP($Q19,武学奇术!$A:$ZZ,6,FALSE)+SUM(_xlfn.XLOOKUP(R19:AH19,增益!$A:$A,增益!$F:$F,0)))/100)</f>
        <v>0.4575</v>
      </c>
      <c r="AS19" s="49" cm="1">
        <f t="array" ref="AS19">$G$10+VLOOKUP($Q19,武学奇术!$A:$ZZ,7,FALSE)+SUM(_xlfn.XLOOKUP(R19:AH19,增益!$A:$A,增益!$G:$G,0))</f>
        <v>0.1</v>
      </c>
      <c r="AT19" s="41" cm="1">
        <f t="array" ref="AT19">VLOOKUP($Q19,武学奇术!$A:$ZZ,8,FALSE)+SUM(_xlfn.XLOOKUP(R19:AH19,增益!$A:$A,增益!$H:$H,0))</f>
        <v>0</v>
      </c>
      <c r="AU19">
        <f t="shared" si="1"/>
        <v>0</v>
      </c>
      <c r="AV19">
        <f t="shared" si="2"/>
        <v>0</v>
      </c>
      <c r="AW19" s="49" cm="1">
        <f t="array" ref="AW19">IF($F$11-$I$4+VLOOKUP($Q19,武学奇术!$A:$ZZ,9,FALSE)+SUM(_xlfn.XLOOKUP(R19:AH19,增益!$A:$A,增益!$I:$I,0))&gt;0,($F$11-$I$4+VLOOKUP($Q19,武学奇术!$A:$ZZ,9,FALSE)+SUM(_xlfn.XLOOKUP(R19:AH19,增益!$A:$A,增益!$I:$I,0)))/200,($F$11-$I$4+VLOOKUP($Q19,武学奇术!$A:$ZZ,9,FALSE)+SUM(_xlfn.XLOOKUP(R19:AH19,增益!$A:$A,增益!$I:$I,0)))/100)</f>
        <v>-0.14</v>
      </c>
      <c r="AX19" s="49" cm="1">
        <f t="array" ref="AX19">$G$11+VLOOKUP($Q19,武学奇术!$A:$ZZ,10,FALSE)+SUM(_xlfn.XLOOKUP(R19:AH19,增益!$A:$A,增益!$J:$J,0))</f>
        <v>0</v>
      </c>
      <c r="AY19">
        <f t="shared" si="3"/>
        <v>0</v>
      </c>
      <c r="AZ19">
        <f t="shared" si="4"/>
        <v>0</v>
      </c>
      <c r="BA19" s="49" cm="1">
        <f t="array" ref="BA19">IF($F$12-$I$4+VLOOKUP($Q19,武学奇术!$A:$ZZ,11,FALSE)+SUM(_xlfn.XLOOKUP(R19:AH19,增益!$A:$A,增益!$K:$K,0))&gt;0,($F$12-$I$4+VLOOKUP($Q19,武学奇术!$A:$ZZ,11,FALSE)+SUM(_xlfn.XLOOKUP(R19:AH19,增益!$A:$A,增益!$K:$K,0)))/200,($F$12-$I$4+VLOOKUP($Q19,武学奇术!$A:$ZZ,11,FALSE)+SUM(_xlfn.XLOOKUP(R19:AH19,增益!$A:$A,增益!$K:$K,0)))/100)</f>
        <v>-0.14</v>
      </c>
      <c r="BB19" s="49" cm="1">
        <f t="array" ref="BB19">$G$12+VLOOKUP($Q19,武学奇术!$A:$ZZ,12,FALSE)+SUM(_xlfn.XLOOKUP(R19:AH19,增益!$A:$A,增益!$L:$L,0))</f>
        <v>0</v>
      </c>
      <c r="BC19">
        <f t="shared" si="5"/>
        <v>571.2</v>
      </c>
      <c r="BD19">
        <f t="shared" si="6"/>
        <v>1077.4</v>
      </c>
      <c r="BE19" s="49" cm="1">
        <f t="array" ref="BE19">IF($F$13-$I$4+VLOOKUP($Q19,武学奇术!$A:$ZZ,13,FALSE)+SUM(_xlfn.XLOOKUP(R19:AH19,增益!$A:$A,增益!$M:$M,0))&gt;0,($F$13-$I$4+VLOOKUP($Q19,武学奇术!$A:$ZZ,13,FALSE)+SUM(_xlfn.XLOOKUP(R19:AH19,增益!$A:$A,增益!$K:$K,0)))/200,($F$13-$I$4+VLOOKUP($Q19,武学奇术!$A:$ZZ,13,FALSE)+SUM(_xlfn.XLOOKUP(R19:AH19,增益!$A:$A,增益!$M:$M,0)))/100)</f>
        <v>0.08</v>
      </c>
      <c r="BF19" s="49" cm="1">
        <f t="array" ref="BF19">$G$13+VLOOKUP($Q19,武学奇术!$A:$ZZ,14,FALSE)+SUM(_xlfn.XLOOKUP(R19:AH19,增益!$A:$A,增益!$N:$N,0))</f>
        <v>0.25</v>
      </c>
      <c r="BG19">
        <f t="shared" si="7"/>
        <v>0</v>
      </c>
      <c r="BH19">
        <f t="shared" si="8"/>
        <v>0</v>
      </c>
      <c r="BI19" s="49" cm="1">
        <f t="array" ref="BI19">IF($F$14-$I$4+VLOOKUP($Q19,武学奇术!$A:$ZZ,15,FALSE)+SUM(_xlfn.XLOOKUP(R19:AH19,增益!$A:$A,增益!$O:$O,0))&gt;0,($F$14-$I$4+VLOOKUP($Q19,武学奇术!$A:$ZZ,15,FALSE)+SUM(_xlfn.XLOOKUP(R19:AH19,增益!$A:$A,增益!$O:$O,0)))/200,($F$14-$I$4+VLOOKUP($Q19,武学奇术!$A:$ZZ,15,FALSE)+SUM(_xlfn.XLOOKUP(R19:AH19,增益!$A:$A,增益!$O:$O,0)))/100)</f>
        <v>-0.14</v>
      </c>
      <c r="BJ19" s="49" cm="1">
        <f t="array" ref="BJ19">$G$14+VLOOKUP($Q19,武学奇术!$A:$ZZ,16,FALSE)+SUM(_xlfn.XLOOKUP(R19:AH19,增益!$A:$A,增益!$P:$P,0))</f>
        <v>0</v>
      </c>
      <c r="BK19" s="41">
        <f>MIN(IF(VLOOKUP($Q19,武学奇术!$A:$ZZ,23,FALSE)=1,100%,$B$8),100%)</f>
        <v>1</v>
      </c>
      <c r="BL19" s="41" cm="1">
        <f t="array" ref="BL19">IF(VLOOKUP($Q19,武学奇术!$A:$ZZ,23,FALSE)=1,100%,MIN(80%,$B$9+VLOOKUP($Q19,武学奇术!$A:$ZZ,17,FALSE)+SUM(_xlfn.XLOOKUP(R19:AH19,增益!$A:$A,增益!$Q:$Q,0)))+$B$11+SUM(_xlfn.XLOOKUP(R19:AH19,增益!$A:$A,增益!$U:$U,0)))*IF(VLOOKUP($Q19,武学奇术!$A:$ZZ,24,FALSE)=1,0,1)</f>
        <v>0.9045</v>
      </c>
      <c r="BM19" s="41" cm="1">
        <f t="array" ref="BM19">1+$B$13+VLOOKUP($Q19,武学奇术!$A:$ZZ,18,FALSE)+SUM(_xlfn.XLOOKUP(R19:AH19,增益!$A:$A,增益!$R:$R,0))</f>
        <v>1.78</v>
      </c>
      <c r="BN19" s="41" cm="1">
        <f t="array" ref="BN19">IF(VLOOKUP($Q19,武学奇术!$A:$ZZ,24,FALSE)=1,100%,MIN(40%,$B$10+VLOOKUP($Q19,武学奇术!$A:$ZZ,19,FALSE)+SUM(_xlfn.XLOOKUP(R19:AH19,增益!$A:$A,增益!$S:$S,0)))+$B$12+SUM(_xlfn.XLOOKUP(R19:AH19,增益!$A:$A,增益!$V:$V,0)))*IF(VLOOKUP($Q19,武学奇术!$A:$ZZ,23,FALSE)=1,0,1)</f>
        <v>0.0929</v>
      </c>
      <c r="BO19" s="41" cm="1">
        <f t="array" ref="BO19">1+$B$14+VLOOKUP($Q19,武学奇术!$A:$ZZ,20,FALSE)+SUM(_xlfn.XLOOKUP(R19:AH19,增益!$A:$A,增益!$T:$T,0))</f>
        <v>1.35</v>
      </c>
      <c r="BP19" s="41">
        <f t="shared" si="9"/>
        <v>0.9045</v>
      </c>
      <c r="BQ19" s="41">
        <f t="shared" si="10"/>
        <v>0.00260000000000005</v>
      </c>
      <c r="BR19" s="41">
        <f>IF(VLOOKUP($Q19,武学奇术!$A:$ZZ,22,FALSE)=1,0,(1-$BK19))*(1-$BN19)</f>
        <v>0</v>
      </c>
      <c r="BS19" s="41" cm="1">
        <f t="array" ref="BS19">SUM(_xlfn.XLOOKUP(R19:AH19,增益!$A:$A,增益!$W:$W,0))+$I$5</f>
        <v>0.11</v>
      </c>
    </row>
    <row r="20" spans="1:71">
      <c r="A20" s="58" t="s">
        <v>132</v>
      </c>
      <c r="B20" s="87">
        <v>0</v>
      </c>
      <c r="C20" s="56" t="s">
        <v>133</v>
      </c>
      <c r="D20" s="96" t="s">
        <v>119</v>
      </c>
      <c r="K20" s="55">
        <f t="shared" si="0"/>
        <v>112228.496346102</v>
      </c>
      <c r="L20" s="55">
        <f>((($AP20+$AQ20)/2*$AJ20+$AK20)*(1+$AR20)*(1+$AS20)+(($AU20+$AV20)/2*IF($G$1="鸣金",$AL20,$AJ20)+IF($G$1="鸣金",$AM20*1.5,0))*(1+$AW20)*(1+$AX20)+(($AY20+$AZ20)/2*IF($G$1="裂石",$AL20,$AJ20)+IF($G$1="裂石",$AM20*1.5,0))*(1+$BA20)*(1+$BB20)+(($BC20+$BD20)/2*IF($G$1="牵丝",$AL20,$AJ20)+IF($G$1="牵丝",$AM20*1.5,0))*(1+$BE20)*(1+$BF20)+(($BG20+$BH20)/2*IF($G$1="破竹",$AL20,$AJ20)+IF($G$1="破竹",$AM20*1.5,0))*(1+$BI20)*(1+$BJ20))*(1+$AN20)*$BM20*$P20*(1+IF(VLOOKUP($Q20,武学奇术!$A:$ZZ,30,FALSE)="弹道",$B$21,0))*(1+$BS20)</f>
        <v>113607.668302125</v>
      </c>
      <c r="M20" s="55">
        <f>(($AQ20*$AJ20+$AK20)*(1+$AR20)*(1+$AS20)+($AV20*IF($G$1="鸣金",$AL20,$AJ20)+IF($G$1="鸣金",$AM20*1.5,0))*(1+$AW20)*(1+$AX20)+($AZ20*IF($G$1="裂石",$AL20,$AJ20)+IF($G$1="裂石",$AM20*1.5,0))*(1+$BA20)*(1+$BB20)+($BD20*IF($G$1="牵丝",$AL20,$AJ20)+IF($G$1="牵丝",$AM20*1.5,0))*(1+$BE20)*(1+$BF20)+($BH20*IF($G$1="破竹",$AL20,$AJ20)+IF($G$1="破竹",$AM20*1.5,0))*(1+$BI20)*(1+$BJ20))*(1+$AN20)*$BO20*$P20*(1+IF(VLOOKUP($Q20,武学奇术!$A:$ZZ,30,FALSE)="弹道",$B$21,0))*(1+$BS20)</f>
        <v>100462.587183515</v>
      </c>
      <c r="N20" s="55">
        <f>((($AP20+$AQ20)/2*$AJ20+$AK20)*(1+$AR20)*(1+$AS20)+(($AU20+$AV20)/2*IF($G$1="鸣金",$AL20,$AJ20)+IF($G$1="鸣金",$AM20*1.5,0))*(1+$AW20)*(1+$AX20)+(($AY20+$AZ20)/2*IF($G$1="裂石",$AL20,$AJ20)+IF($G$1="裂石",$AM20*1.5,0))*(1+$BA20)*(1+$BB20)+(($BC20+$BD20)/2*IF($G$1="牵丝",$AL20,$AJ20)+IF($G$1="牵丝",$AM20*1.5,0))*(1+$BE20)*(1+$BF20)+(($BG20+$BH20)/2*IF($G$1="破竹",$AL20,$AJ20)+IF($G$1="破竹",$AM20*1.5,0))*(1+$BI20)*(1+$BJ20))*(1+$AN20)*$P20*(1+IF(VLOOKUP($Q20,武学奇术!$A:$ZZ,30,FALSE)="弹道",$B$21,0))*(1+$BS20)</f>
        <v>52840.7759544767</v>
      </c>
      <c r="O20" s="55">
        <f>((($AP20*$AJ20+$AK20)*(1+$AR20)*(1+$AS20)+($AU20*IF($G$1="鸣金",$AL20,$AJ20)+IF($G$1="鸣金",$AM20*1.5,0))*(1+$AW20)*(1+$AX20)+($AY20*IF($G$1="裂石",$AL20,$AJ20)+IF($G$1="裂石",$AM20*1.5,0))*(1+$BA20)*(1+$BB20)+($BC20*IF($G$1="牵丝",$AL20,$AJ20)+IF($G$1="牵丝",$AM20*1.5,0))*(1+$BE20)*(1+$BF20)+($BG20*IF($G$1="破竹",$AL20,$AJ20)+IF($G$1="破竹",$AM20*1.5,0))*(1+$BI20)*(1+$BJ20))*(1+$AN20))*$P20*(1+IF(VLOOKUP($Q20,武学奇术!$A:$ZZ,30,FALSE)="弹道",$B$21,0))*(1+$BS20)</f>
        <v>31264.8206619055</v>
      </c>
      <c r="P20" s="56">
        <v>1</v>
      </c>
      <c r="Q20" s="57" t="s">
        <v>84</v>
      </c>
      <c r="R20" s="57" t="s">
        <v>116</v>
      </c>
      <c r="S20" s="57" t="s">
        <v>122</v>
      </c>
      <c r="T20" s="57" t="s">
        <v>92</v>
      </c>
      <c r="U20" s="57" t="s">
        <v>107</v>
      </c>
      <c r="V20" s="57" t="s">
        <v>86</v>
      </c>
      <c r="W20" s="57" t="s">
        <v>72</v>
      </c>
      <c r="X20" s="57" t="s">
        <v>72</v>
      </c>
      <c r="Y20" s="57" t="s">
        <v>112</v>
      </c>
      <c r="Z20" s="57" t="s">
        <v>113</v>
      </c>
      <c r="AA20" s="57" t="s">
        <v>72</v>
      </c>
      <c r="AB20" s="57" t="s">
        <v>96</v>
      </c>
      <c r="AC20" s="57" t="s">
        <v>72</v>
      </c>
      <c r="AD20" s="57" t="s">
        <v>72</v>
      </c>
      <c r="AE20" s="57" t="s">
        <v>72</v>
      </c>
      <c r="AF20" s="57" t="s">
        <v>72</v>
      </c>
      <c r="AG20" s="57" t="s">
        <v>72</v>
      </c>
      <c r="AH20" s="57" t="s">
        <v>87</v>
      </c>
      <c r="AI20" t="str">
        <f>VLOOKUP($Q20,武学奇术!$A:$ZZ,25,FALSE)</f>
        <v>伞</v>
      </c>
      <c r="AJ20" s="41">
        <f>VLOOKUP($Q20,武学奇术!$A:$ZZ,26,FALSE)</f>
        <v>2.3397</v>
      </c>
      <c r="AK20" s="42">
        <f>VLOOKUP($Q20,武学奇术!$A:$ZZ,27,FALSE)*(1+IF(OR($AI20=$F$4,$AI20=$F$5),$B$22,0))</f>
        <v>907.2</v>
      </c>
      <c r="AL20" s="41">
        <f>VLOOKUP($Q20,武学奇术!$A:$ZZ,28,FALSE)</f>
        <v>3.5095</v>
      </c>
      <c r="AM20" s="42">
        <f>VLOOKUP($Q20,武学奇术!$A:$ZZ,29,FALSE)*(1+IF(OR($AI20=$F$4,$AI20=$F$5),$B$22,0))</f>
        <v>494.2</v>
      </c>
      <c r="AN20" s="41" cm="1">
        <f t="array" ref="AN20">$G$3+IFERROR(VLOOKUP($AI20,$F$4:$G$7,2,FALSE),0)+VLOOKUP($Q20,武学奇术!$A:$ZZ,2,FALSE)+SUM(_xlfn.XLOOKUP($R20:$AH20,增益!$A:$A,增益!$B:$B,0))</f>
        <v>1.2041</v>
      </c>
      <c r="AO20" s="41" cm="1">
        <f t="array" ref="AO20">VLOOKUP($Q20,武学奇术!$A:$ZZ,5,FALSE)+SUM(_xlfn.XLOOKUP($R20:$AH20,增益!$A:$A,增益!$E:$E,0))</f>
        <v>0.075</v>
      </c>
      <c r="AP20" cm="1">
        <f t="array" ref="AP20">$D$10*(1+$AO20)+VLOOKUP($Q20,武学奇术!$A:$ZZ,3,FALSE)+SUM(_xlfn.XLOOKUP($R20:$AH20,增益!$A:$A,增益!$C:$C,0))-$I$2</f>
        <v>1974.055</v>
      </c>
      <c r="AQ20" cm="1">
        <f t="array" ref="AQ20">$E$10*(1+$AO20)+VLOOKUP($Q20,武学奇术!$A:$ZZ,4,FALSE)+SUM(_xlfn.XLOOKUP($R20:$AH20,增益!$A:$A,增益!$D:$D,0))-$I$2</f>
        <v>5941.45</v>
      </c>
      <c r="AR20" s="49" cm="1">
        <f t="array" ref="AR20">IF($F$10-$I$3+VLOOKUP($Q20,武学奇术!$A:$ZZ,6,FALSE)+SUM(_xlfn.XLOOKUP(R20:AH20,增益!$A:$A,增益!$F:$F,0))&gt;0,($F$10-$I$3+VLOOKUP($Q20,武学奇术!$A:$ZZ,6,FALSE)+SUM(_xlfn.XLOOKUP(R20:AH20,增益!$A:$A,增益!$F:$F,0)))/200,($F$10-$I$3+VLOOKUP($Q20,武学奇术!$A:$ZZ,6,FALSE)+SUM(_xlfn.XLOOKUP(R20:AH20,增益!$A:$A,增益!$F:$F,0)))/100)</f>
        <v>0.4925</v>
      </c>
      <c r="AS20" s="49" cm="1">
        <f t="array" ref="AS20">$G$10+VLOOKUP($Q20,武学奇术!$A:$ZZ,7,FALSE)+SUM(_xlfn.XLOOKUP(R20:AH20,增益!$A:$A,增益!$G:$G,0))</f>
        <v>0.1</v>
      </c>
      <c r="AT20" s="41" cm="1">
        <f t="array" ref="AT20">VLOOKUP($Q20,武学奇术!$A:$ZZ,8,FALSE)+SUM(_xlfn.XLOOKUP(R20:AH20,增益!$A:$A,增益!$H:$H,0))</f>
        <v>0</v>
      </c>
      <c r="AU20">
        <f t="shared" si="1"/>
        <v>0</v>
      </c>
      <c r="AV20">
        <f t="shared" si="2"/>
        <v>0</v>
      </c>
      <c r="AW20" s="49" cm="1">
        <f t="array" ref="AW20">IF($F$11-$I$4+VLOOKUP($Q20,武学奇术!$A:$ZZ,9,FALSE)+SUM(_xlfn.XLOOKUP(R20:AH20,增益!$A:$A,增益!$I:$I,0))&gt;0,($F$11-$I$4+VLOOKUP($Q20,武学奇术!$A:$ZZ,9,FALSE)+SUM(_xlfn.XLOOKUP(R20:AH20,增益!$A:$A,增益!$I:$I,0)))/200,($F$11-$I$4+VLOOKUP($Q20,武学奇术!$A:$ZZ,9,FALSE)+SUM(_xlfn.XLOOKUP(R20:AH20,增益!$A:$A,增益!$I:$I,0)))/100)</f>
        <v>-0.14</v>
      </c>
      <c r="AX20" s="49" cm="1">
        <f t="array" ref="AX20">$G$11+VLOOKUP($Q20,武学奇术!$A:$ZZ,10,FALSE)+SUM(_xlfn.XLOOKUP(R20:AH20,增益!$A:$A,增益!$J:$J,0))</f>
        <v>0</v>
      </c>
      <c r="AY20">
        <f t="shared" si="3"/>
        <v>0</v>
      </c>
      <c r="AZ20">
        <f t="shared" si="4"/>
        <v>0</v>
      </c>
      <c r="BA20" s="49" cm="1">
        <f t="array" ref="BA20">IF($F$12-$I$4+VLOOKUP($Q20,武学奇术!$A:$ZZ,11,FALSE)+SUM(_xlfn.XLOOKUP(R20:AH20,增益!$A:$A,增益!$K:$K,0))&gt;0,($F$12-$I$4+VLOOKUP($Q20,武学奇术!$A:$ZZ,11,FALSE)+SUM(_xlfn.XLOOKUP(R20:AH20,增益!$A:$A,增益!$K:$K,0)))/200,($F$12-$I$4+VLOOKUP($Q20,武学奇术!$A:$ZZ,11,FALSE)+SUM(_xlfn.XLOOKUP(R20:AH20,增益!$A:$A,增益!$K:$K,0)))/100)</f>
        <v>-0.14</v>
      </c>
      <c r="BB20" s="49" cm="1">
        <f t="array" ref="BB20">$G$12+VLOOKUP($Q20,武学奇术!$A:$ZZ,12,FALSE)+SUM(_xlfn.XLOOKUP(R20:AH20,增益!$A:$A,增益!$L:$L,0))</f>
        <v>0</v>
      </c>
      <c r="BC20">
        <f t="shared" si="5"/>
        <v>571.2</v>
      </c>
      <c r="BD20">
        <f t="shared" si="6"/>
        <v>1077.4</v>
      </c>
      <c r="BE20" s="49" cm="1">
        <f t="array" ref="BE20">IF($F$13-$I$4+VLOOKUP($Q20,武学奇术!$A:$ZZ,13,FALSE)+SUM(_xlfn.XLOOKUP(R20:AH20,增益!$A:$A,增益!$M:$M,0))&gt;0,($F$13-$I$4+VLOOKUP($Q20,武学奇术!$A:$ZZ,13,FALSE)+SUM(_xlfn.XLOOKUP(R20:AH20,增益!$A:$A,增益!$K:$K,0)))/200,($F$13-$I$4+VLOOKUP($Q20,武学奇术!$A:$ZZ,13,FALSE)+SUM(_xlfn.XLOOKUP(R20:AH20,增益!$A:$A,增益!$M:$M,0)))/100)</f>
        <v>0.08</v>
      </c>
      <c r="BF20" s="49" cm="1">
        <f t="array" ref="BF20">$G$13+VLOOKUP($Q20,武学奇术!$A:$ZZ,14,FALSE)+SUM(_xlfn.XLOOKUP(R20:AH20,增益!$A:$A,增益!$N:$N,0))</f>
        <v>0.25</v>
      </c>
      <c r="BG20">
        <f t="shared" si="7"/>
        <v>0</v>
      </c>
      <c r="BH20">
        <f t="shared" si="8"/>
        <v>0</v>
      </c>
      <c r="BI20" s="49" cm="1">
        <f t="array" ref="BI20">IF($F$14-$I$4+VLOOKUP($Q20,武学奇术!$A:$ZZ,15,FALSE)+SUM(_xlfn.XLOOKUP(R20:AH20,增益!$A:$A,增益!$O:$O,0))&gt;0,($F$14-$I$4+VLOOKUP($Q20,武学奇术!$A:$ZZ,15,FALSE)+SUM(_xlfn.XLOOKUP(R20:AH20,增益!$A:$A,增益!$O:$O,0)))/200,($F$14-$I$4+VLOOKUP($Q20,武学奇术!$A:$ZZ,15,FALSE)+SUM(_xlfn.XLOOKUP(R20:AH20,增益!$A:$A,增益!$O:$O,0)))/100)</f>
        <v>-0.14</v>
      </c>
      <c r="BJ20" s="49" cm="1">
        <f t="array" ref="BJ20">$G$14+VLOOKUP($Q20,武学奇术!$A:$ZZ,16,FALSE)+SUM(_xlfn.XLOOKUP(R20:AH20,增益!$A:$A,增益!$P:$P,0))</f>
        <v>0</v>
      </c>
      <c r="BK20" s="41">
        <f>MIN(IF(VLOOKUP($Q20,武学奇术!$A:$ZZ,23,FALSE)=1,100%,$B$8),100%)</f>
        <v>1</v>
      </c>
      <c r="BL20" s="41" cm="1">
        <f t="array" ref="BL20">IF(VLOOKUP($Q20,武学奇术!$A:$ZZ,23,FALSE)=1,100%,MIN(80%,$B$9+VLOOKUP($Q20,武学奇术!$A:$ZZ,17,FALSE)+SUM(_xlfn.XLOOKUP(R20:AH20,增益!$A:$A,增益!$Q:$Q,0)))+$B$11+SUM(_xlfn.XLOOKUP(R20:AH20,增益!$A:$A,增益!$U:$U,0)))*IF(VLOOKUP($Q20,武学奇术!$A:$ZZ,24,FALSE)=1,0,1)</f>
        <v>0.9045</v>
      </c>
      <c r="BM20" s="41" cm="1">
        <f t="array" ref="BM20">1+$B$13+VLOOKUP($Q20,武学奇术!$A:$ZZ,18,FALSE)+SUM(_xlfn.XLOOKUP(R20:AH20,增益!$A:$A,增益!$R:$R,0))</f>
        <v>2.15</v>
      </c>
      <c r="BN20" s="41" cm="1">
        <f t="array" ref="BN20">IF(VLOOKUP($Q20,武学奇术!$A:$ZZ,24,FALSE)=1,100%,MIN(40%,$B$10+VLOOKUP($Q20,武学奇术!$A:$ZZ,19,FALSE)+SUM(_xlfn.XLOOKUP(R20:AH20,增益!$A:$A,增益!$S:$S,0)))+$B$12+SUM(_xlfn.XLOOKUP(R20:AH20,增益!$A:$A,增益!$V:$V,0)))*IF(VLOOKUP($Q20,武学奇术!$A:$ZZ,23,FALSE)=1,0,1)</f>
        <v>0.0929</v>
      </c>
      <c r="BO20" s="41" cm="1">
        <f t="array" ref="BO20">1+$B$14+VLOOKUP($Q20,武学奇术!$A:$ZZ,20,FALSE)+SUM(_xlfn.XLOOKUP(R20:AH20,增益!$A:$A,增益!$T:$T,0))</f>
        <v>1.35</v>
      </c>
      <c r="BP20" s="41">
        <f t="shared" si="9"/>
        <v>0.9045</v>
      </c>
      <c r="BQ20" s="41">
        <f t="shared" si="10"/>
        <v>0.00260000000000005</v>
      </c>
      <c r="BR20" s="41">
        <f>IF(VLOOKUP($Q20,武学奇术!$A:$ZZ,22,FALSE)=1,0,(1-$BK20))*(1-$BN20)</f>
        <v>0</v>
      </c>
      <c r="BS20" s="41" cm="1">
        <f t="array" ref="BS20">SUM(_xlfn.XLOOKUP(R20:AH20,增益!$A:$A,增益!$W:$W,0))+$I$5</f>
        <v>0.11</v>
      </c>
    </row>
    <row r="21" ht="15.15" spans="1:71">
      <c r="A21" s="102" t="s">
        <v>134</v>
      </c>
      <c r="B21" s="107">
        <v>0.32</v>
      </c>
      <c r="C21" s="56" t="s">
        <v>135</v>
      </c>
      <c r="D21" s="56"/>
      <c r="E21" s="56" t="s">
        <v>136</v>
      </c>
      <c r="F21" s="57" t="s">
        <v>137</v>
      </c>
      <c r="G21" s="108" t="s">
        <v>138</v>
      </c>
      <c r="H21" s="57" t="s">
        <v>139</v>
      </c>
      <c r="I21" s="56" t="s">
        <v>140</v>
      </c>
      <c r="J21" s="57" t="s">
        <v>139</v>
      </c>
      <c r="K21" s="55">
        <f t="shared" si="0"/>
        <v>39241.087595279</v>
      </c>
      <c r="L21" s="55">
        <f>((($AP21+$AQ21)/2*$AJ21+$AK21)*(1+$AR21)*(1+$AS21)+(($AU21+$AV21)/2*IF($G$1="鸣金",$AL21,$AJ21)+IF($G$1="鸣金",$AM21*1.5,0))*(1+$AW21)*(1+$AX21)+(($AY21+$AZ21)/2*IF($G$1="裂石",$AL21,$AJ21)+IF($G$1="裂石",$AM21*1.5,0))*(1+$BA21)*(1+$BB21)+(($BC21+$BD21)/2*IF($G$1="牵丝",$AL21,$AJ21)+IF($G$1="牵丝",$AM21*1.5,0))*(1+$BE21)*(1+$BF21)+(($BG21+$BH21)/2*IF($G$1="破竹",$AL21,$AJ21)+IF($G$1="破竹",$AM21*1.5,0))*(1+$BI21)*(1+$BJ21))*(1+$AN21)*$BM21*$P21*(1+IF(VLOOKUP($Q21,武学奇术!$A:$ZZ,30,FALSE)="弹道",$B$21,0))*(1+$BS21)</f>
        <v>38450.8593409739</v>
      </c>
      <c r="M21" s="55">
        <f>(($AQ21*$AJ21+$AK21)*(1+$AR21)*(1+$AS21)+($AV21*IF($G$1="鸣金",$AL21,$AJ21)+IF($G$1="鸣金",$AM21*1.5,0))*(1+$AW21)*(1+$AX21)+($AZ21*IF($G$1="裂石",$AL21,$AJ21)+IF($G$1="裂石",$AM21*1.5,0))*(1+$BA21)*(1+$BB21)+($BD21*IF($G$1="牵丝",$AL21,$AJ21)+IF($G$1="牵丝",$AM21*1.5,0))*(1+$BE21)*(1+$BF21)+($BH21*IF($G$1="破竹",$AL21,$AJ21)+IF($G$1="破竹",$AM21*1.5,0))*(1+$BI21)*(1+$BJ21))*(1+$AN21)*$BO21*$P21*(1+IF(VLOOKUP($Q21,武学奇术!$A:$ZZ,30,FALSE)="弹道",$B$21,0))*(1+$BS21)</f>
        <v>47334.4271917881</v>
      </c>
      <c r="N21" s="55">
        <f>((($AP21+$AQ21)/2*$AJ21+$AK21)*(1+$AR21)*(1+$AS21)+(($AU21+$AV21)/2*IF($G$1="鸣金",$AL21,$AJ21)+IF($G$1="鸣金",$AM21*1.5,0))*(1+$AW21)*(1+$AX21)+(($AY21+$AZ21)/2*IF($G$1="裂石",$AL21,$AJ21)+IF($G$1="裂石",$AM21*1.5,0))*(1+$BA21)*(1+$BB21)+(($BC21+$BD21)/2*IF($G$1="牵丝",$AL21,$AJ21)+IF($G$1="牵丝",$AM21*1.5,0))*(1+$BE21)*(1+$BF21)+(($BG21+$BH21)/2*IF($G$1="破竹",$AL21,$AJ21)+IF($G$1="破竹",$AM21*1.5,0))*(1+$BI21)*(1+$BJ21))*(1+$AN21)*$P21*(1+IF(VLOOKUP($Q21,武学奇术!$A:$ZZ,30,FALSE)="弹道",$B$21,0))*(1+$BS21)</f>
        <v>24968.0904811518</v>
      </c>
      <c r="O21" s="55">
        <f>((($AP21*$AJ21+$AK21)*(1+$AR21)*(1+$AS21)+($AU21*IF($G$1="鸣金",$AL21,$AJ21)+IF($G$1="鸣金",$AM21*1.5,0))*(1+$AW21)*(1+$AX21)+($AY21*IF($G$1="裂石",$AL21,$AJ21)+IF($G$1="裂石",$AM21*1.5,0))*(1+$BA21)*(1+$BB21)+($BC21*IF($G$1="牵丝",$AL21,$AJ21)+IF($G$1="牵丝",$AM21*1.5,0))*(1+$BE21)*(1+$BF21)+($BG21*IF($G$1="破竹",$AL21,$AJ21)+IF($G$1="破竹",$AM21*1.5,0))*(1+$BI21)*(1+$BJ21))*(1+$AN21))*$P21*(1+IF(VLOOKUP($Q21,武学奇术!$A:$ZZ,30,FALSE)="弹道",$B$21,0))*(1+$BS21)</f>
        <v>14873.6423017199</v>
      </c>
      <c r="P21" s="56">
        <v>1</v>
      </c>
      <c r="Q21" s="57" t="s">
        <v>94</v>
      </c>
      <c r="R21" s="57" t="s">
        <v>116</v>
      </c>
      <c r="S21" s="57" t="s">
        <v>122</v>
      </c>
      <c r="T21" s="57" t="s">
        <v>72</v>
      </c>
      <c r="U21" s="57" t="s">
        <v>107</v>
      </c>
      <c r="V21" s="57" t="s">
        <v>72</v>
      </c>
      <c r="W21" s="57" t="s">
        <v>72</v>
      </c>
      <c r="X21" s="57" t="s">
        <v>72</v>
      </c>
      <c r="Y21" s="57" t="s">
        <v>72</v>
      </c>
      <c r="Z21" s="57" t="s">
        <v>113</v>
      </c>
      <c r="AA21" s="57" t="s">
        <v>72</v>
      </c>
      <c r="AB21" s="57" t="s">
        <v>96</v>
      </c>
      <c r="AC21" s="57" t="s">
        <v>72</v>
      </c>
      <c r="AD21" s="57" t="s">
        <v>72</v>
      </c>
      <c r="AE21" s="57" t="s">
        <v>72</v>
      </c>
      <c r="AF21" s="57" t="s">
        <v>72</v>
      </c>
      <c r="AG21" s="57" t="s">
        <v>72</v>
      </c>
      <c r="AH21" s="57" t="s">
        <v>87</v>
      </c>
      <c r="AI21" t="str">
        <f>VLOOKUP($Q21,武学奇术!$A:$ZZ,25,FALSE)</f>
        <v>伞</v>
      </c>
      <c r="AJ21" s="41">
        <f>VLOOKUP($Q21,武学奇术!$A:$ZZ,26,FALSE)</f>
        <v>1.7001</v>
      </c>
      <c r="AK21" s="42">
        <f>VLOOKUP($Q21,武学奇术!$A:$ZZ,27,FALSE)*(1+IF(OR($AI21=$F$4,$AI21=$F$5),$B$22,0))</f>
        <v>659.4</v>
      </c>
      <c r="AL21" s="41">
        <f>VLOOKUP($Q21,武学奇术!$A:$ZZ,28,FALSE)</f>
        <v>2.5502</v>
      </c>
      <c r="AM21" s="42">
        <f>VLOOKUP($Q21,武学奇术!$A:$ZZ,29,FALSE)*(1+IF(OR($AI21=$F$4,$AI21=$F$5),$B$22,0))</f>
        <v>358.4</v>
      </c>
      <c r="AN21" s="41" cm="1">
        <f t="array" ref="AN21">$G$3+IFERROR(VLOOKUP($AI21,$F$4:$G$7,2,FALSE),0)+VLOOKUP($Q21,武学奇术!$A:$ZZ,2,FALSE)+SUM(_xlfn.XLOOKUP($R21:$AH21,增益!$A:$A,增益!$B:$B,0))</f>
        <v>0.5541</v>
      </c>
      <c r="AO21" s="41" cm="1">
        <f t="array" ref="AO21">VLOOKUP($Q21,武学奇术!$A:$ZZ,5,FALSE)+SUM(_xlfn.XLOOKUP($R21:$AH21,增益!$A:$A,增益!$E:$E,0))</f>
        <v>0.075</v>
      </c>
      <c r="AP21" cm="1">
        <f t="array" ref="AP21">$D$10*(1+$AO21)+VLOOKUP($Q21,武学奇术!$A:$ZZ,3,FALSE)+SUM(_xlfn.XLOOKUP($R21:$AH21,增益!$A:$A,增益!$C:$C,0))-$I$2</f>
        <v>1974.055</v>
      </c>
      <c r="AQ21" cm="1">
        <f t="array" ref="AQ21">$E$10*(1+$AO21)+VLOOKUP($Q21,武学奇术!$A:$ZZ,4,FALSE)+SUM(_xlfn.XLOOKUP($R21:$AH21,增益!$A:$A,增益!$D:$D,0))-$I$2</f>
        <v>5941.45</v>
      </c>
      <c r="AR21" s="49" cm="1">
        <f t="array" ref="AR21">IF($F$10-$I$3+VLOOKUP($Q21,武学奇术!$A:$ZZ,6,FALSE)+SUM(_xlfn.XLOOKUP(R21:AH21,增益!$A:$A,增益!$F:$F,0))&gt;0,($F$10-$I$3+VLOOKUP($Q21,武学奇术!$A:$ZZ,6,FALSE)+SUM(_xlfn.XLOOKUP(R21:AH21,增益!$A:$A,增益!$F:$F,0)))/200,($F$10-$I$3+VLOOKUP($Q21,武学奇术!$A:$ZZ,6,FALSE)+SUM(_xlfn.XLOOKUP(R21:AH21,增益!$A:$A,增益!$F:$F,0)))/100)</f>
        <v>0.3425</v>
      </c>
      <c r="AS21" s="49" cm="1">
        <f t="array" ref="AS21">$G$10+VLOOKUP($Q21,武学奇术!$A:$ZZ,7,FALSE)+SUM(_xlfn.XLOOKUP(R21:AH21,增益!$A:$A,增益!$G:$G,0))</f>
        <v>0.1</v>
      </c>
      <c r="AT21" s="41" cm="1">
        <f t="array" ref="AT21">VLOOKUP($Q21,武学奇术!$A:$ZZ,8,FALSE)+SUM(_xlfn.XLOOKUP(R21:AH21,增益!$A:$A,增益!$H:$H,0))</f>
        <v>0</v>
      </c>
      <c r="AU21">
        <f t="shared" si="1"/>
        <v>0</v>
      </c>
      <c r="AV21">
        <f t="shared" si="2"/>
        <v>0</v>
      </c>
      <c r="AW21" s="49" cm="1">
        <f t="array" ref="AW21">IF($F$11-$I$4+VLOOKUP($Q21,武学奇术!$A:$ZZ,9,FALSE)+SUM(_xlfn.XLOOKUP(R21:AH21,增益!$A:$A,增益!$I:$I,0))&gt;0,($F$11-$I$4+VLOOKUP($Q21,武学奇术!$A:$ZZ,9,FALSE)+SUM(_xlfn.XLOOKUP(R21:AH21,增益!$A:$A,增益!$I:$I,0)))/200,($F$11-$I$4+VLOOKUP($Q21,武学奇术!$A:$ZZ,9,FALSE)+SUM(_xlfn.XLOOKUP(R21:AH21,增益!$A:$A,增益!$I:$I,0)))/100)</f>
        <v>-0.14</v>
      </c>
      <c r="AX21" s="49" cm="1">
        <f t="array" ref="AX21">$G$11+VLOOKUP($Q21,武学奇术!$A:$ZZ,10,FALSE)+SUM(_xlfn.XLOOKUP(R21:AH21,增益!$A:$A,增益!$J:$J,0))</f>
        <v>0</v>
      </c>
      <c r="AY21">
        <f t="shared" si="3"/>
        <v>0</v>
      </c>
      <c r="AZ21">
        <f t="shared" si="4"/>
        <v>0</v>
      </c>
      <c r="BA21" s="49" cm="1">
        <f t="array" ref="BA21">IF($F$12-$I$4+VLOOKUP($Q21,武学奇术!$A:$ZZ,11,FALSE)+SUM(_xlfn.XLOOKUP(R21:AH21,增益!$A:$A,增益!$K:$K,0))&gt;0,($F$12-$I$4+VLOOKUP($Q21,武学奇术!$A:$ZZ,11,FALSE)+SUM(_xlfn.XLOOKUP(R21:AH21,增益!$A:$A,增益!$K:$K,0)))/200,($F$12-$I$4+VLOOKUP($Q21,武学奇术!$A:$ZZ,11,FALSE)+SUM(_xlfn.XLOOKUP(R21:AH21,增益!$A:$A,增益!$K:$K,0)))/100)</f>
        <v>-0.14</v>
      </c>
      <c r="BB21" s="49" cm="1">
        <f t="array" ref="BB21">$G$12+VLOOKUP($Q21,武学奇术!$A:$ZZ,12,FALSE)+SUM(_xlfn.XLOOKUP(R21:AH21,增益!$A:$A,增益!$L:$L,0))</f>
        <v>0</v>
      </c>
      <c r="BC21">
        <f t="shared" si="5"/>
        <v>571.2</v>
      </c>
      <c r="BD21">
        <f t="shared" si="6"/>
        <v>1077.4</v>
      </c>
      <c r="BE21" s="49" cm="1">
        <f t="array" ref="BE21">IF($F$13-$I$4+VLOOKUP($Q21,武学奇术!$A:$ZZ,13,FALSE)+SUM(_xlfn.XLOOKUP(R21:AH21,增益!$A:$A,增益!$M:$M,0))&gt;0,($F$13-$I$4+VLOOKUP($Q21,武学奇术!$A:$ZZ,13,FALSE)+SUM(_xlfn.XLOOKUP(R21:AH21,增益!$A:$A,增益!$K:$K,0)))/200,($F$13-$I$4+VLOOKUP($Q21,武学奇术!$A:$ZZ,13,FALSE)+SUM(_xlfn.XLOOKUP(R21:AH21,增益!$A:$A,增益!$M:$M,0)))/100)</f>
        <v>0.08</v>
      </c>
      <c r="BF21" s="49" cm="1">
        <f t="array" ref="BF21">$G$13+VLOOKUP($Q21,武学奇术!$A:$ZZ,14,FALSE)+SUM(_xlfn.XLOOKUP(R21:AH21,增益!$A:$A,增益!$N:$N,0))</f>
        <v>0.25</v>
      </c>
      <c r="BG21">
        <f t="shared" si="7"/>
        <v>0</v>
      </c>
      <c r="BH21">
        <f t="shared" si="8"/>
        <v>0</v>
      </c>
      <c r="BI21" s="49" cm="1">
        <f t="array" ref="BI21">IF($F$14-$I$4+VLOOKUP($Q21,武学奇术!$A:$ZZ,15,FALSE)+SUM(_xlfn.XLOOKUP(R21:AH21,增益!$A:$A,增益!$O:$O,0))&gt;0,($F$14-$I$4+VLOOKUP($Q21,武学奇术!$A:$ZZ,15,FALSE)+SUM(_xlfn.XLOOKUP(R21:AH21,增益!$A:$A,增益!$O:$O,0)))/200,($F$14-$I$4+VLOOKUP($Q21,武学奇术!$A:$ZZ,15,FALSE)+SUM(_xlfn.XLOOKUP(R21:AH21,增益!$A:$A,增益!$O:$O,0)))/100)</f>
        <v>-0.14</v>
      </c>
      <c r="BJ21" s="49" cm="1">
        <f t="array" ref="BJ21">$G$14+VLOOKUP($Q21,武学奇术!$A:$ZZ,16,FALSE)+SUM(_xlfn.XLOOKUP(R21:AH21,增益!$A:$A,增益!$P:$P,0))</f>
        <v>0</v>
      </c>
      <c r="BK21" s="41">
        <f>MIN(IF(VLOOKUP($Q21,武学奇术!$A:$ZZ,23,FALSE)=1,100%,$B$8),100%)</f>
        <v>1</v>
      </c>
      <c r="BL21" s="41" cm="1">
        <f t="array" ref="BL21">IF(VLOOKUP($Q21,武学奇术!$A:$ZZ,23,FALSE)=1,100%,MIN(80%,$B$9+VLOOKUP($Q21,武学奇术!$A:$ZZ,17,FALSE)+SUM(_xlfn.XLOOKUP(R21:AH21,增益!$A:$A,增益!$Q:$Q,0)))+$B$11+SUM(_xlfn.XLOOKUP(R21:AH21,增益!$A:$A,增益!$U:$U,0)))*IF(VLOOKUP($Q21,武学奇术!$A:$ZZ,24,FALSE)=1,0,1)</f>
        <v>0.9045</v>
      </c>
      <c r="BM21" s="41" cm="1">
        <f t="array" ref="BM21">1+$B$13+VLOOKUP($Q21,武学奇术!$A:$ZZ,18,FALSE)+SUM(_xlfn.XLOOKUP(R21:AH21,增益!$A:$A,增益!$R:$R,0))</f>
        <v>1.54</v>
      </c>
      <c r="BN21" s="41" cm="1">
        <f t="array" ref="BN21">IF(VLOOKUP($Q21,武学奇术!$A:$ZZ,24,FALSE)=1,100%,MIN(40%,$B$10+VLOOKUP($Q21,武学奇术!$A:$ZZ,19,FALSE)+SUM(_xlfn.XLOOKUP(R21:AH21,增益!$A:$A,增益!$S:$S,0)))+$B$12+SUM(_xlfn.XLOOKUP(R21:AH21,增益!$A:$A,增益!$V:$V,0)))*IF(VLOOKUP($Q21,武学奇术!$A:$ZZ,23,FALSE)=1,0,1)</f>
        <v>0.0929</v>
      </c>
      <c r="BO21" s="41" cm="1">
        <f t="array" ref="BO21">1+$B$14+VLOOKUP($Q21,武学奇术!$A:$ZZ,20,FALSE)+SUM(_xlfn.XLOOKUP(R21:AH21,增益!$A:$A,增益!$T:$T,0))</f>
        <v>1.35</v>
      </c>
      <c r="BP21" s="41">
        <f t="shared" si="9"/>
        <v>0.9045</v>
      </c>
      <c r="BQ21" s="41">
        <f t="shared" si="10"/>
        <v>0.00260000000000005</v>
      </c>
      <c r="BR21" s="41">
        <f>IF(VLOOKUP($Q21,武学奇术!$A:$ZZ,22,FALSE)=1,0,(1-$BK21))*(1-$BN21)</f>
        <v>0</v>
      </c>
      <c r="BS21" s="41" cm="1">
        <f t="array" ref="BS21">SUM(_xlfn.XLOOKUP(R21:AH21,增益!$A:$A,增益!$W:$W,0))+$I$5</f>
        <v>0.11</v>
      </c>
    </row>
    <row r="22" spans="1:71">
      <c r="A22" t="s">
        <v>141</v>
      </c>
      <c r="B22" s="44">
        <v>0.4</v>
      </c>
      <c r="C22" s="57" t="s">
        <v>142</v>
      </c>
      <c r="D22" s="57"/>
      <c r="E22" s="56"/>
      <c r="F22" s="57"/>
      <c r="G22" s="108"/>
      <c r="H22" s="57"/>
      <c r="I22" s="56"/>
      <c r="J22" s="57"/>
      <c r="K22" s="55">
        <f t="shared" si="0"/>
        <v>16537.5151021688</v>
      </c>
      <c r="L22" s="55">
        <f>((($AP22+$AQ22)/2*$AJ22+$AK22)*(1+$AR22)*(1+$AS22)+(($AU22+$AV22)/2*IF($G$1="鸣金",$AL22,$AJ22)+IF($G$1="鸣金",$AM22*1.5,0))*(1+$AW22)*(1+$AX22)+(($AY22+$AZ22)/2*IF($G$1="裂石",$AL22,$AJ22)+IF($G$1="裂石",$AM22*1.5,0))*(1+$BA22)*(1+$BB22)+(($BC22+$BD22)/2*IF($G$1="牵丝",$AL22,$AJ22)+IF($G$1="牵丝",$AM22*1.5,0))*(1+$BE22)*(1+$BF22)+(($BG22+$BH22)/2*IF($G$1="破竹",$AL22,$AJ22)+IF($G$1="破竹",$AM22*1.5,0))*(1+$BI22)*(1+$BJ22))*(1+$AN22)*$BM22*$P22*(1+IF(VLOOKUP($Q22,武学奇术!$A:$ZZ,30,FALSE)="弹道",$B$21,0))*(1+$BS22)</f>
        <v>16216.0677303232</v>
      </c>
      <c r="M22" s="55">
        <f>(($AQ22*$AJ22+$AK22)*(1+$AR22)*(1+$AS22)+($AV22*IF($G$1="鸣金",$AL22,$AJ22)+IF($G$1="鸣金",$AM22*1.5,0))*(1+$AW22)*(1+$AX22)+($AZ22*IF($G$1="裂石",$AL22,$AJ22)+IF($G$1="裂石",$AM22*1.5,0))*(1+$BA22)*(1+$BB22)+($BD22*IF($G$1="牵丝",$AL22,$AJ22)+IF($G$1="牵丝",$AM22*1.5,0))*(1+$BE22)*(1+$BF22)+($BH22*IF($G$1="破竹",$AL22,$AJ22)+IF($G$1="破竹",$AM22*1.5,0))*(1+$BI22)*(1+$BJ22))*(1+$AN22)*$BO22*$P22*(1+IF(VLOOKUP($Q22,武学奇术!$A:$ZZ,30,FALSE)="弹道",$B$21,0))*(1+$BS22)</f>
        <v>19837.251821542</v>
      </c>
      <c r="N22" s="55">
        <f>((($AP22+$AQ22)/2*$AJ22+$AK22)*(1+$AR22)*(1+$AS22)+(($AU22+$AV22)/2*IF($G$1="鸣金",$AL22,$AJ22)+IF($G$1="鸣金",$AM22*1.5,0))*(1+$AW22)*(1+$AX22)+(($AY22+$AZ22)/2*IF($G$1="裂石",$AL22,$AJ22)+IF($G$1="裂石",$AM22*1.5,0))*(1+$BA22)*(1+$BB22)+(($BC22+$BD22)/2*IF($G$1="牵丝",$AL22,$AJ22)+IF($G$1="牵丝",$AM22*1.5,0))*(1+$BE22)*(1+$BF22)+(($BG22+$BH22)/2*IF($G$1="破竹",$AL22,$AJ22)+IF($G$1="破竹",$AM22*1.5,0))*(1+$BI22)*(1+$BJ22))*(1+$AN22)*$P22*(1+IF(VLOOKUP($Q22,武学奇术!$A:$ZZ,30,FALSE)="弹道",$B$21,0))*(1+$BS22)</f>
        <v>10461.9791808537</v>
      </c>
      <c r="O22" s="55">
        <f>((($AP22*$AJ22+$AK22)*(1+$AR22)*(1+$AS22)+($AU22*IF($G$1="鸣金",$AL22,$AJ22)+IF($G$1="鸣金",$AM22*1.5,0))*(1+$AW22)*(1+$AX22)+($AY22*IF($G$1="裂石",$AL22,$AJ22)+IF($G$1="裂石",$AM22*1.5,0))*(1+$BA22)*(1+$BB22)+($BC22*IF($G$1="牵丝",$AL22,$AJ22)+IF($G$1="牵丝",$AM22*1.5,0))*(1+$BE22)*(1+$BF22)+($BG22*IF($G$1="破竹",$AL22,$AJ22)+IF($G$1="破竹",$AM22*1.5,0))*(1+$BI22)*(1+$BJ22))*(1+$AN22))*$P22*(1+IF(VLOOKUP($Q22,武学奇术!$A:$ZZ,30,FALSE)="弹道",$B$21,0))*(1+$BS22)</f>
        <v>6229.6977531577</v>
      </c>
      <c r="P22" s="56">
        <v>1</v>
      </c>
      <c r="Q22" s="57" t="s">
        <v>99</v>
      </c>
      <c r="R22" s="57" t="s">
        <v>116</v>
      </c>
      <c r="S22" s="57" t="s">
        <v>143</v>
      </c>
      <c r="T22" s="57" t="s">
        <v>72</v>
      </c>
      <c r="U22" s="57" t="s">
        <v>107</v>
      </c>
      <c r="V22" s="57" t="s">
        <v>72</v>
      </c>
      <c r="W22" s="57" t="s">
        <v>72</v>
      </c>
      <c r="X22" s="57" t="s">
        <v>72</v>
      </c>
      <c r="Y22" s="57" t="s">
        <v>72</v>
      </c>
      <c r="Z22" s="57" t="s">
        <v>113</v>
      </c>
      <c r="AA22" s="57" t="s">
        <v>72</v>
      </c>
      <c r="AB22" s="57" t="s">
        <v>96</v>
      </c>
      <c r="AC22" s="57" t="s">
        <v>72</v>
      </c>
      <c r="AD22" s="57" t="s">
        <v>72</v>
      </c>
      <c r="AE22" s="57" t="s">
        <v>72</v>
      </c>
      <c r="AF22" s="57" t="s">
        <v>72</v>
      </c>
      <c r="AG22" s="57" t="s">
        <v>72</v>
      </c>
      <c r="AH22" s="57" t="s">
        <v>87</v>
      </c>
      <c r="AI22" t="str">
        <f>VLOOKUP($Q22,武学奇术!$A:$ZZ,25,FALSE)</f>
        <v>伞</v>
      </c>
      <c r="AJ22" s="41">
        <f>VLOOKUP($Q22,武学奇术!$A:$ZZ,26,FALSE)</f>
        <v>0.54</v>
      </c>
      <c r="AK22" s="42">
        <f>VLOOKUP($Q22,武学奇术!$A:$ZZ,27,FALSE)*(1+IF(OR($AI22=$F$4,$AI22=$F$5),$B$22,0))</f>
        <v>207.2</v>
      </c>
      <c r="AL22" s="41">
        <f>VLOOKUP($Q22,武学奇术!$A:$ZZ,28,FALSE)</f>
        <v>0.81</v>
      </c>
      <c r="AM22" s="42">
        <f>VLOOKUP($Q22,武学奇术!$A:$ZZ,29,FALSE)*(1+IF(OR($AI22=$F$4,$AI22=$F$5),$B$22,0))</f>
        <v>114.1</v>
      </c>
      <c r="AN22" s="41" cm="1">
        <f t="array" ref="AN22">$G$3+IFERROR(VLOOKUP($AI22,$F$4:$G$7,2,FALSE),0)+VLOOKUP($Q22,武学奇术!$A:$ZZ,2,FALSE)+SUM(_xlfn.XLOOKUP($R22:$AH22,增益!$A:$A,增益!$B:$B,0))</f>
        <v>0.5541</v>
      </c>
      <c r="AO22" s="41" cm="1">
        <f t="array" ref="AO22">VLOOKUP($Q22,武学奇术!$A:$ZZ,5,FALSE)+SUM(_xlfn.XLOOKUP($R22:$AH22,增益!$A:$A,增益!$E:$E,0))</f>
        <v>0.075</v>
      </c>
      <c r="AP22" cm="1">
        <f t="array" ref="AP22">$D$10*(1+$AO22)+VLOOKUP($Q22,武学奇术!$A:$ZZ,3,FALSE)+SUM(_xlfn.XLOOKUP($R22:$AH22,增益!$A:$A,增益!$C:$C,0))-$I$2</f>
        <v>1974.055</v>
      </c>
      <c r="AQ22" cm="1">
        <f t="array" ref="AQ22">$E$10*(1+$AO22)+VLOOKUP($Q22,武学奇术!$A:$ZZ,4,FALSE)+SUM(_xlfn.XLOOKUP($R22:$AH22,增益!$A:$A,增益!$D:$D,0))-$I$2</f>
        <v>5941.45</v>
      </c>
      <c r="AR22" s="49" cm="1">
        <f t="array" ref="AR22">IF($F$10-$I$3+VLOOKUP($Q22,武学奇术!$A:$ZZ,6,FALSE)+SUM(_xlfn.XLOOKUP(R22:AH22,增益!$A:$A,增益!$F:$F,0))&gt;0,($F$10-$I$3+VLOOKUP($Q22,武学奇术!$A:$ZZ,6,FALSE)+SUM(_xlfn.XLOOKUP(R22:AH22,增益!$A:$A,增益!$F:$F,0)))/200,($F$10-$I$3+VLOOKUP($Q22,武学奇术!$A:$ZZ,6,FALSE)+SUM(_xlfn.XLOOKUP(R22:AH22,增益!$A:$A,增益!$F:$F,0)))/100)</f>
        <v>0.3425</v>
      </c>
      <c r="AS22" s="49" cm="1">
        <f t="array" ref="AS22">$G$10+VLOOKUP($Q22,武学奇术!$A:$ZZ,7,FALSE)+SUM(_xlfn.XLOOKUP(R22:AH22,增益!$A:$A,增益!$G:$G,0))</f>
        <v>0.1</v>
      </c>
      <c r="AT22" s="41" cm="1">
        <f t="array" ref="AT22">VLOOKUP($Q22,武学奇术!$A:$ZZ,8,FALSE)+SUM(_xlfn.XLOOKUP(R22:AH22,增益!$A:$A,增益!$H:$H,0))</f>
        <v>0</v>
      </c>
      <c r="AU22">
        <f t="shared" si="1"/>
        <v>0</v>
      </c>
      <c r="AV22">
        <f t="shared" si="2"/>
        <v>0</v>
      </c>
      <c r="AW22" s="49" cm="1">
        <f t="array" ref="AW22">IF($F$11-$I$4+VLOOKUP($Q22,武学奇术!$A:$ZZ,9,FALSE)+SUM(_xlfn.XLOOKUP(R22:AH22,增益!$A:$A,增益!$I:$I,0))&gt;0,($F$11-$I$4+VLOOKUP($Q22,武学奇术!$A:$ZZ,9,FALSE)+SUM(_xlfn.XLOOKUP(R22:AH22,增益!$A:$A,增益!$I:$I,0)))/200,($F$11-$I$4+VLOOKUP($Q22,武学奇术!$A:$ZZ,9,FALSE)+SUM(_xlfn.XLOOKUP(R22:AH22,增益!$A:$A,增益!$I:$I,0)))/100)</f>
        <v>-0.14</v>
      </c>
      <c r="AX22" s="49" cm="1">
        <f t="array" ref="AX22">$G$11+VLOOKUP($Q22,武学奇术!$A:$ZZ,10,FALSE)+SUM(_xlfn.XLOOKUP(R22:AH22,增益!$A:$A,增益!$J:$J,0))</f>
        <v>0</v>
      </c>
      <c r="AY22">
        <f t="shared" si="3"/>
        <v>0</v>
      </c>
      <c r="AZ22">
        <f t="shared" si="4"/>
        <v>0</v>
      </c>
      <c r="BA22" s="49" cm="1">
        <f t="array" ref="BA22">IF($F$12-$I$4+VLOOKUP($Q22,武学奇术!$A:$ZZ,11,FALSE)+SUM(_xlfn.XLOOKUP(R22:AH22,增益!$A:$A,增益!$K:$K,0))&gt;0,($F$12-$I$4+VLOOKUP($Q22,武学奇术!$A:$ZZ,11,FALSE)+SUM(_xlfn.XLOOKUP(R22:AH22,增益!$A:$A,增益!$K:$K,0)))/200,($F$12-$I$4+VLOOKUP($Q22,武学奇术!$A:$ZZ,11,FALSE)+SUM(_xlfn.XLOOKUP(R22:AH22,增益!$A:$A,增益!$K:$K,0)))/100)</f>
        <v>-0.14</v>
      </c>
      <c r="BB22" s="49" cm="1">
        <f t="array" ref="BB22">$G$12+VLOOKUP($Q22,武学奇术!$A:$ZZ,12,FALSE)+SUM(_xlfn.XLOOKUP(R22:AH22,增益!$A:$A,增益!$L:$L,0))</f>
        <v>0</v>
      </c>
      <c r="BC22">
        <f t="shared" si="5"/>
        <v>571.2</v>
      </c>
      <c r="BD22">
        <f t="shared" si="6"/>
        <v>1077.4</v>
      </c>
      <c r="BE22" s="49" cm="1">
        <f t="array" ref="BE22">IF($F$13-$I$4+VLOOKUP($Q22,武学奇术!$A:$ZZ,13,FALSE)+SUM(_xlfn.XLOOKUP(R22:AH22,增益!$A:$A,增益!$M:$M,0))&gt;0,($F$13-$I$4+VLOOKUP($Q22,武学奇术!$A:$ZZ,13,FALSE)+SUM(_xlfn.XLOOKUP(R22:AH22,增益!$A:$A,增益!$K:$K,0)))/200,($F$13-$I$4+VLOOKUP($Q22,武学奇术!$A:$ZZ,13,FALSE)+SUM(_xlfn.XLOOKUP(R22:AH22,增益!$A:$A,增益!$M:$M,0)))/100)</f>
        <v>0.08</v>
      </c>
      <c r="BF22" s="49" cm="1">
        <f t="array" ref="BF22">$G$13+VLOOKUP($Q22,武学奇术!$A:$ZZ,14,FALSE)+SUM(_xlfn.XLOOKUP(R22:AH22,增益!$A:$A,增益!$N:$N,0))</f>
        <v>0.25</v>
      </c>
      <c r="BG22">
        <f t="shared" si="7"/>
        <v>0</v>
      </c>
      <c r="BH22">
        <f t="shared" si="8"/>
        <v>0</v>
      </c>
      <c r="BI22" s="49" cm="1">
        <f t="array" ref="BI22">IF($F$14-$I$4+VLOOKUP($Q22,武学奇术!$A:$ZZ,15,FALSE)+SUM(_xlfn.XLOOKUP(R22:AH22,增益!$A:$A,增益!$O:$O,0))&gt;0,($F$14-$I$4+VLOOKUP($Q22,武学奇术!$A:$ZZ,15,FALSE)+SUM(_xlfn.XLOOKUP(R22:AH22,增益!$A:$A,增益!$O:$O,0)))/200,($F$14-$I$4+VLOOKUP($Q22,武学奇术!$A:$ZZ,15,FALSE)+SUM(_xlfn.XLOOKUP(R22:AH22,增益!$A:$A,增益!$O:$O,0)))/100)</f>
        <v>-0.14</v>
      </c>
      <c r="BJ22" s="49" cm="1">
        <f t="array" ref="BJ22">$G$14+VLOOKUP($Q22,武学奇术!$A:$ZZ,16,FALSE)+SUM(_xlfn.XLOOKUP(R22:AH22,增益!$A:$A,增益!$P:$P,0))</f>
        <v>0</v>
      </c>
      <c r="BK22" s="41">
        <f>MIN(IF(VLOOKUP($Q22,武学奇术!$A:$ZZ,23,FALSE)=1,100%,$B$8),100%)</f>
        <v>1</v>
      </c>
      <c r="BL22" s="41" cm="1">
        <f t="array" ref="BL22">IF(VLOOKUP($Q22,武学奇术!$A:$ZZ,23,FALSE)=1,100%,MIN(80%,$B$9+VLOOKUP($Q22,武学奇术!$A:$ZZ,17,FALSE)+SUM(_xlfn.XLOOKUP(R22:AH22,增益!$A:$A,增益!$Q:$Q,0)))+$B$11+SUM(_xlfn.XLOOKUP(R22:AH22,增益!$A:$A,增益!$U:$U,0)))*IF(VLOOKUP($Q22,武学奇术!$A:$ZZ,24,FALSE)=1,0,1)</f>
        <v>0.9045</v>
      </c>
      <c r="BM22" s="41" cm="1">
        <f t="array" ref="BM22">1+$B$13+VLOOKUP($Q22,武学奇术!$A:$ZZ,18,FALSE)+SUM(_xlfn.XLOOKUP(R22:AH22,增益!$A:$A,增益!$R:$R,0))</f>
        <v>1.55</v>
      </c>
      <c r="BN22" s="41" cm="1">
        <f t="array" ref="BN22">IF(VLOOKUP($Q22,武学奇术!$A:$ZZ,24,FALSE)=1,100%,MIN(40%,$B$10+VLOOKUP($Q22,武学奇术!$A:$ZZ,19,FALSE)+SUM(_xlfn.XLOOKUP(R22:AH22,增益!$A:$A,增益!$S:$S,0)))+$B$12+SUM(_xlfn.XLOOKUP(R22:AH22,增益!$A:$A,增益!$V:$V,0)))*IF(VLOOKUP($Q22,武学奇术!$A:$ZZ,23,FALSE)=1,0,1)</f>
        <v>0.0929</v>
      </c>
      <c r="BO22" s="41" cm="1">
        <f t="array" ref="BO22">1+$B$14+VLOOKUP($Q22,武学奇术!$A:$ZZ,20,FALSE)+SUM(_xlfn.XLOOKUP(R22:AH22,增益!$A:$A,增益!$T:$T,0))</f>
        <v>1.35</v>
      </c>
      <c r="BP22" s="41">
        <f t="shared" si="9"/>
        <v>0.9045</v>
      </c>
      <c r="BQ22" s="41">
        <f t="shared" si="10"/>
        <v>0.00260000000000005</v>
      </c>
      <c r="BR22" s="41">
        <f>IF(VLOOKUP($Q22,武学奇术!$A:$ZZ,22,FALSE)=1,0,(1-$BK22))*(1-$BN22)</f>
        <v>0</v>
      </c>
      <c r="BS22" s="41" cm="1">
        <f t="array" ref="BS22">SUM(_xlfn.XLOOKUP(R22:AH22,增益!$A:$A,增益!$W:$W,0))+$I$5</f>
        <v>0.11</v>
      </c>
    </row>
    <row r="23" spans="1:71">
      <c r="A23" s="56" t="s">
        <v>144</v>
      </c>
      <c r="B23">
        <v>200</v>
      </c>
      <c r="K23" s="55">
        <f t="shared" si="0"/>
        <v>249745.327238412</v>
      </c>
      <c r="L23" s="55">
        <f>((($AP23+$AQ23)/2*$AJ23+$AK23)*(1+$AR23)*(1+$AS23)+(($AU23+$AV23)/2*IF($G$1="鸣金",$AL23,$AJ23)+IF($G$1="鸣金",$AM23*1.5,0))*(1+$AW23)*(1+$AX23)+(($AY23+$AZ23)/2*IF($G$1="裂石",$AL23,$AJ23)+IF($G$1="裂石",$AM23*1.5,0))*(1+$BA23)*(1+$BB23)+(($BC23+$BD23)/2*IF($G$1="牵丝",$AL23,$AJ23)+IF($G$1="牵丝",$AM23*1.5,0))*(1+$BE23)*(1+$BF23)+(($BG23+$BH23)/2*IF($G$1="破竹",$AL23,$AJ23)+IF($G$1="破竹",$AM23*1.5,0))*(1+$BI23)*(1+$BJ23))*(1+$AN23)*$BM23*$P23*(1+IF(VLOOKUP($Q23,武学奇术!$A:$ZZ,30,FALSE)="弹道",$B$21,0))*(1+$BS23)</f>
        <v>250214.899927044</v>
      </c>
      <c r="M23" s="55">
        <f>(($AQ23*$AJ23+$AK23)*(1+$AR23)*(1+$AS23)+($AV23*IF($G$1="鸣金",$AL23,$AJ23)+IF($G$1="鸣金",$AM23*1.5,0))*(1+$AW23)*(1+$AX23)+($AZ23*IF($G$1="裂石",$AL23,$AJ23)+IF($G$1="裂石",$AM23*1.5,0))*(1+$BA23)*(1+$BB23)+($BD23*IF($G$1="牵丝",$AL23,$AJ23)+IF($G$1="牵丝",$AM23*1.5,0))*(1+$BE23)*(1+$BF23)+($BH23*IF($G$1="破竹",$AL23,$AJ23)+IF($G$1="破竹",$AM23*1.5,0))*(1+$BI23)*(1+$BJ23))*(1+$AN23)*$BO23*$P23*(1+IF(VLOOKUP($Q23,武学奇术!$A:$ZZ,30,FALSE)="弹道",$B$21,0))*(1+$BS23)</f>
        <v>248496.701661388</v>
      </c>
      <c r="N23" s="55">
        <f>((($AP23+$AQ23)/2*$AJ23+$AK23)*(1+$AR23)*(1+$AS23)+(($AU23+$AV23)/2*IF($G$1="鸣金",$AL23,$AJ23)+IF($G$1="鸣金",$AM23*1.5,0))*(1+$AW23)*(1+$AX23)+(($AY23+$AZ23)/2*IF($G$1="裂石",$AL23,$AJ23)+IF($G$1="裂石",$AM23*1.5,0))*(1+$BA23)*(1+$BB23)+(($BC23+$BD23)/2*IF($G$1="牵丝",$AL23,$AJ23)+IF($G$1="牵丝",$AM23*1.5,0))*(1+$BE23)*(1+$BF23)+(($BG23+$BH23)/2*IF($G$1="破竹",$AL23,$AJ23)+IF($G$1="破竹",$AM23*1.5,0))*(1+$BI23)*(1+$BJ23))*(1+$AN23)*$P23*(1+IF(VLOOKUP($Q23,武学奇术!$A:$ZZ,30,FALSE)="弹道",$B$21,0))*(1+$BS23)</f>
        <v>131002.565406829</v>
      </c>
      <c r="O23" s="55">
        <f>((($AP23*$AJ23+$AK23)*(1+$AR23)*(1+$AS23)+($AU23*IF($G$1="鸣金",$AL23,$AJ23)+IF($G$1="鸣金",$AM23*1.5,0))*(1+$AW23)*(1+$AX23)+($AY23*IF($G$1="裂石",$AL23,$AJ23)+IF($G$1="裂石",$AM23*1.5,0))*(1+$BA23)*(1+$BB23)+($BC23*IF($G$1="牵丝",$AL23,$AJ23)+IF($G$1="牵丝",$AM23*1.5,0))*(1+$BE23)*(1+$BF23)+($BG23*IF($G$1="破竹",$AL23,$AJ23)+IF($G$1="破竹",$AM23*1.5,0))*(1+$BI23)*(1+$BJ23))*(1+$AN23))*$P23*(1+IF(VLOOKUP($Q23,武学奇术!$A:$ZZ,30,FALSE)="弹道",$B$21,0))*(1+$BS23)</f>
        <v>77933.4999533705</v>
      </c>
      <c r="P23" s="56">
        <v>4</v>
      </c>
      <c r="Q23" s="57" t="s">
        <v>102</v>
      </c>
      <c r="R23" s="57" t="s">
        <v>116</v>
      </c>
      <c r="S23" s="57" t="s">
        <v>143</v>
      </c>
      <c r="T23" s="57" t="s">
        <v>92</v>
      </c>
      <c r="U23" s="57" t="s">
        <v>107</v>
      </c>
      <c r="V23" s="57" t="s">
        <v>86</v>
      </c>
      <c r="W23" s="57" t="s">
        <v>72</v>
      </c>
      <c r="X23" s="57" t="s">
        <v>72</v>
      </c>
      <c r="Y23" s="57" t="s">
        <v>72</v>
      </c>
      <c r="Z23" s="57" t="s">
        <v>113</v>
      </c>
      <c r="AA23" s="57" t="s">
        <v>72</v>
      </c>
      <c r="AB23" s="57" t="s">
        <v>96</v>
      </c>
      <c r="AC23" s="57" t="s">
        <v>72</v>
      </c>
      <c r="AD23" s="57" t="s">
        <v>72</v>
      </c>
      <c r="AE23" s="57" t="s">
        <v>72</v>
      </c>
      <c r="AF23" s="57" t="s">
        <v>72</v>
      </c>
      <c r="AG23" s="57" t="s">
        <v>72</v>
      </c>
      <c r="AH23" s="57" t="s">
        <v>87</v>
      </c>
      <c r="AI23" t="str">
        <f>VLOOKUP($Q23,武学奇术!$A:$ZZ,25,FALSE)</f>
        <v>伞</v>
      </c>
      <c r="AJ23" s="41">
        <f>VLOOKUP($Q23,武学奇术!$A:$ZZ,26,FALSE)</f>
        <v>1.174955</v>
      </c>
      <c r="AK23" s="42">
        <f>VLOOKUP($Q23,武学奇术!$A:$ZZ,27,FALSE)*(1+IF(OR($AI23=$F$4,$AI23=$F$5),$B$22,0))</f>
        <v>454.02</v>
      </c>
      <c r="AL23" s="41">
        <f>VLOOKUP($Q23,武学奇术!$A:$ZZ,28,FALSE)</f>
        <v>1.762375</v>
      </c>
      <c r="AM23" s="42">
        <f>VLOOKUP($Q23,武学奇术!$A:$ZZ,29,FALSE)*(1+IF(OR($AI23=$F$4,$AI23=$F$5),$B$22,0))</f>
        <v>247.94</v>
      </c>
      <c r="AN23" s="41" cm="1">
        <f t="array" ref="AN23">$G$3+IFERROR(VLOOKUP($AI23,$F$4:$G$7,2,FALSE),0)+VLOOKUP($Q23,武学奇术!$A:$ZZ,2,FALSE)+SUM(_xlfn.XLOOKUP($R23:$AH23,增益!$A:$A,增益!$B:$B,0))</f>
        <v>1.2041</v>
      </c>
      <c r="AO23" s="41" cm="1">
        <f t="array" ref="AO23">VLOOKUP($Q23,武学奇术!$A:$ZZ,5,FALSE)+SUM(_xlfn.XLOOKUP($R23:$AH23,增益!$A:$A,增益!$E:$E,0))</f>
        <v>0.075</v>
      </c>
      <c r="AP23" cm="1">
        <f t="array" ref="AP23">$D$10*(1+$AO23)+VLOOKUP($Q23,武学奇术!$A:$ZZ,3,FALSE)+SUM(_xlfn.XLOOKUP($R23:$AH23,增益!$A:$A,增益!$C:$C,0))-$I$2</f>
        <v>1974.055</v>
      </c>
      <c r="AQ23" cm="1">
        <f t="array" ref="AQ23">$E$10*(1+$AO23)+VLOOKUP($Q23,武学奇术!$A:$ZZ,4,FALSE)+SUM(_xlfn.XLOOKUP($R23:$AH23,增益!$A:$A,增益!$D:$D,0))-$I$2</f>
        <v>5941.45</v>
      </c>
      <c r="AR23" s="49" cm="1">
        <f t="array" ref="AR23">IF($F$10-$I$3+VLOOKUP($Q23,武学奇术!$A:$ZZ,6,FALSE)+SUM(_xlfn.XLOOKUP(R23:AH23,增益!$A:$A,增益!$F:$F,0))&gt;0,($F$10-$I$3+VLOOKUP($Q23,武学奇术!$A:$ZZ,6,FALSE)+SUM(_xlfn.XLOOKUP(R23:AH23,增益!$A:$A,增益!$F:$F,0)))/200,($F$10-$I$3+VLOOKUP($Q23,武学奇术!$A:$ZZ,6,FALSE)+SUM(_xlfn.XLOOKUP(R23:AH23,增益!$A:$A,增益!$F:$F,0)))/100)</f>
        <v>0.3675</v>
      </c>
      <c r="AS23" s="49" cm="1">
        <f t="array" ref="AS23">$G$10+VLOOKUP($Q23,武学奇术!$A:$ZZ,7,FALSE)+SUM(_xlfn.XLOOKUP(R23:AH23,增益!$A:$A,增益!$G:$G,0))</f>
        <v>0.1</v>
      </c>
      <c r="AT23" s="41" cm="1">
        <f t="array" ref="AT23">VLOOKUP($Q23,武学奇术!$A:$ZZ,8,FALSE)+SUM(_xlfn.XLOOKUP(R23:AH23,增益!$A:$A,增益!$H:$H,0))</f>
        <v>0</v>
      </c>
      <c r="AU23">
        <f t="shared" si="1"/>
        <v>0</v>
      </c>
      <c r="AV23">
        <f t="shared" si="2"/>
        <v>0</v>
      </c>
      <c r="AW23" s="49" cm="1">
        <f t="array" ref="AW23">IF($F$11-$I$4+VLOOKUP($Q23,武学奇术!$A:$ZZ,9,FALSE)+SUM(_xlfn.XLOOKUP(R23:AH23,增益!$A:$A,增益!$I:$I,0))&gt;0,($F$11-$I$4+VLOOKUP($Q23,武学奇术!$A:$ZZ,9,FALSE)+SUM(_xlfn.XLOOKUP(R23:AH23,增益!$A:$A,增益!$I:$I,0)))/200,($F$11-$I$4+VLOOKUP($Q23,武学奇术!$A:$ZZ,9,FALSE)+SUM(_xlfn.XLOOKUP(R23:AH23,增益!$A:$A,增益!$I:$I,0)))/100)</f>
        <v>-0.14</v>
      </c>
      <c r="AX23" s="49" cm="1">
        <f t="array" ref="AX23">$G$11+VLOOKUP($Q23,武学奇术!$A:$ZZ,10,FALSE)+SUM(_xlfn.XLOOKUP(R23:AH23,增益!$A:$A,增益!$J:$J,0))</f>
        <v>0</v>
      </c>
      <c r="AY23">
        <f t="shared" si="3"/>
        <v>0</v>
      </c>
      <c r="AZ23">
        <f t="shared" si="4"/>
        <v>0</v>
      </c>
      <c r="BA23" s="49" cm="1">
        <f t="array" ref="BA23">IF($F$12-$I$4+VLOOKUP($Q23,武学奇术!$A:$ZZ,11,FALSE)+SUM(_xlfn.XLOOKUP(R23:AH23,增益!$A:$A,增益!$K:$K,0))&gt;0,($F$12-$I$4+VLOOKUP($Q23,武学奇术!$A:$ZZ,11,FALSE)+SUM(_xlfn.XLOOKUP(R23:AH23,增益!$A:$A,增益!$K:$K,0)))/200,($F$12-$I$4+VLOOKUP($Q23,武学奇术!$A:$ZZ,11,FALSE)+SUM(_xlfn.XLOOKUP(R23:AH23,增益!$A:$A,增益!$K:$K,0)))/100)</f>
        <v>-0.14</v>
      </c>
      <c r="BB23" s="49" cm="1">
        <f t="array" ref="BB23">$G$12+VLOOKUP($Q23,武学奇术!$A:$ZZ,12,FALSE)+SUM(_xlfn.XLOOKUP(R23:AH23,增益!$A:$A,增益!$L:$L,0))</f>
        <v>0</v>
      </c>
      <c r="BC23">
        <f t="shared" si="5"/>
        <v>571.2</v>
      </c>
      <c r="BD23">
        <f t="shared" si="6"/>
        <v>1077.4</v>
      </c>
      <c r="BE23" s="49" cm="1">
        <f t="array" ref="BE23">IF($F$13-$I$4+VLOOKUP($Q23,武学奇术!$A:$ZZ,13,FALSE)+SUM(_xlfn.XLOOKUP(R23:AH23,增益!$A:$A,增益!$M:$M,0))&gt;0,($F$13-$I$4+VLOOKUP($Q23,武学奇术!$A:$ZZ,13,FALSE)+SUM(_xlfn.XLOOKUP(R23:AH23,增益!$A:$A,增益!$K:$K,0)))/200,($F$13-$I$4+VLOOKUP($Q23,武学奇术!$A:$ZZ,13,FALSE)+SUM(_xlfn.XLOOKUP(R23:AH23,增益!$A:$A,增益!$M:$M,0)))/100)</f>
        <v>0.08</v>
      </c>
      <c r="BF23" s="49" cm="1">
        <f t="array" ref="BF23">$G$13+VLOOKUP($Q23,武学奇术!$A:$ZZ,14,FALSE)+SUM(_xlfn.XLOOKUP(R23:AH23,增益!$A:$A,增益!$N:$N,0))</f>
        <v>0.25</v>
      </c>
      <c r="BG23">
        <f t="shared" si="7"/>
        <v>0</v>
      </c>
      <c r="BH23">
        <f t="shared" si="8"/>
        <v>0</v>
      </c>
      <c r="BI23" s="49" cm="1">
        <f t="array" ref="BI23">IF($F$14-$I$4+VLOOKUP($Q23,武学奇术!$A:$ZZ,15,FALSE)+SUM(_xlfn.XLOOKUP(R23:AH23,增益!$A:$A,增益!$O:$O,0))&gt;0,($F$14-$I$4+VLOOKUP($Q23,武学奇术!$A:$ZZ,15,FALSE)+SUM(_xlfn.XLOOKUP(R23:AH23,增益!$A:$A,增益!$O:$O,0)))/200,($F$14-$I$4+VLOOKUP($Q23,武学奇术!$A:$ZZ,15,FALSE)+SUM(_xlfn.XLOOKUP(R23:AH23,增益!$A:$A,增益!$O:$O,0)))/100)</f>
        <v>-0.14</v>
      </c>
      <c r="BJ23" s="49" cm="1">
        <f t="array" ref="BJ23">$G$14+VLOOKUP($Q23,武学奇术!$A:$ZZ,16,FALSE)+SUM(_xlfn.XLOOKUP(R23:AH23,增益!$A:$A,增益!$P:$P,0))</f>
        <v>0</v>
      </c>
      <c r="BK23" s="41">
        <f>MIN(IF(VLOOKUP($Q23,武学奇术!$A:$ZZ,23,FALSE)=1,100%,$B$8),100%)</f>
        <v>1</v>
      </c>
      <c r="BL23" s="41" cm="1">
        <f t="array" ref="BL23">IF(VLOOKUP($Q23,武学奇术!$A:$ZZ,23,FALSE)=1,100%,MIN(80%,$B$9+VLOOKUP($Q23,武学奇术!$A:$ZZ,17,FALSE)+SUM(_xlfn.XLOOKUP(R23:AH23,增益!$A:$A,增益!$Q:$Q,0)))+$B$11+SUM(_xlfn.XLOOKUP(R23:AH23,增益!$A:$A,增益!$U:$U,0)))*IF(VLOOKUP($Q23,武学奇术!$A:$ZZ,24,FALSE)=1,0,1)</f>
        <v>0.9045</v>
      </c>
      <c r="BM23" s="41" cm="1">
        <f t="array" ref="BM23">1+$B$13+VLOOKUP($Q23,武学奇术!$A:$ZZ,18,FALSE)+SUM(_xlfn.XLOOKUP(R23:AH23,增益!$A:$A,增益!$R:$R,0))</f>
        <v>1.91</v>
      </c>
      <c r="BN23" s="41" cm="1">
        <f t="array" ref="BN23">IF(VLOOKUP($Q23,武学奇术!$A:$ZZ,24,FALSE)=1,100%,MIN(40%,$B$10+VLOOKUP($Q23,武学奇术!$A:$ZZ,19,FALSE)+SUM(_xlfn.XLOOKUP(R23:AH23,增益!$A:$A,增益!$S:$S,0)))+$B$12+SUM(_xlfn.XLOOKUP(R23:AH23,增益!$A:$A,增益!$V:$V,0)))*IF(VLOOKUP($Q23,武学奇术!$A:$ZZ,23,FALSE)=1,0,1)</f>
        <v>0.0929</v>
      </c>
      <c r="BO23" s="41" cm="1">
        <f t="array" ref="BO23">1+$B$14+VLOOKUP($Q23,武学奇术!$A:$ZZ,20,FALSE)+SUM(_xlfn.XLOOKUP(R23:AH23,增益!$A:$A,增益!$T:$T,0))</f>
        <v>1.35</v>
      </c>
      <c r="BP23" s="41">
        <f t="shared" si="9"/>
        <v>0.9045</v>
      </c>
      <c r="BQ23" s="41">
        <f t="shared" si="10"/>
        <v>0.00260000000000005</v>
      </c>
      <c r="BR23" s="41">
        <f>IF(VLOOKUP($Q23,武学奇术!$A:$ZZ,22,FALSE)=1,0,(1-$BK23))*(1-$BN23)</f>
        <v>0</v>
      </c>
      <c r="BS23" s="41" cm="1">
        <f t="array" ref="BS23">SUM(_xlfn.XLOOKUP(R23:AH23,增益!$A:$A,增益!$W:$W,0))+$I$5</f>
        <v>0.11</v>
      </c>
    </row>
    <row r="24" spans="1:71">
      <c r="A24" s="56"/>
      <c r="B24">
        <v>400</v>
      </c>
      <c r="K24" s="55">
        <f t="shared" si="0"/>
        <v>376395.368163775</v>
      </c>
      <c r="L24" s="55">
        <f>((($AP24+$AQ24)/2*$AJ24+$AK24)*(1+$AR24)*(1+$AS24)+(($AU24+$AV24)/2*IF($G$1="鸣金",$AL24,$AJ24)+IF($G$1="鸣金",$AM24*1.5,0))*(1+$AW24)*(1+$AX24)+(($AY24+$AZ24)/2*IF($G$1="裂石",$AL24,$AJ24)+IF($G$1="裂石",$AM24*1.5,0))*(1+$BA24)*(1+$BB24)+(($BC24+$BD24)/2*IF($G$1="牵丝",$AL24,$AJ24)+IF($G$1="牵丝",$AM24*1.5,0))*(1+$BE24)*(1+$BF24)+(($BG24+$BH24)/2*IF($G$1="破竹",$AL24,$AJ24)+IF($G$1="破竹",$AM24*1.5,0))*(1+$BI24)*(1+$BJ24))*(1+$AN24)*$BM24*$P24*(1+IF(VLOOKUP($Q24,武学奇术!$A:$ZZ,30,FALSE)="弹道",$B$21,0))*(1+$BS24)</f>
        <v>377287.388371668</v>
      </c>
      <c r="M24" s="55">
        <f>(($AQ24*$AJ24+$AK24)*(1+$AR24)*(1+$AS24)+($AV24*IF($G$1="鸣金",$AL24,$AJ24)+IF($G$1="鸣金",$AM24*1.5,0))*(1+$AW24)*(1+$AX24)+($AZ24*IF($G$1="裂石",$AL24,$AJ24)+IF($G$1="裂石",$AM24*1.5,0))*(1+$BA24)*(1+$BB24)+($BD24*IF($G$1="牵丝",$AL24,$AJ24)+IF($G$1="牵丝",$AM24*1.5,0))*(1+$BE24)*(1+$BF24)+($BH24*IF($G$1="破竹",$AL24,$AJ24)+IF($G$1="破竹",$AM24*1.5,0))*(1+$BI24)*(1+$BJ24))*(1+$AN24)*$BO24*$P24*(1+IF(VLOOKUP($Q24,武学奇术!$A:$ZZ,30,FALSE)="弹道",$B$21,0))*(1+$BS24)</f>
        <v>372745.052492083</v>
      </c>
      <c r="N24" s="55">
        <f>((($AP24+$AQ24)/2*$AJ24+$AK24)*(1+$AR24)*(1+$AS24)+(($AU24+$AV24)/2*IF($G$1="鸣金",$AL24,$AJ24)+IF($G$1="鸣金",$AM24*1.5,0))*(1+$AW24)*(1+$AX24)+(($AY24+$AZ24)/2*IF($G$1="裂石",$AL24,$AJ24)+IF($G$1="裂石",$AM24*1.5,0))*(1+$BA24)*(1+$BB24)+(($BC24+$BD24)/2*IF($G$1="牵丝",$AL24,$AJ24)+IF($G$1="牵丝",$AM24*1.5,0))*(1+$BE24)*(1+$BF24)+(($BG24+$BH24)/2*IF($G$1="破竹",$AL24,$AJ24)+IF($G$1="破竹",$AM24*1.5,0))*(1+$BI24)*(1+$BJ24))*(1+$AN24)*$P24*(1+IF(VLOOKUP($Q24,武学奇术!$A:$ZZ,30,FALSE)="弹道",$B$21,0))*(1+$BS24)</f>
        <v>196503.848110244</v>
      </c>
      <c r="O24" s="55">
        <f>((($AP24*$AJ24+$AK24)*(1+$AR24)*(1+$AS24)+($AU24*IF($G$1="鸣金",$AL24,$AJ24)+IF($G$1="鸣金",$AM24*1.5,0))*(1+$AW24)*(1+$AX24)+($AY24*IF($G$1="裂石",$AL24,$AJ24)+IF($G$1="裂石",$AM24*1.5,0))*(1+$BA24)*(1+$BB24)+($BC24*IF($G$1="牵丝",$AL24,$AJ24)+IF($G$1="牵丝",$AM24*1.5,0))*(1+$BE24)*(1+$BF24)+($BG24*IF($G$1="破竹",$AL24,$AJ24)+IF($G$1="破竹",$AM24*1.5,0))*(1+$BI24)*(1+$BJ24))*(1+$AN24))*$P24*(1+IF(VLOOKUP($Q24,武学奇术!$A:$ZZ,30,FALSE)="弹道",$B$21,0))*(1+$BS24)</f>
        <v>116900.249930056</v>
      </c>
      <c r="P24" s="56">
        <v>6</v>
      </c>
      <c r="Q24" s="57" t="s">
        <v>102</v>
      </c>
      <c r="R24" s="57" t="s">
        <v>116</v>
      </c>
      <c r="S24" s="57" t="s">
        <v>145</v>
      </c>
      <c r="T24" s="57" t="s">
        <v>92</v>
      </c>
      <c r="U24" s="57" t="s">
        <v>107</v>
      </c>
      <c r="V24" s="57" t="s">
        <v>86</v>
      </c>
      <c r="W24" s="57" t="s">
        <v>72</v>
      </c>
      <c r="X24" s="57" t="s">
        <v>72</v>
      </c>
      <c r="Y24" s="57" t="s">
        <v>72</v>
      </c>
      <c r="Z24" s="57" t="s">
        <v>113</v>
      </c>
      <c r="AA24" s="57" t="s">
        <v>72</v>
      </c>
      <c r="AB24" s="57" t="s">
        <v>96</v>
      </c>
      <c r="AC24" s="57" t="s">
        <v>72</v>
      </c>
      <c r="AD24" s="57" t="s">
        <v>72</v>
      </c>
      <c r="AE24" s="57" t="s">
        <v>72</v>
      </c>
      <c r="AF24" s="57" t="s">
        <v>72</v>
      </c>
      <c r="AG24" s="57" t="s">
        <v>72</v>
      </c>
      <c r="AH24" s="57" t="s">
        <v>87</v>
      </c>
      <c r="AI24" t="str">
        <f>VLOOKUP($Q24,武学奇术!$A:$ZZ,25,FALSE)</f>
        <v>伞</v>
      </c>
      <c r="AJ24" s="41">
        <f>VLOOKUP($Q24,武学奇术!$A:$ZZ,26,FALSE)</f>
        <v>1.174955</v>
      </c>
      <c r="AK24" s="42">
        <f>VLOOKUP($Q24,武学奇术!$A:$ZZ,27,FALSE)*(1+IF(OR($AI24=$F$4,$AI24=$F$5),$B$22,0))</f>
        <v>454.02</v>
      </c>
      <c r="AL24" s="41">
        <f>VLOOKUP($Q24,武学奇术!$A:$ZZ,28,FALSE)</f>
        <v>1.762375</v>
      </c>
      <c r="AM24" s="42">
        <f>VLOOKUP($Q24,武学奇术!$A:$ZZ,29,FALSE)*(1+IF(OR($AI24=$F$4,$AI24=$F$5),$B$22,0))</f>
        <v>247.94</v>
      </c>
      <c r="AN24" s="41" cm="1">
        <f t="array" ref="AN24">$G$3+IFERROR(VLOOKUP($AI24,$F$4:$G$7,2,FALSE),0)+VLOOKUP($Q24,武学奇术!$A:$ZZ,2,FALSE)+SUM(_xlfn.XLOOKUP($R24:$AH24,增益!$A:$A,增益!$B:$B,0))</f>
        <v>1.2041</v>
      </c>
      <c r="AO24" s="41" cm="1">
        <f t="array" ref="AO24">VLOOKUP($Q24,武学奇术!$A:$ZZ,5,FALSE)+SUM(_xlfn.XLOOKUP($R24:$AH24,增益!$A:$A,增益!$E:$E,0))</f>
        <v>0.075</v>
      </c>
      <c r="AP24" cm="1">
        <f t="array" ref="AP24">$D$10*(1+$AO24)+VLOOKUP($Q24,武学奇术!$A:$ZZ,3,FALSE)+SUM(_xlfn.XLOOKUP($R24:$AH24,增益!$A:$A,增益!$C:$C,0))-$I$2</f>
        <v>1974.055</v>
      </c>
      <c r="AQ24" cm="1">
        <f t="array" ref="AQ24">$E$10*(1+$AO24)+VLOOKUP($Q24,武学奇术!$A:$ZZ,4,FALSE)+SUM(_xlfn.XLOOKUP($R24:$AH24,增益!$A:$A,增益!$D:$D,0))-$I$2</f>
        <v>5941.45</v>
      </c>
      <c r="AR24" s="49" cm="1">
        <f t="array" ref="AR24">IF($F$10-$I$3+VLOOKUP($Q24,武学奇术!$A:$ZZ,6,FALSE)+SUM(_xlfn.XLOOKUP(R24:AH24,增益!$A:$A,增益!$F:$F,0))&gt;0,($F$10-$I$3+VLOOKUP($Q24,武学奇术!$A:$ZZ,6,FALSE)+SUM(_xlfn.XLOOKUP(R24:AH24,增益!$A:$A,增益!$F:$F,0)))/200,($F$10-$I$3+VLOOKUP($Q24,武学奇术!$A:$ZZ,6,FALSE)+SUM(_xlfn.XLOOKUP(R24:AH24,增益!$A:$A,增益!$F:$F,0)))/100)</f>
        <v>0.3675</v>
      </c>
      <c r="AS24" s="49" cm="1">
        <f t="array" ref="AS24">$G$10+VLOOKUP($Q24,武学奇术!$A:$ZZ,7,FALSE)+SUM(_xlfn.XLOOKUP(R24:AH24,增益!$A:$A,增益!$G:$G,0))</f>
        <v>0.1</v>
      </c>
      <c r="AT24" s="41" cm="1">
        <f t="array" ref="AT24">VLOOKUP($Q24,武学奇术!$A:$ZZ,8,FALSE)+SUM(_xlfn.XLOOKUP(R24:AH24,增益!$A:$A,增益!$H:$H,0))</f>
        <v>0</v>
      </c>
      <c r="AU24">
        <f t="shared" si="1"/>
        <v>0</v>
      </c>
      <c r="AV24">
        <f t="shared" si="2"/>
        <v>0</v>
      </c>
      <c r="AW24" s="49" cm="1">
        <f t="array" ref="AW24">IF($F$11-$I$4+VLOOKUP($Q24,武学奇术!$A:$ZZ,9,FALSE)+SUM(_xlfn.XLOOKUP(R24:AH24,增益!$A:$A,增益!$I:$I,0))&gt;0,($F$11-$I$4+VLOOKUP($Q24,武学奇术!$A:$ZZ,9,FALSE)+SUM(_xlfn.XLOOKUP(R24:AH24,增益!$A:$A,增益!$I:$I,0)))/200,($F$11-$I$4+VLOOKUP($Q24,武学奇术!$A:$ZZ,9,FALSE)+SUM(_xlfn.XLOOKUP(R24:AH24,增益!$A:$A,增益!$I:$I,0)))/100)</f>
        <v>-0.14</v>
      </c>
      <c r="AX24" s="49" cm="1">
        <f t="array" ref="AX24">$G$11+VLOOKUP($Q24,武学奇术!$A:$ZZ,10,FALSE)+SUM(_xlfn.XLOOKUP(R24:AH24,增益!$A:$A,增益!$J:$J,0))</f>
        <v>0</v>
      </c>
      <c r="AY24">
        <f t="shared" si="3"/>
        <v>0</v>
      </c>
      <c r="AZ24">
        <f t="shared" si="4"/>
        <v>0</v>
      </c>
      <c r="BA24" s="49" cm="1">
        <f t="array" ref="BA24">IF($F$12-$I$4+VLOOKUP($Q24,武学奇术!$A:$ZZ,11,FALSE)+SUM(_xlfn.XLOOKUP(R24:AH24,增益!$A:$A,增益!$K:$K,0))&gt;0,($F$12-$I$4+VLOOKUP($Q24,武学奇术!$A:$ZZ,11,FALSE)+SUM(_xlfn.XLOOKUP(R24:AH24,增益!$A:$A,增益!$K:$K,0)))/200,($F$12-$I$4+VLOOKUP($Q24,武学奇术!$A:$ZZ,11,FALSE)+SUM(_xlfn.XLOOKUP(R24:AH24,增益!$A:$A,增益!$K:$K,0)))/100)</f>
        <v>-0.14</v>
      </c>
      <c r="BB24" s="49" cm="1">
        <f t="array" ref="BB24">$G$12+VLOOKUP($Q24,武学奇术!$A:$ZZ,12,FALSE)+SUM(_xlfn.XLOOKUP(R24:AH24,增益!$A:$A,增益!$L:$L,0))</f>
        <v>0</v>
      </c>
      <c r="BC24">
        <f t="shared" si="5"/>
        <v>571.2</v>
      </c>
      <c r="BD24">
        <f t="shared" si="6"/>
        <v>1077.4</v>
      </c>
      <c r="BE24" s="49" cm="1">
        <f t="array" ref="BE24">IF($F$13-$I$4+VLOOKUP($Q24,武学奇术!$A:$ZZ,13,FALSE)+SUM(_xlfn.XLOOKUP(R24:AH24,增益!$A:$A,增益!$M:$M,0))&gt;0,($F$13-$I$4+VLOOKUP($Q24,武学奇术!$A:$ZZ,13,FALSE)+SUM(_xlfn.XLOOKUP(R24:AH24,增益!$A:$A,增益!$K:$K,0)))/200,($F$13-$I$4+VLOOKUP($Q24,武学奇术!$A:$ZZ,13,FALSE)+SUM(_xlfn.XLOOKUP(R24:AH24,增益!$A:$A,增益!$M:$M,0)))/100)</f>
        <v>0.08</v>
      </c>
      <c r="BF24" s="49" cm="1">
        <f t="array" ref="BF24">$G$13+VLOOKUP($Q24,武学奇术!$A:$ZZ,14,FALSE)+SUM(_xlfn.XLOOKUP(R24:AH24,增益!$A:$A,增益!$N:$N,0))</f>
        <v>0.25</v>
      </c>
      <c r="BG24">
        <f t="shared" si="7"/>
        <v>0</v>
      </c>
      <c r="BH24">
        <f t="shared" si="8"/>
        <v>0</v>
      </c>
      <c r="BI24" s="49" cm="1">
        <f t="array" ref="BI24">IF($F$14-$I$4+VLOOKUP($Q24,武学奇术!$A:$ZZ,15,FALSE)+SUM(_xlfn.XLOOKUP(R24:AH24,增益!$A:$A,增益!$O:$O,0))&gt;0,($F$14-$I$4+VLOOKUP($Q24,武学奇术!$A:$ZZ,15,FALSE)+SUM(_xlfn.XLOOKUP(R24:AH24,增益!$A:$A,增益!$O:$O,0)))/200,($F$14-$I$4+VLOOKUP($Q24,武学奇术!$A:$ZZ,15,FALSE)+SUM(_xlfn.XLOOKUP(R24:AH24,增益!$A:$A,增益!$O:$O,0)))/100)</f>
        <v>-0.14</v>
      </c>
      <c r="BJ24" s="49" cm="1">
        <f t="array" ref="BJ24">$G$14+VLOOKUP($Q24,武学奇术!$A:$ZZ,16,FALSE)+SUM(_xlfn.XLOOKUP(R24:AH24,增益!$A:$A,增益!$P:$P,0))</f>
        <v>0</v>
      </c>
      <c r="BK24" s="41">
        <f>MIN(IF(VLOOKUP($Q24,武学奇术!$A:$ZZ,23,FALSE)=1,100%,$B$8),100%)</f>
        <v>1</v>
      </c>
      <c r="BL24" s="41" cm="1">
        <f t="array" ref="BL24">IF(VLOOKUP($Q24,武学奇术!$A:$ZZ,23,FALSE)=1,100%,MIN(80%,$B$9+VLOOKUP($Q24,武学奇术!$A:$ZZ,17,FALSE)+SUM(_xlfn.XLOOKUP(R24:AH24,增益!$A:$A,增益!$Q:$Q,0)))+$B$11+SUM(_xlfn.XLOOKUP(R24:AH24,增益!$A:$A,增益!$U:$U,0)))*IF(VLOOKUP($Q24,武学奇术!$A:$ZZ,24,FALSE)=1,0,1)</f>
        <v>0.9045</v>
      </c>
      <c r="BM24" s="41" cm="1">
        <f t="array" ref="BM24">1+$B$13+VLOOKUP($Q24,武学奇术!$A:$ZZ,18,FALSE)+SUM(_xlfn.XLOOKUP(R24:AH24,增益!$A:$A,增益!$R:$R,0))</f>
        <v>1.92</v>
      </c>
      <c r="BN24" s="41" cm="1">
        <f t="array" ref="BN24">IF(VLOOKUP($Q24,武学奇术!$A:$ZZ,24,FALSE)=1,100%,MIN(40%,$B$10+VLOOKUP($Q24,武学奇术!$A:$ZZ,19,FALSE)+SUM(_xlfn.XLOOKUP(R24:AH24,增益!$A:$A,增益!$S:$S,0)))+$B$12+SUM(_xlfn.XLOOKUP(R24:AH24,增益!$A:$A,增益!$V:$V,0)))*IF(VLOOKUP($Q24,武学奇术!$A:$ZZ,23,FALSE)=1,0,1)</f>
        <v>0.0929</v>
      </c>
      <c r="BO24" s="41" cm="1">
        <f t="array" ref="BO24">1+$B$14+VLOOKUP($Q24,武学奇术!$A:$ZZ,20,FALSE)+SUM(_xlfn.XLOOKUP(R24:AH24,增益!$A:$A,增益!$T:$T,0))</f>
        <v>1.35</v>
      </c>
      <c r="BP24" s="41">
        <f t="shared" si="9"/>
        <v>0.9045</v>
      </c>
      <c r="BQ24" s="41">
        <f t="shared" si="10"/>
        <v>0.00260000000000005</v>
      </c>
      <c r="BR24" s="41">
        <f>IF(VLOOKUP($Q24,武学奇术!$A:$ZZ,22,FALSE)=1,0,(1-$BK24))*(1-$BN24)</f>
        <v>0</v>
      </c>
      <c r="BS24" s="41" cm="1">
        <f t="array" ref="BS24">SUM(_xlfn.XLOOKUP(R24:AH24,增益!$A:$A,增益!$W:$W,0))+$I$5</f>
        <v>0.11</v>
      </c>
    </row>
    <row r="25" spans="1:71">
      <c r="K25" s="55">
        <f t="shared" si="0"/>
        <v>18550.2560075705</v>
      </c>
      <c r="L25" s="55">
        <f>((($AP25+$AQ25)/2*$AJ25+$AK25)*(1+$AR25)*(1+$AS25)+(($AU25+$AV25)/2*IF($G$1="鸣金",$AL25,$AJ25)+IF($G$1="鸣金",$AM25*1.5,0))*(1+$AW25)*(1+$AX25)+(($AY25+$AZ25)/2*IF($G$1="裂石",$AL25,$AJ25)+IF($G$1="裂石",$AM25*1.5,0))*(1+$BA25)*(1+$BB25)+(($BC25+$BD25)/2*IF($G$1="牵丝",$AL25,$AJ25)+IF($G$1="牵丝",$AM25*1.5,0))*(1+$BE25)*(1+$BF25)+(($BG25+$BH25)/2*IF($G$1="破竹",$AL25,$AJ25)+IF($G$1="破竹",$AM25*1.5,0))*(1+$BI25)*(1+$BJ25))*(1+$AN25)*$BM25*$P25*(1+IF(VLOOKUP($Q25,武学奇术!$A:$ZZ,30,FALSE)="弹道",$B$21,0))*(1+$BS25)</f>
        <v>18190.8273124082</v>
      </c>
      <c r="M25" s="55">
        <f>(($AQ25*$AJ25+$AK25)*(1+$AR25)*(1+$AS25)+($AV25*IF($G$1="鸣金",$AL25,$AJ25)+IF($G$1="鸣金",$AM25*1.5,0))*(1+$AW25)*(1+$AX25)+($AZ25*IF($G$1="裂石",$AL25,$AJ25)+IF($G$1="裂石",$AM25*1.5,0))*(1+$BA25)*(1+$BB25)+($BD25*IF($G$1="牵丝",$AL25,$AJ25)+IF($G$1="牵丝",$AM25*1.5,0))*(1+$BE25)*(1+$BF25)+($BH25*IF($G$1="破竹",$AL25,$AJ25)+IF($G$1="破竹",$AM25*1.5,0))*(1+$BI25)*(1+$BJ25))*(1+$AN25)*$BO25*$P25*(1+IF(VLOOKUP($Q25,武学奇术!$A:$ZZ,30,FALSE)="弹道",$B$21,0))*(1+$BS25)</f>
        <v>22240.463484208</v>
      </c>
      <c r="N25" s="55">
        <f>((($AP25+$AQ25)/2*$AJ25+$AK25)*(1+$AR25)*(1+$AS25)+(($AU25+$AV25)/2*IF($G$1="鸣金",$AL25,$AJ25)+IF($G$1="鸣金",$AM25*1.5,0))*(1+$AW25)*(1+$AX25)+(($AY25+$AZ25)/2*IF($G$1="裂石",$AL25,$AJ25)+IF($G$1="裂石",$AM25*1.5,0))*(1+$BA25)*(1+$BB25)+(($BC25+$BD25)/2*IF($G$1="牵丝",$AL25,$AJ25)+IF($G$1="牵丝",$AM25*1.5,0))*(1+$BE25)*(1+$BF25)+(($BG25+$BH25)/2*IF($G$1="破竹",$AL25,$AJ25)+IF($G$1="破竹",$AM25*1.5,0))*(1+$BI25)*(1+$BJ25))*(1+$AN25)*$P25*(1+IF(VLOOKUP($Q25,武学奇术!$A:$ZZ,30,FALSE)="弹道",$B$21,0))*(1+$BS25)</f>
        <v>11736.0176209085</v>
      </c>
      <c r="O25" s="55">
        <f>((($AP25*$AJ25+$AK25)*(1+$AR25)*(1+$AS25)+($AU25*IF($G$1="鸣金",$AL25,$AJ25)+IF($G$1="鸣金",$AM25*1.5,0))*(1+$AW25)*(1+$AX25)+($AY25*IF($G$1="裂石",$AL25,$AJ25)+IF($G$1="裂石",$AM25*1.5,0))*(1+$BA25)*(1+$BB25)+($BC25*IF($G$1="牵丝",$AL25,$AJ25)+IF($G$1="牵丝",$AM25*1.5,0))*(1+$BE25)*(1+$BF25)+($BG25*IF($G$1="破竹",$AL25,$AJ25)+IF($G$1="破竹",$AM25*1.5,0))*(1+$BI25)*(1+$BJ25))*(1+$AN25))*$P25*(1+IF(VLOOKUP($Q25,武学奇术!$A:$ZZ,30,FALSE)="弹道",$B$21,0))*(1+$BS25)</f>
        <v>6997.61784610744</v>
      </c>
      <c r="P25" s="56">
        <v>1</v>
      </c>
      <c r="Q25" s="57" t="s">
        <v>146</v>
      </c>
      <c r="R25" s="57" t="s">
        <v>116</v>
      </c>
      <c r="S25" s="57" t="s">
        <v>143</v>
      </c>
      <c r="T25" s="57" t="s">
        <v>72</v>
      </c>
      <c r="U25" s="57" t="s">
        <v>107</v>
      </c>
      <c r="V25" s="57" t="s">
        <v>72</v>
      </c>
      <c r="W25" s="57" t="s">
        <v>72</v>
      </c>
      <c r="X25" s="57" t="s">
        <v>72</v>
      </c>
      <c r="Y25" s="57" t="s">
        <v>72</v>
      </c>
      <c r="Z25" s="57" t="s">
        <v>113</v>
      </c>
      <c r="AA25" s="57" t="s">
        <v>72</v>
      </c>
      <c r="AB25" s="57" t="s">
        <v>96</v>
      </c>
      <c r="AC25" s="57" t="s">
        <v>72</v>
      </c>
      <c r="AD25" s="57" t="s">
        <v>72</v>
      </c>
      <c r="AE25" s="57" t="s">
        <v>72</v>
      </c>
      <c r="AF25" s="57" t="s">
        <v>72</v>
      </c>
      <c r="AG25" s="57" t="s">
        <v>72</v>
      </c>
      <c r="AH25" s="57" t="s">
        <v>87</v>
      </c>
      <c r="AI25" t="str">
        <f>VLOOKUP($Q25,武学奇术!$A:$ZZ,25,FALSE)</f>
        <v>扇</v>
      </c>
      <c r="AJ25" s="41">
        <f>VLOOKUP($Q25,武学奇术!$A:$ZZ,26,FALSE)</f>
        <v>0.9271</v>
      </c>
      <c r="AK25" s="42">
        <f>VLOOKUP($Q25,武学奇术!$A:$ZZ,27,FALSE)*(1+IF(OR($AI25=$F$4,$AI25=$F$5),$B$22,0))</f>
        <v>359.8</v>
      </c>
      <c r="AL25" s="41">
        <f>VLOOKUP($Q25,武学奇术!$A:$ZZ,28,FALSE)</f>
        <v>1.3907</v>
      </c>
      <c r="AM25" s="42">
        <f>VLOOKUP($Q25,武学奇术!$A:$ZZ,29,FALSE)*(1+IF(OR($AI25=$F$4,$AI25=$F$5),$B$22,0))</f>
        <v>196</v>
      </c>
      <c r="AN25" s="41" cm="1">
        <f t="array" ref="AN25">$G$3+IFERROR(VLOOKUP($AI25,$F$4:$G$7,2,FALSE),0)+VLOOKUP($Q25,武学奇术!$A:$ZZ,2,FALSE)+SUM(_xlfn.XLOOKUP($R25:$AH25,增益!$A:$A,增益!$B:$B,0))</f>
        <v>0.4689</v>
      </c>
      <c r="AO25" s="41" cm="1">
        <f t="array" ref="AO25">VLOOKUP($Q25,武学奇术!$A:$ZZ,5,FALSE)+SUM(_xlfn.XLOOKUP($R25:$AH25,增益!$A:$A,增益!$E:$E,0))</f>
        <v>0.075</v>
      </c>
      <c r="AP25" cm="1">
        <f t="array" ref="AP25">$D$10*(1+$AO25)+VLOOKUP($Q25,武学奇术!$A:$ZZ,3,FALSE)+SUM(_xlfn.XLOOKUP($R25:$AH25,增益!$A:$A,增益!$C:$C,0))-$I$2</f>
        <v>1974.055</v>
      </c>
      <c r="AQ25" cm="1">
        <f t="array" ref="AQ25">$E$10*(1+$AO25)+VLOOKUP($Q25,武学奇术!$A:$ZZ,4,FALSE)+SUM(_xlfn.XLOOKUP($R25:$AH25,增益!$A:$A,增益!$D:$D,0))-$I$2</f>
        <v>5941.45</v>
      </c>
      <c r="AR25" s="49" cm="1">
        <f t="array" ref="AR25">IF($F$10-$I$3+VLOOKUP($Q25,武学奇术!$A:$ZZ,6,FALSE)+SUM(_xlfn.XLOOKUP(R25:AH25,增益!$A:$A,增益!$F:$F,0))&gt;0,($F$10-$I$3+VLOOKUP($Q25,武学奇术!$A:$ZZ,6,FALSE)+SUM(_xlfn.XLOOKUP(R25:AH25,增益!$A:$A,增益!$F:$F,0)))/200,($F$10-$I$3+VLOOKUP($Q25,武学奇术!$A:$ZZ,6,FALSE)+SUM(_xlfn.XLOOKUP(R25:AH25,增益!$A:$A,增益!$F:$F,0)))/100)</f>
        <v>0.3425</v>
      </c>
      <c r="AS25" s="49" cm="1">
        <f t="array" ref="AS25">$G$10+VLOOKUP($Q25,武学奇术!$A:$ZZ,7,FALSE)+SUM(_xlfn.XLOOKUP(R25:AH25,增益!$A:$A,增益!$G:$G,0))</f>
        <v>0</v>
      </c>
      <c r="AT25" s="41" cm="1">
        <f t="array" ref="AT25">VLOOKUP($Q25,武学奇术!$A:$ZZ,8,FALSE)+SUM(_xlfn.XLOOKUP(R25:AH25,增益!$A:$A,增益!$H:$H,0))</f>
        <v>0</v>
      </c>
      <c r="AU25">
        <f t="shared" si="1"/>
        <v>0</v>
      </c>
      <c r="AV25">
        <f t="shared" si="2"/>
        <v>0</v>
      </c>
      <c r="AW25" s="49" cm="1">
        <f t="array" ref="AW25">IF($F$11-$I$4+VLOOKUP($Q25,武学奇术!$A:$ZZ,9,FALSE)+SUM(_xlfn.XLOOKUP(R25:AH25,增益!$A:$A,增益!$I:$I,0))&gt;0,($F$11-$I$4+VLOOKUP($Q25,武学奇术!$A:$ZZ,9,FALSE)+SUM(_xlfn.XLOOKUP(R25:AH25,增益!$A:$A,增益!$I:$I,0)))/200,($F$11-$I$4+VLOOKUP($Q25,武学奇术!$A:$ZZ,9,FALSE)+SUM(_xlfn.XLOOKUP(R25:AH25,增益!$A:$A,增益!$I:$I,0)))/100)</f>
        <v>-0.14</v>
      </c>
      <c r="AX25" s="49" cm="1">
        <f t="array" ref="AX25">$G$11+VLOOKUP($Q25,武学奇术!$A:$ZZ,10,FALSE)+SUM(_xlfn.XLOOKUP(R25:AH25,增益!$A:$A,增益!$J:$J,0))</f>
        <v>0</v>
      </c>
      <c r="AY25">
        <f t="shared" si="3"/>
        <v>0</v>
      </c>
      <c r="AZ25">
        <f t="shared" si="4"/>
        <v>0</v>
      </c>
      <c r="BA25" s="49" cm="1">
        <f t="array" ref="BA25">IF($F$12-$I$4+VLOOKUP($Q25,武学奇术!$A:$ZZ,11,FALSE)+SUM(_xlfn.XLOOKUP(R25:AH25,增益!$A:$A,增益!$K:$K,0))&gt;0,($F$12-$I$4+VLOOKUP($Q25,武学奇术!$A:$ZZ,11,FALSE)+SUM(_xlfn.XLOOKUP(R25:AH25,增益!$A:$A,增益!$K:$K,0)))/200,($F$12-$I$4+VLOOKUP($Q25,武学奇术!$A:$ZZ,11,FALSE)+SUM(_xlfn.XLOOKUP(R25:AH25,增益!$A:$A,增益!$K:$K,0)))/100)</f>
        <v>-0.14</v>
      </c>
      <c r="BB25" s="49" cm="1">
        <f t="array" ref="BB25">$G$12+VLOOKUP($Q25,武学奇术!$A:$ZZ,12,FALSE)+SUM(_xlfn.XLOOKUP(R25:AH25,增益!$A:$A,增益!$L:$L,0))</f>
        <v>0</v>
      </c>
      <c r="BC25">
        <f t="shared" si="5"/>
        <v>571.2</v>
      </c>
      <c r="BD25">
        <f t="shared" si="6"/>
        <v>1077.4</v>
      </c>
      <c r="BE25" s="49" cm="1">
        <f t="array" ref="BE25">IF($F$13-$I$4+VLOOKUP($Q25,武学奇术!$A:$ZZ,13,FALSE)+SUM(_xlfn.XLOOKUP(R25:AH25,增益!$A:$A,增益!$M:$M,0))&gt;0,($F$13-$I$4+VLOOKUP($Q25,武学奇术!$A:$ZZ,13,FALSE)+SUM(_xlfn.XLOOKUP(R25:AH25,增益!$A:$A,增益!$K:$K,0)))/200,($F$13-$I$4+VLOOKUP($Q25,武学奇术!$A:$ZZ,13,FALSE)+SUM(_xlfn.XLOOKUP(R25:AH25,增益!$A:$A,增益!$M:$M,0)))/100)</f>
        <v>0.08</v>
      </c>
      <c r="BF25" s="49" cm="1">
        <f t="array" ref="BF25">$G$13+VLOOKUP($Q25,武学奇术!$A:$ZZ,14,FALSE)+SUM(_xlfn.XLOOKUP(R25:AH25,增益!$A:$A,增益!$N:$N,0))</f>
        <v>0.15</v>
      </c>
      <c r="BG25">
        <f t="shared" si="7"/>
        <v>0</v>
      </c>
      <c r="BH25">
        <f t="shared" si="8"/>
        <v>0</v>
      </c>
      <c r="BI25" s="49" cm="1">
        <f t="array" ref="BI25">IF($F$14-$I$4+VLOOKUP($Q25,武学奇术!$A:$ZZ,15,FALSE)+SUM(_xlfn.XLOOKUP(R25:AH25,增益!$A:$A,增益!$O:$O,0))&gt;0,($F$14-$I$4+VLOOKUP($Q25,武学奇术!$A:$ZZ,15,FALSE)+SUM(_xlfn.XLOOKUP(R25:AH25,增益!$A:$A,增益!$O:$O,0)))/200,($F$14-$I$4+VLOOKUP($Q25,武学奇术!$A:$ZZ,15,FALSE)+SUM(_xlfn.XLOOKUP(R25:AH25,增益!$A:$A,增益!$O:$O,0)))/100)</f>
        <v>-0.14</v>
      </c>
      <c r="BJ25" s="49" cm="1">
        <f t="array" ref="BJ25">$G$14+VLOOKUP($Q25,武学奇术!$A:$ZZ,16,FALSE)+SUM(_xlfn.XLOOKUP(R25:AH25,增益!$A:$A,增益!$P:$P,0))</f>
        <v>0</v>
      </c>
      <c r="BK25" s="41">
        <f>MIN(IF(VLOOKUP($Q25,武学奇术!$A:$ZZ,23,FALSE)=1,100%,$B$8),100%)</f>
        <v>1</v>
      </c>
      <c r="BL25" s="41" cm="1">
        <f t="array" ref="BL25">IF(VLOOKUP($Q25,武学奇术!$A:$ZZ,23,FALSE)=1,100%,MIN(80%,$B$9+VLOOKUP($Q25,武学奇术!$A:$ZZ,17,FALSE)+SUM(_xlfn.XLOOKUP(R25:AH25,增益!$A:$A,增益!$Q:$Q,0)))+$B$11+SUM(_xlfn.XLOOKUP(R25:AH25,增益!$A:$A,增益!$U:$U,0)))*IF(VLOOKUP($Q25,武学奇术!$A:$ZZ,24,FALSE)=1,0,1)</f>
        <v>0.9045</v>
      </c>
      <c r="BM25" s="41" cm="1">
        <f t="array" ref="BM25">1+$B$13+VLOOKUP($Q25,武学奇术!$A:$ZZ,18,FALSE)+SUM(_xlfn.XLOOKUP(R25:AH25,增益!$A:$A,增益!$R:$R,0))</f>
        <v>1.55</v>
      </c>
      <c r="BN25" s="41" cm="1">
        <f t="array" ref="BN25">IF(VLOOKUP($Q25,武学奇术!$A:$ZZ,24,FALSE)=1,100%,MIN(40%,$B$10+VLOOKUP($Q25,武学奇术!$A:$ZZ,19,FALSE)+SUM(_xlfn.XLOOKUP(R25:AH25,增益!$A:$A,增益!$S:$S,0)))+$B$12+SUM(_xlfn.XLOOKUP(R25:AH25,增益!$A:$A,增益!$V:$V,0)))*IF(VLOOKUP($Q25,武学奇术!$A:$ZZ,23,FALSE)=1,0,1)</f>
        <v>0.0929</v>
      </c>
      <c r="BO25" s="41" cm="1">
        <f t="array" ref="BO25">1+$B$14+VLOOKUP($Q25,武学奇术!$A:$ZZ,20,FALSE)+SUM(_xlfn.XLOOKUP(R25:AH25,增益!$A:$A,增益!$T:$T,0))</f>
        <v>1.35</v>
      </c>
      <c r="BP25" s="41">
        <f t="shared" si="9"/>
        <v>0.9045</v>
      </c>
      <c r="BQ25" s="41">
        <f t="shared" si="10"/>
        <v>0.00260000000000005</v>
      </c>
      <c r="BR25" s="41">
        <f>IF(VLOOKUP($Q25,武学奇术!$A:$ZZ,22,FALSE)=1,0,(1-$BK25))*(1-$BN25)</f>
        <v>0</v>
      </c>
      <c r="BS25" s="41" cm="1">
        <f t="array" ref="BS25">SUM(_xlfn.XLOOKUP(R25:AH25,增益!$A:$A,增益!$W:$W,0))+$I$5</f>
        <v>0.11</v>
      </c>
    </row>
    <row r="26" spans="1:71">
      <c r="K26" s="55">
        <f t="shared" si="0"/>
        <v>77527.1280906811</v>
      </c>
      <c r="L26" s="55">
        <f>((($AP26+$AQ26)/2*$AJ26+$AK26)*(1+$AR26)*(1+$AS26)+(($AU26+$AV26)/2*IF($G$1="鸣金",$AL26,$AJ26)+IF($G$1="鸣金",$AM26*1.5,0))*(1+$AW26)*(1+$AX26)+(($AY26+$AZ26)/2*IF($G$1="裂石",$AL26,$AJ26)+IF($G$1="裂石",$AM26*1.5,0))*(1+$BA26)*(1+$BB26)+(($BC26+$BD26)/2*IF($G$1="牵丝",$AL26,$AJ26)+IF($G$1="牵丝",$AM26*1.5,0))*(1+$BE26)*(1+$BF26)+(($BG26+$BH26)/2*IF($G$1="破竹",$AL26,$AJ26)+IF($G$1="破竹",$AM26*1.5,0))*(1+$BI26)*(1+$BJ26))*(1+$AN26)*$BM26*$P26*(1+IF(VLOOKUP($Q26,武学奇术!$A:$ZZ,30,FALSE)="弹道",$B$21,0))*(1+$BS26)</f>
        <v>76076.7275235386</v>
      </c>
      <c r="M26" s="55">
        <f>(($AQ26*$AJ26+$AK26)*(1+$AR26)*(1+$AS26)+($AV26*IF($G$1="鸣金",$AL26,$AJ26)+IF($G$1="鸣金",$AM26*1.5,0))*(1+$AW26)*(1+$AX26)+($AZ26*IF($G$1="裂石",$AL26,$AJ26)+IF($G$1="裂石",$AM26*1.5,0))*(1+$BA26)*(1+$BB26)+($BD26*IF($G$1="牵丝",$AL26,$AJ26)+IF($G$1="牵丝",$AM26*1.5,0))*(1+$BE26)*(1+$BF26)+($BH26*IF($G$1="破竹",$AL26,$AJ26)+IF($G$1="破竹",$AM26*1.5,0))*(1+$BI26)*(1+$BJ26))*(1+$AN26)*$BO26*$P26*(1+IF(VLOOKUP($Q26,武学奇术!$A:$ZZ,30,FALSE)="弹道",$B$21,0))*(1+$BS26)</f>
        <v>92453.536057781</v>
      </c>
      <c r="N26" s="55">
        <f>((($AP26+$AQ26)/2*$AJ26+$AK26)*(1+$AR26)*(1+$AS26)+(($AU26+$AV26)/2*IF($G$1="鸣金",$AL26,$AJ26)+IF($G$1="鸣金",$AM26*1.5,0))*(1+$AW26)*(1+$AX26)+(($AY26+$AZ26)/2*IF($G$1="裂石",$AL26,$AJ26)+IF($G$1="裂石",$AM26*1.5,0))*(1+$BA26)*(1+$BB26)+(($BC26+$BD26)/2*IF($G$1="牵丝",$AL26,$AJ26)+IF($G$1="牵丝",$AM26*1.5,0))*(1+$BE26)*(1+$BF26)+(($BG26+$BH26)/2*IF($G$1="破竹",$AL26,$AJ26)+IF($G$1="破竹",$AM26*1.5,0))*(1+$BI26)*(1+$BJ26))*(1+$AN26)*$P26*(1+IF(VLOOKUP($Q26,武学奇术!$A:$ZZ,30,FALSE)="弹道",$B$21,0))*(1+$BS26)</f>
        <v>48767.1330279094</v>
      </c>
      <c r="O26" s="55">
        <f>((($AP26*$AJ26+$AK26)*(1+$AR26)*(1+$AS26)+($AU26*IF($G$1="鸣金",$AL26,$AJ26)+IF($G$1="鸣金",$AM26*1.5,0))*(1+$AW26)*(1+$AX26)+($AY26*IF($G$1="裂石",$AL26,$AJ26)+IF($G$1="裂石",$AM26*1.5,0))*(1+$BA26)*(1+$BB26)+($BC26*IF($G$1="牵丝",$AL26,$AJ26)+IF($G$1="牵丝",$AM26*1.5,0))*(1+$BE26)*(1+$BF26)+($BG26*IF($G$1="破竹",$AL26,$AJ26)+IF($G$1="破竹",$AM26*1.5,0))*(1+$BI26)*(1+$BJ26))*(1+$AN26))*$P26*(1+IF(VLOOKUP($Q26,武学奇术!$A:$ZZ,30,FALSE)="弹道",$B$21,0))*(1+$BS26)</f>
        <v>29050.1652722772</v>
      </c>
      <c r="P26" s="56">
        <v>1</v>
      </c>
      <c r="Q26" s="57" t="s">
        <v>126</v>
      </c>
      <c r="R26" s="57" t="s">
        <v>116</v>
      </c>
      <c r="S26" s="57" t="s">
        <v>145</v>
      </c>
      <c r="T26" s="57" t="s">
        <v>72</v>
      </c>
      <c r="U26" s="57" t="s">
        <v>107</v>
      </c>
      <c r="V26" s="57" t="s">
        <v>86</v>
      </c>
      <c r="W26" s="57" t="s">
        <v>72</v>
      </c>
      <c r="X26" s="57" t="s">
        <v>72</v>
      </c>
      <c r="Y26" s="57" t="s">
        <v>72</v>
      </c>
      <c r="Z26" s="57" t="s">
        <v>113</v>
      </c>
      <c r="AA26" s="57" t="s">
        <v>72</v>
      </c>
      <c r="AB26" s="57" t="s">
        <v>96</v>
      </c>
      <c r="AC26" s="57" t="s">
        <v>72</v>
      </c>
      <c r="AD26" s="57" t="s">
        <v>72</v>
      </c>
      <c r="AE26" s="57" t="s">
        <v>72</v>
      </c>
      <c r="AF26" s="57" t="s">
        <v>72</v>
      </c>
      <c r="AG26" s="57" t="s">
        <v>72</v>
      </c>
      <c r="AH26" s="57" t="s">
        <v>87</v>
      </c>
      <c r="AI26" t="str">
        <f>VLOOKUP($Q26,武学奇术!$A:$ZZ,25,FALSE)</f>
        <v>扇</v>
      </c>
      <c r="AJ26" s="41">
        <f>VLOOKUP($Q26,武学奇术!$A:$ZZ,26,FALSE)</f>
        <v>2.76138</v>
      </c>
      <c r="AK26" s="42">
        <f>VLOOKUP($Q26,武学奇术!$A:$ZZ,27,FALSE)*(1+IF(OR($AI26=$F$4,$AI26=$F$5),$B$22,0))</f>
        <v>1069.81</v>
      </c>
      <c r="AL26" s="41">
        <f>VLOOKUP($Q26,武学奇术!$A:$ZZ,28,FALSE)</f>
        <v>4.14207</v>
      </c>
      <c r="AM26" s="42">
        <f>VLOOKUP($Q26,武学奇术!$A:$ZZ,29,FALSE)*(1+IF(OR($AI26=$F$4,$AI26=$F$5),$B$22,0))</f>
        <v>582.61</v>
      </c>
      <c r="AN26" s="41" cm="1">
        <f t="array" ref="AN26">$G$3+IFERROR(VLOOKUP($AI26,$F$4:$G$7,2,FALSE),0)+VLOOKUP($Q26,武学奇术!$A:$ZZ,2,FALSE)+SUM(_xlfn.XLOOKUP($R26:$AH26,增益!$A:$A,增益!$B:$B,0))</f>
        <v>0.8689</v>
      </c>
      <c r="AO26" s="41" cm="1">
        <f t="array" ref="AO26">VLOOKUP($Q26,武学奇术!$A:$ZZ,5,FALSE)+SUM(_xlfn.XLOOKUP($R26:$AH26,增益!$A:$A,增益!$E:$E,0))</f>
        <v>0.075</v>
      </c>
      <c r="AP26" cm="1">
        <f t="array" ref="AP26">$D$10*(1+$AO26)+VLOOKUP($Q26,武学奇术!$A:$ZZ,3,FALSE)+SUM(_xlfn.XLOOKUP($R26:$AH26,增益!$A:$A,增益!$C:$C,0))-$I$2</f>
        <v>1974.055</v>
      </c>
      <c r="AQ26" cm="1">
        <f t="array" ref="AQ26">$E$10*(1+$AO26)+VLOOKUP($Q26,武学奇术!$A:$ZZ,4,FALSE)+SUM(_xlfn.XLOOKUP($R26:$AH26,增益!$A:$A,增益!$D:$D,0))-$I$2</f>
        <v>5941.45</v>
      </c>
      <c r="AR26" s="49" cm="1">
        <f t="array" ref="AR26">IF($F$10-$I$3+VLOOKUP($Q26,武学奇术!$A:$ZZ,6,FALSE)+SUM(_xlfn.XLOOKUP(R26:AH26,增益!$A:$A,增益!$F:$F,0))&gt;0,($F$10-$I$3+VLOOKUP($Q26,武学奇术!$A:$ZZ,6,FALSE)+SUM(_xlfn.XLOOKUP(R26:AH26,增益!$A:$A,增益!$F:$F,0)))/200,($F$10-$I$3+VLOOKUP($Q26,武学奇术!$A:$ZZ,6,FALSE)+SUM(_xlfn.XLOOKUP(R26:AH26,增益!$A:$A,增益!$F:$F,0)))/100)</f>
        <v>0.3425</v>
      </c>
      <c r="AS26" s="49" cm="1">
        <f t="array" ref="AS26">$G$10+VLOOKUP($Q26,武学奇术!$A:$ZZ,7,FALSE)+SUM(_xlfn.XLOOKUP(R26:AH26,增益!$A:$A,增益!$G:$G,0))</f>
        <v>0.1</v>
      </c>
      <c r="AT26" s="41" cm="1">
        <f t="array" ref="AT26">VLOOKUP($Q26,武学奇术!$A:$ZZ,8,FALSE)+SUM(_xlfn.XLOOKUP(R26:AH26,增益!$A:$A,增益!$H:$H,0))</f>
        <v>0</v>
      </c>
      <c r="AU26">
        <f t="shared" si="1"/>
        <v>0</v>
      </c>
      <c r="AV26">
        <f t="shared" si="2"/>
        <v>0</v>
      </c>
      <c r="AW26" s="49" cm="1">
        <f t="array" ref="AW26">IF($F$11-$I$4+VLOOKUP($Q26,武学奇术!$A:$ZZ,9,FALSE)+SUM(_xlfn.XLOOKUP(R26:AH26,增益!$A:$A,增益!$I:$I,0))&gt;0,($F$11-$I$4+VLOOKUP($Q26,武学奇术!$A:$ZZ,9,FALSE)+SUM(_xlfn.XLOOKUP(R26:AH26,增益!$A:$A,增益!$I:$I,0)))/200,($F$11-$I$4+VLOOKUP($Q26,武学奇术!$A:$ZZ,9,FALSE)+SUM(_xlfn.XLOOKUP(R26:AH26,增益!$A:$A,增益!$I:$I,0)))/100)</f>
        <v>-0.14</v>
      </c>
      <c r="AX26" s="49" cm="1">
        <f t="array" ref="AX26">$G$11+VLOOKUP($Q26,武学奇术!$A:$ZZ,10,FALSE)+SUM(_xlfn.XLOOKUP(R26:AH26,增益!$A:$A,增益!$J:$J,0))</f>
        <v>0</v>
      </c>
      <c r="AY26">
        <f t="shared" si="3"/>
        <v>0</v>
      </c>
      <c r="AZ26">
        <f t="shared" si="4"/>
        <v>0</v>
      </c>
      <c r="BA26" s="49" cm="1">
        <f t="array" ref="BA26">IF($F$12-$I$4+VLOOKUP($Q26,武学奇术!$A:$ZZ,11,FALSE)+SUM(_xlfn.XLOOKUP(R26:AH26,增益!$A:$A,增益!$K:$K,0))&gt;0,($F$12-$I$4+VLOOKUP($Q26,武学奇术!$A:$ZZ,11,FALSE)+SUM(_xlfn.XLOOKUP(R26:AH26,增益!$A:$A,增益!$K:$K,0)))/200,($F$12-$I$4+VLOOKUP($Q26,武学奇术!$A:$ZZ,11,FALSE)+SUM(_xlfn.XLOOKUP(R26:AH26,增益!$A:$A,增益!$K:$K,0)))/100)</f>
        <v>-0.14</v>
      </c>
      <c r="BB26" s="49" cm="1">
        <f t="array" ref="BB26">$G$12+VLOOKUP($Q26,武学奇术!$A:$ZZ,12,FALSE)+SUM(_xlfn.XLOOKUP(R26:AH26,增益!$A:$A,增益!$L:$L,0))</f>
        <v>0</v>
      </c>
      <c r="BC26">
        <f t="shared" si="5"/>
        <v>571.2</v>
      </c>
      <c r="BD26">
        <f t="shared" si="6"/>
        <v>1077.4</v>
      </c>
      <c r="BE26" s="49" cm="1">
        <f t="array" ref="BE26">IF($F$13-$I$4+VLOOKUP($Q26,武学奇术!$A:$ZZ,13,FALSE)+SUM(_xlfn.XLOOKUP(R26:AH26,增益!$A:$A,增益!$M:$M,0))&gt;0,($F$13-$I$4+VLOOKUP($Q26,武学奇术!$A:$ZZ,13,FALSE)+SUM(_xlfn.XLOOKUP(R26:AH26,增益!$A:$A,增益!$K:$K,0)))/200,($F$13-$I$4+VLOOKUP($Q26,武学奇术!$A:$ZZ,13,FALSE)+SUM(_xlfn.XLOOKUP(R26:AH26,增益!$A:$A,增益!$M:$M,0)))/100)</f>
        <v>0.08</v>
      </c>
      <c r="BF26" s="49" cm="1">
        <f t="array" ref="BF26">$G$13+VLOOKUP($Q26,武学奇术!$A:$ZZ,14,FALSE)+SUM(_xlfn.XLOOKUP(R26:AH26,增益!$A:$A,增益!$N:$N,0))</f>
        <v>0.25</v>
      </c>
      <c r="BG26">
        <f t="shared" si="7"/>
        <v>0</v>
      </c>
      <c r="BH26">
        <f t="shared" si="8"/>
        <v>0</v>
      </c>
      <c r="BI26" s="49" cm="1">
        <f t="array" ref="BI26">IF($F$14-$I$4+VLOOKUP($Q26,武学奇术!$A:$ZZ,15,FALSE)+SUM(_xlfn.XLOOKUP(R26:AH26,增益!$A:$A,增益!$O:$O,0))&gt;0,($F$14-$I$4+VLOOKUP($Q26,武学奇术!$A:$ZZ,15,FALSE)+SUM(_xlfn.XLOOKUP(R26:AH26,增益!$A:$A,增益!$O:$O,0)))/200,($F$14-$I$4+VLOOKUP($Q26,武学奇术!$A:$ZZ,15,FALSE)+SUM(_xlfn.XLOOKUP(R26:AH26,增益!$A:$A,增益!$O:$O,0)))/100)</f>
        <v>-0.14</v>
      </c>
      <c r="BJ26" s="49" cm="1">
        <f t="array" ref="BJ26">$G$14+VLOOKUP($Q26,武学奇术!$A:$ZZ,16,FALSE)+SUM(_xlfn.XLOOKUP(R26:AH26,增益!$A:$A,增益!$P:$P,0))</f>
        <v>0</v>
      </c>
      <c r="BK26" s="41">
        <f>MIN(IF(VLOOKUP($Q26,武学奇术!$A:$ZZ,23,FALSE)=1,100%,$B$8),100%)</f>
        <v>1</v>
      </c>
      <c r="BL26" s="41" cm="1">
        <f t="array" ref="BL26">IF(VLOOKUP($Q26,武学奇术!$A:$ZZ,23,FALSE)=1,100%,MIN(80%,$B$9+VLOOKUP($Q26,武学奇术!$A:$ZZ,17,FALSE)+SUM(_xlfn.XLOOKUP(R26:AH26,增益!$A:$A,增益!$Q:$Q,0)))+$B$11+SUM(_xlfn.XLOOKUP(R26:AH26,增益!$A:$A,增益!$U:$U,0)))*IF(VLOOKUP($Q26,武学奇术!$A:$ZZ,24,FALSE)=1,0,1)</f>
        <v>0.9045</v>
      </c>
      <c r="BM26" s="41" cm="1">
        <f t="array" ref="BM26">1+$B$13+VLOOKUP($Q26,武学奇术!$A:$ZZ,18,FALSE)+SUM(_xlfn.XLOOKUP(R26:AH26,增益!$A:$A,增益!$R:$R,0))</f>
        <v>1.56</v>
      </c>
      <c r="BN26" s="41" cm="1">
        <f t="array" ref="BN26">IF(VLOOKUP($Q26,武学奇术!$A:$ZZ,24,FALSE)=1,100%,MIN(40%,$B$10+VLOOKUP($Q26,武学奇术!$A:$ZZ,19,FALSE)+SUM(_xlfn.XLOOKUP(R26:AH26,增益!$A:$A,增益!$S:$S,0)))+$B$12+SUM(_xlfn.XLOOKUP(R26:AH26,增益!$A:$A,增益!$V:$V,0)))*IF(VLOOKUP($Q26,武学奇术!$A:$ZZ,23,FALSE)=1,0,1)</f>
        <v>0.0929</v>
      </c>
      <c r="BO26" s="41" cm="1">
        <f t="array" ref="BO26">1+$B$14+VLOOKUP($Q26,武学奇术!$A:$ZZ,20,FALSE)+SUM(_xlfn.XLOOKUP(R26:AH26,增益!$A:$A,增益!$T:$T,0))</f>
        <v>1.35</v>
      </c>
      <c r="BP26" s="41">
        <f t="shared" si="9"/>
        <v>0.9045</v>
      </c>
      <c r="BQ26" s="41">
        <f t="shared" si="10"/>
        <v>0.00260000000000005</v>
      </c>
      <c r="BR26" s="41">
        <f>IF(VLOOKUP($Q26,武学奇术!$A:$ZZ,22,FALSE)=1,0,(1-$BK26))*(1-$BN26)</f>
        <v>0</v>
      </c>
      <c r="BS26" s="41" cm="1">
        <f t="array" ref="BS26">SUM(_xlfn.XLOOKUP(R26:AH26,增益!$A:$A,增益!$W:$W,0))+$I$5</f>
        <v>0.11</v>
      </c>
    </row>
    <row r="27" spans="1:71">
      <c r="K27" s="55">
        <f t="shared" si="0"/>
        <v>82720.9263036623</v>
      </c>
      <c r="L27" s="55">
        <f>((($AP27+$AQ27)/2*$AJ27+$AK27)*(1+$AR27)*(1+$AS27)+(($AU27+$AV27)/2*IF($G$1="鸣金",$AL27,$AJ27)+IF($G$1="鸣金",$AM27*1.5,0))*(1+$AW27)*(1+$AX27)+(($AY27+$AZ27)/2*IF($G$1="裂石",$AL27,$AJ27)+IF($G$1="裂石",$AM27*1.5,0))*(1+$BA27)*(1+$BB27)+(($BC27+$BD27)/2*IF($G$1="牵丝",$AL27,$AJ27)+IF($G$1="牵丝",$AM27*1.5,0))*(1+$BE27)*(1+$BF27)+(($BG27+$BH27)/2*IF($G$1="破竹",$AL27,$AJ27)+IF($G$1="破竹",$AM27*1.5,0))*(1+$BI27)*(1+$BJ27))*(1+$AN27)*$BM27*$P27*(1+IF(VLOOKUP($Q27,武学奇术!$A:$ZZ,30,FALSE)="弹道",$B$21,0))*(1+$BS27)</f>
        <v>80936.394269444</v>
      </c>
      <c r="M27" s="55">
        <f>(($AQ27*$AJ27+$AK27)*(1+$AR27)*(1+$AS27)+($AV27*IF($G$1="鸣金",$AL27,$AJ27)+IF($G$1="鸣金",$AM27*1.5,0))*(1+$AW27)*(1+$AX27)+($AZ27*IF($G$1="裂石",$AL27,$AJ27)+IF($G$1="裂石",$AM27*1.5,0))*(1+$BA27)*(1+$BB27)+($BD27*IF($G$1="牵丝",$AL27,$AJ27)+IF($G$1="牵丝",$AM27*1.5,0))*(1+$BE27)*(1+$BF27)+($BH27*IF($G$1="破竹",$AL27,$AJ27)+IF($G$1="破竹",$AM27*1.5,0))*(1+$BI27)*(1+$BJ27))*(1+$AN27)*$BO27*$P27*(1+IF(VLOOKUP($Q27,武学奇术!$A:$ZZ,30,FALSE)="弹道",$B$21,0))*(1+$BS27)</f>
        <v>100958.705021541</v>
      </c>
      <c r="N27" s="55">
        <f>((($AP27+$AQ27)/2*$AJ27+$AK27)*(1+$AR27)*(1+$AS27)+(($AU27+$AV27)/2*IF($G$1="鸣金",$AL27,$AJ27)+IF($G$1="鸣金",$AM27*1.5,0))*(1+$AW27)*(1+$AX27)+(($AY27+$AZ27)/2*IF($G$1="裂石",$AL27,$AJ27)+IF($G$1="裂石",$AM27*1.5,0))*(1+$BA27)*(1+$BB27)+(($BC27+$BD27)/2*IF($G$1="牵丝",$AL27,$AJ27)+IF($G$1="牵丝",$AM27*1.5,0))*(1+$BE27)*(1+$BF27)+(($BG27+$BH27)/2*IF($G$1="破竹",$AL27,$AJ27)+IF($G$1="破竹",$AM27*1.5,0))*(1+$BI27)*(1+$BJ27))*(1+$AN27)*$P27*(1+IF(VLOOKUP($Q27,武学奇术!$A:$ZZ,30,FALSE)="弹道",$B$21,0))*(1+$BS27)</f>
        <v>51882.3040188744</v>
      </c>
      <c r="O27" s="55">
        <f>((($AP27*$AJ27+$AK27)*(1+$AR27)*(1+$AS27)+($AU27*IF($G$1="鸣金",$AL27,$AJ27)+IF($G$1="鸣金",$AM27*1.5,0))*(1+$AW27)*(1+$AX27)+($AY27*IF($G$1="裂石",$AL27,$AJ27)+IF($G$1="裂石",$AM27*1.5,0))*(1+$BA27)*(1+$BB27)+($BC27*IF($G$1="牵丝",$AL27,$AJ27)+IF($G$1="牵丝",$AM27*1.5,0))*(1+$BE27)*(1+$BF27)+($BG27*IF($G$1="破竹",$AL27,$AJ27)+IF($G$1="破竹",$AM27*1.5,0))*(1+$BI27)*(1+$BJ27))*(1+$AN27))*$P27*(1+IF(VLOOKUP($Q27,武学奇术!$A:$ZZ,30,FALSE)="弹道",$B$21,0))*(1+$BS27)</f>
        <v>28980.3820958669</v>
      </c>
      <c r="P27" s="56">
        <v>1</v>
      </c>
      <c r="Q27" s="57" t="s">
        <v>147</v>
      </c>
      <c r="R27" s="57" t="s">
        <v>116</v>
      </c>
      <c r="S27" s="57" t="s">
        <v>145</v>
      </c>
      <c r="T27" s="57" t="s">
        <v>72</v>
      </c>
      <c r="U27" s="57" t="s">
        <v>107</v>
      </c>
      <c r="V27" s="57" t="s">
        <v>72</v>
      </c>
      <c r="W27" s="57" t="s">
        <v>72</v>
      </c>
      <c r="X27" s="57" t="s">
        <v>72</v>
      </c>
      <c r="Y27" s="57" t="s">
        <v>72</v>
      </c>
      <c r="Z27" s="57" t="s">
        <v>113</v>
      </c>
      <c r="AA27" s="57" t="s">
        <v>72</v>
      </c>
      <c r="AB27" s="57" t="s">
        <v>96</v>
      </c>
      <c r="AC27" s="57" t="s">
        <v>72</v>
      </c>
      <c r="AD27" s="57" t="s">
        <v>72</v>
      </c>
      <c r="AE27" s="57" t="s">
        <v>72</v>
      </c>
      <c r="AF27" s="57" t="s">
        <v>72</v>
      </c>
      <c r="AG27" s="57" t="s">
        <v>72</v>
      </c>
      <c r="AH27" s="57" t="s">
        <v>87</v>
      </c>
      <c r="AI27" t="str">
        <f>VLOOKUP($Q27,武学奇术!$A:$ZZ,25,FALSE)</f>
        <v>单体奇术</v>
      </c>
      <c r="AJ27" s="41">
        <f>VLOOKUP($Q27,武学奇术!$A:$ZZ,26,FALSE)</f>
        <v>3.9855</v>
      </c>
      <c r="AK27" s="42">
        <f>VLOOKUP($Q27,武学奇术!$A:$ZZ,27,FALSE)*(1+IF(OR($AI27=$F$4,$AI27=$F$5),$B$22,0))</f>
        <v>749</v>
      </c>
      <c r="AL27" s="41">
        <f>VLOOKUP($Q27,武学奇术!$A:$ZZ,28,FALSE)</f>
        <v>5.97825</v>
      </c>
      <c r="AM27" s="42">
        <f>VLOOKUP($Q27,武学奇术!$A:$ZZ,29,FALSE)*(1+IF(OR($AI27=$F$4,$AI27=$F$5),$B$22,0))</f>
        <v>0</v>
      </c>
      <c r="AN27" s="41" cm="1">
        <f t="array" ref="AN27">$G$3+IFERROR(VLOOKUP($AI27,$F$4:$G$7,2,FALSE),0)+VLOOKUP($Q27,武学奇术!$A:$ZZ,2,FALSE)+SUM(_xlfn.XLOOKUP($R27:$AH27,增益!$A:$A,增益!$B:$B,0))</f>
        <v>0.6515</v>
      </c>
      <c r="AO27" s="41" cm="1">
        <f t="array" ref="AO27">VLOOKUP($Q27,武学奇术!$A:$ZZ,5,FALSE)+SUM(_xlfn.XLOOKUP($R27:$AH27,增益!$A:$A,增益!$E:$E,0))</f>
        <v>0.075</v>
      </c>
      <c r="AP27" cm="1">
        <f t="array" ref="AP27">$D$10*(1+$AO27)+VLOOKUP($Q27,武学奇术!$A:$ZZ,3,FALSE)+SUM(_xlfn.XLOOKUP($R27:$AH27,增益!$A:$A,增益!$C:$C,0))-$I$2</f>
        <v>1974.055</v>
      </c>
      <c r="AQ27" cm="1">
        <f t="array" ref="AQ27">$E$10*(1+$AO27)+VLOOKUP($Q27,武学奇术!$A:$ZZ,4,FALSE)+SUM(_xlfn.XLOOKUP($R27:$AH27,增益!$A:$A,增益!$D:$D,0))-$I$2</f>
        <v>5941.45</v>
      </c>
      <c r="AR27" s="49" cm="1">
        <f t="array" ref="AR27">IF($F$10-$I$3+VLOOKUP($Q27,武学奇术!$A:$ZZ,6,FALSE)+SUM(_xlfn.XLOOKUP(R27:AH27,增益!$A:$A,增益!$F:$F,0))&gt;0,($F$10-$I$3+VLOOKUP($Q27,武学奇术!$A:$ZZ,6,FALSE)+SUM(_xlfn.XLOOKUP(R27:AH27,增益!$A:$A,增益!$F:$F,0)))/200,($F$10-$I$3+VLOOKUP($Q27,武学奇术!$A:$ZZ,6,FALSE)+SUM(_xlfn.XLOOKUP(R27:AH27,增益!$A:$A,增益!$F:$F,0)))/100)</f>
        <v>0.3425</v>
      </c>
      <c r="AS27" s="49" cm="1">
        <f t="array" ref="AS27">$G$10+VLOOKUP($Q27,武学奇术!$A:$ZZ,7,FALSE)+SUM(_xlfn.XLOOKUP(R27:AH27,增益!$A:$A,增益!$G:$G,0))</f>
        <v>0</v>
      </c>
      <c r="AT27" s="41" cm="1">
        <f t="array" ref="AT27">VLOOKUP($Q27,武学奇术!$A:$ZZ,8,FALSE)+SUM(_xlfn.XLOOKUP(R27:AH27,增益!$A:$A,增益!$H:$H,0))</f>
        <v>0</v>
      </c>
      <c r="AU27">
        <f t="shared" si="1"/>
        <v>0</v>
      </c>
      <c r="AV27">
        <f t="shared" si="2"/>
        <v>0</v>
      </c>
      <c r="AW27" s="49" cm="1">
        <f t="array" ref="AW27">IF($F$11-$I$4+VLOOKUP($Q27,武学奇术!$A:$ZZ,9,FALSE)+SUM(_xlfn.XLOOKUP(R27:AH27,增益!$A:$A,增益!$I:$I,0))&gt;0,($F$11-$I$4+VLOOKUP($Q27,武学奇术!$A:$ZZ,9,FALSE)+SUM(_xlfn.XLOOKUP(R27:AH27,增益!$A:$A,增益!$I:$I,0)))/200,($F$11-$I$4+VLOOKUP($Q27,武学奇术!$A:$ZZ,9,FALSE)+SUM(_xlfn.XLOOKUP(R27:AH27,增益!$A:$A,增益!$I:$I,0)))/100)</f>
        <v>-0.14</v>
      </c>
      <c r="AX27" s="49" cm="1">
        <f t="array" ref="AX27">$G$11+VLOOKUP($Q27,武学奇术!$A:$ZZ,10,FALSE)+SUM(_xlfn.XLOOKUP(R27:AH27,增益!$A:$A,增益!$J:$J,0))</f>
        <v>0</v>
      </c>
      <c r="AY27">
        <f t="shared" si="3"/>
        <v>0</v>
      </c>
      <c r="AZ27">
        <f t="shared" si="4"/>
        <v>0</v>
      </c>
      <c r="BA27" s="49" cm="1">
        <f t="array" ref="BA27">IF($F$12-$I$4+VLOOKUP($Q27,武学奇术!$A:$ZZ,11,FALSE)+SUM(_xlfn.XLOOKUP(R27:AH27,增益!$A:$A,增益!$K:$K,0))&gt;0,($F$12-$I$4+VLOOKUP($Q27,武学奇术!$A:$ZZ,11,FALSE)+SUM(_xlfn.XLOOKUP(R27:AH27,增益!$A:$A,增益!$K:$K,0)))/200,($F$12-$I$4+VLOOKUP($Q27,武学奇术!$A:$ZZ,11,FALSE)+SUM(_xlfn.XLOOKUP(R27:AH27,增益!$A:$A,增益!$K:$K,0)))/100)</f>
        <v>-0.14</v>
      </c>
      <c r="BB27" s="49" cm="1">
        <f t="array" ref="BB27">$G$12+VLOOKUP($Q27,武学奇术!$A:$ZZ,12,FALSE)+SUM(_xlfn.XLOOKUP(R27:AH27,增益!$A:$A,增益!$L:$L,0))</f>
        <v>0</v>
      </c>
      <c r="BC27">
        <f t="shared" si="5"/>
        <v>571.2</v>
      </c>
      <c r="BD27">
        <f t="shared" si="6"/>
        <v>1077.4</v>
      </c>
      <c r="BE27" s="49" cm="1">
        <f t="array" ref="BE27">IF($F$13-$I$4+VLOOKUP($Q27,武学奇术!$A:$ZZ,13,FALSE)+SUM(_xlfn.XLOOKUP(R27:AH27,增益!$A:$A,增益!$M:$M,0))&gt;0,($F$13-$I$4+VLOOKUP($Q27,武学奇术!$A:$ZZ,13,FALSE)+SUM(_xlfn.XLOOKUP(R27:AH27,增益!$A:$A,增益!$K:$K,0)))/200,($F$13-$I$4+VLOOKUP($Q27,武学奇术!$A:$ZZ,13,FALSE)+SUM(_xlfn.XLOOKUP(R27:AH27,增益!$A:$A,增益!$M:$M,0)))/100)</f>
        <v>0.08</v>
      </c>
      <c r="BF27" s="49" cm="1">
        <f t="array" ref="BF27">$G$13+VLOOKUP($Q27,武学奇术!$A:$ZZ,14,FALSE)+SUM(_xlfn.XLOOKUP(R27:AH27,增益!$A:$A,增益!$N:$N,0))</f>
        <v>0.15</v>
      </c>
      <c r="BG27">
        <f t="shared" si="7"/>
        <v>0</v>
      </c>
      <c r="BH27">
        <f t="shared" si="8"/>
        <v>0</v>
      </c>
      <c r="BI27" s="49" cm="1">
        <f t="array" ref="BI27">IF($F$14-$I$4+VLOOKUP($Q27,武学奇术!$A:$ZZ,15,FALSE)+SUM(_xlfn.XLOOKUP(R27:AH27,增益!$A:$A,增益!$O:$O,0))&gt;0,($F$14-$I$4+VLOOKUP($Q27,武学奇术!$A:$ZZ,15,FALSE)+SUM(_xlfn.XLOOKUP(R27:AH27,增益!$A:$A,增益!$O:$O,0)))/200,($F$14-$I$4+VLOOKUP($Q27,武学奇术!$A:$ZZ,15,FALSE)+SUM(_xlfn.XLOOKUP(R27:AH27,增益!$A:$A,增益!$O:$O,0)))/100)</f>
        <v>-0.14</v>
      </c>
      <c r="BJ27" s="49" cm="1">
        <f t="array" ref="BJ27">$G$14+VLOOKUP($Q27,武学奇术!$A:$ZZ,16,FALSE)+SUM(_xlfn.XLOOKUP(R27:AH27,增益!$A:$A,增益!$P:$P,0))</f>
        <v>0</v>
      </c>
      <c r="BK27" s="41">
        <f>MIN(IF(VLOOKUP($Q27,武学奇术!$A:$ZZ,23,FALSE)=1,100%,$B$8),100%)</f>
        <v>1</v>
      </c>
      <c r="BL27" s="41" cm="1">
        <f t="array" ref="BL27">IF(VLOOKUP($Q27,武学奇术!$A:$ZZ,23,FALSE)=1,100%,MIN(80%,$B$9+VLOOKUP($Q27,武学奇术!$A:$ZZ,17,FALSE)+SUM(_xlfn.XLOOKUP(R27:AH27,增益!$A:$A,增益!$Q:$Q,0)))+$B$11+SUM(_xlfn.XLOOKUP(R27:AH27,增益!$A:$A,增益!$U:$U,0)))*IF(VLOOKUP($Q27,武学奇术!$A:$ZZ,24,FALSE)=1,0,1)</f>
        <v>0.9045</v>
      </c>
      <c r="BM27" s="41" cm="1">
        <f t="array" ref="BM27">1+$B$13+VLOOKUP($Q27,武学奇术!$A:$ZZ,18,FALSE)+SUM(_xlfn.XLOOKUP(R27:AH27,增益!$A:$A,增益!$R:$R,0))</f>
        <v>1.56</v>
      </c>
      <c r="BN27" s="41" cm="1">
        <f t="array" ref="BN27">IF(VLOOKUP($Q27,武学奇术!$A:$ZZ,24,FALSE)=1,100%,MIN(40%,$B$10+VLOOKUP($Q27,武学奇术!$A:$ZZ,19,FALSE)+SUM(_xlfn.XLOOKUP(R27:AH27,增益!$A:$A,增益!$S:$S,0)))+$B$12+SUM(_xlfn.XLOOKUP(R27:AH27,增益!$A:$A,增益!$V:$V,0)))*IF(VLOOKUP($Q27,武学奇术!$A:$ZZ,23,FALSE)=1,0,1)</f>
        <v>0.0929</v>
      </c>
      <c r="BO27" s="41" cm="1">
        <f t="array" ref="BO27">1+$B$14+VLOOKUP($Q27,武学奇术!$A:$ZZ,20,FALSE)+SUM(_xlfn.XLOOKUP(R27:AH27,增益!$A:$A,增益!$T:$T,0))</f>
        <v>1.35</v>
      </c>
      <c r="BP27" s="41">
        <f t="shared" si="9"/>
        <v>0.9045</v>
      </c>
      <c r="BQ27" s="41">
        <f t="shared" si="10"/>
        <v>0.00260000000000005</v>
      </c>
      <c r="BR27" s="41">
        <f>IF(VLOOKUP($Q27,武学奇术!$A:$ZZ,22,FALSE)=1,0,(1-$BK27))*(1-$BN27)</f>
        <v>0</v>
      </c>
      <c r="BS27" s="41" cm="1">
        <f t="array" ref="BS27">SUM(_xlfn.XLOOKUP(R27:AH27,增益!$A:$A,增益!$W:$W,0))+$I$5</f>
        <v>0.11</v>
      </c>
    </row>
    <row r="28" spans="1:71">
      <c r="K28" s="55">
        <f>($L28*$BP28+$M28*$BN28+$N28*$BQ28+$O28*$BR28)</f>
        <v>33482.0008385448</v>
      </c>
      <c r="L28" s="55">
        <f>((($AP28+$AQ28)/2*$AJ28+$AK28)*(1+$AR28)*(1+$AS28)+(($AU28+$AV28)/2*IF($G$1="鸣金",$AL28,$AJ28)+IF($G$1="鸣金",$AM28*1.5,0))*(1+$AW28)*(1+$AX28)+(($AY28+$AZ28)/2*IF($G$1="裂石",$AL28,$AJ28)+IF($G$1="裂石",$AM28*1.5,0))*(1+$BA28)*(1+$BB28)+(($BC28+$BD28)/2*IF($G$1="牵丝",$AL28,$AJ28)+IF($G$1="牵丝",$AM28*1.5,0))*(1+$BE28)*(1+$BF28)+(($BG28+$BH28)/2*IF($G$1="破竹",$AL28,$AJ28)+IF($G$1="破竹",$AM28*1.5,0))*(1+$BI28)*(1+$BJ28))*(1+$AN28)*$BM28*$P28*(1+IF(VLOOKUP($Q28,武学奇术!$A:$ZZ,30,FALSE)="弹道",$B$21,0))*(1+$BS28)</f>
        <v>32777.7784098795</v>
      </c>
      <c r="M28" s="55">
        <f>(($AQ28*$AJ28+$AK28)*(1+$AR28)*(1+$AS28)+($AV28*IF($G$1="鸣金",$AL28,$AJ28)+IF($G$1="鸣金",$AM28*1.5,0))*(1+$AW28)*(1+$AX28)+($AZ28*IF($G$1="裂石",$AL28,$AJ28)+IF($G$1="裂石",$AM28*1.5,0))*(1+$BA28)*(1+$BB28)+($BD28*IF($G$1="牵丝",$AL28,$AJ28)+IF($G$1="牵丝",$AM28*1.5,0))*(1+$BE28)*(1+$BF28)+($BH28*IF($G$1="破竹",$AL28,$AJ28)+IF($G$1="破竹",$AM28*1.5,0))*(1+$BI28)*(1+$BJ28))*(1+$AN28)*$BO28*$P28*(1+IF(VLOOKUP($Q28,武学奇术!$A:$ZZ,30,FALSE)="弹道",$B$21,0))*(1+$BS28)</f>
        <v>40691.26582946</v>
      </c>
      <c r="N28" s="55">
        <f>((($AP28+$AQ28)/2*$AJ28+$AK28)*(1+$AR28)*(1+$AS28)+(($AU28+$AV28)/2*IF($G$1="鸣金",$AL28,$AJ28)+IF($G$1="鸣金",$AM28*1.5,0))*(1+$AW28)*(1+$AX28)+(($AY28+$AZ28)/2*IF($G$1="裂石",$AL28,$AJ28)+IF($G$1="裂石",$AM28*1.5,0))*(1+$BA28)*(1+$BB28)+(($BC28+$BD28)/2*IF($G$1="牵丝",$AL28,$AJ28)+IF($G$1="牵丝",$AM28*1.5,0))*(1+$BE28)*(1+$BF28)+(($BG28+$BH28)/2*IF($G$1="破竹",$AL28,$AJ28)+IF($G$1="破竹",$AM28*1.5,0))*(1+$BI28)*(1+$BJ28))*(1+$AN28)*$P28*(1+IF(VLOOKUP($Q28,武学奇术!$A:$ZZ,30,FALSE)="弹道",$B$21,0))*(1+$BS28)</f>
        <v>20877.5658661653</v>
      </c>
      <c r="O28" s="55">
        <f>((($AP28*$AJ28+$AK28)*(1+$AR28)*(1+$AS28)+($AU28*IF($G$1="鸣金",$AL28,$AJ28)+IF($G$1="鸣金",$AM28*1.5,0))*(1+$AW28)*(1+$AX28)+($AY28*IF($G$1="裂石",$AL28,$AJ28)+IF($G$1="裂石",$AM28*1.5,0))*(1+$BA28)*(1+$BB28)+($BC28*IF($G$1="牵丝",$AL28,$AJ28)+IF($G$1="牵丝",$AM28*1.5,0))*(1+$BE28)*(1+$BF28)+($BG28*IF($G$1="破竹",$AL28,$AJ28)+IF($G$1="破竹",$AM28*1.5,0))*(1+$BI28)*(1+$BJ28))*(1+$AN28))*$P28*(1+IF(VLOOKUP($Q28,武学奇术!$A:$ZZ,30,FALSE)="弹道",$B$21,0))*(1+$BS28)</f>
        <v>11613.4533401379</v>
      </c>
      <c r="P28" s="56">
        <v>6</v>
      </c>
      <c r="Q28" s="57" t="s">
        <v>148</v>
      </c>
      <c r="R28" s="57" t="s">
        <v>116</v>
      </c>
      <c r="S28" s="57" t="s">
        <v>149</v>
      </c>
      <c r="T28" s="57" t="s">
        <v>72</v>
      </c>
      <c r="U28" s="57" t="s">
        <v>107</v>
      </c>
      <c r="V28" s="57" t="s">
        <v>72</v>
      </c>
      <c r="W28" s="57" t="s">
        <v>72</v>
      </c>
      <c r="X28" s="57" t="s">
        <v>72</v>
      </c>
      <c r="Y28" s="57" t="s">
        <v>72</v>
      </c>
      <c r="Z28" s="57" t="s">
        <v>113</v>
      </c>
      <c r="AA28" s="57" t="s">
        <v>72</v>
      </c>
      <c r="AB28" s="57" t="s">
        <v>72</v>
      </c>
      <c r="AC28" s="57" t="s">
        <v>72</v>
      </c>
      <c r="AD28" s="57" t="s">
        <v>72</v>
      </c>
      <c r="AE28" s="57" t="s">
        <v>150</v>
      </c>
      <c r="AF28" s="57" t="s">
        <v>72</v>
      </c>
      <c r="AG28" s="57" t="s">
        <v>72</v>
      </c>
      <c r="AH28" s="57" t="s">
        <v>87</v>
      </c>
      <c r="AI28" t="str">
        <f>VLOOKUP($Q28,武学奇术!$A:$ZZ,25,FALSE)</f>
        <v>单体奇术</v>
      </c>
      <c r="AJ28" s="41">
        <f>VLOOKUP($Q28,武学奇术!$A:$ZZ,26,FALSE)</f>
        <v>0.236</v>
      </c>
      <c r="AK28" s="42">
        <f>VLOOKUP($Q28,武学奇术!$A:$ZZ,27,FALSE)*(1+IF(OR($AI28=$F$4,$AI28=$F$5),$B$22,0))</f>
        <v>44</v>
      </c>
      <c r="AL28" s="41">
        <f>VLOOKUP($Q28,武学奇术!$A:$ZZ,28,FALSE)</f>
        <v>0.354</v>
      </c>
      <c r="AM28" s="42">
        <f>VLOOKUP($Q28,武学奇术!$A:$ZZ,29,FALSE)*(1+IF(OR($AI28=$F$4,$AI28=$F$5),$B$22,0))</f>
        <v>0</v>
      </c>
      <c r="AN28" s="41" cm="1">
        <f t="array" ref="AN28">$G$3+IFERROR(VLOOKUP($AI28,$F$4:$G$7,2,FALSE),0)+VLOOKUP($Q28,武学奇术!$A:$ZZ,2,FALSE)+SUM(_xlfn.XLOOKUP($R28:$AH28,增益!$A:$A,增益!$B:$B,0))</f>
        <v>0.9015</v>
      </c>
      <c r="AO28" s="41" cm="1">
        <f t="array" ref="AO28">VLOOKUP($Q28,武学奇术!$A:$ZZ,5,FALSE)+SUM(_xlfn.XLOOKUP($R28:$AH28,增益!$A:$A,增益!$E:$E,0))</f>
        <v>0.075</v>
      </c>
      <c r="AP28" cm="1">
        <f t="array" ref="AP28">$D$10*(1+$AO28)+VLOOKUP($Q28,武学奇术!$A:$ZZ,3,FALSE)+SUM(_xlfn.XLOOKUP($R28:$AH28,增益!$A:$A,增益!$C:$C,0))-$I$2</f>
        <v>1974.055</v>
      </c>
      <c r="AQ28" cm="1">
        <f t="array" ref="AQ28">$E$10*(1+$AO28)+VLOOKUP($Q28,武学奇术!$A:$ZZ,4,FALSE)+SUM(_xlfn.XLOOKUP($R28:$AH28,增益!$A:$A,增益!$D:$D,0))-$I$2</f>
        <v>5941.45</v>
      </c>
      <c r="AR28" s="49" cm="1">
        <f t="array" ref="AR28">IF($F$10-$I$3+VLOOKUP($Q28,武学奇术!$A:$ZZ,6,FALSE)+SUM(_xlfn.XLOOKUP(R28:AH28,增益!$A:$A,增益!$F:$F,0))&gt;0,($F$10-$I$3+VLOOKUP($Q28,武学奇术!$A:$ZZ,6,FALSE)+SUM(_xlfn.XLOOKUP(R28:AH28,增益!$A:$A,增益!$F:$F,0)))/200,($F$10-$I$3+VLOOKUP($Q28,武学奇术!$A:$ZZ,6,FALSE)+SUM(_xlfn.XLOOKUP(R28:AH28,增益!$A:$A,增益!$F:$F,0)))/100)</f>
        <v>0.3425</v>
      </c>
      <c r="AS28" s="49" cm="1">
        <f t="array" ref="AS28">$G$10+VLOOKUP($Q28,武学奇术!$A:$ZZ,7,FALSE)+SUM(_xlfn.XLOOKUP(R28:AH28,增益!$A:$A,增益!$G:$G,0))</f>
        <v>0</v>
      </c>
      <c r="AT28" s="41" cm="1">
        <f t="array" ref="AT28">VLOOKUP($Q28,武学奇术!$A:$ZZ,8,FALSE)+SUM(_xlfn.XLOOKUP(R28:AH28,增益!$A:$A,增益!$H:$H,0))</f>
        <v>0</v>
      </c>
      <c r="AU28">
        <f>$D$11*(1+$AT28)</f>
        <v>0</v>
      </c>
      <c r="AV28">
        <f>$E$11*(1+$AT28)</f>
        <v>0</v>
      </c>
      <c r="AW28" s="49" cm="1">
        <f t="array" ref="AW28">IF($F$11-$I$4+VLOOKUP($Q28,武学奇术!$A:$ZZ,9,FALSE)+SUM(_xlfn.XLOOKUP(R28:AH28,增益!$A:$A,增益!$I:$I,0))&gt;0,($F$11-$I$4+VLOOKUP($Q28,武学奇术!$A:$ZZ,9,FALSE)+SUM(_xlfn.XLOOKUP(R28:AH28,增益!$A:$A,增益!$I:$I,0)))/200,($F$11-$I$4+VLOOKUP($Q28,武学奇术!$A:$ZZ,9,FALSE)+SUM(_xlfn.XLOOKUP(R28:AH28,增益!$A:$A,增益!$I:$I,0)))/100)</f>
        <v>-0.3</v>
      </c>
      <c r="AX28" s="49" cm="1">
        <f t="array" ref="AX28">$G$11+VLOOKUP($Q28,武学奇术!$A:$ZZ,10,FALSE)+SUM(_xlfn.XLOOKUP(R28:AH28,增益!$A:$A,增益!$J:$J,0))</f>
        <v>0</v>
      </c>
      <c r="AY28">
        <f>$D$12*(1+$AT28)</f>
        <v>0</v>
      </c>
      <c r="AZ28">
        <f>$E$12*(1+$AT28)</f>
        <v>0</v>
      </c>
      <c r="BA28" s="49" cm="1">
        <f t="array" ref="BA28">IF($F$12-$I$4+VLOOKUP($Q28,武学奇术!$A:$ZZ,11,FALSE)+SUM(_xlfn.XLOOKUP(R28:AH28,增益!$A:$A,增益!$K:$K,0))&gt;0,($F$12-$I$4+VLOOKUP($Q28,武学奇术!$A:$ZZ,11,FALSE)+SUM(_xlfn.XLOOKUP(R28:AH28,增益!$A:$A,增益!$K:$K,0)))/200,($F$12-$I$4+VLOOKUP($Q28,武学奇术!$A:$ZZ,11,FALSE)+SUM(_xlfn.XLOOKUP(R28:AH28,增益!$A:$A,增益!$K:$K,0)))/100)</f>
        <v>-0.3</v>
      </c>
      <c r="BB28" s="49" cm="1">
        <f t="array" ref="BB28">$G$12+VLOOKUP($Q28,武学奇术!$A:$ZZ,12,FALSE)+SUM(_xlfn.XLOOKUP(R28:AH28,增益!$A:$A,增益!$L:$L,0))</f>
        <v>0</v>
      </c>
      <c r="BC28">
        <f>$D$13*(1+$AT28)</f>
        <v>571.2</v>
      </c>
      <c r="BD28">
        <f>$E$13*(1+$AT28)</f>
        <v>1077.4</v>
      </c>
      <c r="BE28" s="49" cm="1">
        <f t="array" ref="BE28">IF($F$13-$I$4+VLOOKUP($Q28,武学奇术!$A:$ZZ,13,FALSE)+SUM(_xlfn.XLOOKUP(R28:AH28,增益!$A:$A,增益!$M:$M,0))&gt;0,($F$13-$I$4+VLOOKUP($Q28,武学奇术!$A:$ZZ,13,FALSE)+SUM(_xlfn.XLOOKUP(R28:AH28,增益!$A:$A,增益!$K:$K,0)))/200,($F$13-$I$4+VLOOKUP($Q28,武学奇术!$A:$ZZ,13,FALSE)+SUM(_xlfn.XLOOKUP(R28:AH28,增益!$A:$A,增益!$M:$M,0)))/100)</f>
        <v>0</v>
      </c>
      <c r="BF28" s="49" cm="1">
        <f t="array" ref="BF28">$G$13+VLOOKUP($Q28,武学奇术!$A:$ZZ,14,FALSE)+SUM(_xlfn.XLOOKUP(R28:AH28,增益!$A:$A,增益!$N:$N,0))</f>
        <v>0.15</v>
      </c>
      <c r="BG28">
        <f>$D$14*(1+$AT28)</f>
        <v>0</v>
      </c>
      <c r="BH28">
        <f>$E$14*(1+$AT28)</f>
        <v>0</v>
      </c>
      <c r="BI28" s="49" cm="1">
        <f t="array" ref="BI28">IF($F$14-$I$4+VLOOKUP($Q28,武学奇术!$A:$ZZ,15,FALSE)+SUM(_xlfn.XLOOKUP(R28:AH28,增益!$A:$A,增益!$O:$O,0))&gt;0,($F$14-$I$4+VLOOKUP($Q28,武学奇术!$A:$ZZ,15,FALSE)+SUM(_xlfn.XLOOKUP(R28:AH28,增益!$A:$A,增益!$O:$O,0)))/200,($F$14-$I$4+VLOOKUP($Q28,武学奇术!$A:$ZZ,15,FALSE)+SUM(_xlfn.XLOOKUP(R28:AH28,增益!$A:$A,增益!$O:$O,0)))/100)</f>
        <v>-0.3</v>
      </c>
      <c r="BJ28" s="49" cm="1">
        <f t="array" ref="BJ28">$G$14+VLOOKUP($Q28,武学奇术!$A:$ZZ,16,FALSE)+SUM(_xlfn.XLOOKUP(R28:AH28,增益!$A:$A,增益!$P:$P,0))</f>
        <v>0</v>
      </c>
      <c r="BK28" s="41">
        <f>MIN(IF(VLOOKUP($Q28,武学奇术!$A:$ZZ,23,FALSE)=1,100%,$B$8),100%)</f>
        <v>1</v>
      </c>
      <c r="BL28" s="41" cm="1">
        <f t="array" ref="BL28">IF(VLOOKUP($Q28,武学奇术!$A:$ZZ,23,FALSE)=1,100%,MIN(80%,$B$9+VLOOKUP($Q28,武学奇术!$A:$ZZ,17,FALSE)+SUM(_xlfn.XLOOKUP(R28:AH28,增益!$A:$A,增益!$Q:$Q,0)))+$B$11+SUM(_xlfn.XLOOKUP(R28:AH28,增益!$A:$A,增益!$U:$U,0)))*IF(VLOOKUP($Q28,武学奇术!$A:$ZZ,24,FALSE)=1,0,1)</f>
        <v>0.9045</v>
      </c>
      <c r="BM28" s="41" cm="1">
        <f t="array" ref="BM28">1+$B$13+VLOOKUP($Q28,武学奇术!$A:$ZZ,18,FALSE)+SUM(_xlfn.XLOOKUP(R28:AH28,增益!$A:$A,增益!$R:$R,0))</f>
        <v>1.57</v>
      </c>
      <c r="BN28" s="41" cm="1">
        <f t="array" ref="BN28">IF(VLOOKUP($Q28,武学奇术!$A:$ZZ,24,FALSE)=1,100%,MIN(40%,$B$10+VLOOKUP($Q28,武学奇术!$A:$ZZ,19,FALSE)+SUM(_xlfn.XLOOKUP(R28:AH28,增益!$A:$A,增益!$S:$S,0)))+$B$12+SUM(_xlfn.XLOOKUP(R28:AH28,增益!$A:$A,增益!$V:$V,0)))*IF(VLOOKUP($Q28,武学奇术!$A:$ZZ,23,FALSE)=1,0,1)</f>
        <v>0.0929</v>
      </c>
      <c r="BO28" s="41" cm="1">
        <f t="array" ref="BO28">1+$B$14+VLOOKUP($Q28,武学奇术!$A:$ZZ,20,FALSE)+SUM(_xlfn.XLOOKUP(R28:AH28,增益!$A:$A,增益!$T:$T,0))</f>
        <v>1.35</v>
      </c>
      <c r="BP28" s="41">
        <f>MIN((1-BN28)*BK28,BK28*BL28)</f>
        <v>0.9045</v>
      </c>
      <c r="BQ28" s="41">
        <f>1-BN28-BP28-BR28</f>
        <v>0.00260000000000005</v>
      </c>
      <c r="BR28" s="41">
        <f>IF(VLOOKUP($Q28,武学奇术!$A:$ZZ,22,FALSE)=1,0,(1-$BK28))*(1-$BN28)</f>
        <v>0</v>
      </c>
      <c r="BS28" s="41" cm="1">
        <f t="array" ref="BS28">SUM(_xlfn.XLOOKUP(R28:AH28,增益!$A:$A,增益!$W:$W,0))+$I$5</f>
        <v>0.11</v>
      </c>
    </row>
    <row r="29" spans="1:71">
      <c r="K29" s="55">
        <f>($L29*$BP29+$M29*$BN29+$N29*$BQ29+$O29*$BR29)</f>
        <v>31014.711278354</v>
      </c>
      <c r="L29" s="55">
        <f>((($AP29+$AQ29)/2*$AJ29+$AK29)*(1+$AR29)*(1+$AS29)+(($AU29+$AV29)/2*IF($G$1="鸣金",$AL29,$AJ29)+IF($G$1="鸣金",$AM29*1.5,0))*(1+$AW29)*(1+$AX29)+(($AY29+$AZ29)/2*IF($G$1="裂石",$AL29,$AJ29)+IF($G$1="裂石",$AM29*1.5,0))*(1+$BA29)*(1+$BB29)+(($BC29+$BD29)/2*IF($G$1="牵丝",$AL29,$AJ29)+IF($G$1="牵丝",$AM29*1.5,0))*(1+$BE29)*(1+$BF29)+(($BG29+$BH29)/2*IF($G$1="破竹",$AL29,$AJ29)+IF($G$1="破竹",$AM29*1.5,0))*(1+$BI29)*(1+$BJ29))*(1+$AN29)*$BM29*$P29*(1+IF(VLOOKUP($Q29,武学奇术!$A:$ZZ,30,FALSE)="弹道",$B$21,0))*(1+$BS29)</f>
        <v>30384.4067583748</v>
      </c>
      <c r="M29" s="55">
        <f>(($AQ29*$AJ29+$AK29)*(1+$AR29)*(1+$AS29)+($AV29*IF($G$1="鸣金",$AL29,$AJ29)+IF($G$1="鸣金",$AM29*1.5,0))*(1+$AW29)*(1+$AX29)+($AZ29*IF($G$1="裂石",$AL29,$AJ29)+IF($G$1="裂石",$AM29*1.5,0))*(1+$BA29)*(1+$BB29)+($BD29*IF($G$1="牵丝",$AL29,$AJ29)+IF($G$1="牵丝",$AM29*1.5,0))*(1+$BE29)*(1+$BF29)+($BH29*IF($G$1="破竹",$AL29,$AJ29)+IF($G$1="破竹",$AM29*1.5,0))*(1+$BI29)*(1+$BJ29))*(1+$AN29)*$BO29*$P29*(1+IF(VLOOKUP($Q29,武学奇术!$A:$ZZ,30,FALSE)="弹道",$B$21,0))*(1+$BS29)</f>
        <v>37481.3316330787</v>
      </c>
      <c r="N29" s="55">
        <f>((($AP29+$AQ29)/2*$AJ29+$AK29)*(1+$AR29)*(1+$AS29)+(($AU29+$AV29)/2*IF($G$1="鸣金",$AL29,$AJ29)+IF($G$1="鸣金",$AM29*1.5,0))*(1+$AW29)*(1+$AX29)+(($AY29+$AZ29)/2*IF($G$1="裂石",$AL29,$AJ29)+IF($G$1="裂石",$AM29*1.5,0))*(1+$BA29)*(1+$BB29)+(($BC29+$BD29)/2*IF($G$1="牵丝",$AL29,$AJ29)+IF($G$1="牵丝",$AM29*1.5,0))*(1+$BE29)*(1+$BF29)+(($BG29+$BH29)/2*IF($G$1="破竹",$AL29,$AJ29)+IF($G$1="破竹",$AM29*1.5,0))*(1+$BI29)*(1+$BJ29))*(1+$AN29)*$P29*(1+IF(VLOOKUP($Q29,武学奇术!$A:$ZZ,30,FALSE)="弹道",$B$21,0))*(1+$BS29)</f>
        <v>19230.6371888448</v>
      </c>
      <c r="O29" s="55">
        <f>((($AP29*$AJ29+$AK29)*(1+$AR29)*(1+$AS29)+($AU29*IF($G$1="鸣金",$AL29,$AJ29)+IF($G$1="鸣金",$AM29*1.5,0))*(1+$AW29)*(1+$AX29)+($AY29*IF($G$1="裂石",$AL29,$AJ29)+IF($G$1="裂石",$AM29*1.5,0))*(1+$BA29)*(1+$BB29)+($BC29*IF($G$1="牵丝",$AL29,$AJ29)+IF($G$1="牵丝",$AM29*1.5,0))*(1+$BE29)*(1+$BF29)+($BG29*IF($G$1="破竹",$AL29,$AJ29)+IF($G$1="破竹",$AM29*1.5,0))*(1+$BI29)*(1+$BJ29))*(1+$AN29))*$P29*(1+IF(VLOOKUP($Q29,武学奇术!$A:$ZZ,30,FALSE)="弹道",$B$21,0))*(1+$BS29)</f>
        <v>10697.3250198536</v>
      </c>
      <c r="P29" s="56">
        <v>6</v>
      </c>
      <c r="Q29" s="57" t="s">
        <v>148</v>
      </c>
      <c r="R29" s="57" t="s">
        <v>116</v>
      </c>
      <c r="S29" s="57" t="s">
        <v>151</v>
      </c>
      <c r="T29" s="57" t="s">
        <v>72</v>
      </c>
      <c r="U29" s="57" t="s">
        <v>107</v>
      </c>
      <c r="V29" s="57" t="s">
        <v>72</v>
      </c>
      <c r="W29" s="57" t="s">
        <v>72</v>
      </c>
      <c r="X29" s="57" t="s">
        <v>72</v>
      </c>
      <c r="Y29" s="57" t="s">
        <v>72</v>
      </c>
      <c r="Z29" s="57" t="s">
        <v>72</v>
      </c>
      <c r="AA29" s="57" t="s">
        <v>72</v>
      </c>
      <c r="AB29" s="57" t="s">
        <v>72</v>
      </c>
      <c r="AC29" s="57" t="s">
        <v>72</v>
      </c>
      <c r="AD29" s="57" t="s">
        <v>72</v>
      </c>
      <c r="AE29" s="57" t="s">
        <v>150</v>
      </c>
      <c r="AF29" s="57" t="s">
        <v>72</v>
      </c>
      <c r="AG29" s="57" t="s">
        <v>72</v>
      </c>
      <c r="AH29" s="57" t="s">
        <v>87</v>
      </c>
      <c r="AI29" t="str">
        <f>VLOOKUP($Q29,武学奇术!$A:$ZZ,25,FALSE)</f>
        <v>单体奇术</v>
      </c>
      <c r="AJ29" s="41">
        <f>VLOOKUP($Q29,武学奇术!$A:$ZZ,26,FALSE)</f>
        <v>0.236</v>
      </c>
      <c r="AK29" s="42">
        <f>VLOOKUP($Q29,武学奇术!$A:$ZZ,27,FALSE)*(1+IF(OR($AI29=$F$4,$AI29=$F$5),$B$22,0))</f>
        <v>44</v>
      </c>
      <c r="AL29" s="41">
        <f>VLOOKUP($Q29,武学奇术!$A:$ZZ,28,FALSE)</f>
        <v>0.354</v>
      </c>
      <c r="AM29" s="42">
        <f>VLOOKUP($Q29,武学奇术!$A:$ZZ,29,FALSE)*(1+IF(OR($AI29=$F$4,$AI29=$F$5),$B$22,0))</f>
        <v>0</v>
      </c>
      <c r="AN29" s="41" cm="1">
        <f t="array" ref="AN29">$G$3+IFERROR(VLOOKUP($AI29,$F$4:$G$7,2,FALSE),0)+VLOOKUP($Q29,武学奇术!$A:$ZZ,2,FALSE)+SUM(_xlfn.XLOOKUP($R29:$AH29,增益!$A:$A,增益!$B:$B,0))</f>
        <v>0.7515</v>
      </c>
      <c r="AO29" s="41" cm="1">
        <f t="array" ref="AO29">VLOOKUP($Q29,武学奇术!$A:$ZZ,5,FALSE)+SUM(_xlfn.XLOOKUP($R29:$AH29,增益!$A:$A,增益!$E:$E,0))</f>
        <v>0.075</v>
      </c>
      <c r="AP29" cm="1">
        <f t="array" ref="AP29">$D$10*(1+$AO29)+VLOOKUP($Q29,武学奇术!$A:$ZZ,3,FALSE)+SUM(_xlfn.XLOOKUP($R29:$AH29,增益!$A:$A,增益!$C:$C,0))-$I$2</f>
        <v>1974.055</v>
      </c>
      <c r="AQ29" cm="1">
        <f t="array" ref="AQ29">$E$10*(1+$AO29)+VLOOKUP($Q29,武学奇术!$A:$ZZ,4,FALSE)+SUM(_xlfn.XLOOKUP($R29:$AH29,增益!$A:$A,增益!$D:$D,0))-$I$2</f>
        <v>5941.45</v>
      </c>
      <c r="AR29" s="49" cm="1">
        <f t="array" ref="AR29">IF($F$10-$I$3+VLOOKUP($Q29,武学奇术!$A:$ZZ,6,FALSE)+SUM(_xlfn.XLOOKUP(R29:AH29,增益!$A:$A,增益!$F:$F,0))&gt;0,($F$10-$I$3+VLOOKUP($Q29,武学奇术!$A:$ZZ,6,FALSE)+SUM(_xlfn.XLOOKUP(R29:AH29,增益!$A:$A,增益!$F:$F,0)))/200,($F$10-$I$3+VLOOKUP($Q29,武学奇术!$A:$ZZ,6,FALSE)+SUM(_xlfn.XLOOKUP(R29:AH29,增益!$A:$A,增益!$F:$F,0)))/100)</f>
        <v>0.3425</v>
      </c>
      <c r="AS29" s="49" cm="1">
        <f t="array" ref="AS29">$G$10+VLOOKUP($Q29,武学奇术!$A:$ZZ,7,FALSE)+SUM(_xlfn.XLOOKUP(R29:AH29,增益!$A:$A,增益!$G:$G,0))</f>
        <v>0</v>
      </c>
      <c r="AT29" s="41" cm="1">
        <f t="array" ref="AT29">VLOOKUP($Q29,武学奇术!$A:$ZZ,8,FALSE)+SUM(_xlfn.XLOOKUP(R29:AH29,增益!$A:$A,增益!$H:$H,0))</f>
        <v>0</v>
      </c>
      <c r="AU29">
        <f>$D$11*(1+$AT29)</f>
        <v>0</v>
      </c>
      <c r="AV29">
        <f>$E$11*(1+$AT29)</f>
        <v>0</v>
      </c>
      <c r="AW29" s="49" cm="1">
        <f t="array" ref="AW29">IF($F$11-$I$4+VLOOKUP($Q29,武学奇术!$A:$ZZ,9,FALSE)+SUM(_xlfn.XLOOKUP(R29:AH29,增益!$A:$A,增益!$I:$I,0))&gt;0,($F$11-$I$4+VLOOKUP($Q29,武学奇术!$A:$ZZ,9,FALSE)+SUM(_xlfn.XLOOKUP(R29:AH29,增益!$A:$A,增益!$I:$I,0)))/200,($F$11-$I$4+VLOOKUP($Q29,武学奇术!$A:$ZZ,9,FALSE)+SUM(_xlfn.XLOOKUP(R29:AH29,增益!$A:$A,增益!$I:$I,0)))/100)</f>
        <v>-0.3</v>
      </c>
      <c r="AX29" s="49" cm="1">
        <f t="array" ref="AX29">$G$11+VLOOKUP($Q29,武学奇术!$A:$ZZ,10,FALSE)+SUM(_xlfn.XLOOKUP(R29:AH29,增益!$A:$A,增益!$J:$J,0))</f>
        <v>0</v>
      </c>
      <c r="AY29">
        <f>$D$12*(1+$AT29)</f>
        <v>0</v>
      </c>
      <c r="AZ29">
        <f>$E$12*(1+$AT29)</f>
        <v>0</v>
      </c>
      <c r="BA29" s="49" cm="1">
        <f t="array" ref="BA29">IF($F$12-$I$4+VLOOKUP($Q29,武学奇术!$A:$ZZ,11,FALSE)+SUM(_xlfn.XLOOKUP(R29:AH29,增益!$A:$A,增益!$K:$K,0))&gt;0,($F$12-$I$4+VLOOKUP($Q29,武学奇术!$A:$ZZ,11,FALSE)+SUM(_xlfn.XLOOKUP(R29:AH29,增益!$A:$A,增益!$K:$K,0)))/200,($F$12-$I$4+VLOOKUP($Q29,武学奇术!$A:$ZZ,11,FALSE)+SUM(_xlfn.XLOOKUP(R29:AH29,增益!$A:$A,增益!$K:$K,0)))/100)</f>
        <v>-0.3</v>
      </c>
      <c r="BB29" s="49" cm="1">
        <f t="array" ref="BB29">$G$12+VLOOKUP($Q29,武学奇术!$A:$ZZ,12,FALSE)+SUM(_xlfn.XLOOKUP(R29:AH29,增益!$A:$A,增益!$L:$L,0))</f>
        <v>0</v>
      </c>
      <c r="BC29">
        <f>$D$13*(1+$AT29)</f>
        <v>571.2</v>
      </c>
      <c r="BD29">
        <f>$E$13*(1+$AT29)</f>
        <v>1077.4</v>
      </c>
      <c r="BE29" s="49" cm="1">
        <f t="array" ref="BE29">IF($F$13-$I$4+VLOOKUP($Q29,武学奇术!$A:$ZZ,13,FALSE)+SUM(_xlfn.XLOOKUP(R29:AH29,增益!$A:$A,增益!$M:$M,0))&gt;0,($F$13-$I$4+VLOOKUP($Q29,武学奇术!$A:$ZZ,13,FALSE)+SUM(_xlfn.XLOOKUP(R29:AH29,增益!$A:$A,增益!$K:$K,0)))/200,($F$13-$I$4+VLOOKUP($Q29,武学奇术!$A:$ZZ,13,FALSE)+SUM(_xlfn.XLOOKUP(R29:AH29,增益!$A:$A,增益!$M:$M,0)))/100)</f>
        <v>0</v>
      </c>
      <c r="BF29" s="49" cm="1">
        <f t="array" ref="BF29">$G$13+VLOOKUP($Q29,武学奇术!$A:$ZZ,14,FALSE)+SUM(_xlfn.XLOOKUP(R29:AH29,增益!$A:$A,增益!$N:$N,0))</f>
        <v>0.15</v>
      </c>
      <c r="BG29">
        <f>$D$14*(1+$AT29)</f>
        <v>0</v>
      </c>
      <c r="BH29">
        <f>$E$14*(1+$AT29)</f>
        <v>0</v>
      </c>
      <c r="BI29" s="49" cm="1">
        <f t="array" ref="BI29">IF($F$14-$I$4+VLOOKUP($Q29,武学奇术!$A:$ZZ,15,FALSE)+SUM(_xlfn.XLOOKUP(R29:AH29,增益!$A:$A,增益!$O:$O,0))&gt;0,($F$14-$I$4+VLOOKUP($Q29,武学奇术!$A:$ZZ,15,FALSE)+SUM(_xlfn.XLOOKUP(R29:AH29,增益!$A:$A,增益!$O:$O,0)))/200,($F$14-$I$4+VLOOKUP($Q29,武学奇术!$A:$ZZ,15,FALSE)+SUM(_xlfn.XLOOKUP(R29:AH29,增益!$A:$A,增益!$O:$O,0)))/100)</f>
        <v>-0.3</v>
      </c>
      <c r="BJ29" s="49" cm="1">
        <f t="array" ref="BJ29">$G$14+VLOOKUP($Q29,武学奇术!$A:$ZZ,16,FALSE)+SUM(_xlfn.XLOOKUP(R29:AH29,增益!$A:$A,增益!$P:$P,0))</f>
        <v>0</v>
      </c>
      <c r="BK29" s="41">
        <f>MIN(IF(VLOOKUP($Q29,武学奇术!$A:$ZZ,23,FALSE)=1,100%,$B$8),100%)</f>
        <v>1</v>
      </c>
      <c r="BL29" s="41" cm="1">
        <f t="array" ref="BL29">IF(VLOOKUP($Q29,武学奇术!$A:$ZZ,23,FALSE)=1,100%,MIN(80%,$B$9+VLOOKUP($Q29,武学奇术!$A:$ZZ,17,FALSE)+SUM(_xlfn.XLOOKUP(R29:AH29,增益!$A:$A,增益!$Q:$Q,0)))+$B$11+SUM(_xlfn.XLOOKUP(R29:AH29,增益!$A:$A,增益!$U:$U,0)))*IF(VLOOKUP($Q29,武学奇术!$A:$ZZ,24,FALSE)=1,0,1)</f>
        <v>0.9045</v>
      </c>
      <c r="BM29" s="41" cm="1">
        <f t="array" ref="BM29">1+$B$13+VLOOKUP($Q29,武学奇术!$A:$ZZ,18,FALSE)+SUM(_xlfn.XLOOKUP(R29:AH29,增益!$A:$A,增益!$R:$R,0))</f>
        <v>1.58</v>
      </c>
      <c r="BN29" s="41" cm="1">
        <f t="array" ref="BN29">IF(VLOOKUP($Q29,武学奇术!$A:$ZZ,24,FALSE)=1,100%,MIN(40%,$B$10+VLOOKUP($Q29,武学奇术!$A:$ZZ,19,FALSE)+SUM(_xlfn.XLOOKUP(R29:AH29,增益!$A:$A,增益!$S:$S,0)))+$B$12+SUM(_xlfn.XLOOKUP(R29:AH29,增益!$A:$A,增益!$V:$V,0)))*IF(VLOOKUP($Q29,武学奇术!$A:$ZZ,23,FALSE)=1,0,1)</f>
        <v>0.0929</v>
      </c>
      <c r="BO29" s="41" cm="1">
        <f t="array" ref="BO29">1+$B$14+VLOOKUP($Q29,武学奇术!$A:$ZZ,20,FALSE)+SUM(_xlfn.XLOOKUP(R29:AH29,增益!$A:$A,增益!$T:$T,0))</f>
        <v>1.35</v>
      </c>
      <c r="BP29" s="41">
        <f>MIN((1-BN29)*BK29,BK29*BL29)</f>
        <v>0.9045</v>
      </c>
      <c r="BQ29" s="41">
        <f>1-BN29-BP29-BR29</f>
        <v>0.00260000000000005</v>
      </c>
      <c r="BR29" s="41">
        <f>IF(VLOOKUP($Q29,武学奇术!$A:$ZZ,22,FALSE)=1,0,(1-$BK29))*(1-$BN29)</f>
        <v>0</v>
      </c>
      <c r="BS29" s="41" cm="1">
        <f t="array" ref="BS29">SUM(_xlfn.XLOOKUP(R29:AH29,增益!$A:$A,增益!$W:$W,0))+$I$5</f>
        <v>0.11</v>
      </c>
    </row>
    <row r="30" spans="1:71">
      <c r="K30" s="55">
        <f>($L30*$BP30+$M30*$BN30+$N30*$BQ30+$O30*$BR30)</f>
        <v>31188.6523917271</v>
      </c>
      <c r="L30" s="55">
        <f>((($AP30+$AQ30)/2*$AJ30+$AK30)*(1+$AR30)*(1+$AS30)+(($AU30+$AV30)/2*IF($G$1="鸣金",$AL30,$AJ30)+IF($G$1="鸣金",$AM30*1.5,0))*(1+$AW30)*(1+$AX30)+(($AY30+$AZ30)/2*IF($G$1="裂石",$AL30,$AJ30)+IF($G$1="裂石",$AM30*1.5,0))*(1+$BA30)*(1+$BB30)+(($BC30+$BD30)/2*IF($G$1="牵丝",$AL30,$AJ30)+IF($G$1="牵丝",$AM30*1.5,0))*(1+$BE30)*(1+$BF30)+(($BG30+$BH30)/2*IF($G$1="破竹",$AL30,$AJ30)+IF($G$1="破竹",$AM30*1.5,0))*(1+$BI30)*(1+$BJ30))*(1+$AN30)*$BM30*$P30*(1+IF(VLOOKUP($Q30,武学奇术!$A:$ZZ,30,FALSE)="弹道",$B$21,0))*(1+$BS30)</f>
        <v>30576.7131302633</v>
      </c>
      <c r="M30" s="55">
        <f>(($AQ30*$AJ30+$AK30)*(1+$AR30)*(1+$AS30)+($AV30*IF($G$1="鸣金",$AL30,$AJ30)+IF($G$1="鸣金",$AM30*1.5,0))*(1+$AW30)*(1+$AX30)+($AZ30*IF($G$1="裂石",$AL30,$AJ30)+IF($G$1="裂石",$AM30*1.5,0))*(1+$BA30)*(1+$BB30)+($BD30*IF($G$1="牵丝",$AL30,$AJ30)+IF($G$1="牵丝",$AM30*1.5,0))*(1+$BE30)*(1+$BF30)+($BH30*IF($G$1="破竹",$AL30,$AJ30)+IF($G$1="破竹",$AM30*1.5,0))*(1+$BI30)*(1+$BJ30))*(1+$AN30)*$BO30*$P30*(1+IF(VLOOKUP($Q30,武学奇术!$A:$ZZ,30,FALSE)="弹道",$B$21,0))*(1+$BS30)</f>
        <v>37481.3316330787</v>
      </c>
      <c r="N30" s="55">
        <f>((($AP30+$AQ30)/2*$AJ30+$AK30)*(1+$AR30)*(1+$AS30)+(($AU30+$AV30)/2*IF($G$1="鸣金",$AL30,$AJ30)+IF($G$1="鸣金",$AM30*1.5,0))*(1+$AW30)*(1+$AX30)+(($AY30+$AZ30)/2*IF($G$1="裂石",$AL30,$AJ30)+IF($G$1="裂石",$AM30*1.5,0))*(1+$BA30)*(1+$BB30)+(($BC30+$BD30)/2*IF($G$1="牵丝",$AL30,$AJ30)+IF($G$1="牵丝",$AM30*1.5,0))*(1+$BE30)*(1+$BF30)+(($BG30+$BH30)/2*IF($G$1="破竹",$AL30,$AJ30)+IF($G$1="破竹",$AM30*1.5,0))*(1+$BI30)*(1+$BJ30))*(1+$AN30)*$P30*(1+IF(VLOOKUP($Q30,武学奇术!$A:$ZZ,30,FALSE)="弹道",$B$21,0))*(1+$BS30)</f>
        <v>19230.6371888448</v>
      </c>
      <c r="O30" s="55">
        <f>((($AP30*$AJ30+$AK30)*(1+$AR30)*(1+$AS30)+($AU30*IF($G$1="鸣金",$AL30,$AJ30)+IF($G$1="鸣金",$AM30*1.5,0))*(1+$AW30)*(1+$AX30)+($AY30*IF($G$1="裂石",$AL30,$AJ30)+IF($G$1="裂石",$AM30*1.5,0))*(1+$BA30)*(1+$BB30)+($BC30*IF($G$1="牵丝",$AL30,$AJ30)+IF($G$1="牵丝",$AM30*1.5,0))*(1+$BE30)*(1+$BF30)+($BG30*IF($G$1="破竹",$AL30,$AJ30)+IF($G$1="破竹",$AM30*1.5,0))*(1+$BI30)*(1+$BJ30))*(1+$AN30))*$P30*(1+IF(VLOOKUP($Q30,武学奇术!$A:$ZZ,30,FALSE)="弹道",$B$21,0))*(1+$BS30)</f>
        <v>10697.3250198536</v>
      </c>
      <c r="P30" s="56">
        <v>6</v>
      </c>
      <c r="Q30" s="57" t="s">
        <v>148</v>
      </c>
      <c r="R30" s="57" t="s">
        <v>116</v>
      </c>
      <c r="S30" s="57" t="s">
        <v>152</v>
      </c>
      <c r="T30" s="57" t="s">
        <v>72</v>
      </c>
      <c r="U30" s="57" t="s">
        <v>107</v>
      </c>
      <c r="V30" s="57" t="s">
        <v>72</v>
      </c>
      <c r="W30" s="57" t="s">
        <v>72</v>
      </c>
      <c r="X30" s="57" t="s">
        <v>72</v>
      </c>
      <c r="Y30" s="57" t="s">
        <v>72</v>
      </c>
      <c r="Z30" s="57" t="s">
        <v>72</v>
      </c>
      <c r="AA30" s="57" t="s">
        <v>72</v>
      </c>
      <c r="AB30" s="57" t="s">
        <v>72</v>
      </c>
      <c r="AC30" s="57" t="s">
        <v>72</v>
      </c>
      <c r="AD30" s="57" t="s">
        <v>72</v>
      </c>
      <c r="AE30" s="57" t="s">
        <v>150</v>
      </c>
      <c r="AF30" s="57" t="s">
        <v>72</v>
      </c>
      <c r="AG30" s="57" t="s">
        <v>72</v>
      </c>
      <c r="AH30" s="57" t="s">
        <v>87</v>
      </c>
      <c r="AI30" t="str">
        <f>VLOOKUP($Q30,武学奇术!$A:$ZZ,25,FALSE)</f>
        <v>单体奇术</v>
      </c>
      <c r="AJ30" s="41">
        <f>VLOOKUP($Q30,武学奇术!$A:$ZZ,26,FALSE)</f>
        <v>0.236</v>
      </c>
      <c r="AK30" s="42">
        <f>VLOOKUP($Q30,武学奇术!$A:$ZZ,27,FALSE)*(1+IF(OR($AI30=$F$4,$AI30=$F$5),$B$22,0))</f>
        <v>44</v>
      </c>
      <c r="AL30" s="41">
        <f>VLOOKUP($Q30,武学奇术!$A:$ZZ,28,FALSE)</f>
        <v>0.354</v>
      </c>
      <c r="AM30" s="42">
        <f>VLOOKUP($Q30,武学奇术!$A:$ZZ,29,FALSE)*(1+IF(OR($AI30=$F$4,$AI30=$F$5),$B$22,0))</f>
        <v>0</v>
      </c>
      <c r="AN30" s="41" cm="1">
        <f t="array" ref="AN30">$G$3+IFERROR(VLOOKUP($AI30,$F$4:$G$7,2,FALSE),0)+VLOOKUP($Q30,武学奇术!$A:$ZZ,2,FALSE)+SUM(_xlfn.XLOOKUP($R30:$AH30,增益!$A:$A,增益!$B:$B,0))</f>
        <v>0.7515</v>
      </c>
      <c r="AO30" s="41" cm="1">
        <f t="array" ref="AO30">VLOOKUP($Q30,武学奇术!$A:$ZZ,5,FALSE)+SUM(_xlfn.XLOOKUP($R30:$AH30,增益!$A:$A,增益!$E:$E,0))</f>
        <v>0.075</v>
      </c>
      <c r="AP30" cm="1">
        <f t="array" ref="AP30">$D$10*(1+$AO30)+VLOOKUP($Q30,武学奇术!$A:$ZZ,3,FALSE)+SUM(_xlfn.XLOOKUP($R30:$AH30,增益!$A:$A,增益!$C:$C,0))-$I$2</f>
        <v>1974.055</v>
      </c>
      <c r="AQ30" cm="1">
        <f t="array" ref="AQ30">$E$10*(1+$AO30)+VLOOKUP($Q30,武学奇术!$A:$ZZ,4,FALSE)+SUM(_xlfn.XLOOKUP($R30:$AH30,增益!$A:$A,增益!$D:$D,0))-$I$2</f>
        <v>5941.45</v>
      </c>
      <c r="AR30" s="49" cm="1">
        <f t="array" ref="AR30">IF($F$10-$I$3+VLOOKUP($Q30,武学奇术!$A:$ZZ,6,FALSE)+SUM(_xlfn.XLOOKUP(R30:AH30,增益!$A:$A,增益!$F:$F,0))&gt;0,($F$10-$I$3+VLOOKUP($Q30,武学奇术!$A:$ZZ,6,FALSE)+SUM(_xlfn.XLOOKUP(R30:AH30,增益!$A:$A,增益!$F:$F,0)))/200,($F$10-$I$3+VLOOKUP($Q30,武学奇术!$A:$ZZ,6,FALSE)+SUM(_xlfn.XLOOKUP(R30:AH30,增益!$A:$A,增益!$F:$F,0)))/100)</f>
        <v>0.3425</v>
      </c>
      <c r="AS30" s="49" cm="1">
        <f t="array" ref="AS30">$G$10+VLOOKUP($Q30,武学奇术!$A:$ZZ,7,FALSE)+SUM(_xlfn.XLOOKUP(R30:AH30,增益!$A:$A,增益!$G:$G,0))</f>
        <v>0</v>
      </c>
      <c r="AT30" s="41" cm="1">
        <f t="array" ref="AT30">VLOOKUP($Q30,武学奇术!$A:$ZZ,8,FALSE)+SUM(_xlfn.XLOOKUP(R30:AH30,增益!$A:$A,增益!$H:$H,0))</f>
        <v>0</v>
      </c>
      <c r="AU30">
        <f>$D$11*(1+$AT30)</f>
        <v>0</v>
      </c>
      <c r="AV30">
        <f>$E$11*(1+$AT30)</f>
        <v>0</v>
      </c>
      <c r="AW30" s="49" cm="1">
        <f t="array" ref="AW30">IF($F$11-$I$4+VLOOKUP($Q30,武学奇术!$A:$ZZ,9,FALSE)+SUM(_xlfn.XLOOKUP(R30:AH30,增益!$A:$A,增益!$I:$I,0))&gt;0,($F$11-$I$4+VLOOKUP($Q30,武学奇术!$A:$ZZ,9,FALSE)+SUM(_xlfn.XLOOKUP(R30:AH30,增益!$A:$A,增益!$I:$I,0)))/200,($F$11-$I$4+VLOOKUP($Q30,武学奇术!$A:$ZZ,9,FALSE)+SUM(_xlfn.XLOOKUP(R30:AH30,增益!$A:$A,增益!$I:$I,0)))/100)</f>
        <v>-0.3</v>
      </c>
      <c r="AX30" s="49" cm="1">
        <f t="array" ref="AX30">$G$11+VLOOKUP($Q30,武学奇术!$A:$ZZ,10,FALSE)+SUM(_xlfn.XLOOKUP(R30:AH30,增益!$A:$A,增益!$J:$J,0))</f>
        <v>0</v>
      </c>
      <c r="AY30">
        <f>$D$12*(1+$AT30)</f>
        <v>0</v>
      </c>
      <c r="AZ30">
        <f>$E$12*(1+$AT30)</f>
        <v>0</v>
      </c>
      <c r="BA30" s="49" cm="1">
        <f t="array" ref="BA30">IF($F$12-$I$4+VLOOKUP($Q30,武学奇术!$A:$ZZ,11,FALSE)+SUM(_xlfn.XLOOKUP(R30:AH30,增益!$A:$A,增益!$K:$K,0))&gt;0,($F$12-$I$4+VLOOKUP($Q30,武学奇术!$A:$ZZ,11,FALSE)+SUM(_xlfn.XLOOKUP(R30:AH30,增益!$A:$A,增益!$K:$K,0)))/200,($F$12-$I$4+VLOOKUP($Q30,武学奇术!$A:$ZZ,11,FALSE)+SUM(_xlfn.XLOOKUP(R30:AH30,增益!$A:$A,增益!$K:$K,0)))/100)</f>
        <v>-0.3</v>
      </c>
      <c r="BB30" s="49" cm="1">
        <f t="array" ref="BB30">$G$12+VLOOKUP($Q30,武学奇术!$A:$ZZ,12,FALSE)+SUM(_xlfn.XLOOKUP(R30:AH30,增益!$A:$A,增益!$L:$L,0))</f>
        <v>0</v>
      </c>
      <c r="BC30">
        <f>$D$13*(1+$AT30)</f>
        <v>571.2</v>
      </c>
      <c r="BD30">
        <f>$E$13*(1+$AT30)</f>
        <v>1077.4</v>
      </c>
      <c r="BE30" s="49" cm="1">
        <f t="array" ref="BE30">IF($F$13-$I$4+VLOOKUP($Q30,武学奇术!$A:$ZZ,13,FALSE)+SUM(_xlfn.XLOOKUP(R30:AH30,增益!$A:$A,增益!$M:$M,0))&gt;0,($F$13-$I$4+VLOOKUP($Q30,武学奇术!$A:$ZZ,13,FALSE)+SUM(_xlfn.XLOOKUP(R30:AH30,增益!$A:$A,增益!$K:$K,0)))/200,($F$13-$I$4+VLOOKUP($Q30,武学奇术!$A:$ZZ,13,FALSE)+SUM(_xlfn.XLOOKUP(R30:AH30,增益!$A:$A,增益!$M:$M,0)))/100)</f>
        <v>0</v>
      </c>
      <c r="BF30" s="49" cm="1">
        <f t="array" ref="BF30">$G$13+VLOOKUP($Q30,武学奇术!$A:$ZZ,14,FALSE)+SUM(_xlfn.XLOOKUP(R30:AH30,增益!$A:$A,增益!$N:$N,0))</f>
        <v>0.15</v>
      </c>
      <c r="BG30">
        <f>$D$14*(1+$AT30)</f>
        <v>0</v>
      </c>
      <c r="BH30">
        <f>$E$14*(1+$AT30)</f>
        <v>0</v>
      </c>
      <c r="BI30" s="49" cm="1">
        <f t="array" ref="BI30">IF($F$14-$I$4+VLOOKUP($Q30,武学奇术!$A:$ZZ,15,FALSE)+SUM(_xlfn.XLOOKUP(R30:AH30,增益!$A:$A,增益!$O:$O,0))&gt;0,($F$14-$I$4+VLOOKUP($Q30,武学奇术!$A:$ZZ,15,FALSE)+SUM(_xlfn.XLOOKUP(R30:AH30,增益!$A:$A,增益!$O:$O,0)))/200,($F$14-$I$4+VLOOKUP($Q30,武学奇术!$A:$ZZ,15,FALSE)+SUM(_xlfn.XLOOKUP(R30:AH30,增益!$A:$A,增益!$O:$O,0)))/100)</f>
        <v>-0.3</v>
      </c>
      <c r="BJ30" s="49" cm="1">
        <f t="array" ref="BJ30">$G$14+VLOOKUP($Q30,武学奇术!$A:$ZZ,16,FALSE)+SUM(_xlfn.XLOOKUP(R30:AH30,增益!$A:$A,增益!$P:$P,0))</f>
        <v>0</v>
      </c>
      <c r="BK30" s="41">
        <f>MIN(IF(VLOOKUP($Q30,武学奇术!$A:$ZZ,23,FALSE)=1,100%,$B$8),100%)</f>
        <v>1</v>
      </c>
      <c r="BL30" s="41" cm="1">
        <f t="array" ref="BL30">IF(VLOOKUP($Q30,武学奇术!$A:$ZZ,23,FALSE)=1,100%,MIN(80%,$B$9+VLOOKUP($Q30,武学奇术!$A:$ZZ,17,FALSE)+SUM(_xlfn.XLOOKUP(R30:AH30,增益!$A:$A,增益!$Q:$Q,0)))+$B$11+SUM(_xlfn.XLOOKUP(R30:AH30,增益!$A:$A,增益!$U:$U,0)))*IF(VLOOKUP($Q30,武学奇术!$A:$ZZ,24,FALSE)=1,0,1)</f>
        <v>0.9045</v>
      </c>
      <c r="BM30" s="41" cm="1">
        <f t="array" ref="BM30">1+$B$13+VLOOKUP($Q30,武学奇术!$A:$ZZ,18,FALSE)+SUM(_xlfn.XLOOKUP(R30:AH30,增益!$A:$A,增益!$R:$R,0))</f>
        <v>1.59</v>
      </c>
      <c r="BN30" s="41" cm="1">
        <f t="array" ref="BN30">IF(VLOOKUP($Q30,武学奇术!$A:$ZZ,24,FALSE)=1,100%,MIN(40%,$B$10+VLOOKUP($Q30,武学奇术!$A:$ZZ,19,FALSE)+SUM(_xlfn.XLOOKUP(R30:AH30,增益!$A:$A,增益!$S:$S,0)))+$B$12+SUM(_xlfn.XLOOKUP(R30:AH30,增益!$A:$A,增益!$V:$V,0)))*IF(VLOOKUP($Q30,武学奇术!$A:$ZZ,23,FALSE)=1,0,1)</f>
        <v>0.0929</v>
      </c>
      <c r="BO30" s="41" cm="1">
        <f t="array" ref="BO30">1+$B$14+VLOOKUP($Q30,武学奇术!$A:$ZZ,20,FALSE)+SUM(_xlfn.XLOOKUP(R30:AH30,增益!$A:$A,增益!$T:$T,0))</f>
        <v>1.35</v>
      </c>
      <c r="BP30" s="41">
        <f>MIN((1-BN30)*BK30,BK30*BL30)</f>
        <v>0.9045</v>
      </c>
      <c r="BQ30" s="41">
        <f>1-BN30-BP30-BR30</f>
        <v>0.00260000000000005</v>
      </c>
      <c r="BR30" s="41">
        <f>IF(VLOOKUP($Q30,武学奇术!$A:$ZZ,22,FALSE)=1,0,(1-$BK30))*(1-$BN30)</f>
        <v>0</v>
      </c>
      <c r="BS30" s="41" cm="1">
        <f t="array" ref="BS30">SUM(_xlfn.XLOOKUP(R30:AH30,增益!$A:$A,增益!$W:$W,0))+$I$5</f>
        <v>0.11</v>
      </c>
    </row>
    <row r="31" spans="1:71">
      <c r="K31" s="55">
        <f>($L31*$BP31+$M31*$BN31+$N31*$BQ31+$O31*$BR31)</f>
        <v>31362.5935051002</v>
      </c>
      <c r="L31" s="55">
        <f>((($AP31+$AQ31)/2*$AJ31+$AK31)*(1+$AR31)*(1+$AS31)+(($AU31+$AV31)/2*IF($G$1="鸣金",$AL31,$AJ31)+IF($G$1="鸣金",$AM31*1.5,0))*(1+$AW31)*(1+$AX31)+(($AY31+$AZ31)/2*IF($G$1="裂石",$AL31,$AJ31)+IF($G$1="裂石",$AM31*1.5,0))*(1+$BA31)*(1+$BB31)+(($BC31+$BD31)/2*IF($G$1="牵丝",$AL31,$AJ31)+IF($G$1="牵丝",$AM31*1.5,0))*(1+$BE31)*(1+$BF31)+(($BG31+$BH31)/2*IF($G$1="破竹",$AL31,$AJ31)+IF($G$1="破竹",$AM31*1.5,0))*(1+$BI31)*(1+$BJ31))*(1+$AN31)*$BM31*$P31*(1+IF(VLOOKUP($Q31,武学奇术!$A:$ZZ,30,FALSE)="弹道",$B$21,0))*(1+$BS31)</f>
        <v>30769.0195021517</v>
      </c>
      <c r="M31" s="55">
        <f>(($AQ31*$AJ31+$AK31)*(1+$AR31)*(1+$AS31)+($AV31*IF($G$1="鸣金",$AL31,$AJ31)+IF($G$1="鸣金",$AM31*1.5,0))*(1+$AW31)*(1+$AX31)+($AZ31*IF($G$1="裂石",$AL31,$AJ31)+IF($G$1="裂石",$AM31*1.5,0))*(1+$BA31)*(1+$BB31)+($BD31*IF($G$1="牵丝",$AL31,$AJ31)+IF($G$1="牵丝",$AM31*1.5,0))*(1+$BE31)*(1+$BF31)+($BH31*IF($G$1="破竹",$AL31,$AJ31)+IF($G$1="破竹",$AM31*1.5,0))*(1+$BI31)*(1+$BJ31))*(1+$AN31)*$BO31*$P31*(1+IF(VLOOKUP($Q31,武学奇术!$A:$ZZ,30,FALSE)="弹道",$B$21,0))*(1+$BS31)</f>
        <v>37481.3316330787</v>
      </c>
      <c r="N31" s="55">
        <f>((($AP31+$AQ31)/2*$AJ31+$AK31)*(1+$AR31)*(1+$AS31)+(($AU31+$AV31)/2*IF($G$1="鸣金",$AL31,$AJ31)+IF($G$1="鸣金",$AM31*1.5,0))*(1+$AW31)*(1+$AX31)+(($AY31+$AZ31)/2*IF($G$1="裂石",$AL31,$AJ31)+IF($G$1="裂石",$AM31*1.5,0))*(1+$BA31)*(1+$BB31)+(($BC31+$BD31)/2*IF($G$1="牵丝",$AL31,$AJ31)+IF($G$1="牵丝",$AM31*1.5,0))*(1+$BE31)*(1+$BF31)+(($BG31+$BH31)/2*IF($G$1="破竹",$AL31,$AJ31)+IF($G$1="破竹",$AM31*1.5,0))*(1+$BI31)*(1+$BJ31))*(1+$AN31)*$P31*(1+IF(VLOOKUP($Q31,武学奇术!$A:$ZZ,30,FALSE)="弹道",$B$21,0))*(1+$BS31)</f>
        <v>19230.6371888448</v>
      </c>
      <c r="O31" s="55">
        <f>((($AP31*$AJ31+$AK31)*(1+$AR31)*(1+$AS31)+($AU31*IF($G$1="鸣金",$AL31,$AJ31)+IF($G$1="鸣金",$AM31*1.5,0))*(1+$AW31)*(1+$AX31)+($AY31*IF($G$1="裂石",$AL31,$AJ31)+IF($G$1="裂石",$AM31*1.5,0))*(1+$BA31)*(1+$BB31)+($BC31*IF($G$1="牵丝",$AL31,$AJ31)+IF($G$1="牵丝",$AM31*1.5,0))*(1+$BE31)*(1+$BF31)+($BG31*IF($G$1="破竹",$AL31,$AJ31)+IF($G$1="破竹",$AM31*1.5,0))*(1+$BI31)*(1+$BJ31))*(1+$AN31))*$P31*(1+IF(VLOOKUP($Q31,武学奇术!$A:$ZZ,30,FALSE)="弹道",$B$21,0))*(1+$BS31)</f>
        <v>10697.3250198536</v>
      </c>
      <c r="P31" s="56">
        <v>6</v>
      </c>
      <c r="Q31" s="57" t="s">
        <v>148</v>
      </c>
      <c r="R31" s="57" t="s">
        <v>116</v>
      </c>
      <c r="S31" s="57" t="s">
        <v>153</v>
      </c>
      <c r="T31" s="57" t="s">
        <v>72</v>
      </c>
      <c r="U31" s="57" t="s">
        <v>107</v>
      </c>
      <c r="V31" s="57" t="s">
        <v>72</v>
      </c>
      <c r="W31" s="57" t="s">
        <v>72</v>
      </c>
      <c r="X31" s="57" t="s">
        <v>72</v>
      </c>
      <c r="Y31" s="57" t="s">
        <v>72</v>
      </c>
      <c r="Z31" s="57" t="s">
        <v>72</v>
      </c>
      <c r="AA31" s="57" t="s">
        <v>72</v>
      </c>
      <c r="AB31" s="57" t="s">
        <v>72</v>
      </c>
      <c r="AC31" s="57" t="s">
        <v>72</v>
      </c>
      <c r="AD31" s="57" t="s">
        <v>72</v>
      </c>
      <c r="AE31" s="57" t="s">
        <v>150</v>
      </c>
      <c r="AF31" s="57" t="s">
        <v>72</v>
      </c>
      <c r="AG31" s="57" t="s">
        <v>72</v>
      </c>
      <c r="AH31" s="57" t="s">
        <v>87</v>
      </c>
      <c r="AI31" t="str">
        <f>VLOOKUP($Q31,武学奇术!$A:$ZZ,25,FALSE)</f>
        <v>单体奇术</v>
      </c>
      <c r="AJ31" s="41">
        <f>VLOOKUP($Q31,武学奇术!$A:$ZZ,26,FALSE)</f>
        <v>0.236</v>
      </c>
      <c r="AK31" s="42">
        <f>VLOOKUP($Q31,武学奇术!$A:$ZZ,27,FALSE)*(1+IF(OR($AI31=$F$4,$AI31=$F$5),$B$22,0))</f>
        <v>44</v>
      </c>
      <c r="AL31" s="41">
        <f>VLOOKUP($Q31,武学奇术!$A:$ZZ,28,FALSE)</f>
        <v>0.354</v>
      </c>
      <c r="AM31" s="42">
        <f>VLOOKUP($Q31,武学奇术!$A:$ZZ,29,FALSE)*(1+IF(OR($AI31=$F$4,$AI31=$F$5),$B$22,0))</f>
        <v>0</v>
      </c>
      <c r="AN31" s="41" cm="1">
        <f t="array" ref="AN31">$G$3+IFERROR(VLOOKUP($AI31,$F$4:$G$7,2,FALSE),0)+VLOOKUP($Q31,武学奇术!$A:$ZZ,2,FALSE)+SUM(_xlfn.XLOOKUP($R31:$AH31,增益!$A:$A,增益!$B:$B,0))</f>
        <v>0.7515</v>
      </c>
      <c r="AO31" s="41" cm="1">
        <f t="array" ref="AO31">VLOOKUP($Q31,武学奇术!$A:$ZZ,5,FALSE)+SUM(_xlfn.XLOOKUP($R31:$AH31,增益!$A:$A,增益!$E:$E,0))</f>
        <v>0.075</v>
      </c>
      <c r="AP31" cm="1">
        <f t="array" ref="AP31">$D$10*(1+$AO31)+VLOOKUP($Q31,武学奇术!$A:$ZZ,3,FALSE)+SUM(_xlfn.XLOOKUP($R31:$AH31,增益!$A:$A,增益!$C:$C,0))-$I$2</f>
        <v>1974.055</v>
      </c>
      <c r="AQ31" cm="1">
        <f t="array" ref="AQ31">$E$10*(1+$AO31)+VLOOKUP($Q31,武学奇术!$A:$ZZ,4,FALSE)+SUM(_xlfn.XLOOKUP($R31:$AH31,增益!$A:$A,增益!$D:$D,0))-$I$2</f>
        <v>5941.45</v>
      </c>
      <c r="AR31" s="49" cm="1">
        <f t="array" ref="AR31">IF($F$10-$I$3+VLOOKUP($Q31,武学奇术!$A:$ZZ,6,FALSE)+SUM(_xlfn.XLOOKUP(R31:AH31,增益!$A:$A,增益!$F:$F,0))&gt;0,($F$10-$I$3+VLOOKUP($Q31,武学奇术!$A:$ZZ,6,FALSE)+SUM(_xlfn.XLOOKUP(R31:AH31,增益!$A:$A,增益!$F:$F,0)))/200,($F$10-$I$3+VLOOKUP($Q31,武学奇术!$A:$ZZ,6,FALSE)+SUM(_xlfn.XLOOKUP(R31:AH31,增益!$A:$A,增益!$F:$F,0)))/100)</f>
        <v>0.3425</v>
      </c>
      <c r="AS31" s="49" cm="1">
        <f t="array" ref="AS31">$G$10+VLOOKUP($Q31,武学奇术!$A:$ZZ,7,FALSE)+SUM(_xlfn.XLOOKUP(R31:AH31,增益!$A:$A,增益!$G:$G,0))</f>
        <v>0</v>
      </c>
      <c r="AT31" s="41" cm="1">
        <f t="array" ref="AT31">VLOOKUP($Q31,武学奇术!$A:$ZZ,8,FALSE)+SUM(_xlfn.XLOOKUP(R31:AH31,增益!$A:$A,增益!$H:$H,0))</f>
        <v>0</v>
      </c>
      <c r="AU31">
        <f>$D$11*(1+$AT31)</f>
        <v>0</v>
      </c>
      <c r="AV31">
        <f>$E$11*(1+$AT31)</f>
        <v>0</v>
      </c>
      <c r="AW31" s="49" cm="1">
        <f t="array" ref="AW31">IF($F$11-$I$4+VLOOKUP($Q31,武学奇术!$A:$ZZ,9,FALSE)+SUM(_xlfn.XLOOKUP(R31:AH31,增益!$A:$A,增益!$I:$I,0))&gt;0,($F$11-$I$4+VLOOKUP($Q31,武学奇术!$A:$ZZ,9,FALSE)+SUM(_xlfn.XLOOKUP(R31:AH31,增益!$A:$A,增益!$I:$I,0)))/200,($F$11-$I$4+VLOOKUP($Q31,武学奇术!$A:$ZZ,9,FALSE)+SUM(_xlfn.XLOOKUP(R31:AH31,增益!$A:$A,增益!$I:$I,0)))/100)</f>
        <v>-0.3</v>
      </c>
      <c r="AX31" s="49" cm="1">
        <f t="array" ref="AX31">$G$11+VLOOKUP($Q31,武学奇术!$A:$ZZ,10,FALSE)+SUM(_xlfn.XLOOKUP(R31:AH31,增益!$A:$A,增益!$J:$J,0))</f>
        <v>0</v>
      </c>
      <c r="AY31">
        <f>$D$12*(1+$AT31)</f>
        <v>0</v>
      </c>
      <c r="AZ31">
        <f>$E$12*(1+$AT31)</f>
        <v>0</v>
      </c>
      <c r="BA31" s="49" cm="1">
        <f t="array" ref="BA31">IF($F$12-$I$4+VLOOKUP($Q31,武学奇术!$A:$ZZ,11,FALSE)+SUM(_xlfn.XLOOKUP(R31:AH31,增益!$A:$A,增益!$K:$K,0))&gt;0,($F$12-$I$4+VLOOKUP($Q31,武学奇术!$A:$ZZ,11,FALSE)+SUM(_xlfn.XLOOKUP(R31:AH31,增益!$A:$A,增益!$K:$K,0)))/200,($F$12-$I$4+VLOOKUP($Q31,武学奇术!$A:$ZZ,11,FALSE)+SUM(_xlfn.XLOOKUP(R31:AH31,增益!$A:$A,增益!$K:$K,0)))/100)</f>
        <v>-0.3</v>
      </c>
      <c r="BB31" s="49" cm="1">
        <f t="array" ref="BB31">$G$12+VLOOKUP($Q31,武学奇术!$A:$ZZ,12,FALSE)+SUM(_xlfn.XLOOKUP(R31:AH31,增益!$A:$A,增益!$L:$L,0))</f>
        <v>0</v>
      </c>
      <c r="BC31">
        <f>$D$13*(1+$AT31)</f>
        <v>571.2</v>
      </c>
      <c r="BD31">
        <f>$E$13*(1+$AT31)</f>
        <v>1077.4</v>
      </c>
      <c r="BE31" s="49" cm="1">
        <f t="array" ref="BE31">IF($F$13-$I$4+VLOOKUP($Q31,武学奇术!$A:$ZZ,13,FALSE)+SUM(_xlfn.XLOOKUP(R31:AH31,增益!$A:$A,增益!$M:$M,0))&gt;0,($F$13-$I$4+VLOOKUP($Q31,武学奇术!$A:$ZZ,13,FALSE)+SUM(_xlfn.XLOOKUP(R31:AH31,增益!$A:$A,增益!$K:$K,0)))/200,($F$13-$I$4+VLOOKUP($Q31,武学奇术!$A:$ZZ,13,FALSE)+SUM(_xlfn.XLOOKUP(R31:AH31,增益!$A:$A,增益!$M:$M,0)))/100)</f>
        <v>0</v>
      </c>
      <c r="BF31" s="49" cm="1">
        <f t="array" ref="BF31">$G$13+VLOOKUP($Q31,武学奇术!$A:$ZZ,14,FALSE)+SUM(_xlfn.XLOOKUP(R31:AH31,增益!$A:$A,增益!$N:$N,0))</f>
        <v>0.15</v>
      </c>
      <c r="BG31">
        <f>$D$14*(1+$AT31)</f>
        <v>0</v>
      </c>
      <c r="BH31">
        <f>$E$14*(1+$AT31)</f>
        <v>0</v>
      </c>
      <c r="BI31" s="49" cm="1">
        <f t="array" ref="BI31">IF($F$14-$I$4+VLOOKUP($Q31,武学奇术!$A:$ZZ,15,FALSE)+SUM(_xlfn.XLOOKUP(R31:AH31,增益!$A:$A,增益!$O:$O,0))&gt;0,($F$14-$I$4+VLOOKUP($Q31,武学奇术!$A:$ZZ,15,FALSE)+SUM(_xlfn.XLOOKUP(R31:AH31,增益!$A:$A,增益!$O:$O,0)))/200,($F$14-$I$4+VLOOKUP($Q31,武学奇术!$A:$ZZ,15,FALSE)+SUM(_xlfn.XLOOKUP(R31:AH31,增益!$A:$A,增益!$O:$O,0)))/100)</f>
        <v>-0.3</v>
      </c>
      <c r="BJ31" s="49" cm="1">
        <f t="array" ref="BJ31">$G$14+VLOOKUP($Q31,武学奇术!$A:$ZZ,16,FALSE)+SUM(_xlfn.XLOOKUP(R31:AH31,增益!$A:$A,增益!$P:$P,0))</f>
        <v>0</v>
      </c>
      <c r="BK31" s="41">
        <f>MIN(IF(VLOOKUP($Q31,武学奇术!$A:$ZZ,23,FALSE)=1,100%,$B$8),100%)</f>
        <v>1</v>
      </c>
      <c r="BL31" s="41" cm="1">
        <f t="array" ref="BL31">IF(VLOOKUP($Q31,武学奇术!$A:$ZZ,23,FALSE)=1,100%,MIN(80%,$B$9+VLOOKUP($Q31,武学奇术!$A:$ZZ,17,FALSE)+SUM(_xlfn.XLOOKUP(R31:AH31,增益!$A:$A,增益!$Q:$Q,0)))+$B$11+SUM(_xlfn.XLOOKUP(R31:AH31,增益!$A:$A,增益!$U:$U,0)))*IF(VLOOKUP($Q31,武学奇术!$A:$ZZ,24,FALSE)=1,0,1)</f>
        <v>0.9045</v>
      </c>
      <c r="BM31" s="41" cm="1">
        <f t="array" ref="BM31">1+$B$13+VLOOKUP($Q31,武学奇术!$A:$ZZ,18,FALSE)+SUM(_xlfn.XLOOKUP(R31:AH31,增益!$A:$A,增益!$R:$R,0))</f>
        <v>1.6</v>
      </c>
      <c r="BN31" s="41" cm="1">
        <f t="array" ref="BN31">IF(VLOOKUP($Q31,武学奇术!$A:$ZZ,24,FALSE)=1,100%,MIN(40%,$B$10+VLOOKUP($Q31,武学奇术!$A:$ZZ,19,FALSE)+SUM(_xlfn.XLOOKUP(R31:AH31,增益!$A:$A,增益!$S:$S,0)))+$B$12+SUM(_xlfn.XLOOKUP(R31:AH31,增益!$A:$A,增益!$V:$V,0)))*IF(VLOOKUP($Q31,武学奇术!$A:$ZZ,23,FALSE)=1,0,1)</f>
        <v>0.0929</v>
      </c>
      <c r="BO31" s="41" cm="1">
        <f t="array" ref="BO31">1+$B$14+VLOOKUP($Q31,武学奇术!$A:$ZZ,20,FALSE)+SUM(_xlfn.XLOOKUP(R31:AH31,增益!$A:$A,增益!$T:$T,0))</f>
        <v>1.35</v>
      </c>
      <c r="BP31" s="41">
        <f>MIN((1-BN31)*BK31,BK31*BL31)</f>
        <v>0.9045</v>
      </c>
      <c r="BQ31" s="41">
        <f>1-BN31-BP31-BR31</f>
        <v>0.00260000000000005</v>
      </c>
      <c r="BR31" s="41">
        <f>IF(VLOOKUP($Q31,武学奇术!$A:$ZZ,22,FALSE)=1,0,(1-$BK31))*(1-$BN31)</f>
        <v>0</v>
      </c>
      <c r="BS31" s="41" cm="1">
        <f t="array" ref="BS31">SUM(_xlfn.XLOOKUP(R31:AH31,增益!$A:$A,增益!$W:$W,0))+$I$5</f>
        <v>0.11</v>
      </c>
    </row>
    <row r="32" spans="1:71">
      <c r="K32" s="55">
        <f>($L32*$BP32+$M32*$BN32+$N32*$BQ32+$O32*$BR32)</f>
        <v>93416.196302282</v>
      </c>
      <c r="L32" s="55">
        <f>((($AP32+$AQ32)/2*$AJ32+$AK32)*(1+$AR32)*(1+$AS32)+(($AU32+$AV32)/2*IF($G$1="鸣金",$AL32,$AJ32)+IF($G$1="鸣金",$AM32*1.5,0))*(1+$AW32)*(1+$AX32)+(($AY32+$AZ32)/2*IF($G$1="裂石",$AL32,$AJ32)+IF($G$1="裂石",$AM32*1.5,0))*(1+$BA32)*(1+$BB32)+(($BC32+$BD32)/2*IF($G$1="牵丝",$AL32,$AJ32)+IF($G$1="牵丝",$AM32*1.5,0))*(1+$BE32)*(1+$BF32)+(($BG32+$BH32)/2*IF($G$1="破竹",$AL32,$AJ32)+IF($G$1="破竹",$AM32*1.5,0))*(1+$BI32)*(1+$BJ32))*(1+$AN32)*$BM32*$P32*(1+IF(VLOOKUP($Q32,武学奇术!$A:$ZZ,30,FALSE)="弹道",$B$21,0))*(1+$BS32)</f>
        <v>93665.6345729759</v>
      </c>
      <c r="M32" s="55">
        <f>(($AQ32*$AJ32+$AK32)*(1+$AR32)*(1+$AS32)+($AV32*IF($G$1="鸣金",$AL32,$AJ32)+IF($G$1="鸣金",$AM32*1.5,0))*(1+$AW32)*(1+$AX32)+($AZ32*IF($G$1="裂石",$AL32,$AJ32)+IF($G$1="裂石",$AM32*1.5,0))*(1+$BA32)*(1+$BB32)+($BD32*IF($G$1="牵丝",$AL32,$AJ32)+IF($G$1="牵丝",$AM32*1.5,0))*(1+$BE32)*(1+$BF32)+($BH32*IF($G$1="破竹",$AL32,$AJ32)+IF($G$1="破竹",$AM32*1.5,0))*(1+$BI32)*(1+$BJ32))*(1+$AN32)*$BO32*$P32*(1+IF(VLOOKUP($Q32,武学奇术!$A:$ZZ,30,FALSE)="弹道",$B$21,0))*(1+$BS32)</f>
        <v>92243.7906043551</v>
      </c>
      <c r="N32" s="55">
        <f>((($AP32+$AQ32)/2*$AJ32+$AK32)*(1+$AR32)*(1+$AS32)+(($AU32+$AV32)/2*IF($G$1="鸣金",$AL32,$AJ32)+IF($G$1="鸣金",$AM32*1.5,0))*(1+$AW32)*(1+$AX32)+(($AY32+$AZ32)/2*IF($G$1="裂石",$AL32,$AJ32)+IF($G$1="裂石",$AM32*1.5,0))*(1+$BA32)*(1+$BB32)+(($BC32+$BD32)/2*IF($G$1="牵丝",$AL32,$AJ32)+IF($G$1="牵丝",$AM32*1.5,0))*(1+$BE32)*(1+$BF32)+(($BG32+$BH32)/2*IF($G$1="破竹",$AL32,$AJ32)+IF($G$1="破竹",$AM32*1.5,0))*(1+$BI32)*(1+$BJ32))*(1+$AN32)*$P32*(1+IF(VLOOKUP($Q32,武学奇术!$A:$ZZ,30,FALSE)="弹道",$B$21,0))*(1+$BS32)</f>
        <v>48531.4168771896</v>
      </c>
      <c r="O32" s="55">
        <f>((($AP32*$AJ32+$AK32)*(1+$AR32)*(1+$AS32)+($AU32*IF($G$1="鸣金",$AL32,$AJ32)+IF($G$1="鸣金",$AM32*1.5,0))*(1+$AW32)*(1+$AX32)+($AY32*IF($G$1="裂石",$AL32,$AJ32)+IF($G$1="裂石",$AM32*1.5,0))*(1+$BA32)*(1+$BB32)+($BC32*IF($G$1="牵丝",$AL32,$AJ32)+IF($G$1="牵丝",$AM32*1.5,0))*(1+$BE32)*(1+$BF32)+($BG32*IF($G$1="破竹",$AL32,$AJ32)+IF($G$1="破竹",$AM32*1.5,0))*(1+$BI32)*(1+$BJ32))*(1+$AN32))*$P32*(1+IF(VLOOKUP($Q32,武学奇术!$A:$ZZ,30,FALSE)="弹道",$B$21,0))*(1+$BS32)</f>
        <v>28734.0999733754</v>
      </c>
      <c r="P32" s="56">
        <v>1</v>
      </c>
      <c r="Q32" s="57" t="s">
        <v>84</v>
      </c>
      <c r="R32" s="57" t="s">
        <v>116</v>
      </c>
      <c r="S32" s="57" t="s">
        <v>149</v>
      </c>
      <c r="T32" s="57" t="s">
        <v>92</v>
      </c>
      <c r="U32" s="57" t="s">
        <v>107</v>
      </c>
      <c r="V32" s="57" t="s">
        <v>86</v>
      </c>
      <c r="W32" s="57" t="s">
        <v>72</v>
      </c>
      <c r="X32" s="57" t="s">
        <v>72</v>
      </c>
      <c r="Y32" s="57" t="s">
        <v>72</v>
      </c>
      <c r="Z32" s="57" t="s">
        <v>113</v>
      </c>
      <c r="AA32" s="57" t="s">
        <v>72</v>
      </c>
      <c r="AB32" s="57" t="s">
        <v>72</v>
      </c>
      <c r="AC32" s="57" t="s">
        <v>72</v>
      </c>
      <c r="AD32" s="57" t="s">
        <v>72</v>
      </c>
      <c r="AE32" s="57" t="s">
        <v>72</v>
      </c>
      <c r="AF32" s="57" t="s">
        <v>72</v>
      </c>
      <c r="AG32" s="57" t="s">
        <v>72</v>
      </c>
      <c r="AH32" s="57" t="s">
        <v>87</v>
      </c>
      <c r="AI32" t="str">
        <f>VLOOKUP($Q32,武学奇术!$A:$ZZ,25,FALSE)</f>
        <v>伞</v>
      </c>
      <c r="AJ32" s="41">
        <f>VLOOKUP($Q32,武学奇术!$A:$ZZ,26,FALSE)</f>
        <v>2.3397</v>
      </c>
      <c r="AK32" s="42">
        <f>VLOOKUP($Q32,武学奇术!$A:$ZZ,27,FALSE)*(1+IF(OR($AI32=$F$4,$AI32=$F$5),$B$22,0))</f>
        <v>907.2</v>
      </c>
      <c r="AL32" s="41">
        <f>VLOOKUP($Q32,武学奇术!$A:$ZZ,28,FALSE)</f>
        <v>3.5095</v>
      </c>
      <c r="AM32" s="42">
        <f>VLOOKUP($Q32,武学奇术!$A:$ZZ,29,FALSE)*(1+IF(OR($AI32=$F$4,$AI32=$F$5),$B$22,0))</f>
        <v>494.2</v>
      </c>
      <c r="AN32" s="41" cm="1">
        <f t="array" ref="AN32">$G$3+IFERROR(VLOOKUP($AI32,$F$4:$G$7,2,FALSE),0)+VLOOKUP($Q32,武学奇术!$A:$ZZ,2,FALSE)+SUM(_xlfn.XLOOKUP($R32:$AH32,增益!$A:$A,增益!$B:$B,0))</f>
        <v>1.2041</v>
      </c>
      <c r="AO32" s="41" cm="1">
        <f t="array" ref="AO32">VLOOKUP($Q32,武学奇术!$A:$ZZ,5,FALSE)+SUM(_xlfn.XLOOKUP($R32:$AH32,增益!$A:$A,增益!$E:$E,0))</f>
        <v>0.075</v>
      </c>
      <c r="AP32" cm="1">
        <f t="array" ref="AP32">$D$10*(1+$AO32)+VLOOKUP($Q32,武学奇术!$A:$ZZ,3,FALSE)+SUM(_xlfn.XLOOKUP($R32:$AH32,增益!$A:$A,增益!$C:$C,0))-$I$2</f>
        <v>1974.055</v>
      </c>
      <c r="AQ32" cm="1">
        <f t="array" ref="AQ32">$E$10*(1+$AO32)+VLOOKUP($Q32,武学奇术!$A:$ZZ,4,FALSE)+SUM(_xlfn.XLOOKUP($R32:$AH32,增益!$A:$A,增益!$D:$D,0))-$I$2</f>
        <v>5941.45</v>
      </c>
      <c r="AR32" s="49" cm="1">
        <f t="array" ref="AR32">IF($F$10-$I$3+VLOOKUP($Q32,武学奇术!$A:$ZZ,6,FALSE)+SUM(_xlfn.XLOOKUP(R32:AH32,增益!$A:$A,增益!$F:$F,0))&gt;0,($F$10-$I$3+VLOOKUP($Q32,武学奇术!$A:$ZZ,6,FALSE)+SUM(_xlfn.XLOOKUP(R32:AH32,增益!$A:$A,增益!$F:$F,0)))/200,($F$10-$I$3+VLOOKUP($Q32,武学奇术!$A:$ZZ,6,FALSE)+SUM(_xlfn.XLOOKUP(R32:AH32,增益!$A:$A,增益!$F:$F,0)))/100)</f>
        <v>0.3675</v>
      </c>
      <c r="AS32" s="49" cm="1">
        <f t="array" ref="AS32">$G$10+VLOOKUP($Q32,武学奇术!$A:$ZZ,7,FALSE)+SUM(_xlfn.XLOOKUP(R32:AH32,增益!$A:$A,增益!$G:$G,0))</f>
        <v>0.1</v>
      </c>
      <c r="AT32" s="41" cm="1">
        <f t="array" ref="AT32">VLOOKUP($Q32,武学奇术!$A:$ZZ,8,FALSE)+SUM(_xlfn.XLOOKUP(R32:AH32,增益!$A:$A,增益!$H:$H,0))</f>
        <v>0</v>
      </c>
      <c r="AU32">
        <f>$D$11*(1+$AT32)</f>
        <v>0</v>
      </c>
      <c r="AV32">
        <f>$E$11*(1+$AT32)</f>
        <v>0</v>
      </c>
      <c r="AW32" s="49" cm="1">
        <f t="array" ref="AW32">IF($F$11-$I$4+VLOOKUP($Q32,武学奇术!$A:$ZZ,9,FALSE)+SUM(_xlfn.XLOOKUP(R32:AH32,增益!$A:$A,增益!$I:$I,0))&gt;0,($F$11-$I$4+VLOOKUP($Q32,武学奇术!$A:$ZZ,9,FALSE)+SUM(_xlfn.XLOOKUP(R32:AH32,增益!$A:$A,增益!$I:$I,0)))/200,($F$11-$I$4+VLOOKUP($Q32,武学奇术!$A:$ZZ,9,FALSE)+SUM(_xlfn.XLOOKUP(R32:AH32,增益!$A:$A,增益!$I:$I,0)))/100)</f>
        <v>-0.3</v>
      </c>
      <c r="AX32" s="49" cm="1">
        <f t="array" ref="AX32">$G$11+VLOOKUP($Q32,武学奇术!$A:$ZZ,10,FALSE)+SUM(_xlfn.XLOOKUP(R32:AH32,增益!$A:$A,增益!$J:$J,0))</f>
        <v>0</v>
      </c>
      <c r="AY32">
        <f>$D$12*(1+$AT32)</f>
        <v>0</v>
      </c>
      <c r="AZ32">
        <f>$E$12*(1+$AT32)</f>
        <v>0</v>
      </c>
      <c r="BA32" s="49" cm="1">
        <f t="array" ref="BA32">IF($F$12-$I$4+VLOOKUP($Q32,武学奇术!$A:$ZZ,11,FALSE)+SUM(_xlfn.XLOOKUP(R32:AH32,增益!$A:$A,增益!$K:$K,0))&gt;0,($F$12-$I$4+VLOOKUP($Q32,武学奇术!$A:$ZZ,11,FALSE)+SUM(_xlfn.XLOOKUP(R32:AH32,增益!$A:$A,增益!$K:$K,0)))/200,($F$12-$I$4+VLOOKUP($Q32,武学奇术!$A:$ZZ,11,FALSE)+SUM(_xlfn.XLOOKUP(R32:AH32,增益!$A:$A,增益!$K:$K,0)))/100)</f>
        <v>-0.3</v>
      </c>
      <c r="BB32" s="49" cm="1">
        <f t="array" ref="BB32">$G$12+VLOOKUP($Q32,武学奇术!$A:$ZZ,12,FALSE)+SUM(_xlfn.XLOOKUP(R32:AH32,增益!$A:$A,增益!$L:$L,0))</f>
        <v>0</v>
      </c>
      <c r="BC32">
        <f>$D$13*(1+$AT32)</f>
        <v>571.2</v>
      </c>
      <c r="BD32">
        <f>$E$13*(1+$AT32)</f>
        <v>1077.4</v>
      </c>
      <c r="BE32" s="49" cm="1">
        <f t="array" ref="BE32">IF($F$13-$I$4+VLOOKUP($Q32,武学奇术!$A:$ZZ,13,FALSE)+SUM(_xlfn.XLOOKUP(R32:AH32,增益!$A:$A,增益!$M:$M,0))&gt;0,($F$13-$I$4+VLOOKUP($Q32,武学奇术!$A:$ZZ,13,FALSE)+SUM(_xlfn.XLOOKUP(R32:AH32,增益!$A:$A,增益!$K:$K,0)))/200,($F$13-$I$4+VLOOKUP($Q32,武学奇术!$A:$ZZ,13,FALSE)+SUM(_xlfn.XLOOKUP(R32:AH32,增益!$A:$A,增益!$M:$M,0)))/100)</f>
        <v>0</v>
      </c>
      <c r="BF32" s="49" cm="1">
        <f t="array" ref="BF32">$G$13+VLOOKUP($Q32,武学奇术!$A:$ZZ,14,FALSE)+SUM(_xlfn.XLOOKUP(R32:AH32,增益!$A:$A,增益!$N:$N,0))</f>
        <v>0.25</v>
      </c>
      <c r="BG32">
        <f>$D$14*(1+$AT32)</f>
        <v>0</v>
      </c>
      <c r="BH32">
        <f>$E$14*(1+$AT32)</f>
        <v>0</v>
      </c>
      <c r="BI32" s="49" cm="1">
        <f t="array" ref="BI32">IF($F$14-$I$4+VLOOKUP($Q32,武学奇术!$A:$ZZ,15,FALSE)+SUM(_xlfn.XLOOKUP(R32:AH32,增益!$A:$A,增益!$O:$O,0))&gt;0,($F$14-$I$4+VLOOKUP($Q32,武学奇术!$A:$ZZ,15,FALSE)+SUM(_xlfn.XLOOKUP(R32:AH32,增益!$A:$A,增益!$O:$O,0)))/200,($F$14-$I$4+VLOOKUP($Q32,武学奇术!$A:$ZZ,15,FALSE)+SUM(_xlfn.XLOOKUP(R32:AH32,增益!$A:$A,增益!$O:$O,0)))/100)</f>
        <v>-0.3</v>
      </c>
      <c r="BJ32" s="49" cm="1">
        <f t="array" ref="BJ32">$G$14+VLOOKUP($Q32,武学奇术!$A:$ZZ,16,FALSE)+SUM(_xlfn.XLOOKUP(R32:AH32,增益!$A:$A,增益!$P:$P,0))</f>
        <v>0</v>
      </c>
      <c r="BK32" s="41">
        <f>MIN(IF(VLOOKUP($Q32,武学奇术!$A:$ZZ,23,FALSE)=1,100%,$B$8),100%)</f>
        <v>1</v>
      </c>
      <c r="BL32" s="41" cm="1">
        <f t="array" ref="BL32">IF(VLOOKUP($Q32,武学奇术!$A:$ZZ,23,FALSE)=1,100%,MIN(80%,$B$9+VLOOKUP($Q32,武学奇术!$A:$ZZ,17,FALSE)+SUM(_xlfn.XLOOKUP(R32:AH32,增益!$A:$A,增益!$Q:$Q,0)))+$B$11+SUM(_xlfn.XLOOKUP(R32:AH32,增益!$A:$A,增益!$U:$U,0)))*IF(VLOOKUP($Q32,武学奇术!$A:$ZZ,24,FALSE)=1,0,1)</f>
        <v>0.9045</v>
      </c>
      <c r="BM32" s="41" cm="1">
        <f t="array" ref="BM32">1+$B$13+VLOOKUP($Q32,武学奇术!$A:$ZZ,18,FALSE)+SUM(_xlfn.XLOOKUP(R32:AH32,增益!$A:$A,增益!$R:$R,0))</f>
        <v>1.93</v>
      </c>
      <c r="BN32" s="41" cm="1">
        <f t="array" ref="BN32">IF(VLOOKUP($Q32,武学奇术!$A:$ZZ,24,FALSE)=1,100%,MIN(40%,$B$10+VLOOKUP($Q32,武学奇术!$A:$ZZ,19,FALSE)+SUM(_xlfn.XLOOKUP(R32:AH32,增益!$A:$A,增益!$S:$S,0)))+$B$12+SUM(_xlfn.XLOOKUP(R32:AH32,增益!$A:$A,增益!$V:$V,0)))*IF(VLOOKUP($Q32,武学奇术!$A:$ZZ,23,FALSE)=1,0,1)</f>
        <v>0.0929</v>
      </c>
      <c r="BO32" s="41" cm="1">
        <f t="array" ref="BO32">1+$B$14+VLOOKUP($Q32,武学奇术!$A:$ZZ,20,FALSE)+SUM(_xlfn.XLOOKUP(R32:AH32,增益!$A:$A,增益!$T:$T,0))</f>
        <v>1.35</v>
      </c>
      <c r="BP32" s="41">
        <f>MIN((1-BN32)*BK32,BK32*BL32)</f>
        <v>0.9045</v>
      </c>
      <c r="BQ32" s="41">
        <f>1-BN32-BP32-BR32</f>
        <v>0.00260000000000005</v>
      </c>
      <c r="BR32" s="41">
        <f>IF(VLOOKUP($Q32,武学奇术!$A:$ZZ,22,FALSE)=1,0,(1-$BK32))*(1-$BN32)</f>
        <v>0</v>
      </c>
      <c r="BS32" s="41" cm="1">
        <f t="array" ref="BS32">SUM(_xlfn.XLOOKUP(R32:AH32,增益!$A:$A,增益!$W:$W,0))+$I$5</f>
        <v>0.11</v>
      </c>
    </row>
    <row r="33" spans="1:71">
      <c r="A33" s="4"/>
      <c r="B33" s="4"/>
      <c r="K33" s="55">
        <f>($L33*$BP33+$M33*$BN33+$N33*$BQ33+$O33*$BR33)</f>
        <v>39199.6881402763</v>
      </c>
      <c r="L33" s="55">
        <f>((($AP33+$AQ33)/2*$AJ33+$AK33)*(1+$AR33)*(1+$AS33)+(($AU33+$AV33)/2*IF($G$1="鸣金",$AL33,$AJ33)+IF($G$1="鸣金",$AM33*1.5,0))*(1+$AW33)*(1+$AX33)+(($AY33+$AZ33)/2*IF($G$1="裂石",$AL33,$AJ33)+IF($G$1="裂石",$AM33*1.5,0))*(1+$BA33)*(1+$BB33)+(($BC33+$BD33)/2*IF($G$1="牵丝",$AL33,$AJ33)+IF($G$1="牵丝",$AM33*1.5,0))*(1+$BE33)*(1+$BF33)+(($BG33+$BH33)/2*IF($G$1="破竹",$AL33,$AJ33)+IF($G$1="破竹",$AM33*1.5,0))*(1+$BI33)*(1+$BJ33))*(1+$AN33)*$BM33*$P33*(1+IF(VLOOKUP($Q33,武学奇术!$A:$ZZ,30,FALSE)="弹道",$B$21,0))*(1+$BS33)</f>
        <v>38484.9760797569</v>
      </c>
      <c r="M33" s="55">
        <f>(($AQ33*$AJ33+$AK33)*(1+$AR33)*(1+$AS33)+($AV33*IF($G$1="鸣金",$AL33,$AJ33)+IF($G$1="鸣金",$AM33*1.5,0))*(1+$AW33)*(1+$AX33)+($AZ33*IF($G$1="裂石",$AL33,$AJ33)+IF($G$1="裂石",$AM33*1.5,0))*(1+$BA33)*(1+$BB33)+($BD33*IF($G$1="牵丝",$AL33,$AJ33)+IF($G$1="牵丝",$AM33*1.5,0))*(1+$BE33)*(1+$BF33)+($BH33*IF($G$1="破竹",$AL33,$AJ33)+IF($G$1="破竹",$AM33*1.5,0))*(1+$BI33)*(1+$BJ33))*(1+$AN33)*$BO33*$P33*(1+IF(VLOOKUP($Q33,武学奇术!$A:$ZZ,30,FALSE)="弹道",$B$21,0))*(1+$BS33)</f>
        <v>46569.3670046311</v>
      </c>
      <c r="N33" s="55">
        <f>((($AP33+$AQ33)/2*$AJ33+$AK33)*(1+$AR33)*(1+$AS33)+(($AU33+$AV33)/2*IF($G$1="鸣金",$AL33,$AJ33)+IF($G$1="鸣金",$AM33*1.5,0))*(1+$AW33)*(1+$AX33)+(($AY33+$AZ33)/2*IF($G$1="裂石",$AL33,$AJ33)+IF($G$1="裂石",$AM33*1.5,0))*(1+$BA33)*(1+$BB33)+(($BC33+$BD33)/2*IF($G$1="牵丝",$AL33,$AJ33)+IF($G$1="牵丝",$AM33*1.5,0))*(1+$BE33)*(1+$BF33)+(($BG33+$BH33)/2*IF($G$1="破竹",$AL33,$AJ33)+IF($G$1="破竹",$AM33*1.5,0))*(1+$BI33)*(1+$BJ33))*(1+$AN33)*$P33*(1+IF(VLOOKUP($Q33,武学奇术!$A:$ZZ,30,FALSE)="弹道",$B$21,0))*(1+$BS33)</f>
        <v>24512.7236176796</v>
      </c>
      <c r="O33" s="55">
        <f>((($AP33*$AJ33+$AK33)*(1+$AR33)*(1+$AS33)+($AU33*IF($G$1="鸣金",$AL33,$AJ33)+IF($G$1="鸣金",$AM33*1.5,0))*(1+$AW33)*(1+$AX33)+($AY33*IF($G$1="裂石",$AL33,$AJ33)+IF($G$1="裂石",$AM33*1.5,0))*(1+$BA33)*(1+$BB33)+($BC33*IF($G$1="牵丝",$AL33,$AJ33)+IF($G$1="牵丝",$AM33*1.5,0))*(1+$BE33)*(1+$BF33)+($BG33*IF($G$1="破竹",$AL33,$AJ33)+IF($G$1="破竹",$AM33*1.5,0))*(1+$BI33)*(1+$BJ33))*(1+$AN33))*$P33*(1+IF(VLOOKUP($Q33,武学奇术!$A:$ZZ,30,FALSE)="弹道",$B$21,0))*(1+$BS33)</f>
        <v>14529.6198245213</v>
      </c>
      <c r="P33" s="56">
        <v>1</v>
      </c>
      <c r="Q33" s="57" t="s">
        <v>94</v>
      </c>
      <c r="R33" s="57" t="s">
        <v>116</v>
      </c>
      <c r="S33" s="57" t="s">
        <v>149</v>
      </c>
      <c r="T33" s="57" t="s">
        <v>72</v>
      </c>
      <c r="U33" s="57" t="s">
        <v>107</v>
      </c>
      <c r="V33" s="57" t="s">
        <v>72</v>
      </c>
      <c r="W33" s="57" t="s">
        <v>72</v>
      </c>
      <c r="X33" s="57" t="s">
        <v>72</v>
      </c>
      <c r="Y33" s="57" t="s">
        <v>72</v>
      </c>
      <c r="Z33" s="57" t="s">
        <v>113</v>
      </c>
      <c r="AA33" s="57" t="s">
        <v>72</v>
      </c>
      <c r="AB33" s="57" t="s">
        <v>72</v>
      </c>
      <c r="AC33" s="57" t="s">
        <v>72</v>
      </c>
      <c r="AD33" s="57" t="s">
        <v>72</v>
      </c>
      <c r="AE33" s="57" t="s">
        <v>72</v>
      </c>
      <c r="AF33" s="57" t="s">
        <v>72</v>
      </c>
      <c r="AG33" s="57" t="s">
        <v>72</v>
      </c>
      <c r="AH33" s="57" t="s">
        <v>87</v>
      </c>
      <c r="AI33" t="str">
        <f>VLOOKUP($Q33,武学奇术!$A:$ZZ,25,FALSE)</f>
        <v>伞</v>
      </c>
      <c r="AJ33" s="41">
        <f>VLOOKUP($Q33,武学奇术!$A:$ZZ,26,FALSE)</f>
        <v>1.7001</v>
      </c>
      <c r="AK33" s="42">
        <f>VLOOKUP($Q33,武学奇术!$A:$ZZ,27,FALSE)*(1+IF(OR($AI33=$F$4,$AI33=$F$5),$B$22,0))</f>
        <v>659.4</v>
      </c>
      <c r="AL33" s="41">
        <f>VLOOKUP($Q33,武学奇术!$A:$ZZ,28,FALSE)</f>
        <v>2.5502</v>
      </c>
      <c r="AM33" s="42">
        <f>VLOOKUP($Q33,武学奇术!$A:$ZZ,29,FALSE)*(1+IF(OR($AI33=$F$4,$AI33=$F$5),$B$22,0))</f>
        <v>358.4</v>
      </c>
      <c r="AN33" s="41" cm="1">
        <f t="array" ref="AN33">$G$3+IFERROR(VLOOKUP($AI33,$F$4:$G$7,2,FALSE),0)+VLOOKUP($Q33,武学奇术!$A:$ZZ,2,FALSE)+SUM(_xlfn.XLOOKUP($R33:$AH33,增益!$A:$A,增益!$B:$B,0))</f>
        <v>0.5541</v>
      </c>
      <c r="AO33" s="41" cm="1">
        <f t="array" ref="AO33">VLOOKUP($Q33,武学奇术!$A:$ZZ,5,FALSE)+SUM(_xlfn.XLOOKUP($R33:$AH33,增益!$A:$A,增益!$E:$E,0))</f>
        <v>0.075</v>
      </c>
      <c r="AP33" cm="1">
        <f t="array" ref="AP33">$D$10*(1+$AO33)+VLOOKUP($Q33,武学奇术!$A:$ZZ,3,FALSE)+SUM(_xlfn.XLOOKUP($R33:$AH33,增益!$A:$A,增益!$C:$C,0))-$I$2</f>
        <v>1974.055</v>
      </c>
      <c r="AQ33" cm="1">
        <f t="array" ref="AQ33">$E$10*(1+$AO33)+VLOOKUP($Q33,武学奇术!$A:$ZZ,4,FALSE)+SUM(_xlfn.XLOOKUP($R33:$AH33,增益!$A:$A,增益!$D:$D,0))-$I$2</f>
        <v>5941.45</v>
      </c>
      <c r="AR33" s="49" cm="1">
        <f t="array" ref="AR33">IF($F$10-$I$3+VLOOKUP($Q33,武学奇术!$A:$ZZ,6,FALSE)+SUM(_xlfn.XLOOKUP(R33:AH33,增益!$A:$A,增益!$F:$F,0))&gt;0,($F$10-$I$3+VLOOKUP($Q33,武学奇术!$A:$ZZ,6,FALSE)+SUM(_xlfn.XLOOKUP(R33:AH33,增益!$A:$A,增益!$F:$F,0)))/200,($F$10-$I$3+VLOOKUP($Q33,武学奇术!$A:$ZZ,6,FALSE)+SUM(_xlfn.XLOOKUP(R33:AH33,增益!$A:$A,增益!$F:$F,0)))/100)</f>
        <v>0.3425</v>
      </c>
      <c r="AS33" s="49" cm="1">
        <f t="array" ref="AS33">$G$10+VLOOKUP($Q33,武学奇术!$A:$ZZ,7,FALSE)+SUM(_xlfn.XLOOKUP(R33:AH33,增益!$A:$A,增益!$G:$G,0))</f>
        <v>0.1</v>
      </c>
      <c r="AT33" s="41" cm="1">
        <f t="array" ref="AT33">VLOOKUP($Q33,武学奇术!$A:$ZZ,8,FALSE)+SUM(_xlfn.XLOOKUP(R33:AH33,增益!$A:$A,增益!$H:$H,0))</f>
        <v>0</v>
      </c>
      <c r="AU33">
        <f>$D$11*(1+$AT33)</f>
        <v>0</v>
      </c>
      <c r="AV33">
        <f>$E$11*(1+$AT33)</f>
        <v>0</v>
      </c>
      <c r="AW33" s="49" cm="1">
        <f t="array" ref="AW33">IF($F$11-$I$4+VLOOKUP($Q33,武学奇术!$A:$ZZ,9,FALSE)+SUM(_xlfn.XLOOKUP(R33:AH33,增益!$A:$A,增益!$I:$I,0))&gt;0,($F$11-$I$4+VLOOKUP($Q33,武学奇术!$A:$ZZ,9,FALSE)+SUM(_xlfn.XLOOKUP(R33:AH33,增益!$A:$A,增益!$I:$I,0)))/200,($F$11-$I$4+VLOOKUP($Q33,武学奇术!$A:$ZZ,9,FALSE)+SUM(_xlfn.XLOOKUP(R33:AH33,增益!$A:$A,增益!$I:$I,0)))/100)</f>
        <v>-0.3</v>
      </c>
      <c r="AX33" s="49" cm="1">
        <f t="array" ref="AX33">$G$11+VLOOKUP($Q33,武学奇术!$A:$ZZ,10,FALSE)+SUM(_xlfn.XLOOKUP(R33:AH33,增益!$A:$A,增益!$J:$J,0))</f>
        <v>0</v>
      </c>
      <c r="AY33">
        <f>$D$12*(1+$AT33)</f>
        <v>0</v>
      </c>
      <c r="AZ33">
        <f>$E$12*(1+$AT33)</f>
        <v>0</v>
      </c>
      <c r="BA33" s="49" cm="1">
        <f t="array" ref="BA33">IF($F$12-$I$4+VLOOKUP($Q33,武学奇术!$A:$ZZ,11,FALSE)+SUM(_xlfn.XLOOKUP(R33:AH33,增益!$A:$A,增益!$K:$K,0))&gt;0,($F$12-$I$4+VLOOKUP($Q33,武学奇术!$A:$ZZ,11,FALSE)+SUM(_xlfn.XLOOKUP(R33:AH33,增益!$A:$A,增益!$K:$K,0)))/200,($F$12-$I$4+VLOOKUP($Q33,武学奇术!$A:$ZZ,11,FALSE)+SUM(_xlfn.XLOOKUP(R33:AH33,增益!$A:$A,增益!$K:$K,0)))/100)</f>
        <v>-0.3</v>
      </c>
      <c r="BB33" s="49" cm="1">
        <f t="array" ref="BB33">$G$12+VLOOKUP($Q33,武学奇术!$A:$ZZ,12,FALSE)+SUM(_xlfn.XLOOKUP(R33:AH33,增益!$A:$A,增益!$L:$L,0))</f>
        <v>0</v>
      </c>
      <c r="BC33">
        <f>$D$13*(1+$AT33)</f>
        <v>571.2</v>
      </c>
      <c r="BD33">
        <f>$E$13*(1+$AT33)</f>
        <v>1077.4</v>
      </c>
      <c r="BE33" s="49" cm="1">
        <f t="array" ref="BE33">IF($F$13-$I$4+VLOOKUP($Q33,武学奇术!$A:$ZZ,13,FALSE)+SUM(_xlfn.XLOOKUP(R33:AH33,增益!$A:$A,增益!$M:$M,0))&gt;0,($F$13-$I$4+VLOOKUP($Q33,武学奇术!$A:$ZZ,13,FALSE)+SUM(_xlfn.XLOOKUP(R33:AH33,增益!$A:$A,增益!$K:$K,0)))/200,($F$13-$I$4+VLOOKUP($Q33,武学奇术!$A:$ZZ,13,FALSE)+SUM(_xlfn.XLOOKUP(R33:AH33,增益!$A:$A,增益!$M:$M,0)))/100)</f>
        <v>0</v>
      </c>
      <c r="BF33" s="49" cm="1">
        <f t="array" ref="BF33">$G$13+VLOOKUP($Q33,武学奇术!$A:$ZZ,14,FALSE)+SUM(_xlfn.XLOOKUP(R33:AH33,增益!$A:$A,增益!$N:$N,0))</f>
        <v>0.25</v>
      </c>
      <c r="BG33">
        <f>$D$14*(1+$AT33)</f>
        <v>0</v>
      </c>
      <c r="BH33">
        <f>$E$14*(1+$AT33)</f>
        <v>0</v>
      </c>
      <c r="BI33" s="49" cm="1">
        <f t="array" ref="BI33">IF($F$14-$I$4+VLOOKUP($Q33,武学奇术!$A:$ZZ,15,FALSE)+SUM(_xlfn.XLOOKUP(R33:AH33,增益!$A:$A,增益!$O:$O,0))&gt;0,($F$14-$I$4+VLOOKUP($Q33,武学奇术!$A:$ZZ,15,FALSE)+SUM(_xlfn.XLOOKUP(R33:AH33,增益!$A:$A,增益!$O:$O,0)))/200,($F$14-$I$4+VLOOKUP($Q33,武学奇术!$A:$ZZ,15,FALSE)+SUM(_xlfn.XLOOKUP(R33:AH33,增益!$A:$A,增益!$O:$O,0)))/100)</f>
        <v>-0.3</v>
      </c>
      <c r="BJ33" s="49" cm="1">
        <f t="array" ref="BJ33">$G$14+VLOOKUP($Q33,武学奇术!$A:$ZZ,16,FALSE)+SUM(_xlfn.XLOOKUP(R33:AH33,增益!$A:$A,增益!$P:$P,0))</f>
        <v>0</v>
      </c>
      <c r="BK33" s="41">
        <f>MIN(IF(VLOOKUP($Q33,武学奇术!$A:$ZZ,23,FALSE)=1,100%,$B$8),100%)</f>
        <v>1</v>
      </c>
      <c r="BL33" s="41" cm="1">
        <f t="array" ref="BL33">IF(VLOOKUP($Q33,武学奇术!$A:$ZZ,23,FALSE)=1,100%,MIN(80%,$B$9+VLOOKUP($Q33,武学奇术!$A:$ZZ,17,FALSE)+SUM(_xlfn.XLOOKUP(R33:AH33,增益!$A:$A,增益!$Q:$Q,0)))+$B$11+SUM(_xlfn.XLOOKUP(R33:AH33,增益!$A:$A,增益!$U:$U,0)))*IF(VLOOKUP($Q33,武学奇术!$A:$ZZ,24,FALSE)=1,0,1)</f>
        <v>0.9045</v>
      </c>
      <c r="BM33" s="41" cm="1">
        <f t="array" ref="BM33">1+$B$13+VLOOKUP($Q33,武学奇术!$A:$ZZ,18,FALSE)+SUM(_xlfn.XLOOKUP(R33:AH33,增益!$A:$A,增益!$R:$R,0))</f>
        <v>1.57</v>
      </c>
      <c r="BN33" s="41" cm="1">
        <f t="array" ref="BN33">IF(VLOOKUP($Q33,武学奇术!$A:$ZZ,24,FALSE)=1,100%,MIN(40%,$B$10+VLOOKUP($Q33,武学奇术!$A:$ZZ,19,FALSE)+SUM(_xlfn.XLOOKUP(R33:AH33,增益!$A:$A,增益!$S:$S,0)))+$B$12+SUM(_xlfn.XLOOKUP(R33:AH33,增益!$A:$A,增益!$V:$V,0)))*IF(VLOOKUP($Q33,武学奇术!$A:$ZZ,23,FALSE)=1,0,1)</f>
        <v>0.0929</v>
      </c>
      <c r="BO33" s="41" cm="1">
        <f t="array" ref="BO33">1+$B$14+VLOOKUP($Q33,武学奇术!$A:$ZZ,20,FALSE)+SUM(_xlfn.XLOOKUP(R33:AH33,增益!$A:$A,增益!$T:$T,0))</f>
        <v>1.35</v>
      </c>
      <c r="BP33" s="41">
        <f>MIN((1-BN33)*BK33,BK33*BL33)</f>
        <v>0.9045</v>
      </c>
      <c r="BQ33" s="41">
        <f>1-BN33-BP33-BR33</f>
        <v>0.00260000000000005</v>
      </c>
      <c r="BR33" s="41">
        <f>IF(VLOOKUP($Q33,武学奇术!$A:$ZZ,22,FALSE)=1,0,(1-$BK33))*(1-$BN33)</f>
        <v>0</v>
      </c>
      <c r="BS33" s="41" cm="1">
        <f t="array" ref="BS33">SUM(_xlfn.XLOOKUP(R33:AH33,增益!$A:$A,增益!$W:$W,0))+$I$5</f>
        <v>0.11</v>
      </c>
    </row>
    <row r="34" spans="1:71">
      <c r="A34" s="4"/>
      <c r="B34" s="4"/>
      <c r="K34" s="55">
        <f>($L34*$BP34+$M34*$BN34+$N34*$BQ34+$O34*$BR34)</f>
        <v>14923.8122011995</v>
      </c>
      <c r="L34" s="55">
        <f>((($AP34+$AQ34)/2*$AJ34+$AK34)*(1+$AR34)*(1+$AS34)+(($AU34+$AV34)/2*IF($G$1="鸣金",$AL34,$AJ34)+IF($G$1="鸣金",$AM34*1.5,0))*(1+$AW34)*(1+$AX34)+(($AY34+$AZ34)/2*IF($G$1="裂石",$AL34,$AJ34)+IF($G$1="裂石",$AM34*1.5,0))*(1+$BA34)*(1+$BB34)+(($BC34+$BD34)/2*IF($G$1="牵丝",$AL34,$AJ34)+IF($G$1="牵丝",$AM34*1.5,0))*(1+$BE34)*(1+$BF34)+(($BG34+$BH34)/2*IF($G$1="破竹",$AL34,$AJ34)+IF($G$1="破竹",$AM34*1.5,0))*(1+$BI34)*(1+$BJ34))*(1+$AN34)*$BM34*$P34*(1+IF(VLOOKUP($Q34,武学奇术!$A:$ZZ,30,FALSE)="弹道",$B$21,0))*(1+$BS34)</f>
        <v>14661.8131255023</v>
      </c>
      <c r="M34" s="55">
        <f>(($AQ34*$AJ34+$AK34)*(1+$AR34)*(1+$AS34)+($AV34*IF($G$1="鸣金",$AL34,$AJ34)+IF($G$1="鸣金",$AM34*1.5,0))*(1+$AW34)*(1+$AX34)+($AZ34*IF($G$1="裂石",$AL34,$AJ34)+IF($G$1="裂石",$AM34*1.5,0))*(1+$BA34)*(1+$BB34)+($BD34*IF($G$1="牵丝",$AL34,$AJ34)+IF($G$1="牵丝",$AM34*1.5,0))*(1+$BE34)*(1+$BF34)+($BH34*IF($G$1="破竹",$AL34,$AJ34)+IF($G$1="破竹",$AM34*1.5,0))*(1+$BI34)*(1+$BJ34))*(1+$AN34)*$BO34*$P34*(1+IF(VLOOKUP($Q34,武学奇术!$A:$ZZ,30,FALSE)="弹道",$B$21,0))*(1+$BS34)</f>
        <v>17632.6716353667</v>
      </c>
      <c r="N34" s="55">
        <f>((($AP34+$AQ34)/2*$AJ34+$AK34)*(1+$AR34)*(1+$AS34)+(($AU34+$AV34)/2*IF($G$1="鸣金",$AL34,$AJ34)+IF($G$1="鸣金",$AM34*1.5,0))*(1+$AW34)*(1+$AX34)+(($AY34+$AZ34)/2*IF($G$1="裂石",$AL34,$AJ34)+IF($G$1="裂石",$AM34*1.5,0))*(1+$BA34)*(1+$BB34)+(($BC34+$BD34)/2*IF($G$1="牵丝",$AL34,$AJ34)+IF($G$1="牵丝",$AM34*1.5,0))*(1+$BE34)*(1+$BF34)+(($BG34+$BH34)/2*IF($G$1="破竹",$AL34,$AJ34)+IF($G$1="破竹",$AM34*1.5,0))*(1+$BI34)*(1+$BJ34))*(1+$AN34)*$P34*(1+IF(VLOOKUP($Q34,武学奇术!$A:$ZZ,30,FALSE)="弹道",$B$21,0))*(1+$BS34)</f>
        <v>9279.62856044449</v>
      </c>
      <c r="O34" s="55">
        <f>((($AP34*$AJ34+$AK34)*(1+$AR34)*(1+$AS34)+($AU34*IF($G$1="鸣金",$AL34,$AJ34)+IF($G$1="鸣金",$AM34*1.5,0))*(1+$AW34)*(1+$AX34)+($AY34*IF($G$1="裂石",$AL34,$AJ34)+IF($G$1="裂石",$AM34*1.5,0))*(1+$BA34)*(1+$BB34)+($BC34*IF($G$1="牵丝",$AL34,$AJ34)+IF($G$1="牵丝",$AM34*1.5,0))*(1+$BE34)*(1+$BF34)+($BG34*IF($G$1="破竹",$AL34,$AJ34)+IF($G$1="破竹",$AM34*1.5,0))*(1+$BI34)*(1+$BJ34))*(1+$AN34))*$P34*(1+IF(VLOOKUP($Q34,武学奇术!$A:$ZZ,30,FALSE)="弹道",$B$21,0))*(1+$BS34)</f>
        <v>5498.01887246918</v>
      </c>
      <c r="P34" s="56">
        <v>1</v>
      </c>
      <c r="Q34" s="57" t="s">
        <v>99</v>
      </c>
      <c r="R34" s="57" t="s">
        <v>116</v>
      </c>
      <c r="S34" s="57" t="s">
        <v>151</v>
      </c>
      <c r="T34" s="57" t="s">
        <v>72</v>
      </c>
      <c r="U34" s="57" t="s">
        <v>107</v>
      </c>
      <c r="V34" s="57" t="s">
        <v>72</v>
      </c>
      <c r="W34" s="57" t="s">
        <v>72</v>
      </c>
      <c r="X34" s="57" t="s">
        <v>72</v>
      </c>
      <c r="Y34" s="57" t="s">
        <v>72</v>
      </c>
      <c r="Z34" s="57" t="s">
        <v>72</v>
      </c>
      <c r="AA34" s="57" t="s">
        <v>72</v>
      </c>
      <c r="AB34" s="57" t="s">
        <v>72</v>
      </c>
      <c r="AC34" s="57" t="s">
        <v>72</v>
      </c>
      <c r="AD34" s="57" t="s">
        <v>72</v>
      </c>
      <c r="AE34" s="57" t="s">
        <v>72</v>
      </c>
      <c r="AF34" s="57" t="s">
        <v>72</v>
      </c>
      <c r="AG34" s="57" t="s">
        <v>72</v>
      </c>
      <c r="AH34" s="57" t="s">
        <v>87</v>
      </c>
      <c r="AI34" t="str">
        <f>VLOOKUP($Q34,武学奇术!$A:$ZZ,25,FALSE)</f>
        <v>伞</v>
      </c>
      <c r="AJ34" s="41">
        <f>VLOOKUP($Q34,武学奇术!$A:$ZZ,26,FALSE)</f>
        <v>0.54</v>
      </c>
      <c r="AK34" s="42">
        <f>VLOOKUP($Q34,武学奇术!$A:$ZZ,27,FALSE)*(1+IF(OR($AI34=$F$4,$AI34=$F$5),$B$22,0))</f>
        <v>207.2</v>
      </c>
      <c r="AL34" s="41">
        <f>VLOOKUP($Q34,武学奇术!$A:$ZZ,28,FALSE)</f>
        <v>0.81</v>
      </c>
      <c r="AM34" s="42">
        <f>VLOOKUP($Q34,武学奇术!$A:$ZZ,29,FALSE)*(1+IF(OR($AI34=$F$4,$AI34=$F$5),$B$22,0))</f>
        <v>114.1</v>
      </c>
      <c r="AN34" s="41" cm="1">
        <f t="array" ref="AN34">$G$3+IFERROR(VLOOKUP($AI34,$F$4:$G$7,2,FALSE),0)+VLOOKUP($Q34,武学奇术!$A:$ZZ,2,FALSE)+SUM(_xlfn.XLOOKUP($R34:$AH34,增益!$A:$A,增益!$B:$B,0))</f>
        <v>0.4041</v>
      </c>
      <c r="AO34" s="41" cm="1">
        <f t="array" ref="AO34">VLOOKUP($Q34,武学奇术!$A:$ZZ,5,FALSE)+SUM(_xlfn.XLOOKUP($R34:$AH34,增益!$A:$A,增益!$E:$E,0))</f>
        <v>0.075</v>
      </c>
      <c r="AP34" cm="1">
        <f t="array" ref="AP34">$D$10*(1+$AO34)+VLOOKUP($Q34,武学奇术!$A:$ZZ,3,FALSE)+SUM(_xlfn.XLOOKUP($R34:$AH34,增益!$A:$A,增益!$C:$C,0))-$I$2</f>
        <v>1974.055</v>
      </c>
      <c r="AQ34" cm="1">
        <f t="array" ref="AQ34">$E$10*(1+$AO34)+VLOOKUP($Q34,武学奇术!$A:$ZZ,4,FALSE)+SUM(_xlfn.XLOOKUP($R34:$AH34,增益!$A:$A,增益!$D:$D,0))-$I$2</f>
        <v>5941.45</v>
      </c>
      <c r="AR34" s="49" cm="1">
        <f t="array" ref="AR34">IF($F$10-$I$3+VLOOKUP($Q34,武学奇术!$A:$ZZ,6,FALSE)+SUM(_xlfn.XLOOKUP(R34:AH34,增益!$A:$A,增益!$F:$F,0))&gt;0,($F$10-$I$3+VLOOKUP($Q34,武学奇术!$A:$ZZ,6,FALSE)+SUM(_xlfn.XLOOKUP(R34:AH34,增益!$A:$A,增益!$F:$F,0)))/200,($F$10-$I$3+VLOOKUP($Q34,武学奇术!$A:$ZZ,6,FALSE)+SUM(_xlfn.XLOOKUP(R34:AH34,增益!$A:$A,增益!$F:$F,0)))/100)</f>
        <v>0.3425</v>
      </c>
      <c r="AS34" s="49" cm="1">
        <f t="array" ref="AS34">$G$10+VLOOKUP($Q34,武学奇术!$A:$ZZ,7,FALSE)+SUM(_xlfn.XLOOKUP(R34:AH34,增益!$A:$A,增益!$G:$G,0))</f>
        <v>0.1</v>
      </c>
      <c r="AT34" s="41" cm="1">
        <f t="array" ref="AT34">VLOOKUP($Q34,武学奇术!$A:$ZZ,8,FALSE)+SUM(_xlfn.XLOOKUP(R34:AH34,增益!$A:$A,增益!$H:$H,0))</f>
        <v>0</v>
      </c>
      <c r="AU34">
        <f>$D$11*(1+$AT34)</f>
        <v>0</v>
      </c>
      <c r="AV34">
        <f>$E$11*(1+$AT34)</f>
        <v>0</v>
      </c>
      <c r="AW34" s="49" cm="1">
        <f t="array" ref="AW34">IF($F$11-$I$4+VLOOKUP($Q34,武学奇术!$A:$ZZ,9,FALSE)+SUM(_xlfn.XLOOKUP(R34:AH34,增益!$A:$A,增益!$I:$I,0))&gt;0,($F$11-$I$4+VLOOKUP($Q34,武学奇术!$A:$ZZ,9,FALSE)+SUM(_xlfn.XLOOKUP(R34:AH34,增益!$A:$A,增益!$I:$I,0)))/200,($F$11-$I$4+VLOOKUP($Q34,武学奇术!$A:$ZZ,9,FALSE)+SUM(_xlfn.XLOOKUP(R34:AH34,增益!$A:$A,增益!$I:$I,0)))/100)</f>
        <v>-0.3</v>
      </c>
      <c r="AX34" s="49" cm="1">
        <f t="array" ref="AX34">$G$11+VLOOKUP($Q34,武学奇术!$A:$ZZ,10,FALSE)+SUM(_xlfn.XLOOKUP(R34:AH34,增益!$A:$A,增益!$J:$J,0))</f>
        <v>0</v>
      </c>
      <c r="AY34">
        <f>$D$12*(1+$AT34)</f>
        <v>0</v>
      </c>
      <c r="AZ34">
        <f>$E$12*(1+$AT34)</f>
        <v>0</v>
      </c>
      <c r="BA34" s="49" cm="1">
        <f t="array" ref="BA34">IF($F$12-$I$4+VLOOKUP($Q34,武学奇术!$A:$ZZ,11,FALSE)+SUM(_xlfn.XLOOKUP(R34:AH34,增益!$A:$A,增益!$K:$K,0))&gt;0,($F$12-$I$4+VLOOKUP($Q34,武学奇术!$A:$ZZ,11,FALSE)+SUM(_xlfn.XLOOKUP(R34:AH34,增益!$A:$A,增益!$K:$K,0)))/200,($F$12-$I$4+VLOOKUP($Q34,武学奇术!$A:$ZZ,11,FALSE)+SUM(_xlfn.XLOOKUP(R34:AH34,增益!$A:$A,增益!$K:$K,0)))/100)</f>
        <v>-0.3</v>
      </c>
      <c r="BB34" s="49" cm="1">
        <f t="array" ref="BB34">$G$12+VLOOKUP($Q34,武学奇术!$A:$ZZ,12,FALSE)+SUM(_xlfn.XLOOKUP(R34:AH34,增益!$A:$A,增益!$L:$L,0))</f>
        <v>0</v>
      </c>
      <c r="BC34">
        <f>$D$13*(1+$AT34)</f>
        <v>571.2</v>
      </c>
      <c r="BD34">
        <f>$E$13*(1+$AT34)</f>
        <v>1077.4</v>
      </c>
      <c r="BE34" s="49" cm="1">
        <f t="array" ref="BE34">IF($F$13-$I$4+VLOOKUP($Q34,武学奇术!$A:$ZZ,13,FALSE)+SUM(_xlfn.XLOOKUP(R34:AH34,增益!$A:$A,增益!$M:$M,0))&gt;0,($F$13-$I$4+VLOOKUP($Q34,武学奇术!$A:$ZZ,13,FALSE)+SUM(_xlfn.XLOOKUP(R34:AH34,增益!$A:$A,增益!$K:$K,0)))/200,($F$13-$I$4+VLOOKUP($Q34,武学奇术!$A:$ZZ,13,FALSE)+SUM(_xlfn.XLOOKUP(R34:AH34,增益!$A:$A,增益!$M:$M,0)))/100)</f>
        <v>0</v>
      </c>
      <c r="BF34" s="49" cm="1">
        <f t="array" ref="BF34">$G$13+VLOOKUP($Q34,武学奇术!$A:$ZZ,14,FALSE)+SUM(_xlfn.XLOOKUP(R34:AH34,增益!$A:$A,增益!$N:$N,0))</f>
        <v>0.25</v>
      </c>
      <c r="BG34">
        <f>$D$14*(1+$AT34)</f>
        <v>0</v>
      </c>
      <c r="BH34">
        <f>$E$14*(1+$AT34)</f>
        <v>0</v>
      </c>
      <c r="BI34" s="49" cm="1">
        <f t="array" ref="BI34">IF($F$14-$I$4+VLOOKUP($Q34,武学奇术!$A:$ZZ,15,FALSE)+SUM(_xlfn.XLOOKUP(R34:AH34,增益!$A:$A,增益!$O:$O,0))&gt;0,($F$14-$I$4+VLOOKUP($Q34,武学奇术!$A:$ZZ,15,FALSE)+SUM(_xlfn.XLOOKUP(R34:AH34,增益!$A:$A,增益!$O:$O,0)))/200,($F$14-$I$4+VLOOKUP($Q34,武学奇术!$A:$ZZ,15,FALSE)+SUM(_xlfn.XLOOKUP(R34:AH34,增益!$A:$A,增益!$O:$O,0)))/100)</f>
        <v>-0.3</v>
      </c>
      <c r="BJ34" s="49" cm="1">
        <f t="array" ref="BJ34">$G$14+VLOOKUP($Q34,武学奇术!$A:$ZZ,16,FALSE)+SUM(_xlfn.XLOOKUP(R34:AH34,增益!$A:$A,增益!$P:$P,0))</f>
        <v>0</v>
      </c>
      <c r="BK34" s="41">
        <f>MIN(IF(VLOOKUP($Q34,武学奇术!$A:$ZZ,23,FALSE)=1,100%,$B$8),100%)</f>
        <v>1</v>
      </c>
      <c r="BL34" s="41" cm="1">
        <f t="array" ref="BL34">IF(VLOOKUP($Q34,武学奇术!$A:$ZZ,23,FALSE)=1,100%,MIN(80%,$B$9+VLOOKUP($Q34,武学奇术!$A:$ZZ,17,FALSE)+SUM(_xlfn.XLOOKUP(R34:AH34,增益!$A:$A,增益!$Q:$Q,0)))+$B$11+SUM(_xlfn.XLOOKUP(R34:AH34,增益!$A:$A,增益!$U:$U,0)))*IF(VLOOKUP($Q34,武学奇术!$A:$ZZ,24,FALSE)=1,0,1)</f>
        <v>0.9045</v>
      </c>
      <c r="BM34" s="41" cm="1">
        <f t="array" ref="BM34">1+$B$13+VLOOKUP($Q34,武学奇术!$A:$ZZ,18,FALSE)+SUM(_xlfn.XLOOKUP(R34:AH34,增益!$A:$A,增益!$R:$R,0))</f>
        <v>1.58</v>
      </c>
      <c r="BN34" s="41" cm="1">
        <f t="array" ref="BN34">IF(VLOOKUP($Q34,武学奇术!$A:$ZZ,24,FALSE)=1,100%,MIN(40%,$B$10+VLOOKUP($Q34,武学奇术!$A:$ZZ,19,FALSE)+SUM(_xlfn.XLOOKUP(R34:AH34,增益!$A:$A,增益!$S:$S,0)))+$B$12+SUM(_xlfn.XLOOKUP(R34:AH34,增益!$A:$A,增益!$V:$V,0)))*IF(VLOOKUP($Q34,武学奇术!$A:$ZZ,23,FALSE)=1,0,1)</f>
        <v>0.0929</v>
      </c>
      <c r="BO34" s="41" cm="1">
        <f t="array" ref="BO34">1+$B$14+VLOOKUP($Q34,武学奇术!$A:$ZZ,20,FALSE)+SUM(_xlfn.XLOOKUP(R34:AH34,增益!$A:$A,增益!$T:$T,0))</f>
        <v>1.35</v>
      </c>
      <c r="BP34" s="41">
        <f>MIN((1-BN34)*BK34,BK34*BL34)</f>
        <v>0.9045</v>
      </c>
      <c r="BQ34" s="41">
        <f>1-BN34-BP34-BR34</f>
        <v>0.00260000000000005</v>
      </c>
      <c r="BR34" s="41">
        <f>IF(VLOOKUP($Q34,武学奇术!$A:$ZZ,22,FALSE)=1,0,(1-$BK34))*(1-$BN34)</f>
        <v>0</v>
      </c>
      <c r="BS34" s="41" cm="1">
        <f t="array" ref="BS34">SUM(_xlfn.XLOOKUP(R34:AH34,增益!$A:$A,增益!$W:$W,0))+$I$5</f>
        <v>0.11</v>
      </c>
    </row>
    <row r="35" spans="1:71">
      <c r="A35" s="4"/>
      <c r="B35" s="4"/>
      <c r="K35" s="55">
        <f>($L35*$BP35+$M35*$BN35+$N35*$BQ35+$O35*$BR35)</f>
        <v>57964.682003955</v>
      </c>
      <c r="L35" s="55">
        <f>((($AP35+$AQ35)/2*$AJ35+$AK35)*(1+$AR35)*(1+$AS35)+(($AU35+$AV35)/2*IF($G$1="鸣金",$AL35,$AJ35)+IF($G$1="鸣金",$AM35*1.5,0))*(1+$AW35)*(1+$AX35)+(($AY35+$AZ35)/2*IF($G$1="裂石",$AL35,$AJ35)+IF($G$1="裂石",$AM35*1.5,0))*(1+$BA35)*(1+$BB35)+(($BC35+$BD35)/2*IF($G$1="牵丝",$AL35,$AJ35)+IF($G$1="牵丝",$AM35*1.5,0))*(1+$BE35)*(1+$BF35)+(($BG35+$BH35)/2*IF($G$1="破竹",$AL35,$AJ35)+IF($G$1="破竹",$AM35*1.5,0))*(1+$BI35)*(1+$BJ35))*(1+$AN35)*$BM35*$P35*(1+IF(VLOOKUP($Q35,武学奇术!$A:$ZZ,30,FALSE)="弹道",$B$21,0))*(1+$BS35)</f>
        <v>58146.9258407212</v>
      </c>
      <c r="M35" s="55">
        <f>(($AQ35*$AJ35+$AK35)*(1+$AR35)*(1+$AS35)+($AV35*IF($G$1="鸣金",$AL35,$AJ35)+IF($G$1="鸣金",$AM35*1.5,0))*(1+$AW35)*(1+$AX35)+($AZ35*IF($G$1="裂石",$AL35,$AJ35)+IF($G$1="裂石",$AM35*1.5,0))*(1+$BA35)*(1+$BB35)+($BD35*IF($G$1="牵丝",$AL35,$AJ35)+IF($G$1="牵丝",$AM35*1.5,0))*(1+$BE35)*(1+$BF35)+($BH35*IF($G$1="破竹",$AL35,$AJ35)+IF($G$1="破竹",$AM35*1.5,0))*(1+$BI35)*(1+$BJ35))*(1+$AN35)*$BO35*$P35*(1+IF(VLOOKUP($Q35,武学奇术!$A:$ZZ,30,FALSE)="弹道",$B$21,0))*(1+$BS35)</f>
        <v>56973.7213276551</v>
      </c>
      <c r="N35" s="55">
        <f>((($AP35+$AQ35)/2*$AJ35+$AK35)*(1+$AR35)*(1+$AS35)+(($AU35+$AV35)/2*IF($G$1="鸣金",$AL35,$AJ35)+IF($G$1="鸣金",$AM35*1.5,0))*(1+$AW35)*(1+$AX35)+(($AY35+$AZ35)/2*IF($G$1="裂石",$AL35,$AJ35)+IF($G$1="裂石",$AM35*1.5,0))*(1+$BA35)*(1+$BB35)+(($BC35+$BD35)/2*IF($G$1="牵丝",$AL35,$AJ35)+IF($G$1="牵丝",$AM35*1.5,0))*(1+$BE35)*(1+$BF35)+(($BG35+$BH35)/2*IF($G$1="破竹",$AL35,$AJ35)+IF($G$1="破竹",$AM35*1.5,0))*(1+$BI35)*(1+$BJ35))*(1+$AN35)*$P35*(1+IF(VLOOKUP($Q35,武学奇术!$A:$ZZ,30,FALSE)="弹道",$B$21,0))*(1+$BS35)</f>
        <v>29972.6421859388</v>
      </c>
      <c r="O35" s="55">
        <f>((($AP35*$AJ35+$AK35)*(1+$AR35)*(1+$AS35)+($AU35*IF($G$1="鸣金",$AL35,$AJ35)+IF($G$1="鸣金",$AM35*1.5,0))*(1+$AW35)*(1+$AX35)+($AY35*IF($G$1="裂石",$AL35,$AJ35)+IF($G$1="裂石",$AM35*1.5,0))*(1+$BA35)*(1+$BB35)+($BC35*IF($G$1="牵丝",$AL35,$AJ35)+IF($G$1="牵丝",$AM35*1.5,0))*(1+$BE35)*(1+$BF35)+($BG35*IF($G$1="破竹",$AL35,$AJ35)+IF($G$1="破竹",$AM35*1.5,0))*(1+$BI35)*(1+$BJ35))*(1+$AN35))*$P35*(1+IF(VLOOKUP($Q35,武学奇术!$A:$ZZ,30,FALSE)="弹道",$B$21,0))*(1+$BS35)</f>
        <v>17742.5278328738</v>
      </c>
      <c r="P35" s="56">
        <v>1</v>
      </c>
      <c r="Q35" s="57" t="s">
        <v>102</v>
      </c>
      <c r="R35" s="57" t="s">
        <v>116</v>
      </c>
      <c r="S35" s="57" t="s">
        <v>151</v>
      </c>
      <c r="T35" s="57" t="s">
        <v>92</v>
      </c>
      <c r="U35" s="57" t="s">
        <v>107</v>
      </c>
      <c r="V35" s="57" t="s">
        <v>86</v>
      </c>
      <c r="W35" s="57" t="s">
        <v>72</v>
      </c>
      <c r="X35" s="57" t="s">
        <v>72</v>
      </c>
      <c r="Y35" s="57" t="s">
        <v>72</v>
      </c>
      <c r="Z35" s="57" t="s">
        <v>72</v>
      </c>
      <c r="AA35" s="57" t="s">
        <v>72</v>
      </c>
      <c r="AB35" s="57" t="s">
        <v>72</v>
      </c>
      <c r="AC35" s="57" t="s">
        <v>72</v>
      </c>
      <c r="AD35" s="57" t="s">
        <v>72</v>
      </c>
      <c r="AE35" s="57" t="s">
        <v>72</v>
      </c>
      <c r="AF35" s="57" t="s">
        <v>72</v>
      </c>
      <c r="AG35" s="57" t="s">
        <v>72</v>
      </c>
      <c r="AH35" s="57" t="s">
        <v>87</v>
      </c>
      <c r="AI35" t="str">
        <f>VLOOKUP($Q35,武学奇术!$A:$ZZ,25,FALSE)</f>
        <v>伞</v>
      </c>
      <c r="AJ35" s="41">
        <f>VLOOKUP($Q35,武学奇术!$A:$ZZ,26,FALSE)</f>
        <v>1.174955</v>
      </c>
      <c r="AK35" s="42">
        <f>VLOOKUP($Q35,武学奇术!$A:$ZZ,27,FALSE)*(1+IF(OR($AI35=$F$4,$AI35=$F$5),$B$22,0))</f>
        <v>454.02</v>
      </c>
      <c r="AL35" s="41">
        <f>VLOOKUP($Q35,武学奇术!$A:$ZZ,28,FALSE)</f>
        <v>1.762375</v>
      </c>
      <c r="AM35" s="42">
        <f>VLOOKUP($Q35,武学奇术!$A:$ZZ,29,FALSE)*(1+IF(OR($AI35=$F$4,$AI35=$F$5),$B$22,0))</f>
        <v>247.94</v>
      </c>
      <c r="AN35" s="41" cm="1">
        <f t="array" ref="AN35">$G$3+IFERROR(VLOOKUP($AI35,$F$4:$G$7,2,FALSE),0)+VLOOKUP($Q35,武学奇术!$A:$ZZ,2,FALSE)+SUM(_xlfn.XLOOKUP($R35:$AH35,增益!$A:$A,增益!$B:$B,0))</f>
        <v>1.0541</v>
      </c>
      <c r="AO35" s="41" cm="1">
        <f t="array" ref="AO35">VLOOKUP($Q35,武学奇术!$A:$ZZ,5,FALSE)+SUM(_xlfn.XLOOKUP($R35:$AH35,增益!$A:$A,增益!$E:$E,0))</f>
        <v>0.075</v>
      </c>
      <c r="AP35" cm="1">
        <f t="array" ref="AP35">$D$10*(1+$AO35)+VLOOKUP($Q35,武学奇术!$A:$ZZ,3,FALSE)+SUM(_xlfn.XLOOKUP($R35:$AH35,增益!$A:$A,增益!$C:$C,0))-$I$2</f>
        <v>1974.055</v>
      </c>
      <c r="AQ35" cm="1">
        <f t="array" ref="AQ35">$E$10*(1+$AO35)+VLOOKUP($Q35,武学奇术!$A:$ZZ,4,FALSE)+SUM(_xlfn.XLOOKUP($R35:$AH35,增益!$A:$A,增益!$D:$D,0))-$I$2</f>
        <v>5941.45</v>
      </c>
      <c r="AR35" s="49" cm="1">
        <f t="array" ref="AR35">IF($F$10-$I$3+VLOOKUP($Q35,武学奇术!$A:$ZZ,6,FALSE)+SUM(_xlfn.XLOOKUP(R35:AH35,增益!$A:$A,增益!$F:$F,0))&gt;0,($F$10-$I$3+VLOOKUP($Q35,武学奇术!$A:$ZZ,6,FALSE)+SUM(_xlfn.XLOOKUP(R35:AH35,增益!$A:$A,增益!$F:$F,0)))/200,($F$10-$I$3+VLOOKUP($Q35,武学奇术!$A:$ZZ,6,FALSE)+SUM(_xlfn.XLOOKUP(R35:AH35,增益!$A:$A,增益!$F:$F,0)))/100)</f>
        <v>0.3675</v>
      </c>
      <c r="AS35" s="49" cm="1">
        <f t="array" ref="AS35">$G$10+VLOOKUP($Q35,武学奇术!$A:$ZZ,7,FALSE)+SUM(_xlfn.XLOOKUP(R35:AH35,增益!$A:$A,增益!$G:$G,0))</f>
        <v>0.1</v>
      </c>
      <c r="AT35" s="41" cm="1">
        <f t="array" ref="AT35">VLOOKUP($Q35,武学奇术!$A:$ZZ,8,FALSE)+SUM(_xlfn.XLOOKUP(R35:AH35,增益!$A:$A,增益!$H:$H,0))</f>
        <v>0</v>
      </c>
      <c r="AU35">
        <f>$D$11*(1+$AT35)</f>
        <v>0</v>
      </c>
      <c r="AV35">
        <f>$E$11*(1+$AT35)</f>
        <v>0</v>
      </c>
      <c r="AW35" s="49" cm="1">
        <f t="array" ref="AW35">IF($F$11-$I$4+VLOOKUP($Q35,武学奇术!$A:$ZZ,9,FALSE)+SUM(_xlfn.XLOOKUP(R35:AH35,增益!$A:$A,增益!$I:$I,0))&gt;0,($F$11-$I$4+VLOOKUP($Q35,武学奇术!$A:$ZZ,9,FALSE)+SUM(_xlfn.XLOOKUP(R35:AH35,增益!$A:$A,增益!$I:$I,0)))/200,($F$11-$I$4+VLOOKUP($Q35,武学奇术!$A:$ZZ,9,FALSE)+SUM(_xlfn.XLOOKUP(R35:AH35,增益!$A:$A,增益!$I:$I,0)))/100)</f>
        <v>-0.3</v>
      </c>
      <c r="AX35" s="49" cm="1">
        <f t="array" ref="AX35">$G$11+VLOOKUP($Q35,武学奇术!$A:$ZZ,10,FALSE)+SUM(_xlfn.XLOOKUP(R35:AH35,增益!$A:$A,增益!$J:$J,0))</f>
        <v>0</v>
      </c>
      <c r="AY35">
        <f>$D$12*(1+$AT35)</f>
        <v>0</v>
      </c>
      <c r="AZ35">
        <f>$E$12*(1+$AT35)</f>
        <v>0</v>
      </c>
      <c r="BA35" s="49" cm="1">
        <f t="array" ref="BA35">IF($F$12-$I$4+VLOOKUP($Q35,武学奇术!$A:$ZZ,11,FALSE)+SUM(_xlfn.XLOOKUP(R35:AH35,增益!$A:$A,增益!$K:$K,0))&gt;0,($F$12-$I$4+VLOOKUP($Q35,武学奇术!$A:$ZZ,11,FALSE)+SUM(_xlfn.XLOOKUP(R35:AH35,增益!$A:$A,增益!$K:$K,0)))/200,($F$12-$I$4+VLOOKUP($Q35,武学奇术!$A:$ZZ,11,FALSE)+SUM(_xlfn.XLOOKUP(R35:AH35,增益!$A:$A,增益!$K:$K,0)))/100)</f>
        <v>-0.3</v>
      </c>
      <c r="BB35" s="49" cm="1">
        <f t="array" ref="BB35">$G$12+VLOOKUP($Q35,武学奇术!$A:$ZZ,12,FALSE)+SUM(_xlfn.XLOOKUP(R35:AH35,增益!$A:$A,增益!$L:$L,0))</f>
        <v>0</v>
      </c>
      <c r="BC35">
        <f>$D$13*(1+$AT35)</f>
        <v>571.2</v>
      </c>
      <c r="BD35">
        <f>$E$13*(1+$AT35)</f>
        <v>1077.4</v>
      </c>
      <c r="BE35" s="49" cm="1">
        <f t="array" ref="BE35">IF($F$13-$I$4+VLOOKUP($Q35,武学奇术!$A:$ZZ,13,FALSE)+SUM(_xlfn.XLOOKUP(R35:AH35,增益!$A:$A,增益!$M:$M,0))&gt;0,($F$13-$I$4+VLOOKUP($Q35,武学奇术!$A:$ZZ,13,FALSE)+SUM(_xlfn.XLOOKUP(R35:AH35,增益!$A:$A,增益!$K:$K,0)))/200,($F$13-$I$4+VLOOKUP($Q35,武学奇术!$A:$ZZ,13,FALSE)+SUM(_xlfn.XLOOKUP(R35:AH35,增益!$A:$A,增益!$M:$M,0)))/100)</f>
        <v>0</v>
      </c>
      <c r="BF35" s="49" cm="1">
        <f t="array" ref="BF35">$G$13+VLOOKUP($Q35,武学奇术!$A:$ZZ,14,FALSE)+SUM(_xlfn.XLOOKUP(R35:AH35,增益!$A:$A,增益!$N:$N,0))</f>
        <v>0.25</v>
      </c>
      <c r="BG35">
        <f>$D$14*(1+$AT35)</f>
        <v>0</v>
      </c>
      <c r="BH35">
        <f>$E$14*(1+$AT35)</f>
        <v>0</v>
      </c>
      <c r="BI35" s="49" cm="1">
        <f t="array" ref="BI35">IF($F$14-$I$4+VLOOKUP($Q35,武学奇术!$A:$ZZ,15,FALSE)+SUM(_xlfn.XLOOKUP(R35:AH35,增益!$A:$A,增益!$O:$O,0))&gt;0,($F$14-$I$4+VLOOKUP($Q35,武学奇术!$A:$ZZ,15,FALSE)+SUM(_xlfn.XLOOKUP(R35:AH35,增益!$A:$A,增益!$O:$O,0)))/200,($F$14-$I$4+VLOOKUP($Q35,武学奇术!$A:$ZZ,15,FALSE)+SUM(_xlfn.XLOOKUP(R35:AH35,增益!$A:$A,增益!$O:$O,0)))/100)</f>
        <v>-0.3</v>
      </c>
      <c r="BJ35" s="49" cm="1">
        <f t="array" ref="BJ35">$G$14+VLOOKUP($Q35,武学奇术!$A:$ZZ,16,FALSE)+SUM(_xlfn.XLOOKUP(R35:AH35,增益!$A:$A,增益!$P:$P,0))</f>
        <v>0</v>
      </c>
      <c r="BK35" s="41">
        <f>MIN(IF(VLOOKUP($Q35,武学奇术!$A:$ZZ,23,FALSE)=1,100%,$B$8),100%)</f>
        <v>1</v>
      </c>
      <c r="BL35" s="41" cm="1">
        <f t="array" ref="BL35">IF(VLOOKUP($Q35,武学奇术!$A:$ZZ,23,FALSE)=1,100%,MIN(80%,$B$9+VLOOKUP($Q35,武学奇术!$A:$ZZ,17,FALSE)+SUM(_xlfn.XLOOKUP(R35:AH35,增益!$A:$A,增益!$Q:$Q,0)))+$B$11+SUM(_xlfn.XLOOKUP(R35:AH35,增益!$A:$A,增益!$U:$U,0)))*IF(VLOOKUP($Q35,武学奇术!$A:$ZZ,24,FALSE)=1,0,1)</f>
        <v>0.9045</v>
      </c>
      <c r="BM35" s="41" cm="1">
        <f t="array" ref="BM35">1+$B$13+VLOOKUP($Q35,武学奇术!$A:$ZZ,18,FALSE)+SUM(_xlfn.XLOOKUP(R35:AH35,增益!$A:$A,增益!$R:$R,0))</f>
        <v>1.94</v>
      </c>
      <c r="BN35" s="41" cm="1">
        <f t="array" ref="BN35">IF(VLOOKUP($Q35,武学奇术!$A:$ZZ,24,FALSE)=1,100%,MIN(40%,$B$10+VLOOKUP($Q35,武学奇术!$A:$ZZ,19,FALSE)+SUM(_xlfn.XLOOKUP(R35:AH35,增益!$A:$A,增益!$S:$S,0)))+$B$12+SUM(_xlfn.XLOOKUP(R35:AH35,增益!$A:$A,增益!$V:$V,0)))*IF(VLOOKUP($Q35,武学奇术!$A:$ZZ,23,FALSE)=1,0,1)</f>
        <v>0.0929</v>
      </c>
      <c r="BO35" s="41" cm="1">
        <f t="array" ref="BO35">1+$B$14+VLOOKUP($Q35,武学奇术!$A:$ZZ,20,FALSE)+SUM(_xlfn.XLOOKUP(R35:AH35,增益!$A:$A,增益!$T:$T,0))</f>
        <v>1.35</v>
      </c>
      <c r="BP35" s="41">
        <f>MIN((1-BN35)*BK35,BK35*BL35)</f>
        <v>0.9045</v>
      </c>
      <c r="BQ35" s="41">
        <f>1-BN35-BP35-BR35</f>
        <v>0.00260000000000005</v>
      </c>
      <c r="BR35" s="41">
        <f>IF(VLOOKUP($Q35,武学奇术!$A:$ZZ,22,FALSE)=1,0,(1-$BK35))*(1-$BN35)</f>
        <v>0</v>
      </c>
      <c r="BS35" s="41" cm="1">
        <f t="array" ref="BS35">SUM(_xlfn.XLOOKUP(R35:AH35,增益!$A:$A,增益!$W:$W,0))+$I$5</f>
        <v>0.11</v>
      </c>
    </row>
    <row r="36" spans="1:71">
      <c r="A36" s="4"/>
      <c r="B36" s="109"/>
      <c r="K36" s="55">
        <f>($L36*$BP36+$M36*$BN36+$N36*$BQ36+$O36*$BR36)</f>
        <v>236061.747710892</v>
      </c>
      <c r="L36" s="55">
        <f>((($AP36+$AQ36)/2*$AJ36+$AK36)*(1+$AR36)*(1+$AS36)+(($AU36+$AV36)/2*IF($G$1="鸣金",$AL36,$AJ36)+IF($G$1="鸣金",$AM36*1.5,0))*(1+$AW36)*(1+$AX36)+(($AY36+$AZ36)/2*IF($G$1="裂石",$AL36,$AJ36)+IF($G$1="裂石",$AM36*1.5,0))*(1+$BA36)*(1+$BB36)+(($BC36+$BD36)/2*IF($G$1="牵丝",$AL36,$AJ36)+IF($G$1="牵丝",$AM36*1.5,0))*(1+$BE36)*(1+$BF36)+(($BG36+$BH36)/2*IF($G$1="破竹",$AL36,$AJ36)+IF($G$1="破竹",$AM36*1.5,0))*(1+$BI36)*(1+$BJ36))*(1+$AN36)*$BM36*$P36*(1+IF(VLOOKUP($Q36,武学奇术!$A:$ZZ,30,FALSE)="弹道",$B$21,0))*(1+$BS36)</f>
        <v>236849.143427342</v>
      </c>
      <c r="M36" s="55">
        <f>(($AQ36*$AJ36+$AK36)*(1+$AR36)*(1+$AS36)+($AV36*IF($G$1="鸣金",$AL36,$AJ36)+IF($G$1="鸣金",$AM36*1.5,0))*(1+$AW36)*(1+$AX36)+($AZ36*IF($G$1="裂石",$AL36,$AJ36)+IF($G$1="裂石",$AM36*1.5,0))*(1+$BA36)*(1+$BB36)+($BD36*IF($G$1="牵丝",$AL36,$AJ36)+IF($G$1="牵丝",$AM36*1.5,0))*(1+$BE36)*(1+$BF36)+($BH36*IF($G$1="破竹",$AL36,$AJ36)+IF($G$1="破竹",$AM36*1.5,0))*(1+$BI36)*(1+$BJ36))*(1+$AN36)*$BO36*$P36*(1+IF(VLOOKUP($Q36,武学奇术!$A:$ZZ,30,FALSE)="弹道",$B$21,0))*(1+$BS36)</f>
        <v>231585.261504767</v>
      </c>
      <c r="N36" s="55">
        <f>((($AP36+$AQ36)/2*$AJ36+$AK36)*(1+$AR36)*(1+$AS36)+(($AU36+$AV36)/2*IF($G$1="鸣金",$AL36,$AJ36)+IF($G$1="鸣金",$AM36*1.5,0))*(1+$AW36)*(1+$AX36)+(($AY36+$AZ36)/2*IF($G$1="裂石",$AL36,$AJ36)+IF($G$1="裂石",$AM36*1.5,0))*(1+$BA36)*(1+$BB36)+(($BC36+$BD36)/2*IF($G$1="牵丝",$AL36,$AJ36)+IF($G$1="牵丝",$AM36*1.5,0))*(1+$BE36)*(1+$BF36)+(($BG36+$BH36)/2*IF($G$1="破竹",$AL36,$AJ36)+IF($G$1="破竹",$AM36*1.5,0))*(1+$BI36)*(1+$BJ36))*(1+$AN36)*$P36*(1+IF(VLOOKUP($Q36,武学奇术!$A:$ZZ,30,FALSE)="弹道",$B$21,0))*(1+$BS36)</f>
        <v>122087.187333682</v>
      </c>
      <c r="O36" s="55">
        <f>((($AP36*$AJ36+$AK36)*(1+$AR36)*(1+$AS36)+($AU36*IF($G$1="鸣金",$AL36,$AJ36)+IF($G$1="鸣金",$AM36*1.5,0))*(1+$AW36)*(1+$AX36)+($AY36*IF($G$1="裂石",$AL36,$AJ36)+IF($G$1="裂石",$AM36*1.5,0))*(1+$BA36)*(1+$BB36)+($BC36*IF($G$1="牵丝",$AL36,$AJ36)+IF($G$1="牵丝",$AM36*1.5,0))*(1+$BE36)*(1+$BF36)+($BG36*IF($G$1="破竹",$AL36,$AJ36)+IF($G$1="破竹",$AM36*1.5,0))*(1+$BI36)*(1+$BJ36))*(1+$AN36))*$P36*(1+IF(VLOOKUP($Q36,武学奇术!$A:$ZZ,30,FALSE)="弹道",$B$21,0))*(1+$BS36)</f>
        <v>72629.7365156837</v>
      </c>
      <c r="P36" s="56">
        <v>4</v>
      </c>
      <c r="Q36" s="57" t="s">
        <v>102</v>
      </c>
      <c r="R36" s="57" t="s">
        <v>116</v>
      </c>
      <c r="S36" s="57" t="s">
        <v>151</v>
      </c>
      <c r="T36" s="57" t="s">
        <v>92</v>
      </c>
      <c r="U36" s="57" t="s">
        <v>107</v>
      </c>
      <c r="V36" s="57" t="s">
        <v>86</v>
      </c>
      <c r="W36" s="57" t="s">
        <v>72</v>
      </c>
      <c r="X36" s="57" t="s">
        <v>72</v>
      </c>
      <c r="Y36" s="57" t="s">
        <v>72</v>
      </c>
      <c r="Z36" s="57" t="s">
        <v>72</v>
      </c>
      <c r="AA36" s="57" t="s">
        <v>72</v>
      </c>
      <c r="AB36" s="57" t="s">
        <v>96</v>
      </c>
      <c r="AC36" s="57" t="s">
        <v>72</v>
      </c>
      <c r="AD36" s="57" t="s">
        <v>72</v>
      </c>
      <c r="AE36" s="57" t="s">
        <v>72</v>
      </c>
      <c r="AF36" s="57" t="s">
        <v>72</v>
      </c>
      <c r="AG36" s="57" t="s">
        <v>72</v>
      </c>
      <c r="AH36" s="57" t="s">
        <v>87</v>
      </c>
      <c r="AI36" t="str">
        <f>VLOOKUP($Q36,武学奇术!$A:$ZZ,25,FALSE)</f>
        <v>伞</v>
      </c>
      <c r="AJ36" s="41">
        <f>VLOOKUP($Q36,武学奇术!$A:$ZZ,26,FALSE)</f>
        <v>1.174955</v>
      </c>
      <c r="AK36" s="42">
        <f>VLOOKUP($Q36,武学奇术!$A:$ZZ,27,FALSE)*(1+IF(OR($AI36=$F$4,$AI36=$F$5),$B$22,0))</f>
        <v>454.02</v>
      </c>
      <c r="AL36" s="41">
        <f>VLOOKUP($Q36,武学奇术!$A:$ZZ,28,FALSE)</f>
        <v>1.762375</v>
      </c>
      <c r="AM36" s="42">
        <f>VLOOKUP($Q36,武学奇术!$A:$ZZ,29,FALSE)*(1+IF(OR($AI36=$F$4,$AI36=$F$5),$B$22,0))</f>
        <v>247.94</v>
      </c>
      <c r="AN36" s="41" cm="1">
        <f t="array" ref="AN36">$G$3+IFERROR(VLOOKUP($AI36,$F$4:$G$7,2,FALSE),0)+VLOOKUP($Q36,武学奇术!$A:$ZZ,2,FALSE)+SUM(_xlfn.XLOOKUP($R36:$AH36,增益!$A:$A,增益!$B:$B,0))</f>
        <v>1.0541</v>
      </c>
      <c r="AO36" s="41" cm="1">
        <f t="array" ref="AO36">VLOOKUP($Q36,武学奇术!$A:$ZZ,5,FALSE)+SUM(_xlfn.XLOOKUP($R36:$AH36,增益!$A:$A,增益!$E:$E,0))</f>
        <v>0.075</v>
      </c>
      <c r="AP36" cm="1">
        <f t="array" ref="AP36">$D$10*(1+$AO36)+VLOOKUP($Q36,武学奇术!$A:$ZZ,3,FALSE)+SUM(_xlfn.XLOOKUP($R36:$AH36,增益!$A:$A,增益!$C:$C,0))-$I$2</f>
        <v>1974.055</v>
      </c>
      <c r="AQ36" cm="1">
        <f t="array" ref="AQ36">$E$10*(1+$AO36)+VLOOKUP($Q36,武学奇术!$A:$ZZ,4,FALSE)+SUM(_xlfn.XLOOKUP($R36:$AH36,增益!$A:$A,增益!$D:$D,0))-$I$2</f>
        <v>5941.45</v>
      </c>
      <c r="AR36" s="49" cm="1">
        <f t="array" ref="AR36">IF($F$10-$I$3+VLOOKUP($Q36,武学奇术!$A:$ZZ,6,FALSE)+SUM(_xlfn.XLOOKUP(R36:AH36,增益!$A:$A,增益!$F:$F,0))&gt;0,($F$10-$I$3+VLOOKUP($Q36,武学奇术!$A:$ZZ,6,FALSE)+SUM(_xlfn.XLOOKUP(R36:AH36,增益!$A:$A,增益!$F:$F,0)))/200,($F$10-$I$3+VLOOKUP($Q36,武学奇术!$A:$ZZ,6,FALSE)+SUM(_xlfn.XLOOKUP(R36:AH36,增益!$A:$A,增益!$F:$F,0)))/100)</f>
        <v>0.3675</v>
      </c>
      <c r="AS36" s="49" cm="1">
        <f t="array" ref="AS36">$G$10+VLOOKUP($Q36,武学奇术!$A:$ZZ,7,FALSE)+SUM(_xlfn.XLOOKUP(R36:AH36,增益!$A:$A,增益!$G:$G,0))</f>
        <v>0.1</v>
      </c>
      <c r="AT36" s="41" cm="1">
        <f t="array" ref="AT36">VLOOKUP($Q36,武学奇术!$A:$ZZ,8,FALSE)+SUM(_xlfn.XLOOKUP(R36:AH36,增益!$A:$A,增益!$H:$H,0))</f>
        <v>0</v>
      </c>
      <c r="AU36">
        <f>$D$11*(1+$AT36)</f>
        <v>0</v>
      </c>
      <c r="AV36">
        <f>$E$11*(1+$AT36)</f>
        <v>0</v>
      </c>
      <c r="AW36" s="49" cm="1">
        <f t="array" ref="AW36">IF($F$11-$I$4+VLOOKUP($Q36,武学奇术!$A:$ZZ,9,FALSE)+SUM(_xlfn.XLOOKUP(R36:AH36,增益!$A:$A,增益!$I:$I,0))&gt;0,($F$11-$I$4+VLOOKUP($Q36,武学奇术!$A:$ZZ,9,FALSE)+SUM(_xlfn.XLOOKUP(R36:AH36,增益!$A:$A,增益!$I:$I,0)))/200,($F$11-$I$4+VLOOKUP($Q36,武学奇术!$A:$ZZ,9,FALSE)+SUM(_xlfn.XLOOKUP(R36:AH36,增益!$A:$A,增益!$I:$I,0)))/100)</f>
        <v>-0.14</v>
      </c>
      <c r="AX36" s="49" cm="1">
        <f t="array" ref="AX36">$G$11+VLOOKUP($Q36,武学奇术!$A:$ZZ,10,FALSE)+SUM(_xlfn.XLOOKUP(R36:AH36,增益!$A:$A,增益!$J:$J,0))</f>
        <v>0</v>
      </c>
      <c r="AY36">
        <f>$D$12*(1+$AT36)</f>
        <v>0</v>
      </c>
      <c r="AZ36">
        <f>$E$12*(1+$AT36)</f>
        <v>0</v>
      </c>
      <c r="BA36" s="49" cm="1">
        <f t="array" ref="BA36">IF($F$12-$I$4+VLOOKUP($Q36,武学奇术!$A:$ZZ,11,FALSE)+SUM(_xlfn.XLOOKUP(R36:AH36,增益!$A:$A,增益!$K:$K,0))&gt;0,($F$12-$I$4+VLOOKUP($Q36,武学奇术!$A:$ZZ,11,FALSE)+SUM(_xlfn.XLOOKUP(R36:AH36,增益!$A:$A,增益!$K:$K,0)))/200,($F$12-$I$4+VLOOKUP($Q36,武学奇术!$A:$ZZ,11,FALSE)+SUM(_xlfn.XLOOKUP(R36:AH36,增益!$A:$A,增益!$K:$K,0)))/100)</f>
        <v>-0.14</v>
      </c>
      <c r="BB36" s="49" cm="1">
        <f t="array" ref="BB36">$G$12+VLOOKUP($Q36,武学奇术!$A:$ZZ,12,FALSE)+SUM(_xlfn.XLOOKUP(R36:AH36,增益!$A:$A,增益!$L:$L,0))</f>
        <v>0</v>
      </c>
      <c r="BC36">
        <f>$D$13*(1+$AT36)</f>
        <v>571.2</v>
      </c>
      <c r="BD36">
        <f>$E$13*(1+$AT36)</f>
        <v>1077.4</v>
      </c>
      <c r="BE36" s="49" cm="1">
        <f t="array" ref="BE36">IF($F$13-$I$4+VLOOKUP($Q36,武学奇术!$A:$ZZ,13,FALSE)+SUM(_xlfn.XLOOKUP(R36:AH36,增益!$A:$A,增益!$M:$M,0))&gt;0,($F$13-$I$4+VLOOKUP($Q36,武学奇术!$A:$ZZ,13,FALSE)+SUM(_xlfn.XLOOKUP(R36:AH36,增益!$A:$A,增益!$K:$K,0)))/200,($F$13-$I$4+VLOOKUP($Q36,武学奇术!$A:$ZZ,13,FALSE)+SUM(_xlfn.XLOOKUP(R36:AH36,增益!$A:$A,增益!$M:$M,0)))/100)</f>
        <v>0.08</v>
      </c>
      <c r="BF36" s="49" cm="1">
        <f t="array" ref="BF36">$G$13+VLOOKUP($Q36,武学奇术!$A:$ZZ,14,FALSE)+SUM(_xlfn.XLOOKUP(R36:AH36,增益!$A:$A,增益!$N:$N,0))</f>
        <v>0.25</v>
      </c>
      <c r="BG36">
        <f>$D$14*(1+$AT36)</f>
        <v>0</v>
      </c>
      <c r="BH36">
        <f>$E$14*(1+$AT36)</f>
        <v>0</v>
      </c>
      <c r="BI36" s="49" cm="1">
        <f t="array" ref="BI36">IF($F$14-$I$4+VLOOKUP($Q36,武学奇术!$A:$ZZ,15,FALSE)+SUM(_xlfn.XLOOKUP(R36:AH36,增益!$A:$A,增益!$O:$O,0))&gt;0,($F$14-$I$4+VLOOKUP($Q36,武学奇术!$A:$ZZ,15,FALSE)+SUM(_xlfn.XLOOKUP(R36:AH36,增益!$A:$A,增益!$O:$O,0)))/200,($F$14-$I$4+VLOOKUP($Q36,武学奇术!$A:$ZZ,15,FALSE)+SUM(_xlfn.XLOOKUP(R36:AH36,增益!$A:$A,增益!$O:$O,0)))/100)</f>
        <v>-0.14</v>
      </c>
      <c r="BJ36" s="49" cm="1">
        <f t="array" ref="BJ36">$G$14+VLOOKUP($Q36,武学奇术!$A:$ZZ,16,FALSE)+SUM(_xlfn.XLOOKUP(R36:AH36,增益!$A:$A,增益!$P:$P,0))</f>
        <v>0</v>
      </c>
      <c r="BK36" s="41">
        <f>MIN(IF(VLOOKUP($Q36,武学奇术!$A:$ZZ,23,FALSE)=1,100%,$B$8),100%)</f>
        <v>1</v>
      </c>
      <c r="BL36" s="41" cm="1">
        <f t="array" ref="BL36">IF(VLOOKUP($Q36,武学奇术!$A:$ZZ,23,FALSE)=1,100%,MIN(80%,$B$9+VLOOKUP($Q36,武学奇术!$A:$ZZ,17,FALSE)+SUM(_xlfn.XLOOKUP(R36:AH36,增益!$A:$A,增益!$Q:$Q,0)))+$B$11+SUM(_xlfn.XLOOKUP(R36:AH36,增益!$A:$A,增益!$U:$U,0)))*IF(VLOOKUP($Q36,武学奇术!$A:$ZZ,24,FALSE)=1,0,1)</f>
        <v>0.9045</v>
      </c>
      <c r="BM36" s="41" cm="1">
        <f t="array" ref="BM36">1+$B$13+VLOOKUP($Q36,武学奇术!$A:$ZZ,18,FALSE)+SUM(_xlfn.XLOOKUP(R36:AH36,增益!$A:$A,增益!$R:$R,0))</f>
        <v>1.94</v>
      </c>
      <c r="BN36" s="41" cm="1">
        <f t="array" ref="BN36">IF(VLOOKUP($Q36,武学奇术!$A:$ZZ,24,FALSE)=1,100%,MIN(40%,$B$10+VLOOKUP($Q36,武学奇术!$A:$ZZ,19,FALSE)+SUM(_xlfn.XLOOKUP(R36:AH36,增益!$A:$A,增益!$S:$S,0)))+$B$12+SUM(_xlfn.XLOOKUP(R36:AH36,增益!$A:$A,增益!$V:$V,0)))*IF(VLOOKUP($Q36,武学奇术!$A:$ZZ,23,FALSE)=1,0,1)</f>
        <v>0.0929</v>
      </c>
      <c r="BO36" s="41" cm="1">
        <f t="array" ref="BO36">1+$B$14+VLOOKUP($Q36,武学奇术!$A:$ZZ,20,FALSE)+SUM(_xlfn.XLOOKUP(R36:AH36,增益!$A:$A,增益!$T:$T,0))</f>
        <v>1.35</v>
      </c>
      <c r="BP36" s="41">
        <f>MIN((1-BN36)*BK36,BK36*BL36)</f>
        <v>0.9045</v>
      </c>
      <c r="BQ36" s="41">
        <f>1-BN36-BP36-BR36</f>
        <v>0.00260000000000005</v>
      </c>
      <c r="BR36" s="41">
        <f>IF(VLOOKUP($Q36,武学奇术!$A:$ZZ,22,FALSE)=1,0,(1-$BK36))*(1-$BN36)</f>
        <v>0</v>
      </c>
      <c r="BS36" s="41" cm="1">
        <f t="array" ref="BS36">SUM(_xlfn.XLOOKUP(R36:AH36,增益!$A:$A,增益!$W:$W,0))+$I$5</f>
        <v>0.11</v>
      </c>
    </row>
    <row r="37" spans="1:71">
      <c r="A37" s="4"/>
      <c r="B37" s="109"/>
      <c r="K37" s="55">
        <f>($L37*$BP37+$M37*$BN37+$N37*$BQ37+$O37*$BR37)</f>
        <v>296457.532900406</v>
      </c>
      <c r="L37" s="55">
        <f>((($AP37+$AQ37)/2*$AJ37+$AK37)*(1+$AR37)*(1+$AS37)+(($AU37+$AV37)/2*IF($G$1="鸣金",$AL37,$AJ37)+IF($G$1="鸣金",$AM37*1.5,0))*(1+$AW37)*(1+$AX37)+(($AY37+$AZ37)/2*IF($G$1="裂石",$AL37,$AJ37)+IF($G$1="裂石",$AM37*1.5,0))*(1+$BA37)*(1+$BB37)+(($BC37+$BD37)/2*IF($G$1="牵丝",$AL37,$AJ37)+IF($G$1="牵丝",$AM37*1.5,0))*(1+$BE37)*(1+$BF37)+(($BG37+$BH37)/2*IF($G$1="破竹",$AL37,$AJ37)+IF($G$1="破竹",$AM37*1.5,0))*(1+$BI37)*(1+$BJ37))*(1+$AN37)*$BM37*$P37*(1+IF(VLOOKUP($Q37,武学奇术!$A:$ZZ,30,FALSE)="弹道",$B$21,0))*(1+$BS37)</f>
        <v>297587.519125849</v>
      </c>
      <c r="M37" s="55">
        <f>(($AQ37*$AJ37+$AK37)*(1+$AR37)*(1+$AS37)+($AV37*IF($G$1="鸣金",$AL37,$AJ37)+IF($G$1="鸣金",$AM37*1.5,0))*(1+$AW37)*(1+$AX37)+($AZ37*IF($G$1="裂石",$AL37,$AJ37)+IF($G$1="裂石",$AM37*1.5,0))*(1+$BA37)*(1+$BB37)+($BD37*IF($G$1="牵丝",$AL37,$AJ37)+IF($G$1="牵丝",$AM37*1.5,0))*(1+$BE37)*(1+$BF37)+($BH37*IF($G$1="破竹",$AL37,$AJ37)+IF($G$1="破竹",$AM37*1.5,0))*(1+$BI37)*(1+$BJ37))*(1+$AN37)*$BO37*$P37*(1+IF(VLOOKUP($Q37,武学奇术!$A:$ZZ,30,FALSE)="弹道",$B$21,0))*(1+$BS37)</f>
        <v>289481.576880959</v>
      </c>
      <c r="N37" s="55">
        <f>((($AP37+$AQ37)/2*$AJ37+$AK37)*(1+$AR37)*(1+$AS37)+(($AU37+$AV37)/2*IF($G$1="鸣金",$AL37,$AJ37)+IF($G$1="鸣金",$AM37*1.5,0))*(1+$AW37)*(1+$AX37)+(($AY37+$AZ37)/2*IF($G$1="裂石",$AL37,$AJ37)+IF($G$1="裂石",$AM37*1.5,0))*(1+$BA37)*(1+$BB37)+(($BC37+$BD37)/2*IF($G$1="牵丝",$AL37,$AJ37)+IF($G$1="牵丝",$AM37*1.5,0))*(1+$BE37)*(1+$BF37)+(($BG37+$BH37)/2*IF($G$1="破竹",$AL37,$AJ37)+IF($G$1="破竹",$AM37*1.5,0))*(1+$BI37)*(1+$BJ37))*(1+$AN37)*$P37*(1+IF(VLOOKUP($Q37,武学奇术!$A:$ZZ,30,FALSE)="弹道",$B$21,0))*(1+$BS37)</f>
        <v>152608.984167102</v>
      </c>
      <c r="O37" s="55">
        <f>((($AP37*$AJ37+$AK37)*(1+$AR37)*(1+$AS37)+($AU37*IF($G$1="鸣金",$AL37,$AJ37)+IF($G$1="鸣金",$AM37*1.5,0))*(1+$AW37)*(1+$AX37)+($AY37*IF($G$1="裂石",$AL37,$AJ37)+IF($G$1="裂石",$AM37*1.5,0))*(1+$BA37)*(1+$BB37)+($BC37*IF($G$1="牵丝",$AL37,$AJ37)+IF($G$1="牵丝",$AM37*1.5,0))*(1+$BE37)*(1+$BF37)+($BG37*IF($G$1="破竹",$AL37,$AJ37)+IF($G$1="破竹",$AM37*1.5,0))*(1+$BI37)*(1+$BJ37))*(1+$AN37))*$P37*(1+IF(VLOOKUP($Q37,武学奇术!$A:$ZZ,30,FALSE)="弹道",$B$21,0))*(1+$BS37)</f>
        <v>90787.1706446046</v>
      </c>
      <c r="P37" s="56">
        <v>5</v>
      </c>
      <c r="Q37" s="57" t="s">
        <v>102</v>
      </c>
      <c r="R37" s="57" t="s">
        <v>116</v>
      </c>
      <c r="S37" s="57" t="s">
        <v>152</v>
      </c>
      <c r="T37" s="57" t="s">
        <v>92</v>
      </c>
      <c r="U37" s="57" t="s">
        <v>107</v>
      </c>
      <c r="V37" s="57" t="s">
        <v>86</v>
      </c>
      <c r="W37" s="57" t="s">
        <v>72</v>
      </c>
      <c r="X37" s="57" t="s">
        <v>72</v>
      </c>
      <c r="Y37" s="57" t="s">
        <v>72</v>
      </c>
      <c r="Z37" s="57" t="s">
        <v>72</v>
      </c>
      <c r="AA37" s="57" t="s">
        <v>72</v>
      </c>
      <c r="AB37" s="57" t="s">
        <v>96</v>
      </c>
      <c r="AC37" s="57" t="s">
        <v>72</v>
      </c>
      <c r="AD37" s="57" t="s">
        <v>72</v>
      </c>
      <c r="AE37" s="57" t="s">
        <v>72</v>
      </c>
      <c r="AF37" s="57" t="s">
        <v>72</v>
      </c>
      <c r="AG37" s="57" t="s">
        <v>72</v>
      </c>
      <c r="AH37" s="57" t="s">
        <v>87</v>
      </c>
      <c r="AI37" t="str">
        <f>VLOOKUP($Q37,武学奇术!$A:$ZZ,25,FALSE)</f>
        <v>伞</v>
      </c>
      <c r="AJ37" s="41">
        <f>VLOOKUP($Q37,武学奇术!$A:$ZZ,26,FALSE)</f>
        <v>1.174955</v>
      </c>
      <c r="AK37" s="42">
        <f>VLOOKUP($Q37,武学奇术!$A:$ZZ,27,FALSE)*(1+IF(OR($AI37=$F$4,$AI37=$F$5),$B$22,0))</f>
        <v>454.02</v>
      </c>
      <c r="AL37" s="41">
        <f>VLOOKUP($Q37,武学奇术!$A:$ZZ,28,FALSE)</f>
        <v>1.762375</v>
      </c>
      <c r="AM37" s="42">
        <f>VLOOKUP($Q37,武学奇术!$A:$ZZ,29,FALSE)*(1+IF(OR($AI37=$F$4,$AI37=$F$5),$B$22,0))</f>
        <v>247.94</v>
      </c>
      <c r="AN37" s="41" cm="1">
        <f t="array" ref="AN37">$G$3+IFERROR(VLOOKUP($AI37,$F$4:$G$7,2,FALSE),0)+VLOOKUP($Q37,武学奇术!$A:$ZZ,2,FALSE)+SUM(_xlfn.XLOOKUP($R37:$AH37,增益!$A:$A,增益!$B:$B,0))</f>
        <v>1.0541</v>
      </c>
      <c r="AO37" s="41" cm="1">
        <f t="array" ref="AO37">VLOOKUP($Q37,武学奇术!$A:$ZZ,5,FALSE)+SUM(_xlfn.XLOOKUP($R37:$AH37,增益!$A:$A,增益!$E:$E,0))</f>
        <v>0.075</v>
      </c>
      <c r="AP37" cm="1">
        <f t="array" ref="AP37">$D$10*(1+$AO37)+VLOOKUP($Q37,武学奇术!$A:$ZZ,3,FALSE)+SUM(_xlfn.XLOOKUP($R37:$AH37,增益!$A:$A,增益!$C:$C,0))-$I$2</f>
        <v>1974.055</v>
      </c>
      <c r="AQ37" cm="1">
        <f t="array" ref="AQ37">$E$10*(1+$AO37)+VLOOKUP($Q37,武学奇术!$A:$ZZ,4,FALSE)+SUM(_xlfn.XLOOKUP($R37:$AH37,增益!$A:$A,增益!$D:$D,0))-$I$2</f>
        <v>5941.45</v>
      </c>
      <c r="AR37" s="49" cm="1">
        <f t="array" ref="AR37">IF($F$10-$I$3+VLOOKUP($Q37,武学奇术!$A:$ZZ,6,FALSE)+SUM(_xlfn.XLOOKUP(R37:AH37,增益!$A:$A,增益!$F:$F,0))&gt;0,($F$10-$I$3+VLOOKUP($Q37,武学奇术!$A:$ZZ,6,FALSE)+SUM(_xlfn.XLOOKUP(R37:AH37,增益!$A:$A,增益!$F:$F,0)))/200,($F$10-$I$3+VLOOKUP($Q37,武学奇术!$A:$ZZ,6,FALSE)+SUM(_xlfn.XLOOKUP(R37:AH37,增益!$A:$A,增益!$F:$F,0)))/100)</f>
        <v>0.3675</v>
      </c>
      <c r="AS37" s="49" cm="1">
        <f t="array" ref="AS37">$G$10+VLOOKUP($Q37,武学奇术!$A:$ZZ,7,FALSE)+SUM(_xlfn.XLOOKUP(R37:AH37,增益!$A:$A,增益!$G:$G,0))</f>
        <v>0.1</v>
      </c>
      <c r="AT37" s="41" cm="1">
        <f t="array" ref="AT37">VLOOKUP($Q37,武学奇术!$A:$ZZ,8,FALSE)+SUM(_xlfn.XLOOKUP(R37:AH37,增益!$A:$A,增益!$H:$H,0))</f>
        <v>0</v>
      </c>
      <c r="AU37">
        <f>$D$11*(1+$AT37)</f>
        <v>0</v>
      </c>
      <c r="AV37">
        <f>$E$11*(1+$AT37)</f>
        <v>0</v>
      </c>
      <c r="AW37" s="49" cm="1">
        <f t="array" ref="AW37">IF($F$11-$I$4+VLOOKUP($Q37,武学奇术!$A:$ZZ,9,FALSE)+SUM(_xlfn.XLOOKUP(R37:AH37,增益!$A:$A,增益!$I:$I,0))&gt;0,($F$11-$I$4+VLOOKUP($Q37,武学奇术!$A:$ZZ,9,FALSE)+SUM(_xlfn.XLOOKUP(R37:AH37,增益!$A:$A,增益!$I:$I,0)))/200,($F$11-$I$4+VLOOKUP($Q37,武学奇术!$A:$ZZ,9,FALSE)+SUM(_xlfn.XLOOKUP(R37:AH37,增益!$A:$A,增益!$I:$I,0)))/100)</f>
        <v>-0.14</v>
      </c>
      <c r="AX37" s="49" cm="1">
        <f t="array" ref="AX37">$G$11+VLOOKUP($Q37,武学奇术!$A:$ZZ,10,FALSE)+SUM(_xlfn.XLOOKUP(R37:AH37,增益!$A:$A,增益!$J:$J,0))</f>
        <v>0</v>
      </c>
      <c r="AY37">
        <f>$D$12*(1+$AT37)</f>
        <v>0</v>
      </c>
      <c r="AZ37">
        <f>$E$12*(1+$AT37)</f>
        <v>0</v>
      </c>
      <c r="BA37" s="49" cm="1">
        <f t="array" ref="BA37">IF($F$12-$I$4+VLOOKUP($Q37,武学奇术!$A:$ZZ,11,FALSE)+SUM(_xlfn.XLOOKUP(R37:AH37,增益!$A:$A,增益!$K:$K,0))&gt;0,($F$12-$I$4+VLOOKUP($Q37,武学奇术!$A:$ZZ,11,FALSE)+SUM(_xlfn.XLOOKUP(R37:AH37,增益!$A:$A,增益!$K:$K,0)))/200,($F$12-$I$4+VLOOKUP($Q37,武学奇术!$A:$ZZ,11,FALSE)+SUM(_xlfn.XLOOKUP(R37:AH37,增益!$A:$A,增益!$K:$K,0)))/100)</f>
        <v>-0.14</v>
      </c>
      <c r="BB37" s="49" cm="1">
        <f t="array" ref="BB37">$G$12+VLOOKUP($Q37,武学奇术!$A:$ZZ,12,FALSE)+SUM(_xlfn.XLOOKUP(R37:AH37,增益!$A:$A,增益!$L:$L,0))</f>
        <v>0</v>
      </c>
      <c r="BC37">
        <f>$D$13*(1+$AT37)</f>
        <v>571.2</v>
      </c>
      <c r="BD37">
        <f>$E$13*(1+$AT37)</f>
        <v>1077.4</v>
      </c>
      <c r="BE37" s="49" cm="1">
        <f t="array" ref="BE37">IF($F$13-$I$4+VLOOKUP($Q37,武学奇术!$A:$ZZ,13,FALSE)+SUM(_xlfn.XLOOKUP(R37:AH37,增益!$A:$A,增益!$M:$M,0))&gt;0,($F$13-$I$4+VLOOKUP($Q37,武学奇术!$A:$ZZ,13,FALSE)+SUM(_xlfn.XLOOKUP(R37:AH37,增益!$A:$A,增益!$K:$K,0)))/200,($F$13-$I$4+VLOOKUP($Q37,武学奇术!$A:$ZZ,13,FALSE)+SUM(_xlfn.XLOOKUP(R37:AH37,增益!$A:$A,增益!$M:$M,0)))/100)</f>
        <v>0.08</v>
      </c>
      <c r="BF37" s="49" cm="1">
        <f t="array" ref="BF37">$G$13+VLOOKUP($Q37,武学奇术!$A:$ZZ,14,FALSE)+SUM(_xlfn.XLOOKUP(R37:AH37,增益!$A:$A,增益!$N:$N,0))</f>
        <v>0.25</v>
      </c>
      <c r="BG37">
        <f>$D$14*(1+$AT37)</f>
        <v>0</v>
      </c>
      <c r="BH37">
        <f>$E$14*(1+$AT37)</f>
        <v>0</v>
      </c>
      <c r="BI37" s="49" cm="1">
        <f t="array" ref="BI37">IF($F$14-$I$4+VLOOKUP($Q37,武学奇术!$A:$ZZ,15,FALSE)+SUM(_xlfn.XLOOKUP(R37:AH37,增益!$A:$A,增益!$O:$O,0))&gt;0,($F$14-$I$4+VLOOKUP($Q37,武学奇术!$A:$ZZ,15,FALSE)+SUM(_xlfn.XLOOKUP(R37:AH37,增益!$A:$A,增益!$O:$O,0)))/200,($F$14-$I$4+VLOOKUP($Q37,武学奇术!$A:$ZZ,15,FALSE)+SUM(_xlfn.XLOOKUP(R37:AH37,增益!$A:$A,增益!$O:$O,0)))/100)</f>
        <v>-0.14</v>
      </c>
      <c r="BJ37" s="49" cm="1">
        <f t="array" ref="BJ37">$G$14+VLOOKUP($Q37,武学奇术!$A:$ZZ,16,FALSE)+SUM(_xlfn.XLOOKUP(R37:AH37,增益!$A:$A,增益!$P:$P,0))</f>
        <v>0</v>
      </c>
      <c r="BK37" s="41">
        <f>MIN(IF(VLOOKUP($Q37,武学奇术!$A:$ZZ,23,FALSE)=1,100%,$B$8),100%)</f>
        <v>1</v>
      </c>
      <c r="BL37" s="41" cm="1">
        <f t="array" ref="BL37">IF(VLOOKUP($Q37,武学奇术!$A:$ZZ,23,FALSE)=1,100%,MIN(80%,$B$9+VLOOKUP($Q37,武学奇术!$A:$ZZ,17,FALSE)+SUM(_xlfn.XLOOKUP(R37:AH37,增益!$A:$A,增益!$Q:$Q,0)))+$B$11+SUM(_xlfn.XLOOKUP(R37:AH37,增益!$A:$A,增益!$U:$U,0)))*IF(VLOOKUP($Q37,武学奇术!$A:$ZZ,24,FALSE)=1,0,1)</f>
        <v>0.9045</v>
      </c>
      <c r="BM37" s="41" cm="1">
        <f t="array" ref="BM37">1+$B$13+VLOOKUP($Q37,武学奇术!$A:$ZZ,18,FALSE)+SUM(_xlfn.XLOOKUP(R37:AH37,增益!$A:$A,增益!$R:$R,0))</f>
        <v>1.95</v>
      </c>
      <c r="BN37" s="41" cm="1">
        <f t="array" ref="BN37">IF(VLOOKUP($Q37,武学奇术!$A:$ZZ,24,FALSE)=1,100%,MIN(40%,$B$10+VLOOKUP($Q37,武学奇术!$A:$ZZ,19,FALSE)+SUM(_xlfn.XLOOKUP(R37:AH37,增益!$A:$A,增益!$S:$S,0)))+$B$12+SUM(_xlfn.XLOOKUP(R37:AH37,增益!$A:$A,增益!$V:$V,0)))*IF(VLOOKUP($Q37,武学奇术!$A:$ZZ,23,FALSE)=1,0,1)</f>
        <v>0.0929</v>
      </c>
      <c r="BO37" s="41" cm="1">
        <f t="array" ref="BO37">1+$B$14+VLOOKUP($Q37,武学奇术!$A:$ZZ,20,FALSE)+SUM(_xlfn.XLOOKUP(R37:AH37,增益!$A:$A,增益!$T:$T,0))</f>
        <v>1.35</v>
      </c>
      <c r="BP37" s="41">
        <f>MIN((1-BN37)*BK37,BK37*BL37)</f>
        <v>0.9045</v>
      </c>
      <c r="BQ37" s="41">
        <f>1-BN37-BP37-BR37</f>
        <v>0.00260000000000005</v>
      </c>
      <c r="BR37" s="41">
        <f>IF(VLOOKUP($Q37,武学奇术!$A:$ZZ,22,FALSE)=1,0,(1-$BK37))*(1-$BN37)</f>
        <v>0</v>
      </c>
      <c r="BS37" s="41" cm="1">
        <f t="array" ref="BS37">SUM(_xlfn.XLOOKUP(R37:AH37,增益!$A:$A,增益!$W:$W,0))+$I$5</f>
        <v>0.11</v>
      </c>
    </row>
    <row r="38" spans="1:71">
      <c r="A38" s="4"/>
      <c r="B38" s="4"/>
      <c r="K38" s="55">
        <f>($L38*$BP38+$M38*$BN38+$N38*$BQ38+$O38*$BR38)</f>
        <v>23386.4214834306</v>
      </c>
      <c r="L38" s="55">
        <f>((($AP38+$AQ38)/2*$AJ38+$AK38)*(1+$AR38)*(1+$AS38)+(($AU38+$AV38)/2*IF($G$1="鸣金",$AL38,$AJ38)+IF($G$1="鸣金",$AM38*1.5,0))*(1+$AW38)*(1+$AX38)+(($AY38+$AZ38)/2*IF($G$1="裂石",$AL38,$AJ38)+IF($G$1="裂石",$AM38*1.5,0))*(1+$BA38)*(1+$BB38)+(($BC38+$BD38)/2*IF($G$1="牵丝",$AL38,$AJ38)+IF($G$1="牵丝",$AM38*1.5,0))*(1+$BE38)*(1+$BF38)+(($BG38+$BH38)/2*IF($G$1="破竹",$AL38,$AJ38)+IF($G$1="破竹",$AM38*1.5,0))*(1+$BI38)*(1+$BJ38))*(1+$AN38)*$BM38*$P38*(1+IF(VLOOKUP($Q38,武学奇术!$A:$ZZ,30,FALSE)="弹道",$B$21,0))*(1+$BS38)</f>
        <v>22982.5899836612</v>
      </c>
      <c r="M38" s="55">
        <f>(($AQ38*$AJ38+$AK38)*(1+$AR38)*(1+$AS38)+($AV38*IF($G$1="鸣金",$AL38,$AJ38)+IF($G$1="鸣金",$AM38*1.5,0))*(1+$AW38)*(1+$AX38)+($AZ38*IF($G$1="裂石",$AL38,$AJ38)+IF($G$1="裂石",$AM38*1.5,0))*(1+$BA38)*(1+$BB38)+($BD38*IF($G$1="牵丝",$AL38,$AJ38)+IF($G$1="牵丝",$AM38*1.5,0))*(1+$BE38)*(1+$BF38)+($BH38*IF($G$1="破竹",$AL38,$AJ38)+IF($G$1="破竹",$AM38*1.5,0))*(1+$BI38)*(1+$BJ38))*(1+$AN38)*$BO38*$P38*(1+IF(VLOOKUP($Q38,武学奇术!$A:$ZZ,30,FALSE)="弹道",$B$21,0))*(1+$BS38)</f>
        <v>27565.6554503465</v>
      </c>
      <c r="N38" s="55">
        <f>((($AP38+$AQ38)/2*$AJ38+$AK38)*(1+$AR38)*(1+$AS38)+(($AU38+$AV38)/2*IF($G$1="鸣金",$AL38,$AJ38)+IF($G$1="鸣金",$AM38*1.5,0))*(1+$AW38)*(1+$AX38)+(($AY38+$AZ38)/2*IF($G$1="裂石",$AL38,$AJ38)+IF($G$1="裂石",$AM38*1.5,0))*(1+$BA38)*(1+$BB38)+(($BC38+$BD38)/2*IF($G$1="牵丝",$AL38,$AJ38)+IF($G$1="牵丝",$AM38*1.5,0))*(1+$BE38)*(1+$BF38)+(($BG38+$BH38)/2*IF($G$1="破竹",$AL38,$AJ38)+IF($G$1="破竹",$AM38*1.5,0))*(1+$BI38)*(1+$BJ38))*(1+$AN38)*$P38*(1+IF(VLOOKUP($Q38,武学奇术!$A:$ZZ,30,FALSE)="弹道",$B$21,0))*(1+$BS38)</f>
        <v>14545.9430276337</v>
      </c>
      <c r="O38" s="55">
        <f>((($AP38*$AJ38+$AK38)*(1+$AR38)*(1+$AS38)+($AU38*IF($G$1="鸣金",$AL38,$AJ38)+IF($G$1="鸣金",$AM38*1.5,0))*(1+$AW38)*(1+$AX38)+($AY38*IF($G$1="裂石",$AL38,$AJ38)+IF($G$1="裂石",$AM38*1.5,0))*(1+$BA38)*(1+$BB38)+($BC38*IF($G$1="牵丝",$AL38,$AJ38)+IF($G$1="牵丝",$AM38*1.5,0))*(1+$BE38)*(1+$BF38)+($BG38*IF($G$1="破竹",$AL38,$AJ38)+IF($G$1="破竹",$AM38*1.5,0))*(1+$BI38)*(1+$BJ38))*(1+$AN38))*$P38*(1+IF(VLOOKUP($Q38,武学奇术!$A:$ZZ,30,FALSE)="弹道",$B$21,0))*(1+$BS38)</f>
        <v>8672.88201797364</v>
      </c>
      <c r="P38" s="56">
        <v>1</v>
      </c>
      <c r="Q38" s="57" t="s">
        <v>154</v>
      </c>
      <c r="R38" s="57" t="s">
        <v>116</v>
      </c>
      <c r="S38" s="57" t="s">
        <v>151</v>
      </c>
      <c r="T38" s="57" t="s">
        <v>72</v>
      </c>
      <c r="U38" s="57" t="s">
        <v>107</v>
      </c>
      <c r="V38" s="57" t="s">
        <v>72</v>
      </c>
      <c r="W38" s="57" t="s">
        <v>72</v>
      </c>
      <c r="X38" s="57" t="s">
        <v>72</v>
      </c>
      <c r="Y38" s="57" t="s">
        <v>72</v>
      </c>
      <c r="Z38" s="57" t="s">
        <v>72</v>
      </c>
      <c r="AA38" s="57" t="s">
        <v>72</v>
      </c>
      <c r="AB38" s="57" t="s">
        <v>96</v>
      </c>
      <c r="AC38" s="57" t="s">
        <v>72</v>
      </c>
      <c r="AD38" s="57" t="s">
        <v>72</v>
      </c>
      <c r="AE38" s="57" t="s">
        <v>72</v>
      </c>
      <c r="AF38" s="57" t="s">
        <v>72</v>
      </c>
      <c r="AG38" s="57" t="s">
        <v>72</v>
      </c>
      <c r="AH38" s="57" t="s">
        <v>87</v>
      </c>
      <c r="AI38" t="str">
        <f>VLOOKUP($Q38,武学奇术!$A:$ZZ,25,FALSE)</f>
        <v>扇</v>
      </c>
      <c r="AJ38" s="41">
        <f>VLOOKUP($Q38,武学奇术!$A:$ZZ,26,FALSE)</f>
        <v>1.2798</v>
      </c>
      <c r="AK38" s="42">
        <f>VLOOKUP($Q38,武学奇术!$A:$ZZ,27,FALSE)*(1+IF(OR($AI38=$F$4,$AI38=$F$5),$B$22,0))</f>
        <v>497</v>
      </c>
      <c r="AL38" s="41">
        <f>VLOOKUP($Q38,武学奇术!$A:$ZZ,28,FALSE)</f>
        <v>1.9197</v>
      </c>
      <c r="AM38" s="42">
        <f>VLOOKUP($Q38,武学奇术!$A:$ZZ,29,FALSE)*(1+IF(OR($AI38=$F$4,$AI38=$F$5),$B$22,0))</f>
        <v>270.2</v>
      </c>
      <c r="AN38" s="41" cm="1">
        <f t="array" ref="AN38">$G$3+IFERROR(VLOOKUP($AI38,$F$4:$G$7,2,FALSE),0)+VLOOKUP($Q38,武学奇术!$A:$ZZ,2,FALSE)+SUM(_xlfn.XLOOKUP($R38:$AH38,增益!$A:$A,增益!$B:$B,0))</f>
        <v>0.3189</v>
      </c>
      <c r="AO38" s="41" cm="1">
        <f t="array" ref="AO38">VLOOKUP($Q38,武学奇术!$A:$ZZ,5,FALSE)+SUM(_xlfn.XLOOKUP($R38:$AH38,增益!$A:$A,增益!$E:$E,0))</f>
        <v>0.075</v>
      </c>
      <c r="AP38" cm="1">
        <f t="array" ref="AP38">$D$10*(1+$AO38)+VLOOKUP($Q38,武学奇术!$A:$ZZ,3,FALSE)+SUM(_xlfn.XLOOKUP($R38:$AH38,增益!$A:$A,增益!$C:$C,0))-$I$2</f>
        <v>1974.055</v>
      </c>
      <c r="AQ38" cm="1">
        <f t="array" ref="AQ38">$E$10*(1+$AO38)+VLOOKUP($Q38,武学奇术!$A:$ZZ,4,FALSE)+SUM(_xlfn.XLOOKUP($R38:$AH38,增益!$A:$A,增益!$D:$D,0))-$I$2</f>
        <v>5941.45</v>
      </c>
      <c r="AR38" s="49" cm="1">
        <f t="array" ref="AR38">IF($F$10-$I$3+VLOOKUP($Q38,武学奇术!$A:$ZZ,6,FALSE)+SUM(_xlfn.XLOOKUP(R38:AH38,增益!$A:$A,增益!$F:$F,0))&gt;0,($F$10-$I$3+VLOOKUP($Q38,武学奇术!$A:$ZZ,6,FALSE)+SUM(_xlfn.XLOOKUP(R38:AH38,增益!$A:$A,增益!$F:$F,0)))/200,($F$10-$I$3+VLOOKUP($Q38,武学奇术!$A:$ZZ,6,FALSE)+SUM(_xlfn.XLOOKUP(R38:AH38,增益!$A:$A,增益!$F:$F,0)))/100)</f>
        <v>0.3425</v>
      </c>
      <c r="AS38" s="49" cm="1">
        <f t="array" ref="AS38">$G$10+VLOOKUP($Q38,武学奇术!$A:$ZZ,7,FALSE)+SUM(_xlfn.XLOOKUP(R38:AH38,增益!$A:$A,增益!$G:$G,0))</f>
        <v>0</v>
      </c>
      <c r="AT38" s="41" cm="1">
        <f t="array" ref="AT38">VLOOKUP($Q38,武学奇术!$A:$ZZ,8,FALSE)+SUM(_xlfn.XLOOKUP(R38:AH38,增益!$A:$A,增益!$H:$H,0))</f>
        <v>0</v>
      </c>
      <c r="AU38">
        <f>$D$11*(1+$AT38)</f>
        <v>0</v>
      </c>
      <c r="AV38">
        <f>$E$11*(1+$AT38)</f>
        <v>0</v>
      </c>
      <c r="AW38" s="49" cm="1">
        <f t="array" ref="AW38">IF($F$11-$I$4+VLOOKUP($Q38,武学奇术!$A:$ZZ,9,FALSE)+SUM(_xlfn.XLOOKUP(R38:AH38,增益!$A:$A,增益!$I:$I,0))&gt;0,($F$11-$I$4+VLOOKUP($Q38,武学奇术!$A:$ZZ,9,FALSE)+SUM(_xlfn.XLOOKUP(R38:AH38,增益!$A:$A,增益!$I:$I,0)))/200,($F$11-$I$4+VLOOKUP($Q38,武学奇术!$A:$ZZ,9,FALSE)+SUM(_xlfn.XLOOKUP(R38:AH38,增益!$A:$A,增益!$I:$I,0)))/100)</f>
        <v>-0.14</v>
      </c>
      <c r="AX38" s="49" cm="1">
        <f t="array" ref="AX38">$G$11+VLOOKUP($Q38,武学奇术!$A:$ZZ,10,FALSE)+SUM(_xlfn.XLOOKUP(R38:AH38,增益!$A:$A,增益!$J:$J,0))</f>
        <v>0</v>
      </c>
      <c r="AY38">
        <f>$D$12*(1+$AT38)</f>
        <v>0</v>
      </c>
      <c r="AZ38">
        <f>$E$12*(1+$AT38)</f>
        <v>0</v>
      </c>
      <c r="BA38" s="49" cm="1">
        <f t="array" ref="BA38">IF($F$12-$I$4+VLOOKUP($Q38,武学奇术!$A:$ZZ,11,FALSE)+SUM(_xlfn.XLOOKUP(R38:AH38,增益!$A:$A,增益!$K:$K,0))&gt;0,($F$12-$I$4+VLOOKUP($Q38,武学奇术!$A:$ZZ,11,FALSE)+SUM(_xlfn.XLOOKUP(R38:AH38,增益!$A:$A,增益!$K:$K,0)))/200,($F$12-$I$4+VLOOKUP($Q38,武学奇术!$A:$ZZ,11,FALSE)+SUM(_xlfn.XLOOKUP(R38:AH38,增益!$A:$A,增益!$K:$K,0)))/100)</f>
        <v>-0.14</v>
      </c>
      <c r="BB38" s="49" cm="1">
        <f t="array" ref="BB38">$G$12+VLOOKUP($Q38,武学奇术!$A:$ZZ,12,FALSE)+SUM(_xlfn.XLOOKUP(R38:AH38,增益!$A:$A,增益!$L:$L,0))</f>
        <v>0</v>
      </c>
      <c r="BC38">
        <f>$D$13*(1+$AT38)</f>
        <v>571.2</v>
      </c>
      <c r="BD38">
        <f>$E$13*(1+$AT38)</f>
        <v>1077.4</v>
      </c>
      <c r="BE38" s="49" cm="1">
        <f t="array" ref="BE38">IF($F$13-$I$4+VLOOKUP($Q38,武学奇术!$A:$ZZ,13,FALSE)+SUM(_xlfn.XLOOKUP(R38:AH38,增益!$A:$A,增益!$M:$M,0))&gt;0,($F$13-$I$4+VLOOKUP($Q38,武学奇术!$A:$ZZ,13,FALSE)+SUM(_xlfn.XLOOKUP(R38:AH38,增益!$A:$A,增益!$K:$K,0)))/200,($F$13-$I$4+VLOOKUP($Q38,武学奇术!$A:$ZZ,13,FALSE)+SUM(_xlfn.XLOOKUP(R38:AH38,增益!$A:$A,增益!$M:$M,0)))/100)</f>
        <v>0.08</v>
      </c>
      <c r="BF38" s="49" cm="1">
        <f t="array" ref="BF38">$G$13+VLOOKUP($Q38,武学奇术!$A:$ZZ,14,FALSE)+SUM(_xlfn.XLOOKUP(R38:AH38,增益!$A:$A,增益!$N:$N,0))</f>
        <v>0.15</v>
      </c>
      <c r="BG38">
        <f>$D$14*(1+$AT38)</f>
        <v>0</v>
      </c>
      <c r="BH38">
        <f>$E$14*(1+$AT38)</f>
        <v>0</v>
      </c>
      <c r="BI38" s="49" cm="1">
        <f t="array" ref="BI38">IF($F$14-$I$4+VLOOKUP($Q38,武学奇术!$A:$ZZ,15,FALSE)+SUM(_xlfn.XLOOKUP(R38:AH38,增益!$A:$A,增益!$O:$O,0))&gt;0,($F$14-$I$4+VLOOKUP($Q38,武学奇术!$A:$ZZ,15,FALSE)+SUM(_xlfn.XLOOKUP(R38:AH38,增益!$A:$A,增益!$O:$O,0)))/200,($F$14-$I$4+VLOOKUP($Q38,武学奇术!$A:$ZZ,15,FALSE)+SUM(_xlfn.XLOOKUP(R38:AH38,增益!$A:$A,增益!$O:$O,0)))/100)</f>
        <v>-0.14</v>
      </c>
      <c r="BJ38" s="49" cm="1">
        <f t="array" ref="BJ38">$G$14+VLOOKUP($Q38,武学奇术!$A:$ZZ,16,FALSE)+SUM(_xlfn.XLOOKUP(R38:AH38,增益!$A:$A,增益!$P:$P,0))</f>
        <v>0</v>
      </c>
      <c r="BK38" s="41">
        <f>MIN(IF(VLOOKUP($Q38,武学奇术!$A:$ZZ,23,FALSE)=1,100%,$B$8),100%)</f>
        <v>1</v>
      </c>
      <c r="BL38" s="41" cm="1">
        <f t="array" ref="BL38">IF(VLOOKUP($Q38,武学奇术!$A:$ZZ,23,FALSE)=1,100%,MIN(80%,$B$9+VLOOKUP($Q38,武学奇术!$A:$ZZ,17,FALSE)+SUM(_xlfn.XLOOKUP(R38:AH38,增益!$A:$A,增益!$Q:$Q,0)))+$B$11+SUM(_xlfn.XLOOKUP(R38:AH38,增益!$A:$A,增益!$U:$U,0)))*IF(VLOOKUP($Q38,武学奇术!$A:$ZZ,24,FALSE)=1,0,1)</f>
        <v>0.9045</v>
      </c>
      <c r="BM38" s="41" cm="1">
        <f t="array" ref="BM38">1+$B$13+VLOOKUP($Q38,武学奇术!$A:$ZZ,18,FALSE)+SUM(_xlfn.XLOOKUP(R38:AH38,增益!$A:$A,增益!$R:$R,0))</f>
        <v>1.58</v>
      </c>
      <c r="BN38" s="41" cm="1">
        <f t="array" ref="BN38">IF(VLOOKUP($Q38,武学奇术!$A:$ZZ,24,FALSE)=1,100%,MIN(40%,$B$10+VLOOKUP($Q38,武学奇术!$A:$ZZ,19,FALSE)+SUM(_xlfn.XLOOKUP(R38:AH38,增益!$A:$A,增益!$S:$S,0)))+$B$12+SUM(_xlfn.XLOOKUP(R38:AH38,增益!$A:$A,增益!$V:$V,0)))*IF(VLOOKUP($Q38,武学奇术!$A:$ZZ,23,FALSE)=1,0,1)</f>
        <v>0.0929</v>
      </c>
      <c r="BO38" s="41" cm="1">
        <f t="array" ref="BO38">1+$B$14+VLOOKUP($Q38,武学奇术!$A:$ZZ,20,FALSE)+SUM(_xlfn.XLOOKUP(R38:AH38,增益!$A:$A,增益!$T:$T,0))</f>
        <v>1.35</v>
      </c>
      <c r="BP38" s="41">
        <f>MIN((1-BN38)*BK38,BK38*BL38)</f>
        <v>0.9045</v>
      </c>
      <c r="BQ38" s="41">
        <f>1-BN38-BP38-BR38</f>
        <v>0.00260000000000005</v>
      </c>
      <c r="BR38" s="41">
        <f>IF(VLOOKUP($Q38,武学奇术!$A:$ZZ,22,FALSE)=1,0,(1-$BK38))*(1-$BN38)</f>
        <v>0</v>
      </c>
      <c r="BS38" s="41" cm="1">
        <f t="array" ref="BS38">SUM(_xlfn.XLOOKUP(R38:AH38,增益!$A:$A,增益!$W:$W,0))+$I$5</f>
        <v>0.11</v>
      </c>
    </row>
    <row r="39" spans="1:71">
      <c r="A39" s="4"/>
      <c r="B39" s="4"/>
      <c r="K39" s="55">
        <f>($L39*$BP39+$M39*$BN39+$N39*$BQ39+$O39*$BR39)</f>
        <v>72116.1055426339</v>
      </c>
      <c r="L39" s="55">
        <f>((($AP39+$AQ39)/2*$AJ39+$AK39)*(1+$AR39)*(1+$AS39)+(($AU39+$AV39)/2*IF($G$1="鸣金",$AL39,$AJ39)+IF($G$1="鸣金",$AM39*1.5,0))*(1+$AW39)*(1+$AX39)+(($AY39+$AZ39)/2*IF($G$1="裂石",$AL39,$AJ39)+IF($G$1="裂石",$AM39*1.5,0))*(1+$BA39)*(1+$BB39)+(($BC39+$BD39)/2*IF($G$1="牵丝",$AL39,$AJ39)+IF($G$1="牵丝",$AM39*1.5,0))*(1+$BE39)*(1+$BF39)+(($BG39+$BH39)/2*IF($G$1="破竹",$AL39,$AJ39)+IF($G$1="破竹",$AM39*1.5,0))*(1+$BI39)*(1+$BJ39))*(1+$AN39)*$BM39*$P39*(1+IF(VLOOKUP($Q39,武学奇术!$A:$ZZ,30,FALSE)="弹道",$B$21,0))*(1+$BS39)</f>
        <v>70867.785028329</v>
      </c>
      <c r="M39" s="55">
        <f>(($AQ39*$AJ39+$AK39)*(1+$AR39)*(1+$AS39)+($AV39*IF($G$1="鸣金",$AL39,$AJ39)+IF($G$1="鸣金",$AM39*1.5,0))*(1+$AW39)*(1+$AX39)+($AZ39*IF($G$1="裂石",$AL39,$AJ39)+IF($G$1="裂石",$AM39*1.5,0))*(1+$BA39)*(1+$BB39)+($BD39*IF($G$1="牵丝",$AL39,$AJ39)+IF($G$1="牵丝",$AM39*1.5,0))*(1+$BE39)*(1+$BF39)+($BH39*IF($G$1="破竹",$AL39,$AJ39)+IF($G$1="破竹",$AM39*1.5,0))*(1+$BI39)*(1+$BJ39))*(1+$AN39)*$BO39*$P39*(1+IF(VLOOKUP($Q39,武学奇术!$A:$ZZ,30,FALSE)="弹道",$B$21,0))*(1+$BS39)</f>
        <v>85033.1120604204</v>
      </c>
      <c r="N39" s="55">
        <f>((($AP39+$AQ39)/2*$AJ39+$AK39)*(1+$AR39)*(1+$AS39)+(($AU39+$AV39)/2*IF($G$1="鸣金",$AL39,$AJ39)+IF($G$1="鸣金",$AM39*1.5,0))*(1+$AW39)*(1+$AX39)+(($AY39+$AZ39)/2*IF($G$1="裂石",$AL39,$AJ39)+IF($G$1="裂石",$AM39*1.5,0))*(1+$BA39)*(1+$BB39)+(($BC39+$BD39)/2*IF($G$1="牵丝",$AL39,$AJ39)+IF($G$1="牵丝",$AM39*1.5,0))*(1+$BE39)*(1+$BF39)+(($BG39+$BH39)/2*IF($G$1="破竹",$AL39,$AJ39)+IF($G$1="破竹",$AM39*1.5,0))*(1+$BI39)*(1+$BJ39))*(1+$AN39)*$P39*(1+IF(VLOOKUP($Q39,武学奇术!$A:$ZZ,30,FALSE)="弹道",$B$21,0))*(1+$BS39)</f>
        <v>44853.0284989424</v>
      </c>
      <c r="O39" s="55">
        <f>((($AP39*$AJ39+$AK39)*(1+$AR39)*(1+$AS39)+($AU39*IF($G$1="鸣金",$AL39,$AJ39)+IF($G$1="鸣金",$AM39*1.5,0))*(1+$AW39)*(1+$AX39)+($AY39*IF($G$1="裂石",$AL39,$AJ39)+IF($G$1="裂石",$AM39*1.5,0))*(1+$BA39)*(1+$BB39)+($BC39*IF($G$1="牵丝",$AL39,$AJ39)+IF($G$1="牵丝",$AM39*1.5,0))*(1+$BE39)*(1+$BF39)+($BG39*IF($G$1="破竹",$AL39,$AJ39)+IF($G$1="破竹",$AM39*1.5,0))*(1+$BI39)*(1+$BJ39))*(1+$AN39))*$P39*(1+IF(VLOOKUP($Q39,武学奇术!$A:$ZZ,30,FALSE)="弹道",$B$21,0))*(1+$BS39)</f>
        <v>26718.5665827585</v>
      </c>
      <c r="P39" s="56">
        <v>1</v>
      </c>
      <c r="Q39" s="57" t="s">
        <v>126</v>
      </c>
      <c r="R39" s="57" t="s">
        <v>116</v>
      </c>
      <c r="S39" s="57" t="s">
        <v>151</v>
      </c>
      <c r="T39" s="57" t="s">
        <v>72</v>
      </c>
      <c r="U39" s="57" t="s">
        <v>107</v>
      </c>
      <c r="V39" s="57" t="s">
        <v>86</v>
      </c>
      <c r="W39" s="57" t="s">
        <v>72</v>
      </c>
      <c r="X39" s="57" t="s">
        <v>72</v>
      </c>
      <c r="Y39" s="57" t="s">
        <v>72</v>
      </c>
      <c r="Z39" s="57" t="s">
        <v>72</v>
      </c>
      <c r="AA39" s="57" t="s">
        <v>72</v>
      </c>
      <c r="AB39" s="57" t="s">
        <v>96</v>
      </c>
      <c r="AC39" s="57" t="s">
        <v>72</v>
      </c>
      <c r="AD39" s="57" t="s">
        <v>72</v>
      </c>
      <c r="AE39" s="57" t="s">
        <v>72</v>
      </c>
      <c r="AF39" s="57" t="s">
        <v>72</v>
      </c>
      <c r="AG39" s="57" t="s">
        <v>72</v>
      </c>
      <c r="AH39" s="57" t="s">
        <v>87</v>
      </c>
      <c r="AI39" t="str">
        <f>VLOOKUP($Q39,武学奇术!$A:$ZZ,25,FALSE)</f>
        <v>扇</v>
      </c>
      <c r="AJ39" s="41">
        <f>VLOOKUP($Q39,武学奇术!$A:$ZZ,26,FALSE)</f>
        <v>2.76138</v>
      </c>
      <c r="AK39" s="42">
        <f>VLOOKUP($Q39,武学奇术!$A:$ZZ,27,FALSE)*(1+IF(OR($AI39=$F$4,$AI39=$F$5),$B$22,0))</f>
        <v>1069.81</v>
      </c>
      <c r="AL39" s="41">
        <f>VLOOKUP($Q39,武学奇术!$A:$ZZ,28,FALSE)</f>
        <v>4.14207</v>
      </c>
      <c r="AM39" s="42">
        <f>VLOOKUP($Q39,武学奇术!$A:$ZZ,29,FALSE)*(1+IF(OR($AI39=$F$4,$AI39=$F$5),$B$22,0))</f>
        <v>582.61</v>
      </c>
      <c r="AN39" s="41" cm="1">
        <f t="array" ref="AN39">$G$3+IFERROR(VLOOKUP($AI39,$F$4:$G$7,2,FALSE),0)+VLOOKUP($Q39,武学奇术!$A:$ZZ,2,FALSE)+SUM(_xlfn.XLOOKUP($R39:$AH39,增益!$A:$A,增益!$B:$B,0))</f>
        <v>0.7189</v>
      </c>
      <c r="AO39" s="41" cm="1">
        <f t="array" ref="AO39">VLOOKUP($Q39,武学奇术!$A:$ZZ,5,FALSE)+SUM(_xlfn.XLOOKUP($R39:$AH39,增益!$A:$A,增益!$E:$E,0))</f>
        <v>0.075</v>
      </c>
      <c r="AP39" cm="1">
        <f t="array" ref="AP39">$D$10*(1+$AO39)+VLOOKUP($Q39,武学奇术!$A:$ZZ,3,FALSE)+SUM(_xlfn.XLOOKUP($R39:$AH39,增益!$A:$A,增益!$C:$C,0))-$I$2</f>
        <v>1974.055</v>
      </c>
      <c r="AQ39" cm="1">
        <f t="array" ref="AQ39">$E$10*(1+$AO39)+VLOOKUP($Q39,武学奇术!$A:$ZZ,4,FALSE)+SUM(_xlfn.XLOOKUP($R39:$AH39,增益!$A:$A,增益!$D:$D,0))-$I$2</f>
        <v>5941.45</v>
      </c>
      <c r="AR39" s="49" cm="1">
        <f t="array" ref="AR39">IF($F$10-$I$3+VLOOKUP($Q39,武学奇术!$A:$ZZ,6,FALSE)+SUM(_xlfn.XLOOKUP(R39:AH39,增益!$A:$A,增益!$F:$F,0))&gt;0,($F$10-$I$3+VLOOKUP($Q39,武学奇术!$A:$ZZ,6,FALSE)+SUM(_xlfn.XLOOKUP(R39:AH39,增益!$A:$A,增益!$F:$F,0)))/200,($F$10-$I$3+VLOOKUP($Q39,武学奇术!$A:$ZZ,6,FALSE)+SUM(_xlfn.XLOOKUP(R39:AH39,增益!$A:$A,增益!$F:$F,0)))/100)</f>
        <v>0.3425</v>
      </c>
      <c r="AS39" s="49" cm="1">
        <f t="array" ref="AS39">$G$10+VLOOKUP($Q39,武学奇术!$A:$ZZ,7,FALSE)+SUM(_xlfn.XLOOKUP(R39:AH39,增益!$A:$A,增益!$G:$G,0))</f>
        <v>0.1</v>
      </c>
      <c r="AT39" s="41" cm="1">
        <f t="array" ref="AT39">VLOOKUP($Q39,武学奇术!$A:$ZZ,8,FALSE)+SUM(_xlfn.XLOOKUP(R39:AH39,增益!$A:$A,增益!$H:$H,0))</f>
        <v>0</v>
      </c>
      <c r="AU39">
        <f>$D$11*(1+$AT39)</f>
        <v>0</v>
      </c>
      <c r="AV39">
        <f>$E$11*(1+$AT39)</f>
        <v>0</v>
      </c>
      <c r="AW39" s="49" cm="1">
        <f t="array" ref="AW39">IF($F$11-$I$4+VLOOKUP($Q39,武学奇术!$A:$ZZ,9,FALSE)+SUM(_xlfn.XLOOKUP(R39:AH39,增益!$A:$A,增益!$I:$I,0))&gt;0,($F$11-$I$4+VLOOKUP($Q39,武学奇术!$A:$ZZ,9,FALSE)+SUM(_xlfn.XLOOKUP(R39:AH39,增益!$A:$A,增益!$I:$I,0)))/200,($F$11-$I$4+VLOOKUP($Q39,武学奇术!$A:$ZZ,9,FALSE)+SUM(_xlfn.XLOOKUP(R39:AH39,增益!$A:$A,增益!$I:$I,0)))/100)</f>
        <v>-0.14</v>
      </c>
      <c r="AX39" s="49" cm="1">
        <f t="array" ref="AX39">$G$11+VLOOKUP($Q39,武学奇术!$A:$ZZ,10,FALSE)+SUM(_xlfn.XLOOKUP(R39:AH39,增益!$A:$A,增益!$J:$J,0))</f>
        <v>0</v>
      </c>
      <c r="AY39">
        <f>$D$12*(1+$AT39)</f>
        <v>0</v>
      </c>
      <c r="AZ39">
        <f>$E$12*(1+$AT39)</f>
        <v>0</v>
      </c>
      <c r="BA39" s="49" cm="1">
        <f t="array" ref="BA39">IF($F$12-$I$4+VLOOKUP($Q39,武学奇术!$A:$ZZ,11,FALSE)+SUM(_xlfn.XLOOKUP(R39:AH39,增益!$A:$A,增益!$K:$K,0))&gt;0,($F$12-$I$4+VLOOKUP($Q39,武学奇术!$A:$ZZ,11,FALSE)+SUM(_xlfn.XLOOKUP(R39:AH39,增益!$A:$A,增益!$K:$K,0)))/200,($F$12-$I$4+VLOOKUP($Q39,武学奇术!$A:$ZZ,11,FALSE)+SUM(_xlfn.XLOOKUP(R39:AH39,增益!$A:$A,增益!$K:$K,0)))/100)</f>
        <v>-0.14</v>
      </c>
      <c r="BB39" s="49" cm="1">
        <f t="array" ref="BB39">$G$12+VLOOKUP($Q39,武学奇术!$A:$ZZ,12,FALSE)+SUM(_xlfn.XLOOKUP(R39:AH39,增益!$A:$A,增益!$L:$L,0))</f>
        <v>0</v>
      </c>
      <c r="BC39">
        <f>$D$13*(1+$AT39)</f>
        <v>571.2</v>
      </c>
      <c r="BD39">
        <f>$E$13*(1+$AT39)</f>
        <v>1077.4</v>
      </c>
      <c r="BE39" s="49" cm="1">
        <f t="array" ref="BE39">IF($F$13-$I$4+VLOOKUP($Q39,武学奇术!$A:$ZZ,13,FALSE)+SUM(_xlfn.XLOOKUP(R39:AH39,增益!$A:$A,增益!$M:$M,0))&gt;0,($F$13-$I$4+VLOOKUP($Q39,武学奇术!$A:$ZZ,13,FALSE)+SUM(_xlfn.XLOOKUP(R39:AH39,增益!$A:$A,增益!$K:$K,0)))/200,($F$13-$I$4+VLOOKUP($Q39,武学奇术!$A:$ZZ,13,FALSE)+SUM(_xlfn.XLOOKUP(R39:AH39,增益!$A:$A,增益!$M:$M,0)))/100)</f>
        <v>0.08</v>
      </c>
      <c r="BF39" s="49" cm="1">
        <f t="array" ref="BF39">$G$13+VLOOKUP($Q39,武学奇术!$A:$ZZ,14,FALSE)+SUM(_xlfn.XLOOKUP(R39:AH39,增益!$A:$A,增益!$N:$N,0))</f>
        <v>0.25</v>
      </c>
      <c r="BG39">
        <f>$D$14*(1+$AT39)</f>
        <v>0</v>
      </c>
      <c r="BH39">
        <f>$E$14*(1+$AT39)</f>
        <v>0</v>
      </c>
      <c r="BI39" s="49" cm="1">
        <f t="array" ref="BI39">IF($F$14-$I$4+VLOOKUP($Q39,武学奇术!$A:$ZZ,15,FALSE)+SUM(_xlfn.XLOOKUP(R39:AH39,增益!$A:$A,增益!$O:$O,0))&gt;0,($F$14-$I$4+VLOOKUP($Q39,武学奇术!$A:$ZZ,15,FALSE)+SUM(_xlfn.XLOOKUP(R39:AH39,增益!$A:$A,增益!$O:$O,0)))/200,($F$14-$I$4+VLOOKUP($Q39,武学奇术!$A:$ZZ,15,FALSE)+SUM(_xlfn.XLOOKUP(R39:AH39,增益!$A:$A,增益!$O:$O,0)))/100)</f>
        <v>-0.14</v>
      </c>
      <c r="BJ39" s="49" cm="1">
        <f t="array" ref="BJ39">$G$14+VLOOKUP($Q39,武学奇术!$A:$ZZ,16,FALSE)+SUM(_xlfn.XLOOKUP(R39:AH39,增益!$A:$A,增益!$P:$P,0))</f>
        <v>0</v>
      </c>
      <c r="BK39" s="41">
        <f>MIN(IF(VLOOKUP($Q39,武学奇术!$A:$ZZ,23,FALSE)=1,100%,$B$8),100%)</f>
        <v>1</v>
      </c>
      <c r="BL39" s="41" cm="1">
        <f t="array" ref="BL39">IF(VLOOKUP($Q39,武学奇术!$A:$ZZ,23,FALSE)=1,100%,MIN(80%,$B$9+VLOOKUP($Q39,武学奇术!$A:$ZZ,17,FALSE)+SUM(_xlfn.XLOOKUP(R39:AH39,增益!$A:$A,增益!$Q:$Q,0)))+$B$11+SUM(_xlfn.XLOOKUP(R39:AH39,增益!$A:$A,增益!$U:$U,0)))*IF(VLOOKUP($Q39,武学奇术!$A:$ZZ,24,FALSE)=1,0,1)</f>
        <v>0.9045</v>
      </c>
      <c r="BM39" s="41" cm="1">
        <f t="array" ref="BM39">1+$B$13+VLOOKUP($Q39,武学奇术!$A:$ZZ,18,FALSE)+SUM(_xlfn.XLOOKUP(R39:AH39,增益!$A:$A,增益!$R:$R,0))</f>
        <v>1.58</v>
      </c>
      <c r="BN39" s="41" cm="1">
        <f t="array" ref="BN39">IF(VLOOKUP($Q39,武学奇术!$A:$ZZ,24,FALSE)=1,100%,MIN(40%,$B$10+VLOOKUP($Q39,武学奇术!$A:$ZZ,19,FALSE)+SUM(_xlfn.XLOOKUP(R39:AH39,增益!$A:$A,增益!$S:$S,0)))+$B$12+SUM(_xlfn.XLOOKUP(R39:AH39,增益!$A:$A,增益!$V:$V,0)))*IF(VLOOKUP($Q39,武学奇术!$A:$ZZ,23,FALSE)=1,0,1)</f>
        <v>0.0929</v>
      </c>
      <c r="BO39" s="41" cm="1">
        <f t="array" ref="BO39">1+$B$14+VLOOKUP($Q39,武学奇术!$A:$ZZ,20,FALSE)+SUM(_xlfn.XLOOKUP(R39:AH39,增益!$A:$A,增益!$T:$T,0))</f>
        <v>1.35</v>
      </c>
      <c r="BP39" s="41">
        <f>MIN((1-BN39)*BK39,BK39*BL39)</f>
        <v>0.9045</v>
      </c>
      <c r="BQ39" s="41">
        <f>1-BN39-BP39-BR39</f>
        <v>0.00260000000000005</v>
      </c>
      <c r="BR39" s="41">
        <f>IF(VLOOKUP($Q39,武学奇术!$A:$ZZ,22,FALSE)=1,0,(1-$BK39))*(1-$BN39)</f>
        <v>0</v>
      </c>
      <c r="BS39" s="41" cm="1">
        <f t="array" ref="BS39">SUM(_xlfn.XLOOKUP(R39:AH39,增益!$A:$A,增益!$W:$W,0))+$I$5</f>
        <v>0.11</v>
      </c>
    </row>
    <row r="40" spans="1:71">
      <c r="A40" s="4"/>
      <c r="B40" s="4"/>
      <c r="K40" s="55">
        <f>($L40*$BP40+$M40*$BN40+$N40*$BQ40+$O40*$BR40)</f>
        <v>113993.880204002</v>
      </c>
      <c r="L40" s="55">
        <f>((($AP40+$AQ40)/2*$AJ40+$AK40)*(1+$AR40)*(1+$AS40)+(($AU40+$AV40)/2*IF($G$1="鸣金",$AL40,$AJ40)+IF($G$1="鸣金",$AM40*1.5,0))*(1+$AW40)*(1+$AX40)+(($AY40+$AZ40)/2*IF($G$1="裂石",$AL40,$AJ40)+IF($G$1="裂石",$AM40*1.5,0))*(1+$BA40)*(1+$BB40)+(($BC40+$BD40)/2*IF($G$1="牵丝",$AL40,$AJ40)+IF($G$1="牵丝",$AM40*1.5,0))*(1+$BE40)*(1+$BF40)+(($BG40+$BH40)/2*IF($G$1="破竹",$AL40,$AJ40)+IF($G$1="破竹",$AM40*1.5,0))*(1+$BI40)*(1+$BJ40))*(1+$AN40)*$BM40*$P40*(1+IF(VLOOKUP($Q40,武学奇术!$A:$ZZ,30,FALSE)="弹道",$B$21,0))*(1+$BS40)</f>
        <v>114434.188044806</v>
      </c>
      <c r="M40" s="55">
        <f>(($AQ40*$AJ40+$AK40)*(1+$AR40)*(1+$AS40)+($AV40*IF($G$1="鸣金",$AL40,$AJ40)+IF($G$1="鸣金",$AM40*1.5,0))*(1+$AW40)*(1+$AX40)+($AZ40*IF($G$1="裂石",$AL40,$AJ40)+IF($G$1="裂石",$AM40*1.5,0))*(1+$BA40)*(1+$BB40)+($BD40*IF($G$1="牵丝",$AL40,$AJ40)+IF($G$1="牵丝",$AM40*1.5,0))*(1+$BE40)*(1+$BF40)+($BH40*IF($G$1="破竹",$AL40,$AJ40)+IF($G$1="破竹",$AM40*1.5,0))*(1+$BI40)*(1+$BJ40))*(1+$AN40)*$BO40*$P40*(1+IF(VLOOKUP($Q40,武学奇术!$A:$ZZ,30,FALSE)="弹道",$B$21,0))*(1+$BS40)</f>
        <v>111254.878364714</v>
      </c>
      <c r="N40" s="55">
        <f>((($AP40+$AQ40)/2*$AJ40+$AK40)*(1+$AR40)*(1+$AS40)+(($AU40+$AV40)/2*IF($G$1="鸣金",$AL40,$AJ40)+IF($G$1="鸣金",$AM40*1.5,0))*(1+$AW40)*(1+$AX40)+(($AY40+$AZ40)/2*IF($G$1="裂石",$AL40,$AJ40)+IF($G$1="裂石",$AM40*1.5,0))*(1+$BA40)*(1+$BB40)+(($BC40+$BD40)/2*IF($G$1="牵丝",$AL40,$AJ40)+IF($G$1="牵丝",$AM40*1.5,0))*(1+$BE40)*(1+$BF40)+(($BG40+$BH40)/2*IF($G$1="破竹",$AL40,$AJ40)+IF($G$1="破竹",$AM40*1.5,0))*(1+$BI40)*(1+$BJ40))*(1+$AN40)*$P40*(1+IF(VLOOKUP($Q40,武学奇术!$A:$ZZ,30,FALSE)="弹道",$B$21,0))*(1+$BS40)</f>
        <v>58684.1989973364</v>
      </c>
      <c r="O40" s="55">
        <f>((($AP40*$AJ40+$AK40)*(1+$AR40)*(1+$AS40)+($AU40*IF($G$1="鸣金",$AL40,$AJ40)+IF($G$1="鸣金",$AM40*1.5,0))*(1+$AW40)*(1+$AX40)+($AY40*IF($G$1="裂石",$AL40,$AJ40)+IF($G$1="裂石",$AM40*1.5,0))*(1+$BA40)*(1+$BB40)+($BC40*IF($G$1="牵丝",$AL40,$AJ40)+IF($G$1="牵丝",$AM40*1.5,0))*(1+$BE40)*(1+$BF40)+($BG40*IF($G$1="破竹",$AL40,$AJ40)+IF($G$1="破竹",$AM40*1.5,0))*(1+$BI40)*(1+$BJ40))*(1+$AN40))*$P40*(1+IF(VLOOKUP($Q40,武学奇术!$A:$ZZ,30,FALSE)="弹道",$B$21,0))*(1+$BS40)</f>
        <v>34957.3769837738</v>
      </c>
      <c r="P40" s="56">
        <v>1</v>
      </c>
      <c r="Q40" s="57" t="s">
        <v>155</v>
      </c>
      <c r="R40" s="57" t="s">
        <v>116</v>
      </c>
      <c r="S40" s="57" t="s">
        <v>152</v>
      </c>
      <c r="T40" s="57" t="s">
        <v>72</v>
      </c>
      <c r="U40" s="57" t="s">
        <v>107</v>
      </c>
      <c r="V40" s="57" t="s">
        <v>156</v>
      </c>
      <c r="W40" s="57" t="s">
        <v>72</v>
      </c>
      <c r="X40" s="57" t="s">
        <v>72</v>
      </c>
      <c r="Y40" s="57" t="s">
        <v>72</v>
      </c>
      <c r="Z40" s="57" t="s">
        <v>72</v>
      </c>
      <c r="AA40" s="57" t="s">
        <v>72</v>
      </c>
      <c r="AB40" s="57" t="s">
        <v>96</v>
      </c>
      <c r="AC40" s="57" t="s">
        <v>72</v>
      </c>
      <c r="AD40" s="57" t="s">
        <v>72</v>
      </c>
      <c r="AE40" s="57" t="s">
        <v>72</v>
      </c>
      <c r="AF40" s="57" t="s">
        <v>72</v>
      </c>
      <c r="AG40" s="57" t="s">
        <v>72</v>
      </c>
      <c r="AH40" s="57" t="s">
        <v>87</v>
      </c>
      <c r="AI40" t="str">
        <f>VLOOKUP($Q40,武学奇术!$A:$ZZ,25,FALSE)</f>
        <v>扇</v>
      </c>
      <c r="AJ40" s="41">
        <f>VLOOKUP($Q40,武学奇术!$A:$ZZ,26,FALSE)</f>
        <v>4.376825</v>
      </c>
      <c r="AK40" s="42">
        <f>VLOOKUP($Q40,武学奇术!$A:$ZZ,27,FALSE)*(1+IF(OR($AI40=$F$4,$AI40=$F$5),$B$22,0))</f>
        <v>1695.05</v>
      </c>
      <c r="AL40" s="41">
        <f>VLOOKUP($Q40,武学奇术!$A:$ZZ,28,FALSE)</f>
        <v>6.56531</v>
      </c>
      <c r="AM40" s="42">
        <f>VLOOKUP($Q40,武学奇术!$A:$ZZ,29,FALSE)*(1+IF(OR($AI40=$F$4,$AI40=$F$5),$B$22,0))</f>
        <v>923.65</v>
      </c>
      <c r="AN40" s="41" cm="1">
        <f t="array" ref="AN40">$G$3+IFERROR(VLOOKUP($AI40,$F$4:$G$7,2,FALSE),0)+VLOOKUP($Q40,武学奇术!$A:$ZZ,2,FALSE)+SUM(_xlfn.XLOOKUP($R40:$AH40,增益!$A:$A,增益!$B:$B,0))</f>
        <v>0.4189</v>
      </c>
      <c r="AO40" s="41" cm="1">
        <f t="array" ref="AO40">VLOOKUP($Q40,武学奇术!$A:$ZZ,5,FALSE)+SUM(_xlfn.XLOOKUP($R40:$AH40,增益!$A:$A,增益!$E:$E,0))</f>
        <v>0.075</v>
      </c>
      <c r="AP40" cm="1">
        <f t="array" ref="AP40">$D$10*(1+$AO40)+VLOOKUP($Q40,武学奇术!$A:$ZZ,3,FALSE)+SUM(_xlfn.XLOOKUP($R40:$AH40,增益!$A:$A,增益!$C:$C,0))-$I$2</f>
        <v>1974.055</v>
      </c>
      <c r="AQ40" cm="1">
        <f t="array" ref="AQ40">$E$10*(1+$AO40)+VLOOKUP($Q40,武学奇术!$A:$ZZ,4,FALSE)+SUM(_xlfn.XLOOKUP($R40:$AH40,增益!$A:$A,增益!$D:$D,0))-$I$2</f>
        <v>5941.45</v>
      </c>
      <c r="AR40" s="49" cm="1">
        <f t="array" ref="AR40">IF($F$10-$I$3+VLOOKUP($Q40,武学奇术!$A:$ZZ,6,FALSE)+SUM(_xlfn.XLOOKUP(R40:AH40,增益!$A:$A,增益!$F:$F,0))&gt;0,($F$10-$I$3+VLOOKUP($Q40,武学奇术!$A:$ZZ,6,FALSE)+SUM(_xlfn.XLOOKUP(R40:AH40,增益!$A:$A,增益!$F:$F,0)))/200,($F$10-$I$3+VLOOKUP($Q40,武学奇术!$A:$ZZ,6,FALSE)+SUM(_xlfn.XLOOKUP(R40:AH40,增益!$A:$A,增益!$F:$F,0)))/100)</f>
        <v>0.3425</v>
      </c>
      <c r="AS40" s="49" cm="1">
        <f t="array" ref="AS40">$G$10+VLOOKUP($Q40,武学奇术!$A:$ZZ,7,FALSE)+SUM(_xlfn.XLOOKUP(R40:AH40,增益!$A:$A,增益!$G:$G,0))</f>
        <v>0.1</v>
      </c>
      <c r="AT40" s="41" cm="1">
        <f t="array" ref="AT40">VLOOKUP($Q40,武学奇术!$A:$ZZ,8,FALSE)+SUM(_xlfn.XLOOKUP(R40:AH40,增益!$A:$A,增益!$H:$H,0))</f>
        <v>0</v>
      </c>
      <c r="AU40">
        <f>$D$11*(1+$AT40)</f>
        <v>0</v>
      </c>
      <c r="AV40">
        <f>$E$11*(1+$AT40)</f>
        <v>0</v>
      </c>
      <c r="AW40" s="49" cm="1">
        <f t="array" ref="AW40">IF($F$11-$I$4+VLOOKUP($Q40,武学奇术!$A:$ZZ,9,FALSE)+SUM(_xlfn.XLOOKUP(R40:AH40,增益!$A:$A,增益!$I:$I,0))&gt;0,($F$11-$I$4+VLOOKUP($Q40,武学奇术!$A:$ZZ,9,FALSE)+SUM(_xlfn.XLOOKUP(R40:AH40,增益!$A:$A,增益!$I:$I,0)))/200,($F$11-$I$4+VLOOKUP($Q40,武学奇术!$A:$ZZ,9,FALSE)+SUM(_xlfn.XLOOKUP(R40:AH40,增益!$A:$A,增益!$I:$I,0)))/100)</f>
        <v>-0.14</v>
      </c>
      <c r="AX40" s="49" cm="1">
        <f t="array" ref="AX40">$G$11+VLOOKUP($Q40,武学奇术!$A:$ZZ,10,FALSE)+SUM(_xlfn.XLOOKUP(R40:AH40,增益!$A:$A,增益!$J:$J,0))</f>
        <v>0</v>
      </c>
      <c r="AY40">
        <f>$D$12*(1+$AT40)</f>
        <v>0</v>
      </c>
      <c r="AZ40">
        <f>$E$12*(1+$AT40)</f>
        <v>0</v>
      </c>
      <c r="BA40" s="49" cm="1">
        <f t="array" ref="BA40">IF($F$12-$I$4+VLOOKUP($Q40,武学奇术!$A:$ZZ,11,FALSE)+SUM(_xlfn.XLOOKUP(R40:AH40,增益!$A:$A,增益!$K:$K,0))&gt;0,($F$12-$I$4+VLOOKUP($Q40,武学奇术!$A:$ZZ,11,FALSE)+SUM(_xlfn.XLOOKUP(R40:AH40,增益!$A:$A,增益!$K:$K,0)))/200,($F$12-$I$4+VLOOKUP($Q40,武学奇术!$A:$ZZ,11,FALSE)+SUM(_xlfn.XLOOKUP(R40:AH40,增益!$A:$A,增益!$K:$K,0)))/100)</f>
        <v>-0.14</v>
      </c>
      <c r="BB40" s="49" cm="1">
        <f t="array" ref="BB40">$G$12+VLOOKUP($Q40,武学奇术!$A:$ZZ,12,FALSE)+SUM(_xlfn.XLOOKUP(R40:AH40,增益!$A:$A,增益!$L:$L,0))</f>
        <v>0</v>
      </c>
      <c r="BC40">
        <f>$D$13*(1+$AT40)</f>
        <v>571.2</v>
      </c>
      <c r="BD40">
        <f>$E$13*(1+$AT40)</f>
        <v>1077.4</v>
      </c>
      <c r="BE40" s="49" cm="1">
        <f t="array" ref="BE40">IF($F$13-$I$4+VLOOKUP($Q40,武学奇术!$A:$ZZ,13,FALSE)+SUM(_xlfn.XLOOKUP(R40:AH40,增益!$A:$A,增益!$M:$M,0))&gt;0,($F$13-$I$4+VLOOKUP($Q40,武学奇术!$A:$ZZ,13,FALSE)+SUM(_xlfn.XLOOKUP(R40:AH40,增益!$A:$A,增益!$K:$K,0)))/200,($F$13-$I$4+VLOOKUP($Q40,武学奇术!$A:$ZZ,13,FALSE)+SUM(_xlfn.XLOOKUP(R40:AH40,增益!$A:$A,增益!$M:$M,0)))/100)</f>
        <v>0.08</v>
      </c>
      <c r="BF40" s="49" cm="1">
        <f t="array" ref="BF40">$G$13+VLOOKUP($Q40,武学奇术!$A:$ZZ,14,FALSE)+SUM(_xlfn.XLOOKUP(R40:AH40,增益!$A:$A,增益!$N:$N,0))</f>
        <v>0.25</v>
      </c>
      <c r="BG40">
        <f>$D$14*(1+$AT40)</f>
        <v>0</v>
      </c>
      <c r="BH40">
        <f>$E$14*(1+$AT40)</f>
        <v>0</v>
      </c>
      <c r="BI40" s="49" cm="1">
        <f t="array" ref="BI40">IF($F$14-$I$4+VLOOKUP($Q40,武学奇术!$A:$ZZ,15,FALSE)+SUM(_xlfn.XLOOKUP(R40:AH40,增益!$A:$A,增益!$O:$O,0))&gt;0,($F$14-$I$4+VLOOKUP($Q40,武学奇术!$A:$ZZ,15,FALSE)+SUM(_xlfn.XLOOKUP(R40:AH40,增益!$A:$A,增益!$O:$O,0)))/200,($F$14-$I$4+VLOOKUP($Q40,武学奇术!$A:$ZZ,15,FALSE)+SUM(_xlfn.XLOOKUP(R40:AH40,增益!$A:$A,增益!$O:$O,0)))/100)</f>
        <v>-0.14</v>
      </c>
      <c r="BJ40" s="49" cm="1">
        <f t="array" ref="BJ40">$G$14+VLOOKUP($Q40,武学奇术!$A:$ZZ,16,FALSE)+SUM(_xlfn.XLOOKUP(R40:AH40,增益!$A:$A,增益!$P:$P,0))</f>
        <v>0</v>
      </c>
      <c r="BK40" s="41">
        <f>MIN(IF(VLOOKUP($Q40,武学奇术!$A:$ZZ,23,FALSE)=1,100%,$B$8),100%)</f>
        <v>1</v>
      </c>
      <c r="BL40" s="41" cm="1">
        <f t="array" ref="BL40">IF(VLOOKUP($Q40,武学奇术!$A:$ZZ,23,FALSE)=1,100%,MIN(80%,$B$9+VLOOKUP($Q40,武学奇术!$A:$ZZ,17,FALSE)+SUM(_xlfn.XLOOKUP(R40:AH40,增益!$A:$A,增益!$Q:$Q,0)))+$B$11+SUM(_xlfn.XLOOKUP(R40:AH40,增益!$A:$A,增益!$U:$U,0)))*IF(VLOOKUP($Q40,武学奇术!$A:$ZZ,24,FALSE)=1,0,1)</f>
        <v>0.9045</v>
      </c>
      <c r="BM40" s="41" cm="1">
        <f t="array" ref="BM40">1+$B$13+VLOOKUP($Q40,武学奇术!$A:$ZZ,18,FALSE)+SUM(_xlfn.XLOOKUP(R40:AH40,增益!$A:$A,增益!$R:$R,0))</f>
        <v>1.95</v>
      </c>
      <c r="BN40" s="41" cm="1">
        <f t="array" ref="BN40">IF(VLOOKUP($Q40,武学奇术!$A:$ZZ,24,FALSE)=1,100%,MIN(40%,$B$10+VLOOKUP($Q40,武学奇术!$A:$ZZ,19,FALSE)+SUM(_xlfn.XLOOKUP(R40:AH40,增益!$A:$A,增益!$S:$S,0)))+$B$12+SUM(_xlfn.XLOOKUP(R40:AH40,增益!$A:$A,增益!$V:$V,0)))*IF(VLOOKUP($Q40,武学奇术!$A:$ZZ,23,FALSE)=1,0,1)</f>
        <v>0.0929</v>
      </c>
      <c r="BO40" s="41" cm="1">
        <f t="array" ref="BO40">1+$B$14+VLOOKUP($Q40,武学奇术!$A:$ZZ,20,FALSE)+SUM(_xlfn.XLOOKUP(R40:AH40,增益!$A:$A,增益!$T:$T,0))</f>
        <v>1.35</v>
      </c>
      <c r="BP40" s="41">
        <f>MIN((1-BN40)*BK40,BK40*BL40)</f>
        <v>0.9045</v>
      </c>
      <c r="BQ40" s="41">
        <f>1-BN40-BP40-BR40</f>
        <v>0.00260000000000005</v>
      </c>
      <c r="BR40" s="41">
        <f>IF(VLOOKUP($Q40,武学奇术!$A:$ZZ,22,FALSE)=1,0,(1-$BK40))*(1-$BN40)</f>
        <v>0</v>
      </c>
      <c r="BS40" s="41" cm="1">
        <f t="array" ref="BS40">SUM(_xlfn.XLOOKUP(R40:AH40,增益!$A:$A,增益!$W:$W,0))+$I$5</f>
        <v>0.11</v>
      </c>
    </row>
    <row r="41" spans="1:71">
      <c r="A41" s="4"/>
      <c r="B41" s="4"/>
      <c r="K41" s="55">
        <f>($L41*$BP41+$M41*$BN41+$N41*$BQ41+$O41*$BR41)</f>
        <v>78946.6032665738</v>
      </c>
      <c r="L41" s="55">
        <f>((($AP41+$AQ41)/2*$AJ41+$AK41)*(1+$AR41)*(1+$AS41)+(($AU41+$AV41)/2*IF($G$1="鸣金",$AL41,$AJ41)+IF($G$1="鸣金",$AM41*1.5,0))*(1+$AW41)*(1+$AX41)+(($AY41+$AZ41)/2*IF($G$1="裂石",$AL41,$AJ41)+IF($G$1="裂石",$AM41*1.5,0))*(1+$BA41)*(1+$BB41)+(($BC41+$BD41)/2*IF($G$1="牵丝",$AL41,$AJ41)+IF($G$1="牵丝",$AM41*1.5,0))*(1+$BE41)*(1+$BF41)+(($BG41+$BH41)/2*IF($G$1="破竹",$AL41,$AJ41)+IF($G$1="破竹",$AM41*1.5,0))*(1+$BI41)*(1+$BJ41))*(1+$AN41)*$BM41*$P41*(1+IF(VLOOKUP($Q41,武学奇术!$A:$ZZ,30,FALSE)="弹道",$B$21,0))*(1+$BS41)</f>
        <v>79285.3321746824</v>
      </c>
      <c r="M41" s="55">
        <f>(($AQ41*$AJ41+$AK41)*(1+$AR41)*(1+$AS41)+($AV41*IF($G$1="鸣金",$AL41,$AJ41)+IF($G$1="鸣金",$AM41*1.5,0))*(1+$AW41)*(1+$AX41)+($AZ41*IF($G$1="裂石",$AL41,$AJ41)+IF($G$1="裂石",$AM41*1.5,0))*(1+$BA41)*(1+$BB41)+($BD41*IF($G$1="牵丝",$AL41,$AJ41)+IF($G$1="牵丝",$AM41*1.5,0))*(1+$BE41)*(1+$BF41)+($BH41*IF($G$1="破竹",$AL41,$AJ41)+IF($G$1="破竹",$AM41*1.5,0))*(1+$BI41)*(1+$BJ41))*(1+$AN41)*$BO41*$P41*(1+IF(VLOOKUP($Q41,武学奇术!$A:$ZZ,30,FALSE)="弹道",$B$21,0))*(1+$BS41)</f>
        <v>76726.0053212255</v>
      </c>
      <c r="N41" s="55">
        <f>((($AP41+$AQ41)/2*$AJ41+$AK41)*(1+$AR41)*(1+$AS41)+(($AU41+$AV41)/2*IF($G$1="鸣金",$AL41,$AJ41)+IF($G$1="鸣金",$AM41*1.5,0))*(1+$AW41)*(1+$AX41)+(($AY41+$AZ41)/2*IF($G$1="裂石",$AL41,$AJ41)+IF($G$1="裂石",$AM41*1.5,0))*(1+$BA41)*(1+$BB41)+(($BC41+$BD41)/2*IF($G$1="牵丝",$AL41,$AJ41)+IF($G$1="牵丝",$AM41*1.5,0))*(1+$BE41)*(1+$BF41)+(($BG41+$BH41)/2*IF($G$1="破竹",$AL41,$AJ41)+IF($G$1="破竹",$AM41*1.5,0))*(1+$BI41)*(1+$BJ41))*(1+$AN41)*$P41*(1+IF(VLOOKUP($Q41,武学奇术!$A:$ZZ,30,FALSE)="弹道",$B$21,0))*(1+$BS41)</f>
        <v>40451.7000891237</v>
      </c>
      <c r="O41" s="55">
        <f>((($AP41*$AJ41+$AK41)*(1+$AR41)*(1+$AS41)+($AU41*IF($G$1="鸣金",$AL41,$AJ41)+IF($G$1="鸣金",$AM41*1.5,0))*(1+$AW41)*(1+$AX41)+($AY41*IF($G$1="裂石",$AL41,$AJ41)+IF($G$1="裂石",$AM41*1.5,0))*(1+$BA41)*(1+$BB41)+($BC41*IF($G$1="牵丝",$AL41,$AJ41)+IF($G$1="牵丝",$AM41*1.5,0))*(1+$BE41)*(1+$BF41)+($BG41*IF($G$1="破竹",$AL41,$AJ41)+IF($G$1="破竹",$AM41*1.5,0))*(1+$BI41)*(1+$BJ41))*(1+$AN41))*$P41*(1+IF(VLOOKUP($Q41,武学奇术!$A:$ZZ,30,FALSE)="弹道",$B$21,0))*(1+$BS41)</f>
        <v>24069.3221625247</v>
      </c>
      <c r="P41" s="56">
        <v>1</v>
      </c>
      <c r="Q41" s="57" t="s">
        <v>84</v>
      </c>
      <c r="R41" s="57" t="s">
        <v>116</v>
      </c>
      <c r="S41" s="57" t="s">
        <v>153</v>
      </c>
      <c r="T41" s="57" t="s">
        <v>72</v>
      </c>
      <c r="U41" s="57" t="s">
        <v>107</v>
      </c>
      <c r="V41" s="57" t="s">
        <v>86</v>
      </c>
      <c r="W41" s="57" t="s">
        <v>72</v>
      </c>
      <c r="X41" s="57" t="s">
        <v>72</v>
      </c>
      <c r="Y41" s="57" t="s">
        <v>72</v>
      </c>
      <c r="Z41" s="57" t="s">
        <v>72</v>
      </c>
      <c r="AA41" s="57" t="s">
        <v>72</v>
      </c>
      <c r="AB41" s="57" t="s">
        <v>96</v>
      </c>
      <c r="AC41" s="57" t="s">
        <v>72</v>
      </c>
      <c r="AD41" s="57" t="s">
        <v>72</v>
      </c>
      <c r="AE41" s="57" t="s">
        <v>72</v>
      </c>
      <c r="AF41" s="57" t="s">
        <v>72</v>
      </c>
      <c r="AG41" s="57" t="s">
        <v>72</v>
      </c>
      <c r="AH41" s="57" t="s">
        <v>87</v>
      </c>
      <c r="AI41" t="str">
        <f>VLOOKUP($Q41,武学奇术!$A:$ZZ,25,FALSE)</f>
        <v>伞</v>
      </c>
      <c r="AJ41" s="41">
        <f>VLOOKUP($Q41,武学奇术!$A:$ZZ,26,FALSE)</f>
        <v>2.3397</v>
      </c>
      <c r="AK41" s="42">
        <f>VLOOKUP($Q41,武学奇术!$A:$ZZ,27,FALSE)*(1+IF(OR($AI41=$F$4,$AI41=$F$5),$B$22,0))</f>
        <v>907.2</v>
      </c>
      <c r="AL41" s="41">
        <f>VLOOKUP($Q41,武学奇术!$A:$ZZ,28,FALSE)</f>
        <v>3.5095</v>
      </c>
      <c r="AM41" s="42">
        <f>VLOOKUP($Q41,武学奇术!$A:$ZZ,29,FALSE)*(1+IF(OR($AI41=$F$4,$AI41=$F$5),$B$22,0))</f>
        <v>494.2</v>
      </c>
      <c r="AN41" s="41" cm="1">
        <f t="array" ref="AN41">$G$3+IFERROR(VLOOKUP($AI41,$F$4:$G$7,2,FALSE),0)+VLOOKUP($Q41,武学奇术!$A:$ZZ,2,FALSE)+SUM(_xlfn.XLOOKUP($R41:$AH41,增益!$A:$A,增益!$B:$B,0))</f>
        <v>0.8041</v>
      </c>
      <c r="AO41" s="41" cm="1">
        <f t="array" ref="AO41">VLOOKUP($Q41,武学奇术!$A:$ZZ,5,FALSE)+SUM(_xlfn.XLOOKUP($R41:$AH41,增益!$A:$A,增益!$E:$E,0))</f>
        <v>0.075</v>
      </c>
      <c r="AP41" cm="1">
        <f t="array" ref="AP41">$D$10*(1+$AO41)+VLOOKUP($Q41,武学奇术!$A:$ZZ,3,FALSE)+SUM(_xlfn.XLOOKUP($R41:$AH41,增益!$A:$A,增益!$C:$C,0))-$I$2</f>
        <v>1974.055</v>
      </c>
      <c r="AQ41" cm="1">
        <f t="array" ref="AQ41">$E$10*(1+$AO41)+VLOOKUP($Q41,武学奇术!$A:$ZZ,4,FALSE)+SUM(_xlfn.XLOOKUP($R41:$AH41,增益!$A:$A,增益!$D:$D,0))-$I$2</f>
        <v>5941.45</v>
      </c>
      <c r="AR41" s="49" cm="1">
        <f t="array" ref="AR41">IF($F$10-$I$3+VLOOKUP($Q41,武学奇术!$A:$ZZ,6,FALSE)+SUM(_xlfn.XLOOKUP(R41:AH41,增益!$A:$A,增益!$F:$F,0))&gt;0,($F$10-$I$3+VLOOKUP($Q41,武学奇术!$A:$ZZ,6,FALSE)+SUM(_xlfn.XLOOKUP(R41:AH41,增益!$A:$A,增益!$F:$F,0)))/200,($F$10-$I$3+VLOOKUP($Q41,武学奇术!$A:$ZZ,6,FALSE)+SUM(_xlfn.XLOOKUP(R41:AH41,增益!$A:$A,增益!$F:$F,0)))/100)</f>
        <v>0.3675</v>
      </c>
      <c r="AS41" s="49" cm="1">
        <f t="array" ref="AS41">$G$10+VLOOKUP($Q41,武学奇术!$A:$ZZ,7,FALSE)+SUM(_xlfn.XLOOKUP(R41:AH41,增益!$A:$A,增益!$G:$G,0))</f>
        <v>0.1</v>
      </c>
      <c r="AT41" s="41" cm="1">
        <f t="array" ref="AT41">VLOOKUP($Q41,武学奇术!$A:$ZZ,8,FALSE)+SUM(_xlfn.XLOOKUP(R41:AH41,增益!$A:$A,增益!$H:$H,0))</f>
        <v>0</v>
      </c>
      <c r="AU41">
        <f>$D$11*(1+$AT41)</f>
        <v>0</v>
      </c>
      <c r="AV41">
        <f>$E$11*(1+$AT41)</f>
        <v>0</v>
      </c>
      <c r="AW41" s="49" cm="1">
        <f t="array" ref="AW41">IF($F$11-$I$4+VLOOKUP($Q41,武学奇术!$A:$ZZ,9,FALSE)+SUM(_xlfn.XLOOKUP(R41:AH41,增益!$A:$A,增益!$I:$I,0))&gt;0,($F$11-$I$4+VLOOKUP($Q41,武学奇术!$A:$ZZ,9,FALSE)+SUM(_xlfn.XLOOKUP(R41:AH41,增益!$A:$A,增益!$I:$I,0)))/200,($F$11-$I$4+VLOOKUP($Q41,武学奇术!$A:$ZZ,9,FALSE)+SUM(_xlfn.XLOOKUP(R41:AH41,增益!$A:$A,增益!$I:$I,0)))/100)</f>
        <v>-0.14</v>
      </c>
      <c r="AX41" s="49" cm="1">
        <f t="array" ref="AX41">$G$11+VLOOKUP($Q41,武学奇术!$A:$ZZ,10,FALSE)+SUM(_xlfn.XLOOKUP(R41:AH41,增益!$A:$A,增益!$J:$J,0))</f>
        <v>0</v>
      </c>
      <c r="AY41">
        <f>$D$12*(1+$AT41)</f>
        <v>0</v>
      </c>
      <c r="AZ41">
        <f>$E$12*(1+$AT41)</f>
        <v>0</v>
      </c>
      <c r="BA41" s="49" cm="1">
        <f t="array" ref="BA41">IF($F$12-$I$4+VLOOKUP($Q41,武学奇术!$A:$ZZ,11,FALSE)+SUM(_xlfn.XLOOKUP(R41:AH41,增益!$A:$A,增益!$K:$K,0))&gt;0,($F$12-$I$4+VLOOKUP($Q41,武学奇术!$A:$ZZ,11,FALSE)+SUM(_xlfn.XLOOKUP(R41:AH41,增益!$A:$A,增益!$K:$K,0)))/200,($F$12-$I$4+VLOOKUP($Q41,武学奇术!$A:$ZZ,11,FALSE)+SUM(_xlfn.XLOOKUP(R41:AH41,增益!$A:$A,增益!$K:$K,0)))/100)</f>
        <v>-0.14</v>
      </c>
      <c r="BB41" s="49" cm="1">
        <f t="array" ref="BB41">$G$12+VLOOKUP($Q41,武学奇术!$A:$ZZ,12,FALSE)+SUM(_xlfn.XLOOKUP(R41:AH41,增益!$A:$A,增益!$L:$L,0))</f>
        <v>0</v>
      </c>
      <c r="BC41">
        <f>$D$13*(1+$AT41)</f>
        <v>571.2</v>
      </c>
      <c r="BD41">
        <f>$E$13*(1+$AT41)</f>
        <v>1077.4</v>
      </c>
      <c r="BE41" s="49" cm="1">
        <f t="array" ref="BE41">IF($F$13-$I$4+VLOOKUP($Q41,武学奇术!$A:$ZZ,13,FALSE)+SUM(_xlfn.XLOOKUP(R41:AH41,增益!$A:$A,增益!$M:$M,0))&gt;0,($F$13-$I$4+VLOOKUP($Q41,武学奇术!$A:$ZZ,13,FALSE)+SUM(_xlfn.XLOOKUP(R41:AH41,增益!$A:$A,增益!$K:$K,0)))/200,($F$13-$I$4+VLOOKUP($Q41,武学奇术!$A:$ZZ,13,FALSE)+SUM(_xlfn.XLOOKUP(R41:AH41,增益!$A:$A,增益!$M:$M,0)))/100)</f>
        <v>0.08</v>
      </c>
      <c r="BF41" s="49" cm="1">
        <f t="array" ref="BF41">$G$13+VLOOKUP($Q41,武学奇术!$A:$ZZ,14,FALSE)+SUM(_xlfn.XLOOKUP(R41:AH41,增益!$A:$A,增益!$N:$N,0))</f>
        <v>0.25</v>
      </c>
      <c r="BG41">
        <f>$D$14*(1+$AT41)</f>
        <v>0</v>
      </c>
      <c r="BH41">
        <f>$E$14*(1+$AT41)</f>
        <v>0</v>
      </c>
      <c r="BI41" s="49" cm="1">
        <f t="array" ref="BI41">IF($F$14-$I$4+VLOOKUP($Q41,武学奇术!$A:$ZZ,15,FALSE)+SUM(_xlfn.XLOOKUP(R41:AH41,增益!$A:$A,增益!$O:$O,0))&gt;0,($F$14-$I$4+VLOOKUP($Q41,武学奇术!$A:$ZZ,15,FALSE)+SUM(_xlfn.XLOOKUP(R41:AH41,增益!$A:$A,增益!$O:$O,0)))/200,($F$14-$I$4+VLOOKUP($Q41,武学奇术!$A:$ZZ,15,FALSE)+SUM(_xlfn.XLOOKUP(R41:AH41,增益!$A:$A,增益!$O:$O,0)))/100)</f>
        <v>-0.14</v>
      </c>
      <c r="BJ41" s="49" cm="1">
        <f t="array" ref="BJ41">$G$14+VLOOKUP($Q41,武学奇术!$A:$ZZ,16,FALSE)+SUM(_xlfn.XLOOKUP(R41:AH41,增益!$A:$A,增益!$P:$P,0))</f>
        <v>0</v>
      </c>
      <c r="BK41" s="41">
        <f>MIN(IF(VLOOKUP($Q41,武学奇术!$A:$ZZ,23,FALSE)=1,100%,$B$8),100%)</f>
        <v>1</v>
      </c>
      <c r="BL41" s="41" cm="1">
        <f t="array" ref="BL41">IF(VLOOKUP($Q41,武学奇术!$A:$ZZ,23,FALSE)=1,100%,MIN(80%,$B$9+VLOOKUP($Q41,武学奇术!$A:$ZZ,17,FALSE)+SUM(_xlfn.XLOOKUP(R41:AH41,增益!$A:$A,增益!$Q:$Q,0)))+$B$11+SUM(_xlfn.XLOOKUP(R41:AH41,增益!$A:$A,增益!$U:$U,0)))*IF(VLOOKUP($Q41,武学奇术!$A:$ZZ,24,FALSE)=1,0,1)</f>
        <v>0.9045</v>
      </c>
      <c r="BM41" s="41" cm="1">
        <f t="array" ref="BM41">1+$B$13+VLOOKUP($Q41,武学奇术!$A:$ZZ,18,FALSE)+SUM(_xlfn.XLOOKUP(R41:AH41,增益!$A:$A,增益!$R:$R,0))</f>
        <v>1.96</v>
      </c>
      <c r="BN41" s="41" cm="1">
        <f t="array" ref="BN41">IF(VLOOKUP($Q41,武学奇术!$A:$ZZ,24,FALSE)=1,100%,MIN(40%,$B$10+VLOOKUP($Q41,武学奇术!$A:$ZZ,19,FALSE)+SUM(_xlfn.XLOOKUP(R41:AH41,增益!$A:$A,增益!$S:$S,0)))+$B$12+SUM(_xlfn.XLOOKUP(R41:AH41,增益!$A:$A,增益!$V:$V,0)))*IF(VLOOKUP($Q41,武学奇术!$A:$ZZ,23,FALSE)=1,0,1)</f>
        <v>0.0929</v>
      </c>
      <c r="BO41" s="41" cm="1">
        <f t="array" ref="BO41">1+$B$14+VLOOKUP($Q41,武学奇术!$A:$ZZ,20,FALSE)+SUM(_xlfn.XLOOKUP(R41:AH41,增益!$A:$A,增益!$T:$T,0))</f>
        <v>1.35</v>
      </c>
      <c r="BP41" s="41">
        <f>MIN((1-BN41)*BK41,BK41*BL41)</f>
        <v>0.9045</v>
      </c>
      <c r="BQ41" s="41">
        <f>1-BN41-BP41-BR41</f>
        <v>0.00260000000000005</v>
      </c>
      <c r="BR41" s="41">
        <f>IF(VLOOKUP($Q41,武学奇术!$A:$ZZ,22,FALSE)=1,0,(1-$BK41))*(1-$BN41)</f>
        <v>0</v>
      </c>
      <c r="BS41" s="41" cm="1">
        <f t="array" ref="BS41">SUM(_xlfn.XLOOKUP(R41:AH41,增益!$A:$A,增益!$W:$W,0))+$I$5</f>
        <v>0.11</v>
      </c>
    </row>
    <row r="42" spans="1:71">
      <c r="A42" s="4"/>
      <c r="B42" s="4"/>
      <c r="K42" s="55">
        <f>($L42*$BP42+$M42*$BN42+$N42*$BQ42+$O42*$BR42)</f>
        <v>38687.6249577548</v>
      </c>
      <c r="L42" s="55">
        <f>((($AP42+$AQ42)/2*$AJ42+$AK42)*(1+$AR42)*(1+$AS42)+(($AU42+$AV42)/2*IF($G$1="鸣金",$AL42,$AJ42)+IF($G$1="鸣金",$AM42*1.5,0))*(1+$AW42)*(1+$AX42)+(($AY42+$AZ42)/2*IF($G$1="裂石",$AL42,$AJ42)+IF($G$1="裂石",$AM42*1.5,0))*(1+$BA42)*(1+$BB42)+(($BC42+$BD42)/2*IF($G$1="牵丝",$AL42,$AJ42)+IF($G$1="牵丝",$AM42*1.5,0))*(1+$BE42)*(1+$BF42)+(($BG42+$BH42)/2*IF($G$1="破竹",$AL42,$AJ42)+IF($G$1="破竹",$AM42*1.5,0))*(1+$BI42)*(1+$BJ42))*(1+$AN42)*$BM42*$P42*(1+IF(VLOOKUP($Q42,武学奇术!$A:$ZZ,30,FALSE)="弹道",$B$21,0))*(1+$BS42)</f>
        <v>38065.5643033214</v>
      </c>
      <c r="M42" s="55">
        <f>(($AQ42*$AJ42+$AK42)*(1+$AR42)*(1+$AS42)+($AV42*IF($G$1="鸣金",$AL42,$AJ42)+IF($G$1="鸣金",$AM42*1.5,0))*(1+$AW42)*(1+$AX42)+($AZ42*IF($G$1="裂石",$AL42,$AJ42)+IF($G$1="裂石",$AM42*1.5,0))*(1+$BA42)*(1+$BB42)+($BD42*IF($G$1="牵丝",$AL42,$AJ42)+IF($G$1="牵丝",$AM42*1.5,0))*(1+$BE42)*(1+$BF42)+($BH42*IF($G$1="破竹",$AL42,$AJ42)+IF($G$1="破竹",$AM42*1.5,0))*(1+$BI42)*(1+$BJ42))*(1+$AN42)*$BO42*$P42*(1+IF(VLOOKUP($Q42,武学奇术!$A:$ZZ,30,FALSE)="弹道",$B$21,0))*(1+$BS42)</f>
        <v>45161.0926093405</v>
      </c>
      <c r="N42" s="55">
        <f>((($AP42+$AQ42)/2*$AJ42+$AK42)*(1+$AR42)*(1+$AS42)+(($AU42+$AV42)/2*IF($G$1="鸣金",$AL42,$AJ42)+IF($G$1="鸣金",$AM42*1.5,0))*(1+$AW42)*(1+$AX42)+(($AY42+$AZ42)/2*IF($G$1="裂石",$AL42,$AJ42)+IF($G$1="裂石",$AM42*1.5,0))*(1+$BA42)*(1+$BB42)+(($BC42+$BD42)/2*IF($G$1="牵丝",$AL42,$AJ42)+IF($G$1="牵丝",$AM42*1.5,0))*(1+$BE42)*(1+$BF42)+(($BG42+$BH42)/2*IF($G$1="破竹",$AL42,$AJ42)+IF($G$1="破竹",$AM42*1.5,0))*(1+$BI42)*(1+$BJ42))*(1+$AN42)*$P42*(1+IF(VLOOKUP($Q42,武学奇术!$A:$ZZ,30,FALSE)="弹道",$B$21,0))*(1+$BS42)</f>
        <v>23790.9776895759</v>
      </c>
      <c r="O42" s="55">
        <f>((($AP42*$AJ42+$AK42)*(1+$AR42)*(1+$AS42)+($AU42*IF($G$1="鸣金",$AL42,$AJ42)+IF($G$1="鸣金",$AM42*1.5,0))*(1+$AW42)*(1+$AX42)+($AY42*IF($G$1="裂石",$AL42,$AJ42)+IF($G$1="裂石",$AM42*1.5,0))*(1+$BA42)*(1+$BB42)+($BC42*IF($G$1="牵丝",$AL42,$AJ42)+IF($G$1="牵丝",$AM42*1.5,0))*(1+$BE42)*(1+$BF42)+($BG42*IF($G$1="破竹",$AL42,$AJ42)+IF($G$1="破竹",$AM42*1.5,0))*(1+$BI42)*(1+$BJ42))*(1+$AN42))*$P42*(1+IF(VLOOKUP($Q42,武学奇术!$A:$ZZ,30,FALSE)="弹道",$B$21,0))*(1+$BS42)</f>
        <v>14129.2941870476</v>
      </c>
      <c r="P42" s="56">
        <v>1</v>
      </c>
      <c r="Q42" s="57" t="s">
        <v>94</v>
      </c>
      <c r="R42" s="57" t="s">
        <v>116</v>
      </c>
      <c r="S42" s="57" t="s">
        <v>153</v>
      </c>
      <c r="T42" s="57" t="s">
        <v>72</v>
      </c>
      <c r="U42" s="57" t="s">
        <v>157</v>
      </c>
      <c r="V42" s="57" t="s">
        <v>72</v>
      </c>
      <c r="W42" s="57" t="s">
        <v>72</v>
      </c>
      <c r="X42" s="57" t="s">
        <v>72</v>
      </c>
      <c r="Y42" s="57" t="s">
        <v>72</v>
      </c>
      <c r="Z42" s="57" t="s">
        <v>72</v>
      </c>
      <c r="AA42" s="57" t="s">
        <v>72</v>
      </c>
      <c r="AB42" s="57" t="s">
        <v>96</v>
      </c>
      <c r="AC42" s="57" t="s">
        <v>72</v>
      </c>
      <c r="AD42" s="57" t="s">
        <v>72</v>
      </c>
      <c r="AE42" s="57" t="s">
        <v>72</v>
      </c>
      <c r="AF42" s="57" t="s">
        <v>72</v>
      </c>
      <c r="AG42" s="57" t="s">
        <v>72</v>
      </c>
      <c r="AH42" s="57" t="s">
        <v>87</v>
      </c>
      <c r="AI42" t="str">
        <f>VLOOKUP($Q42,武学奇术!$A:$ZZ,25,FALSE)</f>
        <v>伞</v>
      </c>
      <c r="AJ42" s="41">
        <f>VLOOKUP($Q42,武学奇术!$A:$ZZ,26,FALSE)</f>
        <v>1.7001</v>
      </c>
      <c r="AK42" s="42">
        <f>VLOOKUP($Q42,武学奇术!$A:$ZZ,27,FALSE)*(1+IF(OR($AI42=$F$4,$AI42=$F$5),$B$22,0))</f>
        <v>659.4</v>
      </c>
      <c r="AL42" s="41">
        <f>VLOOKUP($Q42,武学奇术!$A:$ZZ,28,FALSE)</f>
        <v>2.5502</v>
      </c>
      <c r="AM42" s="42">
        <f>VLOOKUP($Q42,武学奇术!$A:$ZZ,29,FALSE)*(1+IF(OR($AI42=$F$4,$AI42=$F$5),$B$22,0))</f>
        <v>358.4</v>
      </c>
      <c r="AN42" s="41" cm="1">
        <f t="array" ref="AN42">$G$3+IFERROR(VLOOKUP($AI42,$F$4:$G$7,2,FALSE),0)+VLOOKUP($Q42,武学奇术!$A:$ZZ,2,FALSE)+SUM(_xlfn.XLOOKUP($R42:$AH42,增益!$A:$A,增益!$B:$B,0))</f>
        <v>0.4041</v>
      </c>
      <c r="AO42" s="41" cm="1">
        <f t="array" ref="AO42">VLOOKUP($Q42,武学奇术!$A:$ZZ,5,FALSE)+SUM(_xlfn.XLOOKUP($R42:$AH42,增益!$A:$A,增益!$E:$E,0))</f>
        <v>0.15</v>
      </c>
      <c r="AP42" cm="1">
        <f t="array" ref="AP42">$D$10*(1+$AO42)+VLOOKUP($Q42,武学奇术!$A:$ZZ,3,FALSE)+SUM(_xlfn.XLOOKUP($R42:$AH42,增益!$A:$A,增益!$C:$C,0))-$I$2</f>
        <v>2150.71</v>
      </c>
      <c r="AQ42" cm="1">
        <f t="array" ref="AQ42">$E$10*(1+$AO42)+VLOOKUP($Q42,武学奇术!$A:$ZZ,4,FALSE)+SUM(_xlfn.XLOOKUP($R42:$AH42,增益!$A:$A,增益!$D:$D,0))-$I$2</f>
        <v>6394.9</v>
      </c>
      <c r="AR42" s="49" cm="1">
        <f t="array" ref="AR42">IF($F$10-$I$3+VLOOKUP($Q42,武学奇术!$A:$ZZ,6,FALSE)+SUM(_xlfn.XLOOKUP(R42:AH42,增益!$A:$A,增益!$F:$F,0))&gt;0,($F$10-$I$3+VLOOKUP($Q42,武学奇术!$A:$ZZ,6,FALSE)+SUM(_xlfn.XLOOKUP(R42:AH42,增益!$A:$A,增益!$F:$F,0)))/200,($F$10-$I$3+VLOOKUP($Q42,武学奇术!$A:$ZZ,6,FALSE)+SUM(_xlfn.XLOOKUP(R42:AH42,增益!$A:$A,增益!$F:$F,0)))/100)</f>
        <v>0.3425</v>
      </c>
      <c r="AS42" s="49" cm="1">
        <f t="array" ref="AS42">$G$10+VLOOKUP($Q42,武学奇术!$A:$ZZ,7,FALSE)+SUM(_xlfn.XLOOKUP(R42:AH42,增益!$A:$A,增益!$G:$G,0))</f>
        <v>0.1</v>
      </c>
      <c r="AT42" s="41" cm="1">
        <f t="array" ref="AT42">VLOOKUP($Q42,武学奇术!$A:$ZZ,8,FALSE)+SUM(_xlfn.XLOOKUP(R42:AH42,增益!$A:$A,增益!$H:$H,0))</f>
        <v>0</v>
      </c>
      <c r="AU42">
        <f>$D$11*(1+$AT42)</f>
        <v>0</v>
      </c>
      <c r="AV42">
        <f>$E$11*(1+$AT42)</f>
        <v>0</v>
      </c>
      <c r="AW42" s="49" cm="1">
        <f t="array" ref="AW42">IF($F$11-$I$4+VLOOKUP($Q42,武学奇术!$A:$ZZ,9,FALSE)+SUM(_xlfn.XLOOKUP(R42:AH42,增益!$A:$A,增益!$I:$I,0))&gt;0,($F$11-$I$4+VLOOKUP($Q42,武学奇术!$A:$ZZ,9,FALSE)+SUM(_xlfn.XLOOKUP(R42:AH42,增益!$A:$A,增益!$I:$I,0)))/200,($F$11-$I$4+VLOOKUP($Q42,武学奇术!$A:$ZZ,9,FALSE)+SUM(_xlfn.XLOOKUP(R42:AH42,增益!$A:$A,增益!$I:$I,0)))/100)</f>
        <v>-0.14</v>
      </c>
      <c r="AX42" s="49" cm="1">
        <f t="array" ref="AX42">$G$11+VLOOKUP($Q42,武学奇术!$A:$ZZ,10,FALSE)+SUM(_xlfn.XLOOKUP(R42:AH42,增益!$A:$A,增益!$J:$J,0))</f>
        <v>0</v>
      </c>
      <c r="AY42">
        <f>$D$12*(1+$AT42)</f>
        <v>0</v>
      </c>
      <c r="AZ42">
        <f>$E$12*(1+$AT42)</f>
        <v>0</v>
      </c>
      <c r="BA42" s="49" cm="1">
        <f t="array" ref="BA42">IF($F$12-$I$4+VLOOKUP($Q42,武学奇术!$A:$ZZ,11,FALSE)+SUM(_xlfn.XLOOKUP(R42:AH42,增益!$A:$A,增益!$K:$K,0))&gt;0,($F$12-$I$4+VLOOKUP($Q42,武学奇术!$A:$ZZ,11,FALSE)+SUM(_xlfn.XLOOKUP(R42:AH42,增益!$A:$A,增益!$K:$K,0)))/200,($F$12-$I$4+VLOOKUP($Q42,武学奇术!$A:$ZZ,11,FALSE)+SUM(_xlfn.XLOOKUP(R42:AH42,增益!$A:$A,增益!$K:$K,0)))/100)</f>
        <v>-0.14</v>
      </c>
      <c r="BB42" s="49" cm="1">
        <f t="array" ref="BB42">$G$12+VLOOKUP($Q42,武学奇术!$A:$ZZ,12,FALSE)+SUM(_xlfn.XLOOKUP(R42:AH42,增益!$A:$A,增益!$L:$L,0))</f>
        <v>0</v>
      </c>
      <c r="BC42">
        <f>$D$13*(1+$AT42)</f>
        <v>571.2</v>
      </c>
      <c r="BD42">
        <f>$E$13*(1+$AT42)</f>
        <v>1077.4</v>
      </c>
      <c r="BE42" s="49" cm="1">
        <f t="array" ref="BE42">IF($F$13-$I$4+VLOOKUP($Q42,武学奇术!$A:$ZZ,13,FALSE)+SUM(_xlfn.XLOOKUP(R42:AH42,增益!$A:$A,增益!$M:$M,0))&gt;0,($F$13-$I$4+VLOOKUP($Q42,武学奇术!$A:$ZZ,13,FALSE)+SUM(_xlfn.XLOOKUP(R42:AH42,增益!$A:$A,增益!$K:$K,0)))/200,($F$13-$I$4+VLOOKUP($Q42,武学奇术!$A:$ZZ,13,FALSE)+SUM(_xlfn.XLOOKUP(R42:AH42,增益!$A:$A,增益!$M:$M,0)))/100)</f>
        <v>0.08</v>
      </c>
      <c r="BF42" s="49" cm="1">
        <f t="array" ref="BF42">$G$13+VLOOKUP($Q42,武学奇术!$A:$ZZ,14,FALSE)+SUM(_xlfn.XLOOKUP(R42:AH42,增益!$A:$A,增益!$N:$N,0))</f>
        <v>0.25</v>
      </c>
      <c r="BG42">
        <f>$D$14*(1+$AT42)</f>
        <v>0</v>
      </c>
      <c r="BH42">
        <f>$E$14*(1+$AT42)</f>
        <v>0</v>
      </c>
      <c r="BI42" s="49" cm="1">
        <f t="array" ref="BI42">IF($F$14-$I$4+VLOOKUP($Q42,武学奇术!$A:$ZZ,15,FALSE)+SUM(_xlfn.XLOOKUP(R42:AH42,增益!$A:$A,增益!$O:$O,0))&gt;0,($F$14-$I$4+VLOOKUP($Q42,武学奇术!$A:$ZZ,15,FALSE)+SUM(_xlfn.XLOOKUP(R42:AH42,增益!$A:$A,增益!$O:$O,0)))/200,($F$14-$I$4+VLOOKUP($Q42,武学奇术!$A:$ZZ,15,FALSE)+SUM(_xlfn.XLOOKUP(R42:AH42,增益!$A:$A,增益!$O:$O,0)))/100)</f>
        <v>-0.14</v>
      </c>
      <c r="BJ42" s="49" cm="1">
        <f t="array" ref="BJ42">$G$14+VLOOKUP($Q42,武学奇术!$A:$ZZ,16,FALSE)+SUM(_xlfn.XLOOKUP(R42:AH42,增益!$A:$A,增益!$P:$P,0))</f>
        <v>0</v>
      </c>
      <c r="BK42" s="41">
        <f>MIN(IF(VLOOKUP($Q42,武学奇术!$A:$ZZ,23,FALSE)=1,100%,$B$8),100%)</f>
        <v>1</v>
      </c>
      <c r="BL42" s="41" cm="1">
        <f t="array" ref="BL42">IF(VLOOKUP($Q42,武学奇术!$A:$ZZ,23,FALSE)=1,100%,MIN(80%,$B$9+VLOOKUP($Q42,武学奇术!$A:$ZZ,17,FALSE)+SUM(_xlfn.XLOOKUP(R42:AH42,增益!$A:$A,增益!$Q:$Q,0)))+$B$11+SUM(_xlfn.XLOOKUP(R42:AH42,增益!$A:$A,增益!$U:$U,0)))*IF(VLOOKUP($Q42,武学奇术!$A:$ZZ,24,FALSE)=1,0,1)</f>
        <v>0.9045</v>
      </c>
      <c r="BM42" s="41" cm="1">
        <f t="array" ref="BM42">1+$B$13+VLOOKUP($Q42,武学奇术!$A:$ZZ,18,FALSE)+SUM(_xlfn.XLOOKUP(R42:AH42,增益!$A:$A,增益!$R:$R,0))</f>
        <v>1.6</v>
      </c>
      <c r="BN42" s="41" cm="1">
        <f t="array" ref="BN42">IF(VLOOKUP($Q42,武学奇术!$A:$ZZ,24,FALSE)=1,100%,MIN(40%,$B$10+VLOOKUP($Q42,武学奇术!$A:$ZZ,19,FALSE)+SUM(_xlfn.XLOOKUP(R42:AH42,增益!$A:$A,增益!$S:$S,0)))+$B$12+SUM(_xlfn.XLOOKUP(R42:AH42,增益!$A:$A,增益!$V:$V,0)))*IF(VLOOKUP($Q42,武学奇术!$A:$ZZ,23,FALSE)=1,0,1)</f>
        <v>0.0929</v>
      </c>
      <c r="BO42" s="41" cm="1">
        <f t="array" ref="BO42">1+$B$14+VLOOKUP($Q42,武学奇术!$A:$ZZ,20,FALSE)+SUM(_xlfn.XLOOKUP(R42:AH42,增益!$A:$A,增益!$T:$T,0))</f>
        <v>1.35</v>
      </c>
      <c r="BP42" s="41">
        <f>MIN((1-BN42)*BK42,BK42*BL42)</f>
        <v>0.9045</v>
      </c>
      <c r="BQ42" s="41">
        <f>1-BN42-BP42-BR42</f>
        <v>0.00260000000000005</v>
      </c>
      <c r="BR42" s="41">
        <f>IF(VLOOKUP($Q42,武学奇术!$A:$ZZ,22,FALSE)=1,0,(1-$BK42))*(1-$BN42)</f>
        <v>0</v>
      </c>
      <c r="BS42" s="41" cm="1">
        <f t="array" ref="BS42">SUM(_xlfn.XLOOKUP(R42:AH42,增益!$A:$A,增益!$W:$W,0))+$I$5</f>
        <v>0.11</v>
      </c>
    </row>
    <row r="43" spans="1:71">
      <c r="K43" s="55">
        <f>($L43*$BP43+$M43*$BN43+$N43*$BQ43+$O43*$BR43)</f>
        <v>16211.4602850629</v>
      </c>
      <c r="L43" s="55">
        <f>((($AP43+$AQ43)/2*$AJ43+$AK43)*(1+$AR43)*(1+$AS43)+(($AU43+$AV43)/2*IF($G$1="鸣金",$AL43,$AJ43)+IF($G$1="鸣金",$AM43*1.5,0))*(1+$AW43)*(1+$AX43)+(($AY43+$AZ43)/2*IF($G$1="裂石",$AL43,$AJ43)+IF($G$1="裂石",$AM43*1.5,0))*(1+$BA43)*(1+$BB43)+(($BC43+$BD43)/2*IF($G$1="牵丝",$AL43,$AJ43)+IF($G$1="牵丝",$AM43*1.5,0))*(1+$BE43)*(1+$BF43)+(($BG43+$BH43)/2*IF($G$1="破竹",$AL43,$AJ43)+IF($G$1="破竹",$AM43*1.5,0))*(1+$BI43)*(1+$BJ43))*(1+$AN43)*$BM43*$P43*(1+IF(VLOOKUP($Q43,武学奇术!$A:$ZZ,30,FALSE)="弹道",$B$21,0))*(1+$BS43)</f>
        <v>15950.5078214</v>
      </c>
      <c r="M43" s="55">
        <f>(($AQ43*$AJ43+$AK43)*(1+$AR43)*(1+$AS43)+($AV43*IF($G$1="鸣金",$AL43,$AJ43)+IF($G$1="鸣金",$AM43*1.5,0))*(1+$AW43)*(1+$AX43)+($AZ43*IF($G$1="裂石",$AL43,$AJ43)+IF($G$1="裂石",$AM43*1.5,0))*(1+$BA43)*(1+$BB43)+($BD43*IF($G$1="牵丝",$AL43,$AJ43)+IF($G$1="牵丝",$AM43*1.5,0))*(1+$BE43)*(1+$BF43)+($BH43*IF($G$1="破竹",$AL43,$AJ43)+IF($G$1="破竹",$AM43*1.5,0))*(1+$BI43)*(1+$BJ43))*(1+$AN43)*$BO43*$P43*(1+IF(VLOOKUP($Q43,武学奇术!$A:$ZZ,30,FALSE)="弹道",$B$21,0))*(1+$BS43)</f>
        <v>18926.871748082</v>
      </c>
      <c r="N43" s="55">
        <f>((($AP43+$AQ43)/2*$AJ43+$AK43)*(1+$AR43)*(1+$AS43)+(($AU43+$AV43)/2*IF($G$1="鸣金",$AL43,$AJ43)+IF($G$1="鸣金",$AM43*1.5,0))*(1+$AW43)*(1+$AX43)+(($AY43+$AZ43)/2*IF($G$1="裂石",$AL43,$AJ43)+IF($G$1="裂石",$AM43*1.5,0))*(1+$BA43)*(1+$BB43)+(($BC43+$BD43)/2*IF($G$1="牵丝",$AL43,$AJ43)+IF($G$1="牵丝",$AM43*1.5,0))*(1+$BE43)*(1+$BF43)+(($BG43+$BH43)/2*IF($G$1="破竹",$AL43,$AJ43)+IF($G$1="破竹",$AM43*1.5,0))*(1+$BI43)*(1+$BJ43))*(1+$AN43)*$P43*(1+IF(VLOOKUP($Q43,武学奇术!$A:$ZZ,30,FALSE)="弹道",$B$21,0))*(1+$BS43)</f>
        <v>9969.06738837499</v>
      </c>
      <c r="O43" s="55">
        <f>((($AP43*$AJ43+$AK43)*(1+$AR43)*(1+$AS43)+($AU43*IF($G$1="鸣金",$AL43,$AJ43)+IF($G$1="鸣金",$AM43*1.5,0))*(1+$AW43)*(1+$AX43)+($AY43*IF($G$1="裂石",$AL43,$AJ43)+IF($G$1="裂石",$AM43*1.5,0))*(1+$BA43)*(1+$BB43)+($BC43*IF($G$1="牵丝",$AL43,$AJ43)+IF($G$1="牵丝",$AM43*1.5,0))*(1+$BE43)*(1+$BF43)+($BG43*IF($G$1="破竹",$AL43,$AJ43)+IF($G$1="破竹",$AM43*1.5,0))*(1+$BI43)*(1+$BJ43))*(1+$AN43))*$P43*(1+IF(VLOOKUP($Q43,武学奇术!$A:$ZZ,30,FALSE)="弹道",$B$21,0))*(1+$BS43)</f>
        <v>5918.22977817074</v>
      </c>
      <c r="P43" s="56">
        <v>1</v>
      </c>
      <c r="Q43" s="57" t="s">
        <v>99</v>
      </c>
      <c r="R43" s="57" t="s">
        <v>116</v>
      </c>
      <c r="S43" s="57" t="s">
        <v>153</v>
      </c>
      <c r="T43" s="57" t="s">
        <v>72</v>
      </c>
      <c r="U43" s="57" t="s">
        <v>157</v>
      </c>
      <c r="V43" s="57" t="s">
        <v>72</v>
      </c>
      <c r="W43" s="57" t="s">
        <v>72</v>
      </c>
      <c r="X43" s="57" t="s">
        <v>72</v>
      </c>
      <c r="Y43" s="57" t="s">
        <v>72</v>
      </c>
      <c r="Z43" s="57" t="s">
        <v>72</v>
      </c>
      <c r="AA43" s="57" t="s">
        <v>72</v>
      </c>
      <c r="AB43" s="57" t="s">
        <v>96</v>
      </c>
      <c r="AC43" s="57" t="s">
        <v>72</v>
      </c>
      <c r="AD43" s="57" t="s">
        <v>72</v>
      </c>
      <c r="AE43" s="57" t="s">
        <v>72</v>
      </c>
      <c r="AF43" s="57" t="s">
        <v>72</v>
      </c>
      <c r="AG43" s="57" t="s">
        <v>72</v>
      </c>
      <c r="AH43" s="57" t="s">
        <v>87</v>
      </c>
      <c r="AI43" t="str">
        <f>VLOOKUP($Q43,武学奇术!$A:$ZZ,25,FALSE)</f>
        <v>伞</v>
      </c>
      <c r="AJ43" s="41">
        <f>VLOOKUP($Q43,武学奇术!$A:$ZZ,26,FALSE)</f>
        <v>0.54</v>
      </c>
      <c r="AK43" s="42">
        <f>VLOOKUP($Q43,武学奇术!$A:$ZZ,27,FALSE)*(1+IF(OR($AI43=$F$4,$AI43=$F$5),$B$22,0))</f>
        <v>207.2</v>
      </c>
      <c r="AL43" s="41">
        <f>VLOOKUP($Q43,武学奇术!$A:$ZZ,28,FALSE)</f>
        <v>0.81</v>
      </c>
      <c r="AM43" s="42">
        <f>VLOOKUP($Q43,武学奇术!$A:$ZZ,29,FALSE)*(1+IF(OR($AI43=$F$4,$AI43=$F$5),$B$22,0))</f>
        <v>114.1</v>
      </c>
      <c r="AN43" s="41" cm="1">
        <f t="array" ref="AN43">$G$3+IFERROR(VLOOKUP($AI43,$F$4:$G$7,2,FALSE),0)+VLOOKUP($Q43,武学奇术!$A:$ZZ,2,FALSE)+SUM(_xlfn.XLOOKUP($R43:$AH43,增益!$A:$A,增益!$B:$B,0))</f>
        <v>0.4041</v>
      </c>
      <c r="AO43" s="41" cm="1">
        <f t="array" ref="AO43">VLOOKUP($Q43,武学奇术!$A:$ZZ,5,FALSE)+SUM(_xlfn.XLOOKUP($R43:$AH43,增益!$A:$A,增益!$E:$E,0))</f>
        <v>0.15</v>
      </c>
      <c r="AP43" cm="1">
        <f t="array" ref="AP43">$D$10*(1+$AO43)+VLOOKUP($Q43,武学奇术!$A:$ZZ,3,FALSE)+SUM(_xlfn.XLOOKUP($R43:$AH43,增益!$A:$A,增益!$C:$C,0))-$I$2</f>
        <v>2150.71</v>
      </c>
      <c r="AQ43" cm="1">
        <f t="array" ref="AQ43">$E$10*(1+$AO43)+VLOOKUP($Q43,武学奇术!$A:$ZZ,4,FALSE)+SUM(_xlfn.XLOOKUP($R43:$AH43,增益!$A:$A,增益!$D:$D,0))-$I$2</f>
        <v>6394.9</v>
      </c>
      <c r="AR43" s="49" cm="1">
        <f t="array" ref="AR43">IF($F$10-$I$3+VLOOKUP($Q43,武学奇术!$A:$ZZ,6,FALSE)+SUM(_xlfn.XLOOKUP(R43:AH43,增益!$A:$A,增益!$F:$F,0))&gt;0,($F$10-$I$3+VLOOKUP($Q43,武学奇术!$A:$ZZ,6,FALSE)+SUM(_xlfn.XLOOKUP(R43:AH43,增益!$A:$A,增益!$F:$F,0)))/200,($F$10-$I$3+VLOOKUP($Q43,武学奇术!$A:$ZZ,6,FALSE)+SUM(_xlfn.XLOOKUP(R43:AH43,增益!$A:$A,增益!$F:$F,0)))/100)</f>
        <v>0.3425</v>
      </c>
      <c r="AS43" s="49" cm="1">
        <f t="array" ref="AS43">$G$10+VLOOKUP($Q43,武学奇术!$A:$ZZ,7,FALSE)+SUM(_xlfn.XLOOKUP(R43:AH43,增益!$A:$A,增益!$G:$G,0))</f>
        <v>0.1</v>
      </c>
      <c r="AT43" s="41" cm="1">
        <f t="array" ref="AT43">VLOOKUP($Q43,武学奇术!$A:$ZZ,8,FALSE)+SUM(_xlfn.XLOOKUP(R43:AH43,增益!$A:$A,增益!$H:$H,0))</f>
        <v>0</v>
      </c>
      <c r="AU43">
        <f>$D$11*(1+$AT43)</f>
        <v>0</v>
      </c>
      <c r="AV43">
        <f>$E$11*(1+$AT43)</f>
        <v>0</v>
      </c>
      <c r="AW43" s="49" cm="1">
        <f t="array" ref="AW43">IF($F$11-$I$4+VLOOKUP($Q43,武学奇术!$A:$ZZ,9,FALSE)+SUM(_xlfn.XLOOKUP(R43:AH43,增益!$A:$A,增益!$I:$I,0))&gt;0,($F$11-$I$4+VLOOKUP($Q43,武学奇术!$A:$ZZ,9,FALSE)+SUM(_xlfn.XLOOKUP(R43:AH43,增益!$A:$A,增益!$I:$I,0)))/200,($F$11-$I$4+VLOOKUP($Q43,武学奇术!$A:$ZZ,9,FALSE)+SUM(_xlfn.XLOOKUP(R43:AH43,增益!$A:$A,增益!$I:$I,0)))/100)</f>
        <v>-0.14</v>
      </c>
      <c r="AX43" s="49" cm="1">
        <f t="array" ref="AX43">$G$11+VLOOKUP($Q43,武学奇术!$A:$ZZ,10,FALSE)+SUM(_xlfn.XLOOKUP(R43:AH43,增益!$A:$A,增益!$J:$J,0))</f>
        <v>0</v>
      </c>
      <c r="AY43">
        <f>$D$12*(1+$AT43)</f>
        <v>0</v>
      </c>
      <c r="AZ43">
        <f>$E$12*(1+$AT43)</f>
        <v>0</v>
      </c>
      <c r="BA43" s="49" cm="1">
        <f t="array" ref="BA43">IF($F$12-$I$4+VLOOKUP($Q43,武学奇术!$A:$ZZ,11,FALSE)+SUM(_xlfn.XLOOKUP(R43:AH43,增益!$A:$A,增益!$K:$K,0))&gt;0,($F$12-$I$4+VLOOKUP($Q43,武学奇术!$A:$ZZ,11,FALSE)+SUM(_xlfn.XLOOKUP(R43:AH43,增益!$A:$A,增益!$K:$K,0)))/200,($F$12-$I$4+VLOOKUP($Q43,武学奇术!$A:$ZZ,11,FALSE)+SUM(_xlfn.XLOOKUP(R43:AH43,增益!$A:$A,增益!$K:$K,0)))/100)</f>
        <v>-0.14</v>
      </c>
      <c r="BB43" s="49" cm="1">
        <f t="array" ref="BB43">$G$12+VLOOKUP($Q43,武学奇术!$A:$ZZ,12,FALSE)+SUM(_xlfn.XLOOKUP(R43:AH43,增益!$A:$A,增益!$L:$L,0))</f>
        <v>0</v>
      </c>
      <c r="BC43">
        <f>$D$13*(1+$AT43)</f>
        <v>571.2</v>
      </c>
      <c r="BD43">
        <f>$E$13*(1+$AT43)</f>
        <v>1077.4</v>
      </c>
      <c r="BE43" s="49" cm="1">
        <f t="array" ref="BE43">IF($F$13-$I$4+VLOOKUP($Q43,武学奇术!$A:$ZZ,13,FALSE)+SUM(_xlfn.XLOOKUP(R43:AH43,增益!$A:$A,增益!$M:$M,0))&gt;0,($F$13-$I$4+VLOOKUP($Q43,武学奇术!$A:$ZZ,13,FALSE)+SUM(_xlfn.XLOOKUP(R43:AH43,增益!$A:$A,增益!$K:$K,0)))/200,($F$13-$I$4+VLOOKUP($Q43,武学奇术!$A:$ZZ,13,FALSE)+SUM(_xlfn.XLOOKUP(R43:AH43,增益!$A:$A,增益!$M:$M,0)))/100)</f>
        <v>0.08</v>
      </c>
      <c r="BF43" s="49" cm="1">
        <f t="array" ref="BF43">$G$13+VLOOKUP($Q43,武学奇术!$A:$ZZ,14,FALSE)+SUM(_xlfn.XLOOKUP(R43:AH43,增益!$A:$A,增益!$N:$N,0))</f>
        <v>0.25</v>
      </c>
      <c r="BG43">
        <f>$D$14*(1+$AT43)</f>
        <v>0</v>
      </c>
      <c r="BH43">
        <f>$E$14*(1+$AT43)</f>
        <v>0</v>
      </c>
      <c r="BI43" s="49" cm="1">
        <f t="array" ref="BI43">IF($F$14-$I$4+VLOOKUP($Q43,武学奇术!$A:$ZZ,15,FALSE)+SUM(_xlfn.XLOOKUP(R43:AH43,增益!$A:$A,增益!$O:$O,0))&gt;0,($F$14-$I$4+VLOOKUP($Q43,武学奇术!$A:$ZZ,15,FALSE)+SUM(_xlfn.XLOOKUP(R43:AH43,增益!$A:$A,增益!$O:$O,0)))/200,($F$14-$I$4+VLOOKUP($Q43,武学奇术!$A:$ZZ,15,FALSE)+SUM(_xlfn.XLOOKUP(R43:AH43,增益!$A:$A,增益!$O:$O,0)))/100)</f>
        <v>-0.14</v>
      </c>
      <c r="BJ43" s="49" cm="1">
        <f t="array" ref="BJ43">$G$14+VLOOKUP($Q43,武学奇术!$A:$ZZ,16,FALSE)+SUM(_xlfn.XLOOKUP(R43:AH43,增益!$A:$A,增益!$P:$P,0))</f>
        <v>0</v>
      </c>
      <c r="BK43" s="41">
        <f>MIN(IF(VLOOKUP($Q43,武学奇术!$A:$ZZ,23,FALSE)=1,100%,$B$8),100%)</f>
        <v>1</v>
      </c>
      <c r="BL43" s="41" cm="1">
        <f t="array" ref="BL43">IF(VLOOKUP($Q43,武学奇术!$A:$ZZ,23,FALSE)=1,100%,MIN(80%,$B$9+VLOOKUP($Q43,武学奇术!$A:$ZZ,17,FALSE)+SUM(_xlfn.XLOOKUP(R43:AH43,增益!$A:$A,增益!$Q:$Q,0)))+$B$11+SUM(_xlfn.XLOOKUP(R43:AH43,增益!$A:$A,增益!$U:$U,0)))*IF(VLOOKUP($Q43,武学奇术!$A:$ZZ,24,FALSE)=1,0,1)</f>
        <v>0.9045</v>
      </c>
      <c r="BM43" s="41" cm="1">
        <f t="array" ref="BM43">1+$B$13+VLOOKUP($Q43,武学奇术!$A:$ZZ,18,FALSE)+SUM(_xlfn.XLOOKUP(R43:AH43,增益!$A:$A,增益!$R:$R,0))</f>
        <v>1.6</v>
      </c>
      <c r="BN43" s="41" cm="1">
        <f t="array" ref="BN43">IF(VLOOKUP($Q43,武学奇术!$A:$ZZ,24,FALSE)=1,100%,MIN(40%,$B$10+VLOOKUP($Q43,武学奇术!$A:$ZZ,19,FALSE)+SUM(_xlfn.XLOOKUP(R43:AH43,增益!$A:$A,增益!$S:$S,0)))+$B$12+SUM(_xlfn.XLOOKUP(R43:AH43,增益!$A:$A,增益!$V:$V,0)))*IF(VLOOKUP($Q43,武学奇术!$A:$ZZ,23,FALSE)=1,0,1)</f>
        <v>0.0929</v>
      </c>
      <c r="BO43" s="41" cm="1">
        <f t="array" ref="BO43">1+$B$14+VLOOKUP($Q43,武学奇术!$A:$ZZ,20,FALSE)+SUM(_xlfn.XLOOKUP(R43:AH43,增益!$A:$A,增益!$T:$T,0))</f>
        <v>1.35</v>
      </c>
      <c r="BP43" s="41">
        <f>MIN((1-BN43)*BK43,BK43*BL43)</f>
        <v>0.9045</v>
      </c>
      <c r="BQ43" s="41">
        <f>1-BN43-BP43-BR43</f>
        <v>0.00260000000000005</v>
      </c>
      <c r="BR43" s="41">
        <f>IF(VLOOKUP($Q43,武学奇术!$A:$ZZ,22,FALSE)=1,0,(1-$BK43))*(1-$BN43)</f>
        <v>0</v>
      </c>
      <c r="BS43" s="41" cm="1">
        <f t="array" ref="BS43">SUM(_xlfn.XLOOKUP(R43:AH43,增益!$A:$A,增益!$W:$W,0))+$I$5</f>
        <v>0.11</v>
      </c>
    </row>
    <row r="44" spans="1:71">
      <c r="A44" s="4"/>
      <c r="B44" s="4"/>
      <c r="F44" s="4"/>
      <c r="G44"/>
      <c r="K44" s="55">
        <f>($L44*$BP44+$M44*$BN44+$N44*$BQ44+$O44*$BR44)</f>
        <v>805563.784377785</v>
      </c>
      <c r="L44" s="55">
        <f>((($AP44+$AQ44)/2*$AJ44+$AK44)*(1+$AR44)*(1+$AS44)+(($AU44+$AV44)/2*IF($G$1="鸣金",$AL44,$AJ44)+IF($G$1="鸣金",$AM44*1.5,0))*(1+$AW44)*(1+$AX44)+(($AY44+$AZ44)/2*IF($G$1="裂石",$AL44,$AJ44)+IF($G$1="裂石",$AM44*1.5,0))*(1+$BA44)*(1+$BB44)+(($BC44+$BD44)/2*IF($G$1="牵丝",$AL44,$AJ44)+IF($G$1="牵丝",$AM44*1.5,0))*(1+$BE44)*(1+$BF44)+(($BG44+$BH44)/2*IF($G$1="破竹",$AL44,$AJ44)+IF($G$1="破竹",$AM44*1.5,0))*(1+$BI44)*(1+$BJ44))*(1+$AN44)*$BM44*$P44*(1+IF(VLOOKUP($Q44,武学奇术!$A:$ZZ,30,FALSE)="弹道",$B$21,0))*(1+$BS44)</f>
        <v>817253.383625884</v>
      </c>
      <c r="M44" s="55">
        <f>(($AQ44*$AJ44+$AK44)*(1+$AR44)*(1+$AS44)+($AV44*IF($G$1="鸣金",$AL44,$AJ44)+IF($G$1="鸣金",$AM44*1.5,0))*(1+$AW44)*(1+$AX44)+($AZ44*IF($G$1="裂石",$AL44,$AJ44)+IF($G$1="裂石",$AM44*1.5,0))*(1+$BA44)*(1+$BB44)+($BD44*IF($G$1="牵丝",$AL44,$AJ44)+IF($G$1="牵丝",$AM44*1.5,0))*(1+$BE44)*(1+$BF44)+($BH44*IF($G$1="破竹",$AL44,$AJ44)+IF($G$1="破竹",$AM44*1.5,0))*(1+$BI44)*(1+$BJ44))*(1+$AN44)*$BO44*$P44*(1+IF(VLOOKUP($Q44,武学奇术!$A:$ZZ,30,FALSE)="弹道",$B$21,0))*(1+$BS44)</f>
        <v>703946.440465036</v>
      </c>
      <c r="N44" s="55">
        <f>((($AP44+$AQ44)/2*$AJ44+$AK44)*(1+$AR44)*(1+$AS44)+(($AU44+$AV44)/2*IF($G$1="鸣金",$AL44,$AJ44)+IF($G$1="鸣金",$AM44*1.5,0))*(1+$AW44)*(1+$AX44)+(($AY44+$AZ44)/2*IF($G$1="裂石",$AL44,$AJ44)+IF($G$1="裂石",$AM44*1.5,0))*(1+$BA44)*(1+$BB44)+(($BC44+$BD44)/2*IF($G$1="牵丝",$AL44,$AJ44)+IF($G$1="牵丝",$AM44*1.5,0))*(1+$BE44)*(1+$BF44)+(($BG44+$BH44)/2*IF($G$1="破竹",$AL44,$AJ44)+IF($G$1="破竹",$AM44*1.5,0))*(1+$BI44)*(1+$BJ44))*(1+$AN44)*$P44*(1+IF(VLOOKUP($Q44,武学奇术!$A:$ZZ,30,FALSE)="弹道",$B$21,0))*(1+$BS44)</f>
        <v>369797.911142934</v>
      </c>
      <c r="O44" s="55">
        <f>((($AP44*$AJ44+$AK44)*(1+$AR44)*(1+$AS44)+($AU44*IF($G$1="鸣金",$AL44,$AJ44)+IF($G$1="鸣金",$AM44*1.5,0))*(1+$AW44)*(1+$AX44)+($AY44*IF($G$1="裂石",$AL44,$AJ44)+IF($G$1="裂石",$AM44*1.5,0))*(1+$BA44)*(1+$BB44)+($BC44*IF($G$1="牵丝",$AL44,$AJ44)+IF($G$1="牵丝",$AM44*1.5,0))*(1+$BE44)*(1+$BF44)+($BG44*IF($G$1="破竹",$AL44,$AJ44)+IF($G$1="破竹",$AM44*1.5,0))*(1+$BI44)*(1+$BJ44))*(1+$AN44))*$P44*(1+IF(VLOOKUP($Q44,武学奇术!$A:$ZZ,30,FALSE)="弹道",$B$21,0))*(1+$BS44)</f>
        <v>218154.014533989</v>
      </c>
      <c r="P44" s="56">
        <v>10</v>
      </c>
      <c r="Q44" s="57" t="s">
        <v>102</v>
      </c>
      <c r="R44" s="57" t="s">
        <v>116</v>
      </c>
      <c r="S44" s="57" t="s">
        <v>153</v>
      </c>
      <c r="T44" s="57" t="s">
        <v>92</v>
      </c>
      <c r="U44" s="57" t="s">
        <v>157</v>
      </c>
      <c r="V44" s="57" t="s">
        <v>86</v>
      </c>
      <c r="W44" s="57" t="s">
        <v>72</v>
      </c>
      <c r="X44" s="57" t="s">
        <v>72</v>
      </c>
      <c r="Y44" s="57" t="s">
        <v>112</v>
      </c>
      <c r="Z44" s="57" t="s">
        <v>113</v>
      </c>
      <c r="AA44" s="57" t="s">
        <v>72</v>
      </c>
      <c r="AB44" s="57" t="s">
        <v>96</v>
      </c>
      <c r="AC44" s="57" t="s">
        <v>72</v>
      </c>
      <c r="AD44" s="57" t="s">
        <v>72</v>
      </c>
      <c r="AE44" s="57" t="s">
        <v>72</v>
      </c>
      <c r="AF44" s="57" t="s">
        <v>72</v>
      </c>
      <c r="AG44" s="57" t="s">
        <v>72</v>
      </c>
      <c r="AH44" s="57" t="s">
        <v>87</v>
      </c>
      <c r="AI44" t="str">
        <f>VLOOKUP($Q44,武学奇术!$A:$ZZ,25,FALSE)</f>
        <v>伞</v>
      </c>
      <c r="AJ44" s="41">
        <f>VLOOKUP($Q44,武学奇术!$A:$ZZ,26,FALSE)</f>
        <v>1.174955</v>
      </c>
      <c r="AK44" s="42">
        <f>VLOOKUP($Q44,武学奇术!$A:$ZZ,27,FALSE)*(1+IF(OR($AI44=$F$4,$AI44=$F$5),$B$22,0))</f>
        <v>454.02</v>
      </c>
      <c r="AL44" s="41">
        <f>VLOOKUP($Q44,武学奇术!$A:$ZZ,28,FALSE)</f>
        <v>1.762375</v>
      </c>
      <c r="AM44" s="42">
        <f>VLOOKUP($Q44,武学奇术!$A:$ZZ,29,FALSE)*(1+IF(OR($AI44=$F$4,$AI44=$F$5),$B$22,0))</f>
        <v>247.94</v>
      </c>
      <c r="AN44" s="41" cm="1">
        <f t="array" ref="AN44">$G$3+IFERROR(VLOOKUP($AI44,$F$4:$G$7,2,FALSE),0)+VLOOKUP($Q44,武学奇术!$A:$ZZ,2,FALSE)+SUM(_xlfn.XLOOKUP($R44:$AH44,增益!$A:$A,增益!$B:$B,0))</f>
        <v>1.2041</v>
      </c>
      <c r="AO44" s="41" cm="1">
        <f t="array" ref="AO44">VLOOKUP($Q44,武学奇术!$A:$ZZ,5,FALSE)+SUM(_xlfn.XLOOKUP($R44:$AH44,增益!$A:$A,增益!$E:$E,0))</f>
        <v>0.15</v>
      </c>
      <c r="AP44" cm="1">
        <f t="array" ref="AP44">$D$10*(1+$AO44)+VLOOKUP($Q44,武学奇术!$A:$ZZ,3,FALSE)+SUM(_xlfn.XLOOKUP($R44:$AH44,增益!$A:$A,增益!$C:$C,0))-$I$2</f>
        <v>2150.71</v>
      </c>
      <c r="AQ44" cm="1">
        <f t="array" ref="AQ44">$E$10*(1+$AO44)+VLOOKUP($Q44,武学奇术!$A:$ZZ,4,FALSE)+SUM(_xlfn.XLOOKUP($R44:$AH44,增益!$A:$A,增益!$D:$D,0))-$I$2</f>
        <v>6394.9</v>
      </c>
      <c r="AR44" s="49" cm="1">
        <f t="array" ref="AR44">IF($F$10-$I$3+VLOOKUP($Q44,武学奇术!$A:$ZZ,6,FALSE)+SUM(_xlfn.XLOOKUP(R44:AH44,增益!$A:$A,增益!$F:$F,0))&gt;0,($F$10-$I$3+VLOOKUP($Q44,武学奇术!$A:$ZZ,6,FALSE)+SUM(_xlfn.XLOOKUP(R44:AH44,增益!$A:$A,增益!$F:$F,0)))/200,($F$10-$I$3+VLOOKUP($Q44,武学奇术!$A:$ZZ,6,FALSE)+SUM(_xlfn.XLOOKUP(R44:AH44,增益!$A:$A,增益!$F:$F,0)))/100)</f>
        <v>0.4925</v>
      </c>
      <c r="AS44" s="49" cm="1">
        <f t="array" ref="AS44">$G$10+VLOOKUP($Q44,武学奇术!$A:$ZZ,7,FALSE)+SUM(_xlfn.XLOOKUP(R44:AH44,增益!$A:$A,增益!$G:$G,0))</f>
        <v>0.1</v>
      </c>
      <c r="AT44" s="41" cm="1">
        <f t="array" ref="AT44">VLOOKUP($Q44,武学奇术!$A:$ZZ,8,FALSE)+SUM(_xlfn.XLOOKUP(R44:AH44,增益!$A:$A,增益!$H:$H,0))</f>
        <v>0</v>
      </c>
      <c r="AU44">
        <f>$D$11*(1+$AT44)</f>
        <v>0</v>
      </c>
      <c r="AV44">
        <f>$E$11*(1+$AT44)</f>
        <v>0</v>
      </c>
      <c r="AW44" s="49" cm="1">
        <f t="array" ref="AW44">IF($F$11-$I$4+VLOOKUP($Q44,武学奇术!$A:$ZZ,9,FALSE)+SUM(_xlfn.XLOOKUP(R44:AH44,增益!$A:$A,增益!$I:$I,0))&gt;0,($F$11-$I$4+VLOOKUP($Q44,武学奇术!$A:$ZZ,9,FALSE)+SUM(_xlfn.XLOOKUP(R44:AH44,增益!$A:$A,增益!$I:$I,0)))/200,($F$11-$I$4+VLOOKUP($Q44,武学奇术!$A:$ZZ,9,FALSE)+SUM(_xlfn.XLOOKUP(R44:AH44,增益!$A:$A,增益!$I:$I,0)))/100)</f>
        <v>-0.14</v>
      </c>
      <c r="AX44" s="49" cm="1">
        <f t="array" ref="AX44">$G$11+VLOOKUP($Q44,武学奇术!$A:$ZZ,10,FALSE)+SUM(_xlfn.XLOOKUP(R44:AH44,增益!$A:$A,增益!$J:$J,0))</f>
        <v>0</v>
      </c>
      <c r="AY44">
        <f>$D$12*(1+$AT44)</f>
        <v>0</v>
      </c>
      <c r="AZ44">
        <f>$E$12*(1+$AT44)</f>
        <v>0</v>
      </c>
      <c r="BA44" s="49" cm="1">
        <f t="array" ref="BA44">IF($F$12-$I$4+VLOOKUP($Q44,武学奇术!$A:$ZZ,11,FALSE)+SUM(_xlfn.XLOOKUP(R44:AH44,增益!$A:$A,增益!$K:$K,0))&gt;0,($F$12-$I$4+VLOOKUP($Q44,武学奇术!$A:$ZZ,11,FALSE)+SUM(_xlfn.XLOOKUP(R44:AH44,增益!$A:$A,增益!$K:$K,0)))/200,($F$12-$I$4+VLOOKUP($Q44,武学奇术!$A:$ZZ,11,FALSE)+SUM(_xlfn.XLOOKUP(R44:AH44,增益!$A:$A,增益!$K:$K,0)))/100)</f>
        <v>-0.14</v>
      </c>
      <c r="BB44" s="49" cm="1">
        <f t="array" ref="BB44">$G$12+VLOOKUP($Q44,武学奇术!$A:$ZZ,12,FALSE)+SUM(_xlfn.XLOOKUP(R44:AH44,增益!$A:$A,增益!$L:$L,0))</f>
        <v>0</v>
      </c>
      <c r="BC44">
        <f>$D$13*(1+$AT44)</f>
        <v>571.2</v>
      </c>
      <c r="BD44">
        <f>$E$13*(1+$AT44)</f>
        <v>1077.4</v>
      </c>
      <c r="BE44" s="49" cm="1">
        <f t="array" ref="BE44">IF($F$13-$I$4+VLOOKUP($Q44,武学奇术!$A:$ZZ,13,FALSE)+SUM(_xlfn.XLOOKUP(R44:AH44,增益!$A:$A,增益!$M:$M,0))&gt;0,($F$13-$I$4+VLOOKUP($Q44,武学奇术!$A:$ZZ,13,FALSE)+SUM(_xlfn.XLOOKUP(R44:AH44,增益!$A:$A,增益!$K:$K,0)))/200,($F$13-$I$4+VLOOKUP($Q44,武学奇术!$A:$ZZ,13,FALSE)+SUM(_xlfn.XLOOKUP(R44:AH44,增益!$A:$A,增益!$M:$M,0)))/100)</f>
        <v>0.08</v>
      </c>
      <c r="BF44" s="49" cm="1">
        <f t="array" ref="BF44">$G$13+VLOOKUP($Q44,武学奇术!$A:$ZZ,14,FALSE)+SUM(_xlfn.XLOOKUP(R44:AH44,增益!$A:$A,增益!$N:$N,0))</f>
        <v>0.25</v>
      </c>
      <c r="BG44">
        <f>$D$14*(1+$AT44)</f>
        <v>0</v>
      </c>
      <c r="BH44">
        <f>$E$14*(1+$AT44)</f>
        <v>0</v>
      </c>
      <c r="BI44" s="49" cm="1">
        <f t="array" ref="BI44">IF($F$14-$I$4+VLOOKUP($Q44,武学奇术!$A:$ZZ,15,FALSE)+SUM(_xlfn.XLOOKUP(R44:AH44,增益!$A:$A,增益!$O:$O,0))&gt;0,($F$14-$I$4+VLOOKUP($Q44,武学奇术!$A:$ZZ,15,FALSE)+SUM(_xlfn.XLOOKUP(R44:AH44,增益!$A:$A,增益!$O:$O,0)))/200,($F$14-$I$4+VLOOKUP($Q44,武学奇术!$A:$ZZ,15,FALSE)+SUM(_xlfn.XLOOKUP(R44:AH44,增益!$A:$A,增益!$O:$O,0)))/100)</f>
        <v>-0.14</v>
      </c>
      <c r="BJ44" s="49" cm="1">
        <f t="array" ref="BJ44">$G$14+VLOOKUP($Q44,武学奇术!$A:$ZZ,16,FALSE)+SUM(_xlfn.XLOOKUP(R44:AH44,增益!$A:$A,增益!$P:$P,0))</f>
        <v>0</v>
      </c>
      <c r="BK44" s="41">
        <f>MIN(IF(VLOOKUP($Q44,武学奇术!$A:$ZZ,23,FALSE)=1,100%,$B$8),100%)</f>
        <v>1</v>
      </c>
      <c r="BL44" s="41" cm="1">
        <f t="array" ref="BL44">IF(VLOOKUP($Q44,武学奇术!$A:$ZZ,23,FALSE)=1,100%,MIN(80%,$B$9+VLOOKUP($Q44,武学奇术!$A:$ZZ,17,FALSE)+SUM(_xlfn.XLOOKUP(R44:AH44,增益!$A:$A,增益!$Q:$Q,0)))+$B$11+SUM(_xlfn.XLOOKUP(R44:AH44,增益!$A:$A,增益!$U:$U,0)))*IF(VLOOKUP($Q44,武学奇术!$A:$ZZ,24,FALSE)=1,0,1)</f>
        <v>0.9045</v>
      </c>
      <c r="BM44" s="41" cm="1">
        <f t="array" ref="BM44">1+$B$13+VLOOKUP($Q44,武学奇术!$A:$ZZ,18,FALSE)+SUM(_xlfn.XLOOKUP(R44:AH44,增益!$A:$A,增益!$R:$R,0))</f>
        <v>2.21</v>
      </c>
      <c r="BN44" s="41" cm="1">
        <f t="array" ref="BN44">IF(VLOOKUP($Q44,武学奇术!$A:$ZZ,24,FALSE)=1,100%,MIN(40%,$B$10+VLOOKUP($Q44,武学奇术!$A:$ZZ,19,FALSE)+SUM(_xlfn.XLOOKUP(R44:AH44,增益!$A:$A,增益!$S:$S,0)))+$B$12+SUM(_xlfn.XLOOKUP(R44:AH44,增益!$A:$A,增益!$V:$V,0)))*IF(VLOOKUP($Q44,武学奇术!$A:$ZZ,23,FALSE)=1,0,1)</f>
        <v>0.0929</v>
      </c>
      <c r="BO44" s="41" cm="1">
        <f t="array" ref="BO44">1+$B$14+VLOOKUP($Q44,武学奇术!$A:$ZZ,20,FALSE)+SUM(_xlfn.XLOOKUP(R44:AH44,增益!$A:$A,增益!$T:$T,0))</f>
        <v>1.35</v>
      </c>
      <c r="BP44" s="41">
        <f>MIN((1-BN44)*BK44,BK44*BL44)</f>
        <v>0.9045</v>
      </c>
      <c r="BQ44" s="41">
        <f>1-BN44-BP44-BR44</f>
        <v>0.00260000000000005</v>
      </c>
      <c r="BR44" s="41">
        <f>IF(VLOOKUP($Q44,武学奇术!$A:$ZZ,22,FALSE)=1,0,(1-$BK44))*(1-$BN44)</f>
        <v>0</v>
      </c>
      <c r="BS44" s="41" cm="1">
        <f t="array" ref="BS44">SUM(_xlfn.XLOOKUP(R44:AH44,增益!$A:$A,增益!$W:$W,0))+$I$5</f>
        <v>0.11</v>
      </c>
    </row>
    <row r="45" spans="1:71">
      <c r="A45" s="4"/>
      <c r="B45" s="4"/>
      <c r="K45" s="55">
        <f>($L45*$BP45+$M45*$BN45+$N45*$BQ45+$O45*$BR45)</f>
        <v>18068.4141863657</v>
      </c>
      <c r="L45" s="55">
        <f>((($AP45+$AQ45)/2*$AJ45+$AK45)*(1+$AR45)*(1+$AS45)+(($AU45+$AV45)/2*IF($G$1="鸣金",$AL45,$AJ45)+IF($G$1="鸣金",$AM45*1.5,0))*(1+$AW45)*(1+$AX45)+(($AY45+$AZ45)/2*IF($G$1="裂石",$AL45,$AJ45)+IF($G$1="裂石",$AM45*1.5,0))*(1+$BA45)*(1+$BB45)+(($BC45+$BD45)/2*IF($G$1="牵丝",$AL45,$AJ45)+IF($G$1="牵丝",$AM45*1.5,0))*(1+$BE45)*(1+$BF45)+(($BG45+$BH45)/2*IF($G$1="破竹",$AL45,$AJ45)+IF($G$1="破竹",$AM45*1.5,0))*(1+$BI45)*(1+$BJ45))*(1+$AN45)*$BM45*$P45*(1+IF(VLOOKUP($Q45,武学奇术!$A:$ZZ,30,FALSE)="弹道",$B$21,0))*(1+$BS45)</f>
        <v>17778.6076944481</v>
      </c>
      <c r="M45" s="55">
        <f>(($AQ45*$AJ45+$AK45)*(1+$AR45)*(1+$AS45)+($AV45*IF($G$1="鸣金",$AL45,$AJ45)+IF($G$1="鸣金",$AM45*1.5,0))*(1+$AW45)*(1+$AX45)+($AZ45*IF($G$1="裂石",$AL45,$AJ45)+IF($G$1="裂石",$AM45*1.5,0))*(1+$BA45)*(1+$BB45)+($BD45*IF($G$1="牵丝",$AL45,$AJ45)+IF($G$1="牵丝",$AM45*1.5,0))*(1+$BE45)*(1+$BF45)+($BH45*IF($G$1="破竹",$AL45,$AJ45)+IF($G$1="破竹",$AM45*1.5,0))*(1+$BI45)*(1+$BJ45))*(1+$AN45)*$BO45*$P45*(1+IF(VLOOKUP($Q45,武学奇术!$A:$ZZ,30,FALSE)="弹道",$B$21,0))*(1+$BS45)</f>
        <v>21084.7501532184</v>
      </c>
      <c r="N45" s="55">
        <f>((($AP45+$AQ45)/2*$AJ45+$AK45)*(1+$AR45)*(1+$AS45)+(($AU45+$AV45)/2*IF($G$1="鸣金",$AL45,$AJ45)+IF($G$1="鸣金",$AM45*1.5,0))*(1+$AW45)*(1+$AX45)+(($AY45+$AZ45)/2*IF($G$1="裂石",$AL45,$AJ45)+IF($G$1="裂石",$AM45*1.5,0))*(1+$BA45)*(1+$BB45)+(($BC45+$BD45)/2*IF($G$1="牵丝",$AL45,$AJ45)+IF($G$1="牵丝",$AM45*1.5,0))*(1+$BE45)*(1+$BF45)+(($BG45+$BH45)/2*IF($G$1="破竹",$AL45,$AJ45)+IF($G$1="破竹",$AM45*1.5,0))*(1+$BI45)*(1+$BJ45))*(1+$AN45)*$P45*(1+IF(VLOOKUP($Q45,武学奇术!$A:$ZZ,30,FALSE)="弹道",$B$21,0))*(1+$BS45)</f>
        <v>11111.62980903</v>
      </c>
      <c r="O45" s="55">
        <f>((($AP45*$AJ45+$AK45)*(1+$AR45)*(1+$AS45)+($AU45*IF($G$1="鸣金",$AL45,$AJ45)+IF($G$1="鸣金",$AM45*1.5,0))*(1+$AW45)*(1+$AX45)+($AY45*IF($G$1="裂石",$AL45,$AJ45)+IF($G$1="裂石",$AM45*1.5,0))*(1+$BA45)*(1+$BB45)+($BC45*IF($G$1="牵丝",$AL45,$AJ45)+IF($G$1="牵丝",$AM45*1.5,0))*(1+$BE45)*(1+$BF45)+($BG45*IF($G$1="破竹",$AL45,$AJ45)+IF($G$1="破竹",$AM45*1.5,0))*(1+$BI45)*(1+$BJ45))*(1+$AN45))*$P45*(1+IF(VLOOKUP($Q45,武学奇术!$A:$ZZ,30,FALSE)="弹道",$B$21,0))*(1+$BS45)</f>
        <v>6604.92617123167</v>
      </c>
      <c r="P45" s="56">
        <v>1</v>
      </c>
      <c r="Q45" s="57" t="s">
        <v>146</v>
      </c>
      <c r="R45" s="57" t="s">
        <v>116</v>
      </c>
      <c r="S45" s="57" t="s">
        <v>153</v>
      </c>
      <c r="T45" s="57" t="s">
        <v>72</v>
      </c>
      <c r="U45" s="57" t="s">
        <v>157</v>
      </c>
      <c r="V45" s="57" t="s">
        <v>72</v>
      </c>
      <c r="W45" s="57" t="s">
        <v>72</v>
      </c>
      <c r="X45" s="57" t="s">
        <v>72</v>
      </c>
      <c r="Y45" s="57" t="s">
        <v>72</v>
      </c>
      <c r="Z45" s="57" t="s">
        <v>72</v>
      </c>
      <c r="AA45" s="57" t="s">
        <v>72</v>
      </c>
      <c r="AB45" s="57" t="s">
        <v>96</v>
      </c>
      <c r="AC45" s="57" t="s">
        <v>72</v>
      </c>
      <c r="AD45" s="57" t="s">
        <v>72</v>
      </c>
      <c r="AE45" s="57" t="s">
        <v>72</v>
      </c>
      <c r="AF45" s="57" t="s">
        <v>72</v>
      </c>
      <c r="AG45" s="57" t="s">
        <v>72</v>
      </c>
      <c r="AH45" s="57" t="s">
        <v>87</v>
      </c>
      <c r="AI45" t="str">
        <f>VLOOKUP($Q45,武学奇术!$A:$ZZ,25,FALSE)</f>
        <v>扇</v>
      </c>
      <c r="AJ45" s="41">
        <f>VLOOKUP($Q45,武学奇术!$A:$ZZ,26,FALSE)</f>
        <v>0.9271</v>
      </c>
      <c r="AK45" s="42">
        <f>VLOOKUP($Q45,武学奇术!$A:$ZZ,27,FALSE)*(1+IF(OR($AI45=$F$4,$AI45=$F$5),$B$22,0))</f>
        <v>359.8</v>
      </c>
      <c r="AL45" s="41">
        <f>VLOOKUP($Q45,武学奇术!$A:$ZZ,28,FALSE)</f>
        <v>1.3907</v>
      </c>
      <c r="AM45" s="42">
        <f>VLOOKUP($Q45,武学奇术!$A:$ZZ,29,FALSE)*(1+IF(OR($AI45=$F$4,$AI45=$F$5),$B$22,0))</f>
        <v>196</v>
      </c>
      <c r="AN45" s="41" cm="1">
        <f t="array" ref="AN45">$G$3+IFERROR(VLOOKUP($AI45,$F$4:$G$7,2,FALSE),0)+VLOOKUP($Q45,武学奇术!$A:$ZZ,2,FALSE)+SUM(_xlfn.XLOOKUP($R45:$AH45,增益!$A:$A,增益!$B:$B,0))</f>
        <v>0.3189</v>
      </c>
      <c r="AO45" s="41" cm="1">
        <f t="array" ref="AO45">VLOOKUP($Q45,武学奇术!$A:$ZZ,5,FALSE)+SUM(_xlfn.XLOOKUP($R45:$AH45,增益!$A:$A,增益!$E:$E,0))</f>
        <v>0.15</v>
      </c>
      <c r="AP45" cm="1">
        <f t="array" ref="AP45">$D$10*(1+$AO45)+VLOOKUP($Q45,武学奇术!$A:$ZZ,3,FALSE)+SUM(_xlfn.XLOOKUP($R45:$AH45,增益!$A:$A,增益!$C:$C,0))-$I$2</f>
        <v>2150.71</v>
      </c>
      <c r="AQ45" cm="1">
        <f t="array" ref="AQ45">$E$10*(1+$AO45)+VLOOKUP($Q45,武学奇术!$A:$ZZ,4,FALSE)+SUM(_xlfn.XLOOKUP($R45:$AH45,增益!$A:$A,增益!$D:$D,0))-$I$2</f>
        <v>6394.9</v>
      </c>
      <c r="AR45" s="49" cm="1">
        <f t="array" ref="AR45">IF($F$10-$I$3+VLOOKUP($Q45,武学奇术!$A:$ZZ,6,FALSE)+SUM(_xlfn.XLOOKUP(R45:AH45,增益!$A:$A,增益!$F:$F,0))&gt;0,($F$10-$I$3+VLOOKUP($Q45,武学奇术!$A:$ZZ,6,FALSE)+SUM(_xlfn.XLOOKUP(R45:AH45,增益!$A:$A,增益!$F:$F,0)))/200,($F$10-$I$3+VLOOKUP($Q45,武学奇术!$A:$ZZ,6,FALSE)+SUM(_xlfn.XLOOKUP(R45:AH45,增益!$A:$A,增益!$F:$F,0)))/100)</f>
        <v>0.3425</v>
      </c>
      <c r="AS45" s="49" cm="1">
        <f t="array" ref="AS45">$G$10+VLOOKUP($Q45,武学奇术!$A:$ZZ,7,FALSE)+SUM(_xlfn.XLOOKUP(R45:AH45,增益!$A:$A,增益!$G:$G,0))</f>
        <v>0</v>
      </c>
      <c r="AT45" s="41" cm="1">
        <f t="array" ref="AT45">VLOOKUP($Q45,武学奇术!$A:$ZZ,8,FALSE)+SUM(_xlfn.XLOOKUP(R45:AH45,增益!$A:$A,增益!$H:$H,0))</f>
        <v>0</v>
      </c>
      <c r="AU45">
        <f>$D$11*(1+$AT45)</f>
        <v>0</v>
      </c>
      <c r="AV45">
        <f>$E$11*(1+$AT45)</f>
        <v>0</v>
      </c>
      <c r="AW45" s="49" cm="1">
        <f t="array" ref="AW45">IF($F$11-$I$4+VLOOKUP($Q45,武学奇术!$A:$ZZ,9,FALSE)+SUM(_xlfn.XLOOKUP(R45:AH45,增益!$A:$A,增益!$I:$I,0))&gt;0,($F$11-$I$4+VLOOKUP($Q45,武学奇术!$A:$ZZ,9,FALSE)+SUM(_xlfn.XLOOKUP(R45:AH45,增益!$A:$A,增益!$I:$I,0)))/200,($F$11-$I$4+VLOOKUP($Q45,武学奇术!$A:$ZZ,9,FALSE)+SUM(_xlfn.XLOOKUP(R45:AH45,增益!$A:$A,增益!$I:$I,0)))/100)</f>
        <v>-0.14</v>
      </c>
      <c r="AX45" s="49" cm="1">
        <f t="array" ref="AX45">$G$11+VLOOKUP($Q45,武学奇术!$A:$ZZ,10,FALSE)+SUM(_xlfn.XLOOKUP(R45:AH45,增益!$A:$A,增益!$J:$J,0))</f>
        <v>0</v>
      </c>
      <c r="AY45">
        <f>$D$12*(1+$AT45)</f>
        <v>0</v>
      </c>
      <c r="AZ45">
        <f>$E$12*(1+$AT45)</f>
        <v>0</v>
      </c>
      <c r="BA45" s="49" cm="1">
        <f t="array" ref="BA45">IF($F$12-$I$4+VLOOKUP($Q45,武学奇术!$A:$ZZ,11,FALSE)+SUM(_xlfn.XLOOKUP(R45:AH45,增益!$A:$A,增益!$K:$K,0))&gt;0,($F$12-$I$4+VLOOKUP($Q45,武学奇术!$A:$ZZ,11,FALSE)+SUM(_xlfn.XLOOKUP(R45:AH45,增益!$A:$A,增益!$K:$K,0)))/200,($F$12-$I$4+VLOOKUP($Q45,武学奇术!$A:$ZZ,11,FALSE)+SUM(_xlfn.XLOOKUP(R45:AH45,增益!$A:$A,增益!$K:$K,0)))/100)</f>
        <v>-0.14</v>
      </c>
      <c r="BB45" s="49" cm="1">
        <f t="array" ref="BB45">$G$12+VLOOKUP($Q45,武学奇术!$A:$ZZ,12,FALSE)+SUM(_xlfn.XLOOKUP(R45:AH45,增益!$A:$A,增益!$L:$L,0))</f>
        <v>0</v>
      </c>
      <c r="BC45">
        <f>$D$13*(1+$AT45)</f>
        <v>571.2</v>
      </c>
      <c r="BD45">
        <f>$E$13*(1+$AT45)</f>
        <v>1077.4</v>
      </c>
      <c r="BE45" s="49" cm="1">
        <f t="array" ref="BE45">IF($F$13-$I$4+VLOOKUP($Q45,武学奇术!$A:$ZZ,13,FALSE)+SUM(_xlfn.XLOOKUP(R45:AH45,增益!$A:$A,增益!$M:$M,0))&gt;0,($F$13-$I$4+VLOOKUP($Q45,武学奇术!$A:$ZZ,13,FALSE)+SUM(_xlfn.XLOOKUP(R45:AH45,增益!$A:$A,增益!$K:$K,0)))/200,($F$13-$I$4+VLOOKUP($Q45,武学奇术!$A:$ZZ,13,FALSE)+SUM(_xlfn.XLOOKUP(R45:AH45,增益!$A:$A,增益!$M:$M,0)))/100)</f>
        <v>0.08</v>
      </c>
      <c r="BF45" s="49" cm="1">
        <f t="array" ref="BF45">$G$13+VLOOKUP($Q45,武学奇术!$A:$ZZ,14,FALSE)+SUM(_xlfn.XLOOKUP(R45:AH45,增益!$A:$A,增益!$N:$N,0))</f>
        <v>0.15</v>
      </c>
      <c r="BG45">
        <f>$D$14*(1+$AT45)</f>
        <v>0</v>
      </c>
      <c r="BH45">
        <f>$E$14*(1+$AT45)</f>
        <v>0</v>
      </c>
      <c r="BI45" s="49" cm="1">
        <f t="array" ref="BI45">IF($F$14-$I$4+VLOOKUP($Q45,武学奇术!$A:$ZZ,15,FALSE)+SUM(_xlfn.XLOOKUP(R45:AH45,增益!$A:$A,增益!$O:$O,0))&gt;0,($F$14-$I$4+VLOOKUP($Q45,武学奇术!$A:$ZZ,15,FALSE)+SUM(_xlfn.XLOOKUP(R45:AH45,增益!$A:$A,增益!$O:$O,0)))/200,($F$14-$I$4+VLOOKUP($Q45,武学奇术!$A:$ZZ,15,FALSE)+SUM(_xlfn.XLOOKUP(R45:AH45,增益!$A:$A,增益!$O:$O,0)))/100)</f>
        <v>-0.14</v>
      </c>
      <c r="BJ45" s="49" cm="1">
        <f t="array" ref="BJ45">$G$14+VLOOKUP($Q45,武学奇术!$A:$ZZ,16,FALSE)+SUM(_xlfn.XLOOKUP(R45:AH45,增益!$A:$A,增益!$P:$P,0))</f>
        <v>0</v>
      </c>
      <c r="BK45" s="41">
        <f>MIN(IF(VLOOKUP($Q45,武学奇术!$A:$ZZ,23,FALSE)=1,100%,$B$8),100%)</f>
        <v>1</v>
      </c>
      <c r="BL45" s="41" cm="1">
        <f t="array" ref="BL45">IF(VLOOKUP($Q45,武学奇术!$A:$ZZ,23,FALSE)=1,100%,MIN(80%,$B$9+VLOOKUP($Q45,武学奇术!$A:$ZZ,17,FALSE)+SUM(_xlfn.XLOOKUP(R45:AH45,增益!$A:$A,增益!$Q:$Q,0)))+$B$11+SUM(_xlfn.XLOOKUP(R45:AH45,增益!$A:$A,增益!$U:$U,0)))*IF(VLOOKUP($Q45,武学奇术!$A:$ZZ,24,FALSE)=1,0,1)</f>
        <v>0.9045</v>
      </c>
      <c r="BM45" s="41" cm="1">
        <f t="array" ref="BM45">1+$B$13+VLOOKUP($Q45,武学奇术!$A:$ZZ,18,FALSE)+SUM(_xlfn.XLOOKUP(R45:AH45,增益!$A:$A,增益!$R:$R,0))</f>
        <v>1.6</v>
      </c>
      <c r="BN45" s="41" cm="1">
        <f t="array" ref="BN45">IF(VLOOKUP($Q45,武学奇术!$A:$ZZ,24,FALSE)=1,100%,MIN(40%,$B$10+VLOOKUP($Q45,武学奇术!$A:$ZZ,19,FALSE)+SUM(_xlfn.XLOOKUP(R45:AH45,增益!$A:$A,增益!$S:$S,0)))+$B$12+SUM(_xlfn.XLOOKUP(R45:AH45,增益!$A:$A,增益!$V:$V,0)))*IF(VLOOKUP($Q45,武学奇术!$A:$ZZ,23,FALSE)=1,0,1)</f>
        <v>0.0929</v>
      </c>
      <c r="BO45" s="41" cm="1">
        <f t="array" ref="BO45">1+$B$14+VLOOKUP($Q45,武学奇术!$A:$ZZ,20,FALSE)+SUM(_xlfn.XLOOKUP(R45:AH45,增益!$A:$A,增益!$T:$T,0))</f>
        <v>1.35</v>
      </c>
      <c r="BP45" s="41">
        <f>MIN((1-BN45)*BK45,BK45*BL45)</f>
        <v>0.9045</v>
      </c>
      <c r="BQ45" s="41">
        <f>1-BN45-BP45-BR45</f>
        <v>0.00260000000000005</v>
      </c>
      <c r="BR45" s="41">
        <f>IF(VLOOKUP($Q45,武学奇术!$A:$ZZ,22,FALSE)=1,0,(1-$BK45))*(1-$BN45)</f>
        <v>0</v>
      </c>
      <c r="BS45" s="41" cm="1">
        <f t="array" ref="BS45">SUM(_xlfn.XLOOKUP(R45:AH45,增益!$A:$A,增益!$W:$W,0))+$I$5</f>
        <v>0.11</v>
      </c>
    </row>
    <row r="46" spans="1:71">
      <c r="A46" s="4"/>
      <c r="B46" s="109"/>
      <c r="K46" s="55">
        <f>($L46*$BP46+$M46*$BN46+$N46*$BQ46+$O46*$BR46)</f>
        <v>113013.423075169</v>
      </c>
      <c r="L46" s="55">
        <f>((($AP46+$AQ46)/2*$AJ46+$AK46)*(1+$AR46)*(1+$AS46)+(($AU46+$AV46)/2*IF($G$1="鸣金",$AL46,$AJ46)+IF($G$1="鸣金",$AM46*1.5,0))*(1+$AW46)*(1+$AX46)+(($AY46+$AZ46)/2*IF($G$1="裂石",$AL46,$AJ46)+IF($G$1="裂石",$AM46*1.5,0))*(1+$BA46)*(1+$BB46)+(($BC46+$BD46)/2*IF($G$1="牵丝",$AL46,$AJ46)+IF($G$1="牵丝",$AM46*1.5,0))*(1+$BE46)*(1+$BF46)+(($BG46+$BH46)/2*IF($G$1="破竹",$AL46,$AJ46)+IF($G$1="破竹",$AM46*1.5,0))*(1+$BI46)*(1+$BJ46))*(1+$AN46)*$BM46*$P46*(1+IF(VLOOKUP($Q46,武学奇术!$A:$ZZ,30,FALSE)="弹道",$B$21,0))*(1+$BS46)</f>
        <v>112849.635579033</v>
      </c>
      <c r="M46" s="55">
        <f>(($AQ46*$AJ46+$AK46)*(1+$AR46)*(1+$AS46)+($AV46*IF($G$1="鸣金",$AL46,$AJ46)+IF($G$1="鸣金",$AM46*1.5,0))*(1+$AW46)*(1+$AX46)+($AZ46*IF($G$1="裂石",$AL46,$AJ46)+IF($G$1="裂石",$AM46*1.5,0))*(1+$BA46)*(1+$BB46)+($BD46*IF($G$1="牵丝",$AL46,$AJ46)+IF($G$1="牵丝",$AM46*1.5,0))*(1+$BE46)*(1+$BF46)+($BH46*IF($G$1="破竹",$AL46,$AJ46)+IF($G$1="破竹",$AM46*1.5,0))*(1+$BI46)*(1+$BJ46))*(1+$AN46)*$BO46*$P46*(1+IF(VLOOKUP($Q46,武学奇术!$A:$ZZ,30,FALSE)="弹道",$B$21,0))*(1+$BS46)</f>
        <v>116063.812767414</v>
      </c>
      <c r="N46" s="55">
        <f>((($AP46+$AQ46)/2*$AJ46+$AK46)*(1+$AR46)*(1+$AS46)+(($AU46+$AV46)/2*IF($G$1="鸣金",$AL46,$AJ46)+IF($G$1="鸣金",$AM46*1.5,0))*(1+$AW46)*(1+$AX46)+(($AY46+$AZ46)/2*IF($G$1="裂石",$AL46,$AJ46)+IF($G$1="裂石",$AM46*1.5,0))*(1+$BA46)*(1+$BB46)+(($BC46+$BD46)/2*IF($G$1="牵丝",$AL46,$AJ46)+IF($G$1="牵丝",$AM46*1.5,0))*(1+$BE46)*(1+$BF46)+(($BG46+$BH46)/2*IF($G$1="破竹",$AL46,$AJ46)+IF($G$1="破竹",$AM46*1.5,0))*(1+$BI46)*(1+$BJ46))*(1+$AN46)*$P46*(1+IF(VLOOKUP($Q46,武学奇术!$A:$ZZ,30,FALSE)="弹道",$B$21,0))*(1+$BS46)</f>
        <v>60999.8030156935</v>
      </c>
      <c r="O46" s="55">
        <f>((($AP46*$AJ46+$AK46)*(1+$AR46)*(1+$AS46)+($AU46*IF($G$1="鸣金",$AL46,$AJ46)+IF($G$1="鸣金",$AM46*1.5,0))*(1+$AW46)*(1+$AX46)+($AY46*IF($G$1="裂石",$AL46,$AJ46)+IF($G$1="裂石",$AM46*1.5,0))*(1+$BA46)*(1+$BB46)+($BC46*IF($G$1="牵丝",$AL46,$AJ46)+IF($G$1="牵丝",$AM46*1.5,0))*(1+$BE46)*(1+$BF46)+($BG46*IF($G$1="破竹",$AL46,$AJ46)+IF($G$1="破竹",$AM46*1.5,0))*(1+$BI46)*(1+$BJ46))*(1+$AN46))*$P46*(1+IF(VLOOKUP($Q46,武学奇术!$A:$ZZ,30,FALSE)="弹道",$B$21,0))*(1+$BS46)</f>
        <v>36026.4113888578</v>
      </c>
      <c r="P46" s="56">
        <v>1</v>
      </c>
      <c r="Q46" s="57" t="s">
        <v>126</v>
      </c>
      <c r="R46" s="57" t="s">
        <v>116</v>
      </c>
      <c r="S46" s="57" t="s">
        <v>153</v>
      </c>
      <c r="T46" s="57" t="s">
        <v>72</v>
      </c>
      <c r="U46" s="57" t="s">
        <v>157</v>
      </c>
      <c r="V46" s="57" t="s">
        <v>86</v>
      </c>
      <c r="W46" s="57" t="s">
        <v>158</v>
      </c>
      <c r="X46" s="57" t="s">
        <v>72</v>
      </c>
      <c r="Y46" s="57" t="s">
        <v>112</v>
      </c>
      <c r="Z46" s="57" t="s">
        <v>113</v>
      </c>
      <c r="AA46" s="57" t="s">
        <v>72</v>
      </c>
      <c r="AB46" s="57" t="s">
        <v>96</v>
      </c>
      <c r="AC46" s="57" t="s">
        <v>72</v>
      </c>
      <c r="AD46" s="57" t="s">
        <v>72</v>
      </c>
      <c r="AE46" s="57" t="s">
        <v>72</v>
      </c>
      <c r="AF46" s="57" t="s">
        <v>72</v>
      </c>
      <c r="AG46" s="57" t="s">
        <v>72</v>
      </c>
      <c r="AH46" s="57" t="s">
        <v>87</v>
      </c>
      <c r="AI46" t="str">
        <f>VLOOKUP($Q46,武学奇术!$A:$ZZ,25,FALSE)</f>
        <v>扇</v>
      </c>
      <c r="AJ46" s="41">
        <f>VLOOKUP($Q46,武学奇术!$A:$ZZ,26,FALSE)</f>
        <v>2.76138</v>
      </c>
      <c r="AK46" s="42">
        <f>VLOOKUP($Q46,武学奇术!$A:$ZZ,27,FALSE)*(1+IF(OR($AI46=$F$4,$AI46=$F$5),$B$22,0))</f>
        <v>1069.81</v>
      </c>
      <c r="AL46" s="41">
        <f>VLOOKUP($Q46,武学奇术!$A:$ZZ,28,FALSE)</f>
        <v>4.14207</v>
      </c>
      <c r="AM46" s="42">
        <f>VLOOKUP($Q46,武学奇术!$A:$ZZ,29,FALSE)*(1+IF(OR($AI46=$F$4,$AI46=$F$5),$B$22,0))</f>
        <v>582.61</v>
      </c>
      <c r="AN46" s="41" cm="1">
        <f t="array" ref="AN46">$G$3+IFERROR(VLOOKUP($AI46,$F$4:$G$7,2,FALSE),0)+VLOOKUP($Q46,武学奇术!$A:$ZZ,2,FALSE)+SUM(_xlfn.XLOOKUP($R46:$AH46,增益!$A:$A,增益!$B:$B,0))</f>
        <v>1.0689</v>
      </c>
      <c r="AO46" s="41" cm="1">
        <f t="array" ref="AO46">VLOOKUP($Q46,武学奇术!$A:$ZZ,5,FALSE)+SUM(_xlfn.XLOOKUP($R46:$AH46,增益!$A:$A,增益!$E:$E,0))</f>
        <v>0.15</v>
      </c>
      <c r="AP46" cm="1">
        <f t="array" ref="AP46">$D$10*(1+$AO46)+VLOOKUP($Q46,武学奇术!$A:$ZZ,3,FALSE)+SUM(_xlfn.XLOOKUP($R46:$AH46,增益!$A:$A,增益!$C:$C,0))-$I$2</f>
        <v>2150.71</v>
      </c>
      <c r="AQ46" cm="1">
        <f t="array" ref="AQ46">$E$10*(1+$AO46)+VLOOKUP($Q46,武学奇术!$A:$ZZ,4,FALSE)+SUM(_xlfn.XLOOKUP($R46:$AH46,增益!$A:$A,增益!$D:$D,0))-$I$2</f>
        <v>6394.9</v>
      </c>
      <c r="AR46" s="49" cm="1">
        <f t="array" ref="AR46">IF($F$10-$I$3+VLOOKUP($Q46,武学奇术!$A:$ZZ,6,FALSE)+SUM(_xlfn.XLOOKUP(R46:AH46,增益!$A:$A,增益!$F:$F,0))&gt;0,($F$10-$I$3+VLOOKUP($Q46,武学奇术!$A:$ZZ,6,FALSE)+SUM(_xlfn.XLOOKUP(R46:AH46,增益!$A:$A,增益!$F:$F,0)))/200,($F$10-$I$3+VLOOKUP($Q46,武学奇术!$A:$ZZ,6,FALSE)+SUM(_xlfn.XLOOKUP(R46:AH46,增益!$A:$A,增益!$F:$F,0)))/100)</f>
        <v>0.4675</v>
      </c>
      <c r="AS46" s="49" cm="1">
        <f t="array" ref="AS46">$G$10+VLOOKUP($Q46,武学奇术!$A:$ZZ,7,FALSE)+SUM(_xlfn.XLOOKUP(R46:AH46,增益!$A:$A,增益!$G:$G,0))</f>
        <v>0.1</v>
      </c>
      <c r="AT46" s="41" cm="1">
        <f t="array" ref="AT46">VLOOKUP($Q46,武学奇术!$A:$ZZ,8,FALSE)+SUM(_xlfn.XLOOKUP(R46:AH46,增益!$A:$A,增益!$H:$H,0))</f>
        <v>0</v>
      </c>
      <c r="AU46">
        <f>$D$11*(1+$AT46)</f>
        <v>0</v>
      </c>
      <c r="AV46">
        <f>$E$11*(1+$AT46)</f>
        <v>0</v>
      </c>
      <c r="AW46" s="49" cm="1">
        <f t="array" ref="AW46">IF($F$11-$I$4+VLOOKUP($Q46,武学奇术!$A:$ZZ,9,FALSE)+SUM(_xlfn.XLOOKUP(R46:AH46,增益!$A:$A,增益!$I:$I,0))&gt;0,($F$11-$I$4+VLOOKUP($Q46,武学奇术!$A:$ZZ,9,FALSE)+SUM(_xlfn.XLOOKUP(R46:AH46,增益!$A:$A,增益!$I:$I,0)))/200,($F$11-$I$4+VLOOKUP($Q46,武学奇术!$A:$ZZ,9,FALSE)+SUM(_xlfn.XLOOKUP(R46:AH46,增益!$A:$A,增益!$I:$I,0)))/100)</f>
        <v>-0.14</v>
      </c>
      <c r="AX46" s="49" cm="1">
        <f t="array" ref="AX46">$G$11+VLOOKUP($Q46,武学奇术!$A:$ZZ,10,FALSE)+SUM(_xlfn.XLOOKUP(R46:AH46,增益!$A:$A,增益!$J:$J,0))</f>
        <v>0</v>
      </c>
      <c r="AY46">
        <f>$D$12*(1+$AT46)</f>
        <v>0</v>
      </c>
      <c r="AZ46">
        <f>$E$12*(1+$AT46)</f>
        <v>0</v>
      </c>
      <c r="BA46" s="49" cm="1">
        <f t="array" ref="BA46">IF($F$12-$I$4+VLOOKUP($Q46,武学奇术!$A:$ZZ,11,FALSE)+SUM(_xlfn.XLOOKUP(R46:AH46,增益!$A:$A,增益!$K:$K,0))&gt;0,($F$12-$I$4+VLOOKUP($Q46,武学奇术!$A:$ZZ,11,FALSE)+SUM(_xlfn.XLOOKUP(R46:AH46,增益!$A:$A,增益!$K:$K,0)))/200,($F$12-$I$4+VLOOKUP($Q46,武学奇术!$A:$ZZ,11,FALSE)+SUM(_xlfn.XLOOKUP(R46:AH46,增益!$A:$A,增益!$K:$K,0)))/100)</f>
        <v>-0.14</v>
      </c>
      <c r="BB46" s="49" cm="1">
        <f t="array" ref="BB46">$G$12+VLOOKUP($Q46,武学奇术!$A:$ZZ,12,FALSE)+SUM(_xlfn.XLOOKUP(R46:AH46,增益!$A:$A,增益!$L:$L,0))</f>
        <v>0</v>
      </c>
      <c r="BC46">
        <f>$D$13*(1+$AT46)</f>
        <v>571.2</v>
      </c>
      <c r="BD46">
        <f>$E$13*(1+$AT46)</f>
        <v>1077.4</v>
      </c>
      <c r="BE46" s="49" cm="1">
        <f t="array" ref="BE46">IF($F$13-$I$4+VLOOKUP($Q46,武学奇术!$A:$ZZ,13,FALSE)+SUM(_xlfn.XLOOKUP(R46:AH46,增益!$A:$A,增益!$M:$M,0))&gt;0,($F$13-$I$4+VLOOKUP($Q46,武学奇术!$A:$ZZ,13,FALSE)+SUM(_xlfn.XLOOKUP(R46:AH46,增益!$A:$A,增益!$K:$K,0)))/200,($F$13-$I$4+VLOOKUP($Q46,武学奇术!$A:$ZZ,13,FALSE)+SUM(_xlfn.XLOOKUP(R46:AH46,增益!$A:$A,增益!$M:$M,0)))/100)</f>
        <v>0.08</v>
      </c>
      <c r="BF46" s="49" cm="1">
        <f t="array" ref="BF46">$G$13+VLOOKUP($Q46,武学奇术!$A:$ZZ,14,FALSE)+SUM(_xlfn.XLOOKUP(R46:AH46,增益!$A:$A,增益!$N:$N,0))</f>
        <v>0.25</v>
      </c>
      <c r="BG46">
        <f>$D$14*(1+$AT46)</f>
        <v>0</v>
      </c>
      <c r="BH46">
        <f>$E$14*(1+$AT46)</f>
        <v>0</v>
      </c>
      <c r="BI46" s="49" cm="1">
        <f t="array" ref="BI46">IF($F$14-$I$4+VLOOKUP($Q46,武学奇术!$A:$ZZ,15,FALSE)+SUM(_xlfn.XLOOKUP(R46:AH46,增益!$A:$A,增益!$O:$O,0))&gt;0,($F$14-$I$4+VLOOKUP($Q46,武学奇术!$A:$ZZ,15,FALSE)+SUM(_xlfn.XLOOKUP(R46:AH46,增益!$A:$A,增益!$O:$O,0)))/200,($F$14-$I$4+VLOOKUP($Q46,武学奇术!$A:$ZZ,15,FALSE)+SUM(_xlfn.XLOOKUP(R46:AH46,增益!$A:$A,增益!$O:$O,0)))/100)</f>
        <v>-0.14</v>
      </c>
      <c r="BJ46" s="49" cm="1">
        <f t="array" ref="BJ46">$G$14+VLOOKUP($Q46,武学奇术!$A:$ZZ,16,FALSE)+SUM(_xlfn.XLOOKUP(R46:AH46,增益!$A:$A,增益!$P:$P,0))</f>
        <v>0</v>
      </c>
      <c r="BK46" s="41">
        <f>MIN(IF(VLOOKUP($Q46,武学奇术!$A:$ZZ,23,FALSE)=1,100%,$B$8),100%)</f>
        <v>1</v>
      </c>
      <c r="BL46" s="41" cm="1">
        <f t="array" ref="BL46">IF(VLOOKUP($Q46,武学奇术!$A:$ZZ,23,FALSE)=1,100%,MIN(80%,$B$9+VLOOKUP($Q46,武学奇术!$A:$ZZ,17,FALSE)+SUM(_xlfn.XLOOKUP(R46:AH46,增益!$A:$A,增益!$Q:$Q,0)))+$B$11+SUM(_xlfn.XLOOKUP(R46:AH46,增益!$A:$A,增益!$U:$U,0)))*IF(VLOOKUP($Q46,武学奇术!$A:$ZZ,24,FALSE)=1,0,1)</f>
        <v>0.9045</v>
      </c>
      <c r="BM46" s="41" cm="1">
        <f t="array" ref="BM46">1+$B$13+VLOOKUP($Q46,武学奇术!$A:$ZZ,18,FALSE)+SUM(_xlfn.XLOOKUP(R46:AH46,增益!$A:$A,增益!$R:$R,0))</f>
        <v>1.85</v>
      </c>
      <c r="BN46" s="41" cm="1">
        <f t="array" ref="BN46">IF(VLOOKUP($Q46,武学奇术!$A:$ZZ,24,FALSE)=1,100%,MIN(40%,$B$10+VLOOKUP($Q46,武学奇术!$A:$ZZ,19,FALSE)+SUM(_xlfn.XLOOKUP(R46:AH46,增益!$A:$A,增益!$S:$S,0)))+$B$12+SUM(_xlfn.XLOOKUP(R46:AH46,增益!$A:$A,增益!$V:$V,0)))*IF(VLOOKUP($Q46,武学奇术!$A:$ZZ,23,FALSE)=1,0,1)</f>
        <v>0.0929</v>
      </c>
      <c r="BO46" s="41" cm="1">
        <f t="array" ref="BO46">1+$B$14+VLOOKUP($Q46,武学奇术!$A:$ZZ,20,FALSE)+SUM(_xlfn.XLOOKUP(R46:AH46,增益!$A:$A,增益!$T:$T,0))</f>
        <v>1.35</v>
      </c>
      <c r="BP46" s="41">
        <f>MIN((1-BN46)*BK46,BK46*BL46)</f>
        <v>0.9045</v>
      </c>
      <c r="BQ46" s="41">
        <f>1-BN46-BP46-BR46</f>
        <v>0.00260000000000005</v>
      </c>
      <c r="BR46" s="41">
        <f>IF(VLOOKUP($Q46,武学奇术!$A:$ZZ,22,FALSE)=1,0,(1-$BK46))*(1-$BN46)</f>
        <v>0</v>
      </c>
      <c r="BS46" s="41" cm="1">
        <f t="array" ref="BS46">SUM(_xlfn.XLOOKUP(R46:AH46,增益!$A:$A,增益!$W:$W,0))+$I$5</f>
        <v>0.11</v>
      </c>
    </row>
    <row r="47" spans="1:71">
      <c r="A47" s="4"/>
      <c r="B47" s="109"/>
      <c r="K47" s="55">
        <f>($L47*$BP47+$M47*$BN47+$N47*$BQ47+$O47*$BR47)</f>
        <v>168095.763682914</v>
      </c>
      <c r="L47" s="55">
        <f>((($AP47+$AQ47)/2*$AJ47+$AK47)*(1+$AR47)*(1+$AS47)+(($AU47+$AV47)/2*IF($G$1="鸣金",$AL47,$AJ47)+IF($G$1="鸣金",$AM47*1.5,0))*(1+$AW47)*(1+$AX47)+(($AY47+$AZ47)/2*IF($G$1="裂石",$AL47,$AJ47)+IF($G$1="裂石",$AM47*1.5,0))*(1+$BA47)*(1+$BB47)+(($BC47+$BD47)/2*IF($G$1="牵丝",$AL47,$AJ47)+IF($G$1="牵丝",$AM47*1.5,0))*(1+$BE47)*(1+$BF47)+(($BG47+$BH47)/2*IF($G$1="破竹",$AL47,$AJ47)+IF($G$1="破竹",$AM47*1.5,0))*(1+$BI47)*(1+$BJ47))*(1+$AN47)*$BM47*$P47*(1+IF(VLOOKUP($Q47,武学奇术!$A:$ZZ,30,FALSE)="弹道",$B$21,0))*(1+$BS47)</f>
        <v>170295.603300533</v>
      </c>
      <c r="M47" s="55">
        <f>(($AQ47*$AJ47+$AK47)*(1+$AR47)*(1+$AS47)+($AV47*IF($G$1="鸣金",$AL47,$AJ47)+IF($G$1="鸣金",$AM47*1.5,0))*(1+$AW47)*(1+$AX47)+($AZ47*IF($G$1="裂石",$AL47,$AJ47)+IF($G$1="裂石",$AM47*1.5,0))*(1+$BA47)*(1+$BB47)+($BD47*IF($G$1="牵丝",$AL47,$AJ47)+IF($G$1="牵丝",$AM47*1.5,0))*(1+$BE47)*(1+$BF47)+($BH47*IF($G$1="破竹",$AL47,$AJ47)+IF($G$1="破竹",$AM47*1.5,0))*(1+$BI47)*(1+$BJ47))*(1+$AN47)*$BO47*$P47*(1+IF(VLOOKUP($Q47,武学奇术!$A:$ZZ,30,FALSE)="弹道",$B$21,0))*(1+$BS47)</f>
        <v>146615.951872992</v>
      </c>
      <c r="N47" s="55">
        <f>((($AP47+$AQ47)/2*$AJ47+$AK47)*(1+$AR47)*(1+$AS47)+(($AU47+$AV47)/2*IF($G$1="鸣金",$AL47,$AJ47)+IF($G$1="鸣金",$AM47*1.5,0))*(1+$AW47)*(1+$AX47)+(($AY47+$AZ47)/2*IF($G$1="裂石",$AL47,$AJ47)+IF($G$1="裂石",$AM47*1.5,0))*(1+$BA47)*(1+$BB47)+(($BC47+$BD47)/2*IF($G$1="牵丝",$AL47,$AJ47)+IF($G$1="牵丝",$AM47*1.5,0))*(1+$BE47)*(1+$BF47)+(($BG47+$BH47)/2*IF($G$1="破竹",$AL47,$AJ47)+IF($G$1="破竹",$AM47*1.5,0))*(1+$BI47)*(1+$BJ47))*(1+$AN47)*$P47*(1+IF(VLOOKUP($Q47,武学奇术!$A:$ZZ,30,FALSE)="弹道",$B$21,0))*(1+$BS47)</f>
        <v>77056.8340726392</v>
      </c>
      <c r="O47" s="55">
        <f>((($AP47*$AJ47+$AK47)*(1+$AR47)*(1+$AS47)+($AU47*IF($G$1="鸣金",$AL47,$AJ47)+IF($G$1="鸣金",$AM47*1.5,0))*(1+$AW47)*(1+$AX47)+($AY47*IF($G$1="裂石",$AL47,$AJ47)+IF($G$1="裂石",$AM47*1.5,0))*(1+$BA47)*(1+$BB47)+($BC47*IF($G$1="牵丝",$AL47,$AJ47)+IF($G$1="牵丝",$AM47*1.5,0))*(1+$BE47)*(1+$BF47)+($BG47*IF($G$1="破竹",$AL47,$AJ47)+IF($G$1="破竹",$AM47*1.5,0))*(1+$BI47)*(1+$BJ47))*(1+$AN47))*$P47*(1+IF(VLOOKUP($Q47,武学奇术!$A:$ZZ,30,FALSE)="弹道",$B$21,0))*(1+$BS47)</f>
        <v>45509.2593504696</v>
      </c>
      <c r="P47" s="56">
        <v>1</v>
      </c>
      <c r="Q47" s="57" t="s">
        <v>155</v>
      </c>
      <c r="R47" s="57" t="s">
        <v>116</v>
      </c>
      <c r="S47" s="57" t="s">
        <v>153</v>
      </c>
      <c r="T47" s="57" t="s">
        <v>72</v>
      </c>
      <c r="U47" s="57" t="s">
        <v>157</v>
      </c>
      <c r="V47" s="57" t="s">
        <v>156</v>
      </c>
      <c r="W47" s="57" t="s">
        <v>72</v>
      </c>
      <c r="X47" s="57" t="s">
        <v>159</v>
      </c>
      <c r="Y47" s="57" t="s">
        <v>112</v>
      </c>
      <c r="Z47" s="57" t="s">
        <v>113</v>
      </c>
      <c r="AA47" s="57" t="s">
        <v>72</v>
      </c>
      <c r="AB47" s="57" t="s">
        <v>96</v>
      </c>
      <c r="AC47" s="57" t="s">
        <v>72</v>
      </c>
      <c r="AD47" s="57" t="s">
        <v>72</v>
      </c>
      <c r="AE47" s="57" t="s">
        <v>72</v>
      </c>
      <c r="AF47" s="57" t="s">
        <v>72</v>
      </c>
      <c r="AG47" s="57" t="s">
        <v>72</v>
      </c>
      <c r="AH47" s="57" t="s">
        <v>87</v>
      </c>
      <c r="AI47" t="str">
        <f>VLOOKUP($Q47,武学奇术!$A:$ZZ,25,FALSE)</f>
        <v>扇</v>
      </c>
      <c r="AJ47" s="41">
        <f>VLOOKUP($Q47,武学奇术!$A:$ZZ,26,FALSE)</f>
        <v>4.376825</v>
      </c>
      <c r="AK47" s="42">
        <f>VLOOKUP($Q47,武学奇术!$A:$ZZ,27,FALSE)*(1+IF(OR($AI47=$F$4,$AI47=$F$5),$B$22,0))</f>
        <v>1695.05</v>
      </c>
      <c r="AL47" s="41">
        <f>VLOOKUP($Q47,武学奇术!$A:$ZZ,28,FALSE)</f>
        <v>6.56531</v>
      </c>
      <c r="AM47" s="42">
        <f>VLOOKUP($Q47,武学奇术!$A:$ZZ,29,FALSE)*(1+IF(OR($AI47=$F$4,$AI47=$F$5),$B$22,0))</f>
        <v>923.65</v>
      </c>
      <c r="AN47" s="41" cm="1">
        <f t="array" ref="AN47">$G$3+IFERROR(VLOOKUP($AI47,$F$4:$G$7,2,FALSE),0)+VLOOKUP($Q47,武学奇术!$A:$ZZ,2,FALSE)+SUM(_xlfn.XLOOKUP($R47:$AH47,增益!$A:$A,增益!$B:$B,0))</f>
        <v>0.6489</v>
      </c>
      <c r="AO47" s="41" cm="1">
        <f t="array" ref="AO47">VLOOKUP($Q47,武学奇术!$A:$ZZ,5,FALSE)+SUM(_xlfn.XLOOKUP($R47:$AH47,增益!$A:$A,增益!$E:$E,0))</f>
        <v>0.15</v>
      </c>
      <c r="AP47" cm="1">
        <f t="array" ref="AP47">$D$10*(1+$AO47)+VLOOKUP($Q47,武学奇术!$A:$ZZ,3,FALSE)+SUM(_xlfn.XLOOKUP($R47:$AH47,增益!$A:$A,增益!$C:$C,0))-$I$2</f>
        <v>2150.71</v>
      </c>
      <c r="AQ47" cm="1">
        <f t="array" ref="AQ47">$E$10*(1+$AO47)+VLOOKUP($Q47,武学奇术!$A:$ZZ,4,FALSE)+SUM(_xlfn.XLOOKUP($R47:$AH47,增益!$A:$A,增益!$D:$D,0))-$I$2</f>
        <v>6394.9</v>
      </c>
      <c r="AR47" s="49" cm="1">
        <f t="array" ref="AR47">IF($F$10-$I$3+VLOOKUP($Q47,武学奇术!$A:$ZZ,6,FALSE)+SUM(_xlfn.XLOOKUP(R47:AH47,增益!$A:$A,增益!$F:$F,0))&gt;0,($F$10-$I$3+VLOOKUP($Q47,武学奇术!$A:$ZZ,6,FALSE)+SUM(_xlfn.XLOOKUP(R47:AH47,增益!$A:$A,增益!$F:$F,0)))/200,($F$10-$I$3+VLOOKUP($Q47,武学奇术!$A:$ZZ,6,FALSE)+SUM(_xlfn.XLOOKUP(R47:AH47,增益!$A:$A,增益!$F:$F,0)))/100)</f>
        <v>0.4675</v>
      </c>
      <c r="AS47" s="49" cm="1">
        <f t="array" ref="AS47">$G$10+VLOOKUP($Q47,武学奇术!$A:$ZZ,7,FALSE)+SUM(_xlfn.XLOOKUP(R47:AH47,增益!$A:$A,增益!$G:$G,0))</f>
        <v>0.1</v>
      </c>
      <c r="AT47" s="41" cm="1">
        <f t="array" ref="AT47">VLOOKUP($Q47,武学奇术!$A:$ZZ,8,FALSE)+SUM(_xlfn.XLOOKUP(R47:AH47,增益!$A:$A,增益!$H:$H,0))</f>
        <v>0</v>
      </c>
      <c r="AU47">
        <f>$D$11*(1+$AT47)</f>
        <v>0</v>
      </c>
      <c r="AV47">
        <f>$E$11*(1+$AT47)</f>
        <v>0</v>
      </c>
      <c r="AW47" s="49" cm="1">
        <f t="array" ref="AW47">IF($F$11-$I$4+VLOOKUP($Q47,武学奇术!$A:$ZZ,9,FALSE)+SUM(_xlfn.XLOOKUP(R47:AH47,增益!$A:$A,增益!$I:$I,0))&gt;0,($F$11-$I$4+VLOOKUP($Q47,武学奇术!$A:$ZZ,9,FALSE)+SUM(_xlfn.XLOOKUP(R47:AH47,增益!$A:$A,增益!$I:$I,0)))/200,($F$11-$I$4+VLOOKUP($Q47,武学奇术!$A:$ZZ,9,FALSE)+SUM(_xlfn.XLOOKUP(R47:AH47,增益!$A:$A,增益!$I:$I,0)))/100)</f>
        <v>-0.14</v>
      </c>
      <c r="AX47" s="49" cm="1">
        <f t="array" ref="AX47">$G$11+VLOOKUP($Q47,武学奇术!$A:$ZZ,10,FALSE)+SUM(_xlfn.XLOOKUP(R47:AH47,增益!$A:$A,增益!$J:$J,0))</f>
        <v>0</v>
      </c>
      <c r="AY47">
        <f>$D$12*(1+$AT47)</f>
        <v>0</v>
      </c>
      <c r="AZ47">
        <f>$E$12*(1+$AT47)</f>
        <v>0</v>
      </c>
      <c r="BA47" s="49" cm="1">
        <f t="array" ref="BA47">IF($F$12-$I$4+VLOOKUP($Q47,武学奇术!$A:$ZZ,11,FALSE)+SUM(_xlfn.XLOOKUP(R47:AH47,增益!$A:$A,增益!$K:$K,0))&gt;0,($F$12-$I$4+VLOOKUP($Q47,武学奇术!$A:$ZZ,11,FALSE)+SUM(_xlfn.XLOOKUP(R47:AH47,增益!$A:$A,增益!$K:$K,0)))/200,($F$12-$I$4+VLOOKUP($Q47,武学奇术!$A:$ZZ,11,FALSE)+SUM(_xlfn.XLOOKUP(R47:AH47,增益!$A:$A,增益!$K:$K,0)))/100)</f>
        <v>-0.14</v>
      </c>
      <c r="BB47" s="49" cm="1">
        <f t="array" ref="BB47">$G$12+VLOOKUP($Q47,武学奇术!$A:$ZZ,12,FALSE)+SUM(_xlfn.XLOOKUP(R47:AH47,增益!$A:$A,增益!$L:$L,0))</f>
        <v>0</v>
      </c>
      <c r="BC47">
        <f>$D$13*(1+$AT47)</f>
        <v>571.2</v>
      </c>
      <c r="BD47">
        <f>$E$13*(1+$AT47)</f>
        <v>1077.4</v>
      </c>
      <c r="BE47" s="49" cm="1">
        <f t="array" ref="BE47">IF($F$13-$I$4+VLOOKUP($Q47,武学奇术!$A:$ZZ,13,FALSE)+SUM(_xlfn.XLOOKUP(R47:AH47,增益!$A:$A,增益!$M:$M,0))&gt;0,($F$13-$I$4+VLOOKUP($Q47,武学奇术!$A:$ZZ,13,FALSE)+SUM(_xlfn.XLOOKUP(R47:AH47,增益!$A:$A,增益!$K:$K,0)))/200,($F$13-$I$4+VLOOKUP($Q47,武学奇术!$A:$ZZ,13,FALSE)+SUM(_xlfn.XLOOKUP(R47:AH47,增益!$A:$A,增益!$M:$M,0)))/100)</f>
        <v>0.08</v>
      </c>
      <c r="BF47" s="49" cm="1">
        <f t="array" ref="BF47">$G$13+VLOOKUP($Q47,武学奇术!$A:$ZZ,14,FALSE)+SUM(_xlfn.XLOOKUP(R47:AH47,增益!$A:$A,增益!$N:$N,0))</f>
        <v>0.25</v>
      </c>
      <c r="BG47">
        <f>$D$14*(1+$AT47)</f>
        <v>0</v>
      </c>
      <c r="BH47">
        <f>$E$14*(1+$AT47)</f>
        <v>0</v>
      </c>
      <c r="BI47" s="49" cm="1">
        <f t="array" ref="BI47">IF($F$14-$I$4+VLOOKUP($Q47,武学奇术!$A:$ZZ,15,FALSE)+SUM(_xlfn.XLOOKUP(R47:AH47,增益!$A:$A,增益!$O:$O,0))&gt;0,($F$14-$I$4+VLOOKUP($Q47,武学奇术!$A:$ZZ,15,FALSE)+SUM(_xlfn.XLOOKUP(R47:AH47,增益!$A:$A,增益!$O:$O,0)))/200,($F$14-$I$4+VLOOKUP($Q47,武学奇术!$A:$ZZ,15,FALSE)+SUM(_xlfn.XLOOKUP(R47:AH47,增益!$A:$A,增益!$O:$O,0)))/100)</f>
        <v>-0.14</v>
      </c>
      <c r="BJ47" s="49" cm="1">
        <f t="array" ref="BJ47">$G$14+VLOOKUP($Q47,武学奇术!$A:$ZZ,16,FALSE)+SUM(_xlfn.XLOOKUP(R47:AH47,增益!$A:$A,增益!$P:$P,0))</f>
        <v>0</v>
      </c>
      <c r="BK47" s="41">
        <f>MIN(IF(VLOOKUP($Q47,武学奇术!$A:$ZZ,23,FALSE)=1,100%,$B$8),100%)</f>
        <v>1</v>
      </c>
      <c r="BL47" s="41" cm="1">
        <f t="array" ref="BL47">IF(VLOOKUP($Q47,武学奇术!$A:$ZZ,23,FALSE)=1,100%,MIN(80%,$B$9+VLOOKUP($Q47,武学奇术!$A:$ZZ,17,FALSE)+SUM(_xlfn.XLOOKUP(R47:AH47,增益!$A:$A,增益!$Q:$Q,0)))+$B$11+SUM(_xlfn.XLOOKUP(R47:AH47,增益!$A:$A,增益!$U:$U,0)))*IF(VLOOKUP($Q47,武学奇术!$A:$ZZ,24,FALSE)=1,0,1)</f>
        <v>0.933</v>
      </c>
      <c r="BM47" s="41" cm="1">
        <f t="array" ref="BM47">1+$B$13+VLOOKUP($Q47,武学奇术!$A:$ZZ,18,FALSE)+SUM(_xlfn.XLOOKUP(R47:AH47,增益!$A:$A,增益!$R:$R,0))</f>
        <v>2.21</v>
      </c>
      <c r="BN47" s="41" cm="1">
        <f t="array" ref="BN47">IF(VLOOKUP($Q47,武学奇术!$A:$ZZ,24,FALSE)=1,100%,MIN(40%,$B$10+VLOOKUP($Q47,武学奇术!$A:$ZZ,19,FALSE)+SUM(_xlfn.XLOOKUP(R47:AH47,增益!$A:$A,增益!$S:$S,0)))+$B$12+SUM(_xlfn.XLOOKUP(R47:AH47,增益!$A:$A,增益!$V:$V,0)))*IF(VLOOKUP($Q47,武学奇术!$A:$ZZ,23,FALSE)=1,0,1)</f>
        <v>0.0929</v>
      </c>
      <c r="BO47" s="41" cm="1">
        <f t="array" ref="BO47">1+$B$14+VLOOKUP($Q47,武学奇术!$A:$ZZ,20,FALSE)+SUM(_xlfn.XLOOKUP(R47:AH47,增益!$A:$A,增益!$T:$T,0))</f>
        <v>1.35</v>
      </c>
      <c r="BP47" s="41">
        <f>MIN((1-BN47)*BK47,BK47*BL47)</f>
        <v>0.9071</v>
      </c>
      <c r="BQ47" s="41">
        <f>1-BN47-BP47-BR47</f>
        <v>0</v>
      </c>
      <c r="BR47" s="41">
        <f>IF(VLOOKUP($Q47,武学奇术!$A:$ZZ,22,FALSE)=1,0,(1-$BK47))*(1-$BN47)</f>
        <v>0</v>
      </c>
      <c r="BS47" s="41" cm="1">
        <f t="array" ref="BS47">SUM(_xlfn.XLOOKUP(R47:AH47,增益!$A:$A,增益!$W:$W,0))+$I$5</f>
        <v>0.11</v>
      </c>
    </row>
    <row r="48" spans="1:71">
      <c r="A48" s="4"/>
      <c r="B48" s="109"/>
      <c r="K48" s="55">
        <f>($L48*$BP48+$M48*$BN48+$N48*$BQ48+$O48*$BR48)</f>
        <v>38687.6249577548</v>
      </c>
      <c r="L48" s="55">
        <f>((($AP48+$AQ48)/2*$AJ48+$AK48)*(1+$AR48)*(1+$AS48)+(($AU48+$AV48)/2*IF($G$1="鸣金",$AL48,$AJ48)+IF($G$1="鸣金",$AM48*1.5,0))*(1+$AW48)*(1+$AX48)+(($AY48+$AZ48)/2*IF($G$1="裂石",$AL48,$AJ48)+IF($G$1="裂石",$AM48*1.5,0))*(1+$BA48)*(1+$BB48)+(($BC48+$BD48)/2*IF($G$1="牵丝",$AL48,$AJ48)+IF($G$1="牵丝",$AM48*1.5,0))*(1+$BE48)*(1+$BF48)+(($BG48+$BH48)/2*IF($G$1="破竹",$AL48,$AJ48)+IF($G$1="破竹",$AM48*1.5,0))*(1+$BI48)*(1+$BJ48))*(1+$AN48)*$BM48*$P48*(1+IF(VLOOKUP($Q48,武学奇术!$A:$ZZ,30,FALSE)="弹道",$B$21,0))*(1+$BS48)</f>
        <v>38065.5643033214</v>
      </c>
      <c r="M48" s="55">
        <f>(($AQ48*$AJ48+$AK48)*(1+$AR48)*(1+$AS48)+($AV48*IF($G$1="鸣金",$AL48,$AJ48)+IF($G$1="鸣金",$AM48*1.5,0))*(1+$AW48)*(1+$AX48)+($AZ48*IF($G$1="裂石",$AL48,$AJ48)+IF($G$1="裂石",$AM48*1.5,0))*(1+$BA48)*(1+$BB48)+($BD48*IF($G$1="牵丝",$AL48,$AJ48)+IF($G$1="牵丝",$AM48*1.5,0))*(1+$BE48)*(1+$BF48)+($BH48*IF($G$1="破竹",$AL48,$AJ48)+IF($G$1="破竹",$AM48*1.5,0))*(1+$BI48)*(1+$BJ48))*(1+$AN48)*$BO48*$P48*(1+IF(VLOOKUP($Q48,武学奇术!$A:$ZZ,30,FALSE)="弹道",$B$21,0))*(1+$BS48)</f>
        <v>45161.0926093405</v>
      </c>
      <c r="N48" s="55">
        <f>((($AP48+$AQ48)/2*$AJ48+$AK48)*(1+$AR48)*(1+$AS48)+(($AU48+$AV48)/2*IF($G$1="鸣金",$AL48,$AJ48)+IF($G$1="鸣金",$AM48*1.5,0))*(1+$AW48)*(1+$AX48)+(($AY48+$AZ48)/2*IF($G$1="裂石",$AL48,$AJ48)+IF($G$1="裂石",$AM48*1.5,0))*(1+$BA48)*(1+$BB48)+(($BC48+$BD48)/2*IF($G$1="牵丝",$AL48,$AJ48)+IF($G$1="牵丝",$AM48*1.5,0))*(1+$BE48)*(1+$BF48)+(($BG48+$BH48)/2*IF($G$1="破竹",$AL48,$AJ48)+IF($G$1="破竹",$AM48*1.5,0))*(1+$BI48)*(1+$BJ48))*(1+$AN48)*$P48*(1+IF(VLOOKUP($Q48,武学奇术!$A:$ZZ,30,FALSE)="弹道",$B$21,0))*(1+$BS48)</f>
        <v>23790.9776895759</v>
      </c>
      <c r="O48" s="55">
        <f>((($AP48*$AJ48+$AK48)*(1+$AR48)*(1+$AS48)+($AU48*IF($G$1="鸣金",$AL48,$AJ48)+IF($G$1="鸣金",$AM48*1.5,0))*(1+$AW48)*(1+$AX48)+($AY48*IF($G$1="裂石",$AL48,$AJ48)+IF($G$1="裂石",$AM48*1.5,0))*(1+$BA48)*(1+$BB48)+($BC48*IF($G$1="牵丝",$AL48,$AJ48)+IF($G$1="牵丝",$AM48*1.5,0))*(1+$BE48)*(1+$BF48)+($BG48*IF($G$1="破竹",$AL48,$AJ48)+IF($G$1="破竹",$AM48*1.5,0))*(1+$BI48)*(1+$BJ48))*(1+$AN48))*$P48*(1+IF(VLOOKUP($Q48,武学奇术!$A:$ZZ,30,FALSE)="弹道",$B$21,0))*(1+$BS48)</f>
        <v>14129.2941870476</v>
      </c>
      <c r="P48" s="56">
        <v>1</v>
      </c>
      <c r="Q48" s="57" t="s">
        <v>94</v>
      </c>
      <c r="R48" s="57" t="s">
        <v>116</v>
      </c>
      <c r="S48" s="57" t="s">
        <v>153</v>
      </c>
      <c r="T48" s="57" t="s">
        <v>72</v>
      </c>
      <c r="U48" s="57" t="s">
        <v>157</v>
      </c>
      <c r="V48" s="57" t="s">
        <v>72</v>
      </c>
      <c r="W48" s="57" t="s">
        <v>72</v>
      </c>
      <c r="X48" s="57" t="s">
        <v>72</v>
      </c>
      <c r="Y48" s="57" t="s">
        <v>72</v>
      </c>
      <c r="Z48" s="57" t="s">
        <v>72</v>
      </c>
      <c r="AA48" s="57" t="s">
        <v>72</v>
      </c>
      <c r="AB48" s="57" t="s">
        <v>96</v>
      </c>
      <c r="AC48" s="57" t="s">
        <v>72</v>
      </c>
      <c r="AD48" s="57" t="s">
        <v>72</v>
      </c>
      <c r="AE48" s="57" t="s">
        <v>72</v>
      </c>
      <c r="AF48" s="57" t="s">
        <v>72</v>
      </c>
      <c r="AG48" s="57" t="s">
        <v>72</v>
      </c>
      <c r="AH48" s="57" t="s">
        <v>87</v>
      </c>
      <c r="AI48" t="str">
        <f>VLOOKUP($Q48,武学奇术!$A:$ZZ,25,FALSE)</f>
        <v>伞</v>
      </c>
      <c r="AJ48" s="41">
        <f>VLOOKUP($Q48,武学奇术!$A:$ZZ,26,FALSE)</f>
        <v>1.7001</v>
      </c>
      <c r="AK48" s="42">
        <f>VLOOKUP($Q48,武学奇术!$A:$ZZ,27,FALSE)*(1+IF(OR($AI48=$F$4,$AI48=$F$5),$B$22,0))</f>
        <v>659.4</v>
      </c>
      <c r="AL48" s="41">
        <f>VLOOKUP($Q48,武学奇术!$A:$ZZ,28,FALSE)</f>
        <v>2.5502</v>
      </c>
      <c r="AM48" s="42">
        <f>VLOOKUP($Q48,武学奇术!$A:$ZZ,29,FALSE)*(1+IF(OR($AI48=$F$4,$AI48=$F$5),$B$22,0))</f>
        <v>358.4</v>
      </c>
      <c r="AN48" s="41" cm="1">
        <f t="array" ref="AN48">$G$3+IFERROR(VLOOKUP($AI48,$F$4:$G$7,2,FALSE),0)+VLOOKUP($Q48,武学奇术!$A:$ZZ,2,FALSE)+SUM(_xlfn.XLOOKUP($R48:$AH48,增益!$A:$A,增益!$B:$B,0))</f>
        <v>0.4041</v>
      </c>
      <c r="AO48" s="41" cm="1">
        <f t="array" ref="AO48">VLOOKUP($Q48,武学奇术!$A:$ZZ,5,FALSE)+SUM(_xlfn.XLOOKUP($R48:$AH48,增益!$A:$A,增益!$E:$E,0))</f>
        <v>0.15</v>
      </c>
      <c r="AP48" cm="1">
        <f t="array" ref="AP48">$D$10*(1+$AO48)+VLOOKUP($Q48,武学奇术!$A:$ZZ,3,FALSE)+SUM(_xlfn.XLOOKUP($R48:$AH48,增益!$A:$A,增益!$C:$C,0))-$I$2</f>
        <v>2150.71</v>
      </c>
      <c r="AQ48" cm="1">
        <f t="array" ref="AQ48">$E$10*(1+$AO48)+VLOOKUP($Q48,武学奇术!$A:$ZZ,4,FALSE)+SUM(_xlfn.XLOOKUP($R48:$AH48,增益!$A:$A,增益!$D:$D,0))-$I$2</f>
        <v>6394.9</v>
      </c>
      <c r="AR48" s="49" cm="1">
        <f t="array" ref="AR48">IF($F$10-$I$3+VLOOKUP($Q48,武学奇术!$A:$ZZ,6,FALSE)+SUM(_xlfn.XLOOKUP(R48:AH48,增益!$A:$A,增益!$F:$F,0))&gt;0,($F$10-$I$3+VLOOKUP($Q48,武学奇术!$A:$ZZ,6,FALSE)+SUM(_xlfn.XLOOKUP(R48:AH48,增益!$A:$A,增益!$F:$F,0)))/200,($F$10-$I$3+VLOOKUP($Q48,武学奇术!$A:$ZZ,6,FALSE)+SUM(_xlfn.XLOOKUP(R48:AH48,增益!$A:$A,增益!$F:$F,0)))/100)</f>
        <v>0.3425</v>
      </c>
      <c r="AS48" s="49" cm="1">
        <f t="array" ref="AS48">$G$10+VLOOKUP($Q48,武学奇术!$A:$ZZ,7,FALSE)+SUM(_xlfn.XLOOKUP(R48:AH48,增益!$A:$A,增益!$G:$G,0))</f>
        <v>0.1</v>
      </c>
      <c r="AT48" s="41" cm="1">
        <f t="array" ref="AT48">VLOOKUP($Q48,武学奇术!$A:$ZZ,8,FALSE)+SUM(_xlfn.XLOOKUP(R48:AH48,增益!$A:$A,增益!$H:$H,0))</f>
        <v>0</v>
      </c>
      <c r="AU48">
        <f>$D$11*(1+$AT48)</f>
        <v>0</v>
      </c>
      <c r="AV48">
        <f>$E$11*(1+$AT48)</f>
        <v>0</v>
      </c>
      <c r="AW48" s="49" cm="1">
        <f t="array" ref="AW48">IF($F$11-$I$4+VLOOKUP($Q48,武学奇术!$A:$ZZ,9,FALSE)+SUM(_xlfn.XLOOKUP(R48:AH48,增益!$A:$A,增益!$I:$I,0))&gt;0,($F$11-$I$4+VLOOKUP($Q48,武学奇术!$A:$ZZ,9,FALSE)+SUM(_xlfn.XLOOKUP(R48:AH48,增益!$A:$A,增益!$I:$I,0)))/200,($F$11-$I$4+VLOOKUP($Q48,武学奇术!$A:$ZZ,9,FALSE)+SUM(_xlfn.XLOOKUP(R48:AH48,增益!$A:$A,增益!$I:$I,0)))/100)</f>
        <v>-0.14</v>
      </c>
      <c r="AX48" s="49" cm="1">
        <f t="array" ref="AX48">$G$11+VLOOKUP($Q48,武学奇术!$A:$ZZ,10,FALSE)+SUM(_xlfn.XLOOKUP(R48:AH48,增益!$A:$A,增益!$J:$J,0))</f>
        <v>0</v>
      </c>
      <c r="AY48">
        <f>$D$12*(1+$AT48)</f>
        <v>0</v>
      </c>
      <c r="AZ48">
        <f>$E$12*(1+$AT48)</f>
        <v>0</v>
      </c>
      <c r="BA48" s="49" cm="1">
        <f t="array" ref="BA48">IF($F$12-$I$4+VLOOKUP($Q48,武学奇术!$A:$ZZ,11,FALSE)+SUM(_xlfn.XLOOKUP(R48:AH48,增益!$A:$A,增益!$K:$K,0))&gt;0,($F$12-$I$4+VLOOKUP($Q48,武学奇术!$A:$ZZ,11,FALSE)+SUM(_xlfn.XLOOKUP(R48:AH48,增益!$A:$A,增益!$K:$K,0)))/200,($F$12-$I$4+VLOOKUP($Q48,武学奇术!$A:$ZZ,11,FALSE)+SUM(_xlfn.XLOOKUP(R48:AH48,增益!$A:$A,增益!$K:$K,0)))/100)</f>
        <v>-0.14</v>
      </c>
      <c r="BB48" s="49" cm="1">
        <f t="array" ref="BB48">$G$12+VLOOKUP($Q48,武学奇术!$A:$ZZ,12,FALSE)+SUM(_xlfn.XLOOKUP(R48:AH48,增益!$A:$A,增益!$L:$L,0))</f>
        <v>0</v>
      </c>
      <c r="BC48">
        <f>$D$13*(1+$AT48)</f>
        <v>571.2</v>
      </c>
      <c r="BD48">
        <f>$E$13*(1+$AT48)</f>
        <v>1077.4</v>
      </c>
      <c r="BE48" s="49" cm="1">
        <f t="array" ref="BE48">IF($F$13-$I$4+VLOOKUP($Q48,武学奇术!$A:$ZZ,13,FALSE)+SUM(_xlfn.XLOOKUP(R48:AH48,增益!$A:$A,增益!$M:$M,0))&gt;0,($F$13-$I$4+VLOOKUP($Q48,武学奇术!$A:$ZZ,13,FALSE)+SUM(_xlfn.XLOOKUP(R48:AH48,增益!$A:$A,增益!$K:$K,0)))/200,($F$13-$I$4+VLOOKUP($Q48,武学奇术!$A:$ZZ,13,FALSE)+SUM(_xlfn.XLOOKUP(R48:AH48,增益!$A:$A,增益!$M:$M,0)))/100)</f>
        <v>0.08</v>
      </c>
      <c r="BF48" s="49" cm="1">
        <f t="array" ref="BF48">$G$13+VLOOKUP($Q48,武学奇术!$A:$ZZ,14,FALSE)+SUM(_xlfn.XLOOKUP(R48:AH48,增益!$A:$A,增益!$N:$N,0))</f>
        <v>0.25</v>
      </c>
      <c r="BG48">
        <f>$D$14*(1+$AT48)</f>
        <v>0</v>
      </c>
      <c r="BH48">
        <f>$E$14*(1+$AT48)</f>
        <v>0</v>
      </c>
      <c r="BI48" s="49" cm="1">
        <f t="array" ref="BI48">IF($F$14-$I$4+VLOOKUP($Q48,武学奇术!$A:$ZZ,15,FALSE)+SUM(_xlfn.XLOOKUP(R48:AH48,增益!$A:$A,增益!$O:$O,0))&gt;0,($F$14-$I$4+VLOOKUP($Q48,武学奇术!$A:$ZZ,15,FALSE)+SUM(_xlfn.XLOOKUP(R48:AH48,增益!$A:$A,增益!$O:$O,0)))/200,($F$14-$I$4+VLOOKUP($Q48,武学奇术!$A:$ZZ,15,FALSE)+SUM(_xlfn.XLOOKUP(R48:AH48,增益!$A:$A,增益!$O:$O,0)))/100)</f>
        <v>-0.14</v>
      </c>
      <c r="BJ48" s="49" cm="1">
        <f t="array" ref="BJ48">$G$14+VLOOKUP($Q48,武学奇术!$A:$ZZ,16,FALSE)+SUM(_xlfn.XLOOKUP(R48:AH48,增益!$A:$A,增益!$P:$P,0))</f>
        <v>0</v>
      </c>
      <c r="BK48" s="41">
        <f>MIN(IF(VLOOKUP($Q48,武学奇术!$A:$ZZ,23,FALSE)=1,100%,$B$8),100%)</f>
        <v>1</v>
      </c>
      <c r="BL48" s="41" cm="1">
        <f t="array" ref="BL48">IF(VLOOKUP($Q48,武学奇术!$A:$ZZ,23,FALSE)=1,100%,MIN(80%,$B$9+VLOOKUP($Q48,武学奇术!$A:$ZZ,17,FALSE)+SUM(_xlfn.XLOOKUP(R48:AH48,增益!$A:$A,增益!$Q:$Q,0)))+$B$11+SUM(_xlfn.XLOOKUP(R48:AH48,增益!$A:$A,增益!$U:$U,0)))*IF(VLOOKUP($Q48,武学奇术!$A:$ZZ,24,FALSE)=1,0,1)</f>
        <v>0.9045</v>
      </c>
      <c r="BM48" s="41" cm="1">
        <f t="array" ref="BM48">1+$B$13+VLOOKUP($Q48,武学奇术!$A:$ZZ,18,FALSE)+SUM(_xlfn.XLOOKUP(R48:AH48,增益!$A:$A,增益!$R:$R,0))</f>
        <v>1.6</v>
      </c>
      <c r="BN48" s="41" cm="1">
        <f t="array" ref="BN48">IF(VLOOKUP($Q48,武学奇术!$A:$ZZ,24,FALSE)=1,100%,MIN(40%,$B$10+VLOOKUP($Q48,武学奇术!$A:$ZZ,19,FALSE)+SUM(_xlfn.XLOOKUP(R48:AH48,增益!$A:$A,增益!$S:$S,0)))+$B$12+SUM(_xlfn.XLOOKUP(R48:AH48,增益!$A:$A,增益!$V:$V,0)))*IF(VLOOKUP($Q48,武学奇术!$A:$ZZ,23,FALSE)=1,0,1)</f>
        <v>0.0929</v>
      </c>
      <c r="BO48" s="41" cm="1">
        <f t="array" ref="BO48">1+$B$14+VLOOKUP($Q48,武学奇术!$A:$ZZ,20,FALSE)+SUM(_xlfn.XLOOKUP(R48:AH48,增益!$A:$A,增益!$T:$T,0))</f>
        <v>1.35</v>
      </c>
      <c r="BP48" s="41">
        <f>MIN((1-BN48)*BK48,BK48*BL48)</f>
        <v>0.9045</v>
      </c>
      <c r="BQ48" s="41">
        <f>1-BN48-BP48-BR48</f>
        <v>0.00260000000000005</v>
      </c>
      <c r="BR48" s="41">
        <f>IF(VLOOKUP($Q48,武学奇术!$A:$ZZ,22,FALSE)=1,0,(1-$BK48))*(1-$BN48)</f>
        <v>0</v>
      </c>
      <c r="BS48" s="41" cm="1">
        <f t="array" ref="BS48">SUM(_xlfn.XLOOKUP(R48:AH48,增益!$A:$A,增益!$W:$W,0))+$I$5</f>
        <v>0.11</v>
      </c>
    </row>
    <row r="49" spans="1:71">
      <c r="A49" s="4"/>
      <c r="B49" s="4"/>
      <c r="K49" s="55">
        <f>($L49*$BP49+$M49*$BN49+$N49*$BQ49+$O49*$BR49)</f>
        <v>94831.4247052602</v>
      </c>
      <c r="L49" s="55">
        <f>((($AP49+$AQ49)/2*$AJ49+$AK49)*(1+$AR49)*(1+$AS49)+(($AU49+$AV49)/2*IF($G$1="鸣金",$AL49,$AJ49)+IF($G$1="鸣金",$AM49*1.5,0))*(1+$AW49)*(1+$AX49)+(($AY49+$AZ49)/2*IF($G$1="裂石",$AL49,$AJ49)+IF($G$1="裂石",$AM49*1.5,0))*(1+$BA49)*(1+$BB49)+(($BC49+$BD49)/2*IF($G$1="牵丝",$AL49,$AJ49)+IF($G$1="牵丝",$AM49*1.5,0))*(1+$BE49)*(1+$BF49)+(($BG49+$BH49)/2*IF($G$1="破竹",$AL49,$AJ49)+IF($G$1="破竹",$AM49*1.5,0))*(1+$BI49)*(1+$BJ49))*(1+$AN49)*$BM49*$P49*(1+IF(VLOOKUP($Q49,武学奇术!$A:$ZZ,30,FALSE)="弹道",$B$21,0))*(1+$BS49)</f>
        <v>95227.3876416715</v>
      </c>
      <c r="M49" s="55">
        <f>(($AQ49*$AJ49+$AK49)*(1+$AR49)*(1+$AS49)+($AV49*IF($G$1="鸣金",$AL49,$AJ49)+IF($G$1="鸣金",$AM49*1.5,0))*(1+$AW49)*(1+$AX49)+($AZ49*IF($G$1="裂石",$AL49,$AJ49)+IF($G$1="裂石",$AM49*1.5,0))*(1+$BA49)*(1+$BB49)+($BD49*IF($G$1="牵丝",$AL49,$AJ49)+IF($G$1="牵丝",$AM49*1.5,0))*(1+$BE49)*(1+$BF49)+($BH49*IF($G$1="破竹",$AL49,$AJ49)+IF($G$1="破竹",$AM49*1.5,0))*(1+$BI49)*(1+$BJ49))*(1+$AN49)*$BO49*$P49*(1+IF(VLOOKUP($Q49,武学奇术!$A:$ZZ,30,FALSE)="弹道",$B$21,0))*(1+$BS49)</f>
        <v>92270.5117173044</v>
      </c>
      <c r="N49" s="55">
        <f>((($AP49+$AQ49)/2*$AJ49+$AK49)*(1+$AR49)*(1+$AS49)+(($AU49+$AV49)/2*IF($G$1="鸣金",$AL49,$AJ49)+IF($G$1="鸣金",$AM49*1.5,0))*(1+$AW49)*(1+$AX49)+(($AY49+$AZ49)/2*IF($G$1="裂石",$AL49,$AJ49)+IF($G$1="裂石",$AM49*1.5,0))*(1+$BA49)*(1+$BB49)+(($BC49+$BD49)/2*IF($G$1="牵丝",$AL49,$AJ49)+IF($G$1="牵丝",$AM49*1.5,0))*(1+$BE49)*(1+$BF49)+(($BG49+$BH49)/2*IF($G$1="破竹",$AL49,$AJ49)+IF($G$1="破竹",$AM49*1.5,0))*(1+$BI49)*(1+$BJ49))*(1+$AN49)*$P49*(1+IF(VLOOKUP($Q49,武学奇术!$A:$ZZ,30,FALSE)="弹道",$B$21,0))*(1+$BS49)</f>
        <v>48585.4018579957</v>
      </c>
      <c r="O49" s="55">
        <f>((($AP49*$AJ49+$AK49)*(1+$AR49)*(1+$AS49)+($AU49*IF($G$1="鸣金",$AL49,$AJ49)+IF($G$1="鸣金",$AM49*1.5,0))*(1+$AW49)*(1+$AX49)+($AY49*IF($G$1="裂石",$AL49,$AJ49)+IF($G$1="裂石",$AM49*1.5,0))*(1+$BA49)*(1+$BB49)+($BC49*IF($G$1="牵丝",$AL49,$AJ49)+IF($G$1="牵丝",$AM49*1.5,0))*(1+$BE49)*(1+$BF49)+($BG49*IF($G$1="破竹",$AL49,$AJ49)+IF($G$1="破竹",$AM49*1.5,0))*(1+$BI49)*(1+$BJ49))*(1+$AN49))*$P49*(1+IF(VLOOKUP($Q49,武学奇术!$A:$ZZ,30,FALSE)="弹道",$B$21,0))*(1+$BS49)</f>
        <v>28822.2765179881</v>
      </c>
      <c r="P49" s="56">
        <v>1</v>
      </c>
      <c r="Q49" s="57" t="s">
        <v>84</v>
      </c>
      <c r="R49" s="57" t="s">
        <v>116</v>
      </c>
      <c r="S49" s="57" t="s">
        <v>153</v>
      </c>
      <c r="T49" s="57" t="s">
        <v>92</v>
      </c>
      <c r="U49" s="57" t="s">
        <v>157</v>
      </c>
      <c r="V49" s="57" t="s">
        <v>86</v>
      </c>
      <c r="W49" s="57" t="s">
        <v>72</v>
      </c>
      <c r="X49" s="57" t="s">
        <v>72</v>
      </c>
      <c r="Y49" s="57" t="s">
        <v>72</v>
      </c>
      <c r="Z49" s="57" t="s">
        <v>72</v>
      </c>
      <c r="AA49" s="57" t="s">
        <v>72</v>
      </c>
      <c r="AB49" s="57" t="s">
        <v>96</v>
      </c>
      <c r="AC49" s="57" t="s">
        <v>72</v>
      </c>
      <c r="AD49" s="57" t="s">
        <v>72</v>
      </c>
      <c r="AE49" s="57" t="s">
        <v>72</v>
      </c>
      <c r="AF49" s="57" t="s">
        <v>72</v>
      </c>
      <c r="AG49" s="57" t="s">
        <v>72</v>
      </c>
      <c r="AH49" s="57" t="s">
        <v>87</v>
      </c>
      <c r="AI49" t="str">
        <f>VLOOKUP($Q49,武学奇术!$A:$ZZ,25,FALSE)</f>
        <v>伞</v>
      </c>
      <c r="AJ49" s="41">
        <f>VLOOKUP($Q49,武学奇术!$A:$ZZ,26,FALSE)</f>
        <v>2.3397</v>
      </c>
      <c r="AK49" s="42">
        <f>VLOOKUP($Q49,武学奇术!$A:$ZZ,27,FALSE)*(1+IF(OR($AI49=$F$4,$AI49=$F$5),$B$22,0))</f>
        <v>907.2</v>
      </c>
      <c r="AL49" s="41">
        <f>VLOOKUP($Q49,武学奇术!$A:$ZZ,28,FALSE)</f>
        <v>3.5095</v>
      </c>
      <c r="AM49" s="42">
        <f>VLOOKUP($Q49,武学奇术!$A:$ZZ,29,FALSE)*(1+IF(OR($AI49=$F$4,$AI49=$F$5),$B$22,0))</f>
        <v>494.2</v>
      </c>
      <c r="AN49" s="41" cm="1">
        <f t="array" ref="AN49">$G$3+IFERROR(VLOOKUP($AI49,$F$4:$G$7,2,FALSE),0)+VLOOKUP($Q49,武学奇术!$A:$ZZ,2,FALSE)+SUM(_xlfn.XLOOKUP($R49:$AH49,增益!$A:$A,增益!$B:$B,0))</f>
        <v>1.0541</v>
      </c>
      <c r="AO49" s="41" cm="1">
        <f t="array" ref="AO49">VLOOKUP($Q49,武学奇术!$A:$ZZ,5,FALSE)+SUM(_xlfn.XLOOKUP($R49:$AH49,增益!$A:$A,增益!$E:$E,0))</f>
        <v>0.15</v>
      </c>
      <c r="AP49" cm="1">
        <f t="array" ref="AP49">$D$10*(1+$AO49)+VLOOKUP($Q49,武学奇术!$A:$ZZ,3,FALSE)+SUM(_xlfn.XLOOKUP($R49:$AH49,增益!$A:$A,增益!$C:$C,0))-$I$2</f>
        <v>2150.71</v>
      </c>
      <c r="AQ49" cm="1">
        <f t="array" ref="AQ49">$E$10*(1+$AO49)+VLOOKUP($Q49,武学奇术!$A:$ZZ,4,FALSE)+SUM(_xlfn.XLOOKUP($R49:$AH49,增益!$A:$A,增益!$D:$D,0))-$I$2</f>
        <v>6394.9</v>
      </c>
      <c r="AR49" s="49" cm="1">
        <f t="array" ref="AR49">IF($F$10-$I$3+VLOOKUP($Q49,武学奇术!$A:$ZZ,6,FALSE)+SUM(_xlfn.XLOOKUP(R49:AH49,增益!$A:$A,增益!$F:$F,0))&gt;0,($F$10-$I$3+VLOOKUP($Q49,武学奇术!$A:$ZZ,6,FALSE)+SUM(_xlfn.XLOOKUP(R49:AH49,增益!$A:$A,增益!$F:$F,0)))/200,($F$10-$I$3+VLOOKUP($Q49,武学奇术!$A:$ZZ,6,FALSE)+SUM(_xlfn.XLOOKUP(R49:AH49,增益!$A:$A,增益!$F:$F,0)))/100)</f>
        <v>0.3675</v>
      </c>
      <c r="AS49" s="49" cm="1">
        <f t="array" ref="AS49">$G$10+VLOOKUP($Q49,武学奇术!$A:$ZZ,7,FALSE)+SUM(_xlfn.XLOOKUP(R49:AH49,增益!$A:$A,增益!$G:$G,0))</f>
        <v>0.1</v>
      </c>
      <c r="AT49" s="41" cm="1">
        <f t="array" ref="AT49">VLOOKUP($Q49,武学奇术!$A:$ZZ,8,FALSE)+SUM(_xlfn.XLOOKUP(R49:AH49,增益!$A:$A,增益!$H:$H,0))</f>
        <v>0</v>
      </c>
      <c r="AU49">
        <f>$D$11*(1+$AT49)</f>
        <v>0</v>
      </c>
      <c r="AV49">
        <f>$E$11*(1+$AT49)</f>
        <v>0</v>
      </c>
      <c r="AW49" s="49" cm="1">
        <f t="array" ref="AW49">IF($F$11-$I$4+VLOOKUP($Q49,武学奇术!$A:$ZZ,9,FALSE)+SUM(_xlfn.XLOOKUP(R49:AH49,增益!$A:$A,增益!$I:$I,0))&gt;0,($F$11-$I$4+VLOOKUP($Q49,武学奇术!$A:$ZZ,9,FALSE)+SUM(_xlfn.XLOOKUP(R49:AH49,增益!$A:$A,增益!$I:$I,0)))/200,($F$11-$I$4+VLOOKUP($Q49,武学奇术!$A:$ZZ,9,FALSE)+SUM(_xlfn.XLOOKUP(R49:AH49,增益!$A:$A,增益!$I:$I,0)))/100)</f>
        <v>-0.14</v>
      </c>
      <c r="AX49" s="49" cm="1">
        <f t="array" ref="AX49">$G$11+VLOOKUP($Q49,武学奇术!$A:$ZZ,10,FALSE)+SUM(_xlfn.XLOOKUP(R49:AH49,增益!$A:$A,增益!$J:$J,0))</f>
        <v>0</v>
      </c>
      <c r="AY49">
        <f>$D$12*(1+$AT49)</f>
        <v>0</v>
      </c>
      <c r="AZ49">
        <f>$E$12*(1+$AT49)</f>
        <v>0</v>
      </c>
      <c r="BA49" s="49" cm="1">
        <f t="array" ref="BA49">IF($F$12-$I$4+VLOOKUP($Q49,武学奇术!$A:$ZZ,11,FALSE)+SUM(_xlfn.XLOOKUP(R49:AH49,增益!$A:$A,增益!$K:$K,0))&gt;0,($F$12-$I$4+VLOOKUP($Q49,武学奇术!$A:$ZZ,11,FALSE)+SUM(_xlfn.XLOOKUP(R49:AH49,增益!$A:$A,增益!$K:$K,0)))/200,($F$12-$I$4+VLOOKUP($Q49,武学奇术!$A:$ZZ,11,FALSE)+SUM(_xlfn.XLOOKUP(R49:AH49,增益!$A:$A,增益!$K:$K,0)))/100)</f>
        <v>-0.14</v>
      </c>
      <c r="BB49" s="49" cm="1">
        <f t="array" ref="BB49">$G$12+VLOOKUP($Q49,武学奇术!$A:$ZZ,12,FALSE)+SUM(_xlfn.XLOOKUP(R49:AH49,增益!$A:$A,增益!$L:$L,0))</f>
        <v>0</v>
      </c>
      <c r="BC49">
        <f>$D$13*(1+$AT49)</f>
        <v>571.2</v>
      </c>
      <c r="BD49">
        <f>$E$13*(1+$AT49)</f>
        <v>1077.4</v>
      </c>
      <c r="BE49" s="49" cm="1">
        <f t="array" ref="BE49">IF($F$13-$I$4+VLOOKUP($Q49,武学奇术!$A:$ZZ,13,FALSE)+SUM(_xlfn.XLOOKUP(R49:AH49,增益!$A:$A,增益!$M:$M,0))&gt;0,($F$13-$I$4+VLOOKUP($Q49,武学奇术!$A:$ZZ,13,FALSE)+SUM(_xlfn.XLOOKUP(R49:AH49,增益!$A:$A,增益!$K:$K,0)))/200,($F$13-$I$4+VLOOKUP($Q49,武学奇术!$A:$ZZ,13,FALSE)+SUM(_xlfn.XLOOKUP(R49:AH49,增益!$A:$A,增益!$M:$M,0)))/100)</f>
        <v>0.08</v>
      </c>
      <c r="BF49" s="49" cm="1">
        <f t="array" ref="BF49">$G$13+VLOOKUP($Q49,武学奇术!$A:$ZZ,14,FALSE)+SUM(_xlfn.XLOOKUP(R49:AH49,增益!$A:$A,增益!$N:$N,0))</f>
        <v>0.25</v>
      </c>
      <c r="BG49">
        <f>$D$14*(1+$AT49)</f>
        <v>0</v>
      </c>
      <c r="BH49">
        <f>$E$14*(1+$AT49)</f>
        <v>0</v>
      </c>
      <c r="BI49" s="49" cm="1">
        <f t="array" ref="BI49">IF($F$14-$I$4+VLOOKUP($Q49,武学奇术!$A:$ZZ,15,FALSE)+SUM(_xlfn.XLOOKUP(R49:AH49,增益!$A:$A,增益!$O:$O,0))&gt;0,($F$14-$I$4+VLOOKUP($Q49,武学奇术!$A:$ZZ,15,FALSE)+SUM(_xlfn.XLOOKUP(R49:AH49,增益!$A:$A,增益!$O:$O,0)))/200,($F$14-$I$4+VLOOKUP($Q49,武学奇术!$A:$ZZ,15,FALSE)+SUM(_xlfn.XLOOKUP(R49:AH49,增益!$A:$A,增益!$O:$O,0)))/100)</f>
        <v>-0.14</v>
      </c>
      <c r="BJ49" s="49" cm="1">
        <f t="array" ref="BJ49">$G$14+VLOOKUP($Q49,武学奇术!$A:$ZZ,16,FALSE)+SUM(_xlfn.XLOOKUP(R49:AH49,增益!$A:$A,增益!$P:$P,0))</f>
        <v>0</v>
      </c>
      <c r="BK49" s="41">
        <f>MIN(IF(VLOOKUP($Q49,武学奇术!$A:$ZZ,23,FALSE)=1,100%,$B$8),100%)</f>
        <v>1</v>
      </c>
      <c r="BL49" s="41" cm="1">
        <f t="array" ref="BL49">IF(VLOOKUP($Q49,武学奇术!$A:$ZZ,23,FALSE)=1,100%,MIN(80%,$B$9+VLOOKUP($Q49,武学奇术!$A:$ZZ,17,FALSE)+SUM(_xlfn.XLOOKUP(R49:AH49,增益!$A:$A,增益!$Q:$Q,0)))+$B$11+SUM(_xlfn.XLOOKUP(R49:AH49,增益!$A:$A,增益!$U:$U,0)))*IF(VLOOKUP($Q49,武学奇术!$A:$ZZ,24,FALSE)=1,0,1)</f>
        <v>0.9045</v>
      </c>
      <c r="BM49" s="41" cm="1">
        <f t="array" ref="BM49">1+$B$13+VLOOKUP($Q49,武学奇术!$A:$ZZ,18,FALSE)+SUM(_xlfn.XLOOKUP(R49:AH49,增益!$A:$A,增益!$R:$R,0))</f>
        <v>1.96</v>
      </c>
      <c r="BN49" s="41" cm="1">
        <f t="array" ref="BN49">IF(VLOOKUP($Q49,武学奇术!$A:$ZZ,24,FALSE)=1,100%,MIN(40%,$B$10+VLOOKUP($Q49,武学奇术!$A:$ZZ,19,FALSE)+SUM(_xlfn.XLOOKUP(R49:AH49,增益!$A:$A,增益!$S:$S,0)))+$B$12+SUM(_xlfn.XLOOKUP(R49:AH49,增益!$A:$A,增益!$V:$V,0)))*IF(VLOOKUP($Q49,武学奇术!$A:$ZZ,23,FALSE)=1,0,1)</f>
        <v>0.0929</v>
      </c>
      <c r="BO49" s="41" cm="1">
        <f t="array" ref="BO49">1+$B$14+VLOOKUP($Q49,武学奇术!$A:$ZZ,20,FALSE)+SUM(_xlfn.XLOOKUP(R49:AH49,增益!$A:$A,增益!$T:$T,0))</f>
        <v>1.35</v>
      </c>
      <c r="BP49" s="41">
        <f>MIN((1-BN49)*BK49,BK49*BL49)</f>
        <v>0.9045</v>
      </c>
      <c r="BQ49" s="41">
        <f>1-BN49-BP49-BR49</f>
        <v>0.00260000000000005</v>
      </c>
      <c r="BR49" s="41">
        <f>IF(VLOOKUP($Q49,武学奇术!$A:$ZZ,22,FALSE)=1,0,(1-$BK49))*(1-$BN49)</f>
        <v>0</v>
      </c>
      <c r="BS49" s="41" cm="1">
        <f t="array" ref="BS49">SUM(_xlfn.XLOOKUP(R49:AH49,增益!$A:$A,增益!$W:$W,0))+$I$5</f>
        <v>0.11</v>
      </c>
    </row>
    <row r="50" spans="1:71">
      <c r="C50" s="4"/>
      <c r="K50" s="55">
        <f>($L50*$BP50+$M50*$BN50+$N50*$BQ50+$O50*$BR50)</f>
        <v>16211.4602850629</v>
      </c>
      <c r="L50" s="55">
        <f>((($AP50+$AQ50)/2*$AJ50+$AK50)*(1+$AR50)*(1+$AS50)+(($AU50+$AV50)/2*IF($G$1="鸣金",$AL50,$AJ50)+IF($G$1="鸣金",$AM50*1.5,0))*(1+$AW50)*(1+$AX50)+(($AY50+$AZ50)/2*IF($G$1="裂石",$AL50,$AJ50)+IF($G$1="裂石",$AM50*1.5,0))*(1+$BA50)*(1+$BB50)+(($BC50+$BD50)/2*IF($G$1="牵丝",$AL50,$AJ50)+IF($G$1="牵丝",$AM50*1.5,0))*(1+$BE50)*(1+$BF50)+(($BG50+$BH50)/2*IF($G$1="破竹",$AL50,$AJ50)+IF($G$1="破竹",$AM50*1.5,0))*(1+$BI50)*(1+$BJ50))*(1+$AN50)*$BM50*$P50*(1+IF(VLOOKUP($Q50,武学奇术!$A:$ZZ,30,FALSE)="弹道",$B$21,0))*(1+$BS50)</f>
        <v>15950.5078214</v>
      </c>
      <c r="M50" s="55">
        <f>(($AQ50*$AJ50+$AK50)*(1+$AR50)*(1+$AS50)+($AV50*IF($G$1="鸣金",$AL50,$AJ50)+IF($G$1="鸣金",$AM50*1.5,0))*(1+$AW50)*(1+$AX50)+($AZ50*IF($G$1="裂石",$AL50,$AJ50)+IF($G$1="裂石",$AM50*1.5,0))*(1+$BA50)*(1+$BB50)+($BD50*IF($G$1="牵丝",$AL50,$AJ50)+IF($G$1="牵丝",$AM50*1.5,0))*(1+$BE50)*(1+$BF50)+($BH50*IF($G$1="破竹",$AL50,$AJ50)+IF($G$1="破竹",$AM50*1.5,0))*(1+$BI50)*(1+$BJ50))*(1+$AN50)*$BO50*$P50*(1+IF(VLOOKUP($Q50,武学奇术!$A:$ZZ,30,FALSE)="弹道",$B$21,0))*(1+$BS50)</f>
        <v>18926.871748082</v>
      </c>
      <c r="N50" s="55">
        <f>((($AP50+$AQ50)/2*$AJ50+$AK50)*(1+$AR50)*(1+$AS50)+(($AU50+$AV50)/2*IF($G$1="鸣金",$AL50,$AJ50)+IF($G$1="鸣金",$AM50*1.5,0))*(1+$AW50)*(1+$AX50)+(($AY50+$AZ50)/2*IF($G$1="裂石",$AL50,$AJ50)+IF($G$1="裂石",$AM50*1.5,0))*(1+$BA50)*(1+$BB50)+(($BC50+$BD50)/2*IF($G$1="牵丝",$AL50,$AJ50)+IF($G$1="牵丝",$AM50*1.5,0))*(1+$BE50)*(1+$BF50)+(($BG50+$BH50)/2*IF($G$1="破竹",$AL50,$AJ50)+IF($G$1="破竹",$AM50*1.5,0))*(1+$BI50)*(1+$BJ50))*(1+$AN50)*$P50*(1+IF(VLOOKUP($Q50,武学奇术!$A:$ZZ,30,FALSE)="弹道",$B$21,0))*(1+$BS50)</f>
        <v>9969.06738837499</v>
      </c>
      <c r="O50" s="55">
        <f>((($AP50*$AJ50+$AK50)*(1+$AR50)*(1+$AS50)+($AU50*IF($G$1="鸣金",$AL50,$AJ50)+IF($G$1="鸣金",$AM50*1.5,0))*(1+$AW50)*(1+$AX50)+($AY50*IF($G$1="裂石",$AL50,$AJ50)+IF($G$1="裂石",$AM50*1.5,0))*(1+$BA50)*(1+$BB50)+($BC50*IF($G$1="牵丝",$AL50,$AJ50)+IF($G$1="牵丝",$AM50*1.5,0))*(1+$BE50)*(1+$BF50)+($BG50*IF($G$1="破竹",$AL50,$AJ50)+IF($G$1="破竹",$AM50*1.5,0))*(1+$BI50)*(1+$BJ50))*(1+$AN50))*$P50*(1+IF(VLOOKUP($Q50,武学奇术!$A:$ZZ,30,FALSE)="弹道",$B$21,0))*(1+$BS50)</f>
        <v>5918.22977817074</v>
      </c>
      <c r="P50" s="56">
        <v>1</v>
      </c>
      <c r="Q50" s="57" t="s">
        <v>99</v>
      </c>
      <c r="R50" s="57" t="s">
        <v>116</v>
      </c>
      <c r="S50" s="57" t="s">
        <v>153</v>
      </c>
      <c r="T50" s="57" t="s">
        <v>72</v>
      </c>
      <c r="U50" s="57" t="s">
        <v>157</v>
      </c>
      <c r="V50" s="57" t="s">
        <v>72</v>
      </c>
      <c r="W50" s="57" t="s">
        <v>72</v>
      </c>
      <c r="X50" s="57" t="s">
        <v>72</v>
      </c>
      <c r="Y50" s="57" t="s">
        <v>72</v>
      </c>
      <c r="Z50" s="57" t="s">
        <v>72</v>
      </c>
      <c r="AA50" s="57" t="s">
        <v>72</v>
      </c>
      <c r="AB50" s="57" t="s">
        <v>96</v>
      </c>
      <c r="AC50" s="57" t="s">
        <v>72</v>
      </c>
      <c r="AD50" s="57" t="s">
        <v>72</v>
      </c>
      <c r="AE50" s="57" t="s">
        <v>72</v>
      </c>
      <c r="AF50" s="57" t="s">
        <v>72</v>
      </c>
      <c r="AG50" s="57" t="s">
        <v>72</v>
      </c>
      <c r="AH50" s="57" t="s">
        <v>87</v>
      </c>
      <c r="AI50" t="str">
        <f>VLOOKUP($Q50,武学奇术!$A:$ZZ,25,FALSE)</f>
        <v>伞</v>
      </c>
      <c r="AJ50" s="41">
        <f>VLOOKUP($Q50,武学奇术!$A:$ZZ,26,FALSE)</f>
        <v>0.54</v>
      </c>
      <c r="AK50" s="42">
        <f>VLOOKUP($Q50,武学奇术!$A:$ZZ,27,FALSE)*(1+IF(OR($AI50=$F$4,$AI50=$F$5),$B$22,0))</f>
        <v>207.2</v>
      </c>
      <c r="AL50" s="41">
        <f>VLOOKUP($Q50,武学奇术!$A:$ZZ,28,FALSE)</f>
        <v>0.81</v>
      </c>
      <c r="AM50" s="42">
        <f>VLOOKUP($Q50,武学奇术!$A:$ZZ,29,FALSE)*(1+IF(OR($AI50=$F$4,$AI50=$F$5),$B$22,0))</f>
        <v>114.1</v>
      </c>
      <c r="AN50" s="41" cm="1">
        <f t="array" ref="AN50">$G$3+IFERROR(VLOOKUP($AI50,$F$4:$G$7,2,FALSE),0)+VLOOKUP($Q50,武学奇术!$A:$ZZ,2,FALSE)+SUM(_xlfn.XLOOKUP($R50:$AH50,增益!$A:$A,增益!$B:$B,0))</f>
        <v>0.4041</v>
      </c>
      <c r="AO50" s="41" cm="1">
        <f t="array" ref="AO50">VLOOKUP($Q50,武学奇术!$A:$ZZ,5,FALSE)+SUM(_xlfn.XLOOKUP($R50:$AH50,增益!$A:$A,增益!$E:$E,0))</f>
        <v>0.15</v>
      </c>
      <c r="AP50" cm="1">
        <f t="array" ref="AP50">$D$10*(1+$AO50)+VLOOKUP($Q50,武学奇术!$A:$ZZ,3,FALSE)+SUM(_xlfn.XLOOKUP($R50:$AH50,增益!$A:$A,增益!$C:$C,0))-$I$2</f>
        <v>2150.71</v>
      </c>
      <c r="AQ50" cm="1">
        <f t="array" ref="AQ50">$E$10*(1+$AO50)+VLOOKUP($Q50,武学奇术!$A:$ZZ,4,FALSE)+SUM(_xlfn.XLOOKUP($R50:$AH50,增益!$A:$A,增益!$D:$D,0))-$I$2</f>
        <v>6394.9</v>
      </c>
      <c r="AR50" s="49" cm="1">
        <f t="array" ref="AR50">IF($F$10-$I$3+VLOOKUP($Q50,武学奇术!$A:$ZZ,6,FALSE)+SUM(_xlfn.XLOOKUP(R50:AH50,增益!$A:$A,增益!$F:$F,0))&gt;0,($F$10-$I$3+VLOOKUP($Q50,武学奇术!$A:$ZZ,6,FALSE)+SUM(_xlfn.XLOOKUP(R50:AH50,增益!$A:$A,增益!$F:$F,0)))/200,($F$10-$I$3+VLOOKUP($Q50,武学奇术!$A:$ZZ,6,FALSE)+SUM(_xlfn.XLOOKUP(R50:AH50,增益!$A:$A,增益!$F:$F,0)))/100)</f>
        <v>0.3425</v>
      </c>
      <c r="AS50" s="49" cm="1">
        <f t="array" ref="AS50">$G$10+VLOOKUP($Q50,武学奇术!$A:$ZZ,7,FALSE)+SUM(_xlfn.XLOOKUP(R50:AH50,增益!$A:$A,增益!$G:$G,0))</f>
        <v>0.1</v>
      </c>
      <c r="AT50" s="41" cm="1">
        <f t="array" ref="AT50">VLOOKUP($Q50,武学奇术!$A:$ZZ,8,FALSE)+SUM(_xlfn.XLOOKUP(R50:AH50,增益!$A:$A,增益!$H:$H,0))</f>
        <v>0</v>
      </c>
      <c r="AU50">
        <f>$D$11*(1+$AT50)</f>
        <v>0</v>
      </c>
      <c r="AV50">
        <f>$E$11*(1+$AT50)</f>
        <v>0</v>
      </c>
      <c r="AW50" s="49" cm="1">
        <f t="array" ref="AW50">IF($F$11-$I$4+VLOOKUP($Q50,武学奇术!$A:$ZZ,9,FALSE)+SUM(_xlfn.XLOOKUP(R50:AH50,增益!$A:$A,增益!$I:$I,0))&gt;0,($F$11-$I$4+VLOOKUP($Q50,武学奇术!$A:$ZZ,9,FALSE)+SUM(_xlfn.XLOOKUP(R50:AH50,增益!$A:$A,增益!$I:$I,0)))/200,($F$11-$I$4+VLOOKUP($Q50,武学奇术!$A:$ZZ,9,FALSE)+SUM(_xlfn.XLOOKUP(R50:AH50,增益!$A:$A,增益!$I:$I,0)))/100)</f>
        <v>-0.14</v>
      </c>
      <c r="AX50" s="49" cm="1">
        <f t="array" ref="AX50">$G$11+VLOOKUP($Q50,武学奇术!$A:$ZZ,10,FALSE)+SUM(_xlfn.XLOOKUP(R50:AH50,增益!$A:$A,增益!$J:$J,0))</f>
        <v>0</v>
      </c>
      <c r="AY50">
        <f>$D$12*(1+$AT50)</f>
        <v>0</v>
      </c>
      <c r="AZ50">
        <f>$E$12*(1+$AT50)</f>
        <v>0</v>
      </c>
      <c r="BA50" s="49" cm="1">
        <f t="array" ref="BA50">IF($F$12-$I$4+VLOOKUP($Q50,武学奇术!$A:$ZZ,11,FALSE)+SUM(_xlfn.XLOOKUP(R50:AH50,增益!$A:$A,增益!$K:$K,0))&gt;0,($F$12-$I$4+VLOOKUP($Q50,武学奇术!$A:$ZZ,11,FALSE)+SUM(_xlfn.XLOOKUP(R50:AH50,增益!$A:$A,增益!$K:$K,0)))/200,($F$12-$I$4+VLOOKUP($Q50,武学奇术!$A:$ZZ,11,FALSE)+SUM(_xlfn.XLOOKUP(R50:AH50,增益!$A:$A,增益!$K:$K,0)))/100)</f>
        <v>-0.14</v>
      </c>
      <c r="BB50" s="49" cm="1">
        <f t="array" ref="BB50">$G$12+VLOOKUP($Q50,武学奇术!$A:$ZZ,12,FALSE)+SUM(_xlfn.XLOOKUP(R50:AH50,增益!$A:$A,增益!$L:$L,0))</f>
        <v>0</v>
      </c>
      <c r="BC50">
        <f>$D$13*(1+$AT50)</f>
        <v>571.2</v>
      </c>
      <c r="BD50">
        <f>$E$13*(1+$AT50)</f>
        <v>1077.4</v>
      </c>
      <c r="BE50" s="49" cm="1">
        <f t="array" ref="BE50">IF($F$13-$I$4+VLOOKUP($Q50,武学奇术!$A:$ZZ,13,FALSE)+SUM(_xlfn.XLOOKUP(R50:AH50,增益!$A:$A,增益!$M:$M,0))&gt;0,($F$13-$I$4+VLOOKUP($Q50,武学奇术!$A:$ZZ,13,FALSE)+SUM(_xlfn.XLOOKUP(R50:AH50,增益!$A:$A,增益!$K:$K,0)))/200,($F$13-$I$4+VLOOKUP($Q50,武学奇术!$A:$ZZ,13,FALSE)+SUM(_xlfn.XLOOKUP(R50:AH50,增益!$A:$A,增益!$M:$M,0)))/100)</f>
        <v>0.08</v>
      </c>
      <c r="BF50" s="49" cm="1">
        <f t="array" ref="BF50">$G$13+VLOOKUP($Q50,武学奇术!$A:$ZZ,14,FALSE)+SUM(_xlfn.XLOOKUP(R50:AH50,增益!$A:$A,增益!$N:$N,0))</f>
        <v>0.25</v>
      </c>
      <c r="BG50">
        <f>$D$14*(1+$AT50)</f>
        <v>0</v>
      </c>
      <c r="BH50">
        <f>$E$14*(1+$AT50)</f>
        <v>0</v>
      </c>
      <c r="BI50" s="49" cm="1">
        <f t="array" ref="BI50">IF($F$14-$I$4+VLOOKUP($Q50,武学奇术!$A:$ZZ,15,FALSE)+SUM(_xlfn.XLOOKUP(R50:AH50,增益!$A:$A,增益!$O:$O,0))&gt;0,($F$14-$I$4+VLOOKUP($Q50,武学奇术!$A:$ZZ,15,FALSE)+SUM(_xlfn.XLOOKUP(R50:AH50,增益!$A:$A,增益!$O:$O,0)))/200,($F$14-$I$4+VLOOKUP($Q50,武学奇术!$A:$ZZ,15,FALSE)+SUM(_xlfn.XLOOKUP(R50:AH50,增益!$A:$A,增益!$O:$O,0)))/100)</f>
        <v>-0.14</v>
      </c>
      <c r="BJ50" s="49" cm="1">
        <f t="array" ref="BJ50">$G$14+VLOOKUP($Q50,武学奇术!$A:$ZZ,16,FALSE)+SUM(_xlfn.XLOOKUP(R50:AH50,增益!$A:$A,增益!$P:$P,0))</f>
        <v>0</v>
      </c>
      <c r="BK50" s="41">
        <f>MIN(IF(VLOOKUP($Q50,武学奇术!$A:$ZZ,23,FALSE)=1,100%,$B$8),100%)</f>
        <v>1</v>
      </c>
      <c r="BL50" s="41" cm="1">
        <f t="array" ref="BL50">IF(VLOOKUP($Q50,武学奇术!$A:$ZZ,23,FALSE)=1,100%,MIN(80%,$B$9+VLOOKUP($Q50,武学奇术!$A:$ZZ,17,FALSE)+SUM(_xlfn.XLOOKUP(R50:AH50,增益!$A:$A,增益!$Q:$Q,0)))+$B$11+SUM(_xlfn.XLOOKUP(R50:AH50,增益!$A:$A,增益!$U:$U,0)))*IF(VLOOKUP($Q50,武学奇术!$A:$ZZ,24,FALSE)=1,0,1)</f>
        <v>0.9045</v>
      </c>
      <c r="BM50" s="41" cm="1">
        <f t="array" ref="BM50">1+$B$13+VLOOKUP($Q50,武学奇术!$A:$ZZ,18,FALSE)+SUM(_xlfn.XLOOKUP(R50:AH50,增益!$A:$A,增益!$R:$R,0))</f>
        <v>1.6</v>
      </c>
      <c r="BN50" s="41" cm="1">
        <f t="array" ref="BN50">IF(VLOOKUP($Q50,武学奇术!$A:$ZZ,24,FALSE)=1,100%,MIN(40%,$B$10+VLOOKUP($Q50,武学奇术!$A:$ZZ,19,FALSE)+SUM(_xlfn.XLOOKUP(R50:AH50,增益!$A:$A,增益!$S:$S,0)))+$B$12+SUM(_xlfn.XLOOKUP(R50:AH50,增益!$A:$A,增益!$V:$V,0)))*IF(VLOOKUP($Q50,武学奇术!$A:$ZZ,23,FALSE)=1,0,1)</f>
        <v>0.0929</v>
      </c>
      <c r="BO50" s="41" cm="1">
        <f t="array" ref="BO50">1+$B$14+VLOOKUP($Q50,武学奇术!$A:$ZZ,20,FALSE)+SUM(_xlfn.XLOOKUP(R50:AH50,增益!$A:$A,增益!$T:$T,0))</f>
        <v>1.35</v>
      </c>
      <c r="BP50" s="41">
        <f>MIN((1-BN50)*BK50,BK50*BL50)</f>
        <v>0.9045</v>
      </c>
      <c r="BQ50" s="41">
        <f>1-BN50-BP50-BR50</f>
        <v>0.00260000000000005</v>
      </c>
      <c r="BR50" s="41">
        <f>IF(VLOOKUP($Q50,武学奇术!$A:$ZZ,22,FALSE)=1,0,(1-$BK50))*(1-$BN50)</f>
        <v>0</v>
      </c>
      <c r="BS50" s="41" cm="1">
        <f t="array" ref="BS50">SUM(_xlfn.XLOOKUP(R50:AH50,增益!$A:$A,增益!$W:$W,0))+$I$5</f>
        <v>0.11</v>
      </c>
    </row>
    <row r="51" spans="1:71">
      <c r="A51" s="4"/>
      <c r="B51" s="4"/>
      <c r="K51" s="55">
        <f t="shared" ref="K51:K64" si="11">($L51*$BP51+$M51*$BN51+$N51*$BQ51+$O51*$BR51)</f>
        <v>1815153.37625022</v>
      </c>
      <c r="L51" s="55">
        <f>((($AP51+$AQ51)/2*$AJ51+$AK51)*(1+$AR51)*(1+$AS51)+(($AU51+$AV51)/2*IF($G$1="鸣金",$AL51,$AJ51)+IF($G$1="鸣金",$AM51*1.5,0))*(1+$AW51)*(1+$AX51)+(($AY51+$AZ51)/2*IF($G$1="裂石",$AL51,$AJ51)+IF($G$1="裂石",$AM51*1.5,0))*(1+$BA51)*(1+$BB51)+(($BC51+$BD51)/2*IF($G$1="牵丝",$AL51,$AJ51)+IF($G$1="牵丝",$AM51*1.5,0))*(1+$BE51)*(1+$BF51)+(($BG51+$BH51)/2*IF($G$1="破竹",$AL51,$AJ51)+IF($G$1="破竹",$AM51*1.5,0))*(1+$BI51)*(1+$BJ51))*(1+$AN51)*$BM51*$P51*(1+IF(VLOOKUP($Q51,武学奇术!$A:$ZZ,30,FALSE)="弹道",$B$21,0))*(1+$BS51)</f>
        <v>1841493.20923885</v>
      </c>
      <c r="M51" s="55">
        <f>(($AQ51*$AJ51+$AK51)*(1+$AR51)*(1+$AS51)+($AV51*IF($G$1="鸣金",$AL51,$AJ51)+IF($G$1="鸣金",$AM51*1.5,0))*(1+$AW51)*(1+$AX51)+($AZ51*IF($G$1="裂石",$AL51,$AJ51)+IF($G$1="裂石",$AM51*1.5,0))*(1+$BA51)*(1+$BB51)+($BD51*IF($G$1="牵丝",$AL51,$AJ51)+IF($G$1="牵丝",$AM51*1.5,0))*(1+$BE51)*(1+$BF51)+($BH51*IF($G$1="破竹",$AL51,$AJ51)+IF($G$1="破竹",$AM51*1.5,0))*(1+$BI51)*(1+$BJ51))*(1+$AN51)*$BO51*$P51*(1+IF(VLOOKUP($Q51,武学奇术!$A:$ZZ,30,FALSE)="弹道",$B$21,0))*(1+$BS51)</f>
        <v>1586181.97948954</v>
      </c>
      <c r="N51" s="55">
        <f>((($AP51+$AQ51)/2*$AJ51+$AK51)*(1+$AR51)*(1+$AS51)+(($AU51+$AV51)/2*IF($G$1="鸣金",$AL51,$AJ51)+IF($G$1="鸣金",$AM51*1.5,0))*(1+$AW51)*(1+$AX51)+(($AY51+$AZ51)/2*IF($G$1="裂石",$AL51,$AJ51)+IF($G$1="裂石",$AM51*1.5,0))*(1+$BA51)*(1+$BB51)+(($BC51+$BD51)/2*IF($G$1="牵丝",$AL51,$AJ51)+IF($G$1="牵丝",$AM51*1.5,0))*(1+$BE51)*(1+$BF51)+(($BG51+$BH51)/2*IF($G$1="破竹",$AL51,$AJ51)+IF($G$1="破竹",$AM51*1.5,0))*(1+$BI51)*(1+$BJ51))*(1+$AN51)*$P51*(1+IF(VLOOKUP($Q51,武学奇术!$A:$ZZ,30,FALSE)="弹道",$B$21,0))*(1+$BS51)</f>
        <v>833254.845809435</v>
      </c>
      <c r="O51" s="55">
        <f>((($AP51*$AJ51+$AK51)*(1+$AR51)*(1+$AS51)+($AU51*IF($G$1="鸣金",$AL51,$AJ51)+IF($G$1="鸣金",$AM51*1.5,0))*(1+$AW51)*(1+$AX51)+($AY51*IF($G$1="裂石",$AL51,$AJ51)+IF($G$1="裂石",$AM51*1.5,0))*(1+$BA51)*(1+$BB51)+($BC51*IF($G$1="牵丝",$AL51,$AJ51)+IF($G$1="牵丝",$AM51*1.5,0))*(1+$BE51)*(1+$BF51)+($BG51*IF($G$1="破竹",$AL51,$AJ51)+IF($G$1="破竹",$AM51*1.5,0))*(1+$BI51)*(1+$BJ51))*(1+$AN51))*$P51*(1+IF(VLOOKUP($Q51,武学奇术!$A:$ZZ,30,FALSE)="弹道",$B$21,0))*(1+$BS51)</f>
        <v>491560.077182177</v>
      </c>
      <c r="P51" s="56">
        <v>20</v>
      </c>
      <c r="Q51" s="57" t="s">
        <v>102</v>
      </c>
      <c r="R51" s="57" t="s">
        <v>116</v>
      </c>
      <c r="S51" s="57" t="s">
        <v>153</v>
      </c>
      <c r="T51" s="57" t="s">
        <v>160</v>
      </c>
      <c r="U51" s="57" t="s">
        <v>157</v>
      </c>
      <c r="V51" s="57" t="s">
        <v>86</v>
      </c>
      <c r="W51" s="57" t="s">
        <v>72</v>
      </c>
      <c r="X51" s="57" t="s">
        <v>72</v>
      </c>
      <c r="Y51" s="57" t="s">
        <v>161</v>
      </c>
      <c r="Z51" s="57" t="s">
        <v>72</v>
      </c>
      <c r="AA51" s="57" t="s">
        <v>72</v>
      </c>
      <c r="AB51" s="57" t="s">
        <v>96</v>
      </c>
      <c r="AC51" s="57" t="s">
        <v>162</v>
      </c>
      <c r="AD51" s="57" t="s">
        <v>163</v>
      </c>
      <c r="AE51" s="57" t="s">
        <v>72</v>
      </c>
      <c r="AF51" s="57" t="s">
        <v>72</v>
      </c>
      <c r="AG51" s="57" t="s">
        <v>72</v>
      </c>
      <c r="AH51" s="57" t="s">
        <v>87</v>
      </c>
      <c r="AI51" t="str">
        <f>VLOOKUP($Q51,武学奇术!$A:$ZZ,25,FALSE)</f>
        <v>伞</v>
      </c>
      <c r="AJ51" s="41">
        <f>VLOOKUP($Q51,武学奇术!$A:$ZZ,26,FALSE)</f>
        <v>1.174955</v>
      </c>
      <c r="AK51" s="42">
        <f>VLOOKUP($Q51,武学奇术!$A:$ZZ,27,FALSE)*(1+IF(OR($AI51=$F$4,$AI51=$F$5),$B$22,0))</f>
        <v>454.02</v>
      </c>
      <c r="AL51" s="41">
        <f>VLOOKUP($Q51,武学奇术!$A:$ZZ,28,FALSE)</f>
        <v>1.762375</v>
      </c>
      <c r="AM51" s="42">
        <f>VLOOKUP($Q51,武学奇术!$A:$ZZ,29,FALSE)*(1+IF(OR($AI51=$F$4,$AI51=$F$5),$B$22,0))</f>
        <v>247.94</v>
      </c>
      <c r="AN51" s="41" cm="1">
        <f t="array" ref="AN51">$G$3+IFERROR(VLOOKUP($AI51,$F$4:$G$7,2,FALSE),0)+VLOOKUP($Q51,武学奇术!$A:$ZZ,2,FALSE)+SUM(_xlfn.XLOOKUP($R51:$AH51,增益!$A:$A,增益!$B:$B,0))</f>
        <v>1.1041</v>
      </c>
      <c r="AO51" s="41" cm="1">
        <f t="array" ref="AO51">VLOOKUP($Q51,武学奇术!$A:$ZZ,5,FALSE)+SUM(_xlfn.XLOOKUP($R51:$AH51,增益!$A:$A,增益!$E:$E,0))</f>
        <v>0.15</v>
      </c>
      <c r="AP51" cm="1">
        <f t="array" ref="AP51">$D$10*(1+$AO51)+VLOOKUP($Q51,武学奇术!$A:$ZZ,3,FALSE)+SUM(_xlfn.XLOOKUP($R51:$AH51,增益!$A:$A,增益!$C:$C,0))-$I$2</f>
        <v>2150.71</v>
      </c>
      <c r="AQ51" cm="1">
        <f t="array" ref="AQ51">$E$10*(1+$AO51)+VLOOKUP($Q51,武学奇术!$A:$ZZ,4,FALSE)+SUM(_xlfn.XLOOKUP($R51:$AH51,增益!$A:$A,增益!$D:$D,0))-$I$2</f>
        <v>6394.9</v>
      </c>
      <c r="AR51" s="49" cm="1">
        <f t="array" ref="AR51">IF($F$10-$I$3+VLOOKUP($Q51,武学奇术!$A:$ZZ,6,FALSE)+SUM(_xlfn.XLOOKUP(R51:AH51,增益!$A:$A,增益!$F:$F,0))&gt;0,($F$10-$I$3+VLOOKUP($Q51,武学奇术!$A:$ZZ,6,FALSE)+SUM(_xlfn.XLOOKUP(R51:AH51,增益!$A:$A,增益!$F:$F,0)))/200,($F$10-$I$3+VLOOKUP($Q51,武学奇术!$A:$ZZ,6,FALSE)+SUM(_xlfn.XLOOKUP(R51:AH51,增益!$A:$A,增益!$F:$F,0)))/100)</f>
        <v>0.4925</v>
      </c>
      <c r="AS51" s="49" cm="1">
        <f t="array" ref="AS51">$G$10+VLOOKUP($Q51,武学奇术!$A:$ZZ,7,FALSE)+SUM(_xlfn.XLOOKUP(R51:AH51,增益!$A:$A,增益!$G:$G,0))</f>
        <v>0.1</v>
      </c>
      <c r="AT51" s="41" cm="1">
        <f t="array" ref="AT51">VLOOKUP($Q51,武学奇术!$A:$ZZ,8,FALSE)+SUM(_xlfn.XLOOKUP(R51:AH51,增益!$A:$A,增益!$H:$H,0))</f>
        <v>0</v>
      </c>
      <c r="AU51">
        <f t="shared" ref="AU51:AU64" si="12">$D$11*(1+$AT51)</f>
        <v>0</v>
      </c>
      <c r="AV51">
        <f t="shared" ref="AV51:AV64" si="13">$E$11*(1+$AT51)</f>
        <v>0</v>
      </c>
      <c r="AW51" s="49" cm="1">
        <f t="array" ref="AW51">IF($F$11-$I$4+VLOOKUP($Q51,武学奇术!$A:$ZZ,9,FALSE)+SUM(_xlfn.XLOOKUP(R51:AH51,增益!$A:$A,增益!$I:$I,0))&gt;0,($F$11-$I$4+VLOOKUP($Q51,武学奇术!$A:$ZZ,9,FALSE)+SUM(_xlfn.XLOOKUP(R51:AH51,增益!$A:$A,增益!$I:$I,0)))/200,($F$11-$I$4+VLOOKUP($Q51,武学奇术!$A:$ZZ,9,FALSE)+SUM(_xlfn.XLOOKUP(R51:AH51,增益!$A:$A,增益!$I:$I,0)))/100)</f>
        <v>-0.14</v>
      </c>
      <c r="AX51" s="49" cm="1">
        <f t="array" ref="AX51">$G$11+VLOOKUP($Q51,武学奇术!$A:$ZZ,10,FALSE)+SUM(_xlfn.XLOOKUP(R51:AH51,增益!$A:$A,增益!$J:$J,0))</f>
        <v>0.1</v>
      </c>
      <c r="AY51">
        <f t="shared" ref="AY51:AY64" si="14">$D$12*(1+$AT51)</f>
        <v>0</v>
      </c>
      <c r="AZ51">
        <f t="shared" ref="AZ51:AZ64" si="15">$E$12*(1+$AT51)</f>
        <v>0</v>
      </c>
      <c r="BA51" s="49" cm="1">
        <f t="array" ref="BA51">IF($F$12-$I$4+VLOOKUP($Q51,武学奇术!$A:$ZZ,11,FALSE)+SUM(_xlfn.XLOOKUP(R51:AH51,增益!$A:$A,增益!$K:$K,0))&gt;0,($F$12-$I$4+VLOOKUP($Q51,武学奇术!$A:$ZZ,11,FALSE)+SUM(_xlfn.XLOOKUP(R51:AH51,增益!$A:$A,增益!$K:$K,0)))/200,($F$12-$I$4+VLOOKUP($Q51,武学奇术!$A:$ZZ,11,FALSE)+SUM(_xlfn.XLOOKUP(R51:AH51,增益!$A:$A,增益!$K:$K,0)))/100)</f>
        <v>-0.14</v>
      </c>
      <c r="BB51" s="49" cm="1">
        <f t="array" ref="BB51">$G$12+VLOOKUP($Q51,武学奇术!$A:$ZZ,12,FALSE)+SUM(_xlfn.XLOOKUP(R51:AH51,增益!$A:$A,增益!$L:$L,0))</f>
        <v>0</v>
      </c>
      <c r="BC51">
        <f t="shared" ref="BC51:BC64" si="16">$D$13*(1+$AT51)</f>
        <v>571.2</v>
      </c>
      <c r="BD51">
        <f t="shared" ref="BD51:BD64" si="17">$E$13*(1+$AT51)</f>
        <v>1077.4</v>
      </c>
      <c r="BE51" s="49" cm="1">
        <f t="array" ref="BE51">IF($F$13-$I$4+VLOOKUP($Q51,武学奇术!$A:$ZZ,13,FALSE)+SUM(_xlfn.XLOOKUP(R51:AH51,增益!$A:$A,增益!$M:$M,0))&gt;0,($F$13-$I$4+VLOOKUP($Q51,武学奇术!$A:$ZZ,13,FALSE)+SUM(_xlfn.XLOOKUP(R51:AH51,增益!$A:$A,增益!$K:$K,0)))/200,($F$13-$I$4+VLOOKUP($Q51,武学奇术!$A:$ZZ,13,FALSE)+SUM(_xlfn.XLOOKUP(R51:AH51,增益!$A:$A,增益!$M:$M,0)))/100)</f>
        <v>0.08</v>
      </c>
      <c r="BF51" s="49" cm="1">
        <f t="array" ref="BF51">$G$13+VLOOKUP($Q51,武学奇术!$A:$ZZ,14,FALSE)+SUM(_xlfn.XLOOKUP(R51:AH51,增益!$A:$A,增益!$N:$N,0))</f>
        <v>0.25</v>
      </c>
      <c r="BG51">
        <f t="shared" ref="BG51:BG64" si="18">$D$14*(1+$AT51)</f>
        <v>0</v>
      </c>
      <c r="BH51">
        <f t="shared" ref="BH51:BH64" si="19">$E$14*(1+$AT51)</f>
        <v>0</v>
      </c>
      <c r="BI51" s="49" cm="1">
        <f t="array" ref="BI51">IF($F$14-$I$4+VLOOKUP($Q51,武学奇术!$A:$ZZ,15,FALSE)+SUM(_xlfn.XLOOKUP(R51:AH51,增益!$A:$A,增益!$O:$O,0))&gt;0,($F$14-$I$4+VLOOKUP($Q51,武学奇术!$A:$ZZ,15,FALSE)+SUM(_xlfn.XLOOKUP(R51:AH51,增益!$A:$A,增益!$O:$O,0)))/200,($F$14-$I$4+VLOOKUP($Q51,武学奇术!$A:$ZZ,15,FALSE)+SUM(_xlfn.XLOOKUP(R51:AH51,增益!$A:$A,增益!$O:$O,0)))/100)</f>
        <v>-0.14</v>
      </c>
      <c r="BJ51" s="49" cm="1">
        <f t="array" ref="BJ51">$G$14+VLOOKUP($Q51,武学奇术!$A:$ZZ,16,FALSE)+SUM(_xlfn.XLOOKUP(R51:AH51,增益!$A:$A,增益!$P:$P,0))</f>
        <v>0</v>
      </c>
      <c r="BK51" s="41">
        <f>MIN(IF(VLOOKUP($Q51,武学奇术!$A:$ZZ,23,FALSE)=1,100%,$B$8),100%)</f>
        <v>1</v>
      </c>
      <c r="BL51" s="41" cm="1">
        <f t="array" ref="BL51">IF(VLOOKUP($Q51,武学奇术!$A:$ZZ,23,FALSE)=1,100%,MIN(80%,$B$9+VLOOKUP($Q51,武学奇术!$A:$ZZ,17,FALSE)+SUM(_xlfn.XLOOKUP(R51:AH51,增益!$A:$A,增益!$Q:$Q,0)))+$B$11+SUM(_xlfn.XLOOKUP(R51:AH51,增益!$A:$A,增益!$U:$U,0)))*IF(VLOOKUP($Q51,武学奇术!$A:$ZZ,24,FALSE)=1,0,1)</f>
        <v>0.9045</v>
      </c>
      <c r="BM51" s="41" cm="1">
        <f t="array" ref="BM51">1+$B$13+VLOOKUP($Q51,武学奇术!$A:$ZZ,18,FALSE)+SUM(_xlfn.XLOOKUP(R51:AH51,增益!$A:$A,增益!$R:$R,0))</f>
        <v>2.21</v>
      </c>
      <c r="BN51" s="41" cm="1">
        <f t="array" ref="BN51">IF(VLOOKUP($Q51,武学奇术!$A:$ZZ,24,FALSE)=1,100%,MIN(40%,$B$10+VLOOKUP($Q51,武学奇术!$A:$ZZ,19,FALSE)+SUM(_xlfn.XLOOKUP(R51:AH51,增益!$A:$A,增益!$S:$S,0)))+$B$12+SUM(_xlfn.XLOOKUP(R51:AH51,增益!$A:$A,增益!$V:$V,0)))*IF(VLOOKUP($Q51,武学奇术!$A:$ZZ,23,FALSE)=1,0,1)</f>
        <v>0.0929</v>
      </c>
      <c r="BO51" s="41" cm="1">
        <f t="array" ref="BO51">1+$B$14+VLOOKUP($Q51,武学奇术!$A:$ZZ,20,FALSE)+SUM(_xlfn.XLOOKUP(R51:AH51,增益!$A:$A,增益!$T:$T,0))</f>
        <v>1.35</v>
      </c>
      <c r="BP51" s="41">
        <f t="shared" ref="BP51:BP63" si="20">MIN((1-BN51)*BK51,BK51*BL51)</f>
        <v>0.9045</v>
      </c>
      <c r="BQ51" s="41">
        <f t="shared" ref="BQ51:BQ70" si="21">1-BN51-BP51-BR51</f>
        <v>0.00260000000000005</v>
      </c>
      <c r="BR51" s="41">
        <f>IF(VLOOKUP($Q51,武学奇术!$A:$ZZ,22,FALSE)=1,0,(1-$BK51))*(1-$BN51)</f>
        <v>0</v>
      </c>
      <c r="BS51" s="41" cm="1">
        <f t="array" ref="BS51">SUM(_xlfn.XLOOKUP(R51:AH51,增益!$A:$A,增益!$W:$W,0))+$I$5</f>
        <v>0.31</v>
      </c>
    </row>
    <row r="52" spans="1:71">
      <c r="A52" s="4"/>
      <c r="B52" s="109"/>
      <c r="K52" s="55">
        <f t="shared" si="11"/>
        <v>117651.016921304</v>
      </c>
      <c r="L52" s="55">
        <f>((($AP52+$AQ52)/2*$AJ52+$AK52)*(1+$AR52)*(1+$AS52)+(($AU52+$AV52)/2*IF($G$1="鸣金",$AL52,$AJ52)+IF($G$1="鸣金",$AM52*1.5,0))*(1+$AW52)*(1+$AX52)+(($AY52+$AZ52)/2*IF($G$1="裂石",$AL52,$AJ52)+IF($G$1="裂石",$AM52*1.5,0))*(1+$BA52)*(1+$BB52)+(($BC52+$BD52)/2*IF($G$1="牵丝",$AL52,$AJ52)+IF($G$1="牵丝",$AM52*1.5,0))*(1+$BE52)*(1+$BF52)+(($BG52+$BH52)/2*IF($G$1="破竹",$AL52,$AJ52)+IF($G$1="破竹",$AM52*1.5,0))*(1+$BI52)*(1+$BJ52))*(1+$AN52)*$BM52*$P52*(1+IF(VLOOKUP($Q52,武学奇术!$A:$ZZ,30,FALSE)="弹道",$B$21,0))*(1+$BS52)</f>
        <v>117208.564033121</v>
      </c>
      <c r="M52" s="55">
        <f>(($AQ52*$AJ52+$AK52)*(1+$AR52)*(1+$AS52)+($AV52*IF($G$1="鸣金",$AL52,$AJ52)+IF($G$1="鸣金",$AM52*1.5,0))*(1+$AW52)*(1+$AX52)+($AZ52*IF($G$1="裂石",$AL52,$AJ52)+IF($G$1="裂石",$AM52*1.5,0))*(1+$BA52)*(1+$BB52)+($BD52*IF($G$1="牵丝",$AL52,$AJ52)+IF($G$1="牵丝",$AM52*1.5,0))*(1+$BE52)*(1+$BF52)+($BH52*IF($G$1="破竹",$AL52,$AJ52)+IF($G$1="破竹",$AM52*1.5,0))*(1+$BI52)*(1+$BJ52))*(1+$AN52)*$BO52*$P52*(1+IF(VLOOKUP($Q52,武学奇术!$A:$ZZ,30,FALSE)="弹道",$B$21,0))*(1+$BS52)</f>
        <v>123478.419848166</v>
      </c>
      <c r="N52" s="55">
        <f>((($AP52+$AQ52)/2*$AJ52+$AK52)*(1+$AR52)*(1+$AS52)+(($AU52+$AV52)/2*IF($G$1="鸣金",$AL52,$AJ52)+IF($G$1="鸣金",$AM52*1.5,0))*(1+$AW52)*(1+$AX52)+(($AY52+$AZ52)/2*IF($G$1="裂石",$AL52,$AJ52)+IF($G$1="裂石",$AM52*1.5,0))*(1+$BA52)*(1+$BB52)+(($BC52+$BD52)/2*IF($G$1="牵丝",$AL52,$AJ52)+IF($G$1="牵丝",$AM52*1.5,0))*(1+$BE52)*(1+$BF52)+(($BG52+$BH52)/2*IF($G$1="破竹",$AL52,$AJ52)+IF($G$1="破竹",$AM52*1.5,0))*(1+$BI52)*(1+$BJ52))*(1+$AN52)*$P52*(1+IF(VLOOKUP($Q52,武学奇术!$A:$ZZ,30,FALSE)="弹道",$B$21,0))*(1+$BS52)</f>
        <v>63355.9805584436</v>
      </c>
      <c r="O52" s="55">
        <f>((($AP52*$AJ52+$AK52)*(1+$AR52)*(1+$AS52)+($AU52*IF($G$1="鸣金",$AL52,$AJ52)+IF($G$1="鸣金",$AM52*1.5,0))*(1+$AW52)*(1+$AX52)+($AY52*IF($G$1="裂石",$AL52,$AJ52)+IF($G$1="裂石",$AM52*1.5,0))*(1+$BA52)*(1+$BB52)+($BC52*IF($G$1="牵丝",$AL52,$AJ52)+IF($G$1="牵丝",$AM52*1.5,0))*(1+$BE52)*(1+$BF52)+($BG52*IF($G$1="破竹",$AL52,$AJ52)+IF($G$1="破竹",$AM52*1.5,0))*(1+$BI52)*(1+$BJ52))*(1+$AN52))*$P52*(1+IF(VLOOKUP($Q52,武学奇术!$A:$ZZ,30,FALSE)="弹道",$B$21,0))*(1+$BS52)</f>
        <v>35246.4649330608</v>
      </c>
      <c r="P52" s="56">
        <v>1</v>
      </c>
      <c r="Q52" s="57" t="s">
        <v>147</v>
      </c>
      <c r="R52" s="57" t="s">
        <v>116</v>
      </c>
      <c r="S52" s="57" t="s">
        <v>153</v>
      </c>
      <c r="T52" s="57" t="s">
        <v>72</v>
      </c>
      <c r="U52" s="57" t="s">
        <v>157</v>
      </c>
      <c r="V52" s="57" t="s">
        <v>72</v>
      </c>
      <c r="W52" s="57" t="s">
        <v>72</v>
      </c>
      <c r="X52" s="57" t="s">
        <v>72</v>
      </c>
      <c r="Y52" s="57" t="s">
        <v>161</v>
      </c>
      <c r="Z52" s="57" t="s">
        <v>72</v>
      </c>
      <c r="AA52" s="57" t="s">
        <v>72</v>
      </c>
      <c r="AB52" s="57" t="s">
        <v>96</v>
      </c>
      <c r="AC52" s="57" t="s">
        <v>162</v>
      </c>
      <c r="AD52" s="57" t="s">
        <v>163</v>
      </c>
      <c r="AE52" s="57" t="s">
        <v>72</v>
      </c>
      <c r="AF52" s="57" t="s">
        <v>72</v>
      </c>
      <c r="AG52" s="57" t="s">
        <v>72</v>
      </c>
      <c r="AH52" s="57" t="s">
        <v>87</v>
      </c>
      <c r="AI52" t="str">
        <f>VLOOKUP($Q52,武学奇术!$A:$ZZ,25,FALSE)</f>
        <v>单体奇术</v>
      </c>
      <c r="AJ52" s="41">
        <f>VLOOKUP($Q52,武学奇术!$A:$ZZ,26,FALSE)</f>
        <v>3.9855</v>
      </c>
      <c r="AK52" s="42">
        <f>VLOOKUP($Q52,武学奇术!$A:$ZZ,27,FALSE)*(1+IF(OR($AI52=$F$4,$AI52=$F$5),$B$22,0))</f>
        <v>749</v>
      </c>
      <c r="AL52" s="41">
        <f>VLOOKUP($Q52,武学奇术!$A:$ZZ,28,FALSE)</f>
        <v>5.97825</v>
      </c>
      <c r="AM52" s="42">
        <f>VLOOKUP($Q52,武学奇术!$A:$ZZ,29,FALSE)*(1+IF(OR($AI52=$F$4,$AI52=$F$5),$B$22,0))</f>
        <v>0</v>
      </c>
      <c r="AN52" s="41" cm="1">
        <f t="array" ref="AN52">$G$3+IFERROR(VLOOKUP($AI52,$F$4:$G$7,2,FALSE),0)+VLOOKUP($Q52,武学奇术!$A:$ZZ,2,FALSE)+SUM(_xlfn.XLOOKUP($R52:$AH52,增益!$A:$A,增益!$B:$B,0))</f>
        <v>0.5015</v>
      </c>
      <c r="AO52" s="41" cm="1">
        <f t="array" ref="AO52">VLOOKUP($Q52,武学奇术!$A:$ZZ,5,FALSE)+SUM(_xlfn.XLOOKUP($R52:$AH52,增益!$A:$A,增益!$E:$E,0))</f>
        <v>0.15</v>
      </c>
      <c r="AP52" cm="1">
        <f t="array" ref="AP52">$D$10*(1+$AO52)+VLOOKUP($Q52,武学奇术!$A:$ZZ,3,FALSE)+SUM(_xlfn.XLOOKUP($R52:$AH52,增益!$A:$A,增益!$C:$C,0))-$I$2</f>
        <v>2150.71</v>
      </c>
      <c r="AQ52" cm="1">
        <f t="array" ref="AQ52">$E$10*(1+$AO52)+VLOOKUP($Q52,武学奇术!$A:$ZZ,4,FALSE)+SUM(_xlfn.XLOOKUP($R52:$AH52,增益!$A:$A,增益!$D:$D,0))-$I$2</f>
        <v>6394.9</v>
      </c>
      <c r="AR52" s="49" cm="1">
        <f t="array" ref="AR52">IF($F$10-$I$3+VLOOKUP($Q52,武学奇术!$A:$ZZ,6,FALSE)+SUM(_xlfn.XLOOKUP(R52:AH52,增益!$A:$A,增益!$F:$F,0))&gt;0,($F$10-$I$3+VLOOKUP($Q52,武学奇术!$A:$ZZ,6,FALSE)+SUM(_xlfn.XLOOKUP(R52:AH52,增益!$A:$A,增益!$F:$F,0)))/200,($F$10-$I$3+VLOOKUP($Q52,武学奇术!$A:$ZZ,6,FALSE)+SUM(_xlfn.XLOOKUP(R52:AH52,增益!$A:$A,增益!$F:$F,0)))/100)</f>
        <v>0.4675</v>
      </c>
      <c r="AS52" s="49" cm="1">
        <f t="array" ref="AS52">$G$10+VLOOKUP($Q52,武学奇术!$A:$ZZ,7,FALSE)+SUM(_xlfn.XLOOKUP(R52:AH52,增益!$A:$A,增益!$G:$G,0))</f>
        <v>0</v>
      </c>
      <c r="AT52" s="41" cm="1">
        <f t="array" ref="AT52">VLOOKUP($Q52,武学奇术!$A:$ZZ,8,FALSE)+SUM(_xlfn.XLOOKUP(R52:AH52,增益!$A:$A,增益!$H:$H,0))</f>
        <v>0</v>
      </c>
      <c r="AU52">
        <f t="shared" si="12"/>
        <v>0</v>
      </c>
      <c r="AV52">
        <f t="shared" si="13"/>
        <v>0</v>
      </c>
      <c r="AW52" s="49" cm="1">
        <f t="array" ref="AW52">IF($F$11-$I$4+VLOOKUP($Q52,武学奇术!$A:$ZZ,9,FALSE)+SUM(_xlfn.XLOOKUP(R52:AH52,增益!$A:$A,增益!$I:$I,0))&gt;0,($F$11-$I$4+VLOOKUP($Q52,武学奇术!$A:$ZZ,9,FALSE)+SUM(_xlfn.XLOOKUP(R52:AH52,增益!$A:$A,增益!$I:$I,0)))/200,($F$11-$I$4+VLOOKUP($Q52,武学奇术!$A:$ZZ,9,FALSE)+SUM(_xlfn.XLOOKUP(R52:AH52,增益!$A:$A,增益!$I:$I,0)))/100)</f>
        <v>-0.14</v>
      </c>
      <c r="AX52" s="49" cm="1">
        <f t="array" ref="AX52">$G$11+VLOOKUP($Q52,武学奇术!$A:$ZZ,10,FALSE)+SUM(_xlfn.XLOOKUP(R52:AH52,增益!$A:$A,增益!$J:$J,0))</f>
        <v>0.1</v>
      </c>
      <c r="AY52">
        <f t="shared" si="14"/>
        <v>0</v>
      </c>
      <c r="AZ52">
        <f t="shared" si="15"/>
        <v>0</v>
      </c>
      <c r="BA52" s="49" cm="1">
        <f t="array" ref="BA52">IF($F$12-$I$4+VLOOKUP($Q52,武学奇术!$A:$ZZ,11,FALSE)+SUM(_xlfn.XLOOKUP(R52:AH52,增益!$A:$A,增益!$K:$K,0))&gt;0,($F$12-$I$4+VLOOKUP($Q52,武学奇术!$A:$ZZ,11,FALSE)+SUM(_xlfn.XLOOKUP(R52:AH52,增益!$A:$A,增益!$K:$K,0)))/200,($F$12-$I$4+VLOOKUP($Q52,武学奇术!$A:$ZZ,11,FALSE)+SUM(_xlfn.XLOOKUP(R52:AH52,增益!$A:$A,增益!$K:$K,0)))/100)</f>
        <v>-0.14</v>
      </c>
      <c r="BB52" s="49" cm="1">
        <f t="array" ref="BB52">$G$12+VLOOKUP($Q52,武学奇术!$A:$ZZ,12,FALSE)+SUM(_xlfn.XLOOKUP(R52:AH52,增益!$A:$A,增益!$L:$L,0))</f>
        <v>0</v>
      </c>
      <c r="BC52">
        <f t="shared" si="16"/>
        <v>571.2</v>
      </c>
      <c r="BD52">
        <f t="shared" si="17"/>
        <v>1077.4</v>
      </c>
      <c r="BE52" s="49" cm="1">
        <f t="array" ref="BE52">IF($F$13-$I$4+VLOOKUP($Q52,武学奇术!$A:$ZZ,13,FALSE)+SUM(_xlfn.XLOOKUP(R52:AH52,增益!$A:$A,增益!$M:$M,0))&gt;0,($F$13-$I$4+VLOOKUP($Q52,武学奇术!$A:$ZZ,13,FALSE)+SUM(_xlfn.XLOOKUP(R52:AH52,增益!$A:$A,增益!$K:$K,0)))/200,($F$13-$I$4+VLOOKUP($Q52,武学奇术!$A:$ZZ,13,FALSE)+SUM(_xlfn.XLOOKUP(R52:AH52,增益!$A:$A,增益!$M:$M,0)))/100)</f>
        <v>0.08</v>
      </c>
      <c r="BF52" s="49" cm="1">
        <f t="array" ref="BF52">$G$13+VLOOKUP($Q52,武学奇术!$A:$ZZ,14,FALSE)+SUM(_xlfn.XLOOKUP(R52:AH52,增益!$A:$A,增益!$N:$N,0))</f>
        <v>0.15</v>
      </c>
      <c r="BG52">
        <f t="shared" si="18"/>
        <v>0</v>
      </c>
      <c r="BH52">
        <f t="shared" si="19"/>
        <v>0</v>
      </c>
      <c r="BI52" s="49" cm="1">
        <f t="array" ref="BI52">IF($F$14-$I$4+VLOOKUP($Q52,武学奇术!$A:$ZZ,15,FALSE)+SUM(_xlfn.XLOOKUP(R52:AH52,增益!$A:$A,增益!$O:$O,0))&gt;0,($F$14-$I$4+VLOOKUP($Q52,武学奇术!$A:$ZZ,15,FALSE)+SUM(_xlfn.XLOOKUP(R52:AH52,增益!$A:$A,增益!$O:$O,0)))/200,($F$14-$I$4+VLOOKUP($Q52,武学奇术!$A:$ZZ,15,FALSE)+SUM(_xlfn.XLOOKUP(R52:AH52,增益!$A:$A,增益!$O:$O,0)))/100)</f>
        <v>-0.14</v>
      </c>
      <c r="BJ52" s="49" cm="1">
        <f t="array" ref="BJ52">$G$14+VLOOKUP($Q52,武学奇术!$A:$ZZ,16,FALSE)+SUM(_xlfn.XLOOKUP(R52:AH52,增益!$A:$A,增益!$P:$P,0))</f>
        <v>0</v>
      </c>
      <c r="BK52" s="41">
        <f>MIN(IF(VLOOKUP($Q52,武学奇术!$A:$ZZ,23,FALSE)=1,100%,$B$8),100%)</f>
        <v>1</v>
      </c>
      <c r="BL52" s="41" cm="1">
        <f t="array" ref="BL52">IF(VLOOKUP($Q52,武学奇术!$A:$ZZ,23,FALSE)=1,100%,MIN(80%,$B$9+VLOOKUP($Q52,武学奇术!$A:$ZZ,17,FALSE)+SUM(_xlfn.XLOOKUP(R52:AH52,增益!$A:$A,增益!$Q:$Q,0)))+$B$11+SUM(_xlfn.XLOOKUP(R52:AH52,增益!$A:$A,增益!$U:$U,0)))*IF(VLOOKUP($Q52,武学奇术!$A:$ZZ,24,FALSE)=1,0,1)</f>
        <v>0.9045</v>
      </c>
      <c r="BM52" s="41" cm="1">
        <f t="array" ref="BM52">1+$B$13+VLOOKUP($Q52,武学奇术!$A:$ZZ,18,FALSE)+SUM(_xlfn.XLOOKUP(R52:AH52,增益!$A:$A,增益!$R:$R,0))</f>
        <v>1.85</v>
      </c>
      <c r="BN52" s="41" cm="1">
        <f t="array" ref="BN52">IF(VLOOKUP($Q52,武学奇术!$A:$ZZ,24,FALSE)=1,100%,MIN(40%,$B$10+VLOOKUP($Q52,武学奇术!$A:$ZZ,19,FALSE)+SUM(_xlfn.XLOOKUP(R52:AH52,增益!$A:$A,增益!$S:$S,0)))+$B$12+SUM(_xlfn.XLOOKUP(R52:AH52,增益!$A:$A,增益!$V:$V,0)))*IF(VLOOKUP($Q52,武学奇术!$A:$ZZ,23,FALSE)=1,0,1)</f>
        <v>0.0929</v>
      </c>
      <c r="BO52" s="41" cm="1">
        <f t="array" ref="BO52">1+$B$14+VLOOKUP($Q52,武学奇术!$A:$ZZ,20,FALSE)+SUM(_xlfn.XLOOKUP(R52:AH52,增益!$A:$A,增益!$T:$T,0))</f>
        <v>1.35</v>
      </c>
      <c r="BP52" s="41">
        <f t="shared" si="20"/>
        <v>0.9045</v>
      </c>
      <c r="BQ52" s="41">
        <f t="shared" si="21"/>
        <v>0.00260000000000005</v>
      </c>
      <c r="BR52" s="41">
        <f>IF(VLOOKUP($Q52,武学奇术!$A:$ZZ,22,FALSE)=1,0,(1-$BK52))*(1-$BN52)</f>
        <v>0</v>
      </c>
      <c r="BS52" s="41" cm="1">
        <f t="array" ref="BS52">SUM(_xlfn.XLOOKUP(R52:AH52,增益!$A:$A,增益!$W:$W,0))+$I$5</f>
        <v>0.31</v>
      </c>
    </row>
    <row r="53" spans="1:71">
      <c r="A53" s="4"/>
      <c r="B53" s="4"/>
      <c r="K53" s="55">
        <f t="shared" si="11"/>
        <v>97493.775135528</v>
      </c>
      <c r="L53" s="55">
        <f>((($AP53+$AQ53)/2*$AJ53+$AK53)*(1+$AR53)*(1+$AS53)+(($AU53+$AV53)/2*IF($G$1="鸣金",$AL53,$AJ53)+IF($G$1="鸣金",$AM53*1.5,0))*(1+$AW53)*(1+$AX53)+(($AY53+$AZ53)/2*IF($G$1="裂石",$AL53,$AJ53)+IF($G$1="裂石",$AM53*1.5,0))*(1+$BA53)*(1+$BB53)+(($BC53+$BD53)/2*IF($G$1="牵丝",$AL53,$AJ53)+IF($G$1="牵丝",$AM53*1.5,0))*(1+$BE53)*(1+$BF53)+(($BG53+$BH53)/2*IF($G$1="破竹",$AL53,$AJ53)+IF($G$1="破竹",$AM53*1.5,0))*(1+$BI53)*(1+$BJ53))*(1+$AN53)*$BM53*$P53*(1+IF(VLOOKUP($Q53,武学奇术!$A:$ZZ,30,FALSE)="弹道",$B$21,0))*(1+$BS53)</f>
        <v>97126.3401256361</v>
      </c>
      <c r="M53" s="55">
        <f>(($AQ53*$AJ53+$AK53)*(1+$AR53)*(1+$AS53)+($AV53*IF($G$1="鸣金",$AL53,$AJ53)+IF($G$1="鸣金",$AM53*1.5,0))*(1+$AW53)*(1+$AX53)+($AZ53*IF($G$1="裂石",$AL53,$AJ53)+IF($G$1="裂石",$AM53*1.5,0))*(1+$BA53)*(1+$BB53)+($BD53*IF($G$1="牵丝",$AL53,$AJ53)+IF($G$1="牵丝",$AM53*1.5,0))*(1+$BE53)*(1+$BF53)+($BH53*IF($G$1="破竹",$AL53,$AJ53)+IF($G$1="破竹",$AM53*1.5,0))*(1+$BI53)*(1+$BJ53))*(1+$AN53)*$BO53*$P53*(1+IF(VLOOKUP($Q53,武学奇术!$A:$ZZ,30,FALSE)="弹道",$B$21,0))*(1+$BS53)</f>
        <v>102330.447884503</v>
      </c>
      <c r="N53" s="55">
        <f>((($AP53+$AQ53)/2*$AJ53+$AK53)*(1+$AR53)*(1+$AS53)+(($AU53+$AV53)/2*IF($G$1="鸣金",$AL53,$AJ53)+IF($G$1="鸣金",$AM53*1.5,0))*(1+$AW53)*(1+$AX53)+(($AY53+$AZ53)/2*IF($G$1="裂石",$AL53,$AJ53)+IF($G$1="裂石",$AM53*1.5,0))*(1+$BA53)*(1+$BB53)+(($BC53+$BD53)/2*IF($G$1="牵丝",$AL53,$AJ53)+IF($G$1="牵丝",$AM53*1.5,0))*(1+$BE53)*(1+$BF53)+(($BG53+$BH53)/2*IF($G$1="破竹",$AL53,$AJ53)+IF($G$1="破竹",$AM53*1.5,0))*(1+$BI53)*(1+$BJ53))*(1+$AN53)*$P53*(1+IF(VLOOKUP($Q53,武学奇术!$A:$ZZ,30,FALSE)="弹道",$B$21,0))*(1+$BS53)</f>
        <v>52500.7243922357</v>
      </c>
      <c r="O53" s="55">
        <f>((($AP53*$AJ53+$AK53)*(1+$AR53)*(1+$AS53)+($AU53*IF($G$1="鸣金",$AL53,$AJ53)+IF($G$1="鸣金",$AM53*1.5,0))*(1+$AW53)*(1+$AX53)+($AY53*IF($G$1="裂石",$AL53,$AJ53)+IF($G$1="裂石",$AM53*1.5,0))*(1+$BA53)*(1+$BB53)+($BC53*IF($G$1="牵丝",$AL53,$AJ53)+IF($G$1="牵丝",$AM53*1.5,0))*(1+$BE53)*(1+$BF53)+($BG53*IF($G$1="破竹",$AL53,$AJ53)+IF($G$1="破竹",$AM53*1.5,0))*(1+$BI53)*(1+$BJ53))*(1+$AN53))*$P53*(1+IF(VLOOKUP($Q53,武学奇术!$A:$ZZ,30,FALSE)="弹道",$B$21,0))*(1+$BS53)</f>
        <v>29201.1170181731</v>
      </c>
      <c r="P53" s="56">
        <v>12</v>
      </c>
      <c r="Q53" s="57" t="s">
        <v>148</v>
      </c>
      <c r="R53" s="57" t="s">
        <v>116</v>
      </c>
      <c r="S53" s="57" t="s">
        <v>153</v>
      </c>
      <c r="T53" s="57" t="s">
        <v>72</v>
      </c>
      <c r="U53" s="57" t="s">
        <v>157</v>
      </c>
      <c r="V53" s="57" t="s">
        <v>72</v>
      </c>
      <c r="W53" s="57" t="s">
        <v>72</v>
      </c>
      <c r="X53" s="57" t="s">
        <v>72</v>
      </c>
      <c r="Y53" s="57" t="s">
        <v>161</v>
      </c>
      <c r="Z53" s="57" t="s">
        <v>72</v>
      </c>
      <c r="AA53" s="57" t="s">
        <v>72</v>
      </c>
      <c r="AB53" s="57" t="s">
        <v>96</v>
      </c>
      <c r="AC53" s="57" t="s">
        <v>162</v>
      </c>
      <c r="AD53" s="57" t="s">
        <v>163</v>
      </c>
      <c r="AE53" s="57" t="s">
        <v>150</v>
      </c>
      <c r="AF53" s="57" t="s">
        <v>72</v>
      </c>
      <c r="AG53" s="57" t="s">
        <v>72</v>
      </c>
      <c r="AH53" s="57" t="s">
        <v>87</v>
      </c>
      <c r="AI53" t="str">
        <f>VLOOKUP($Q53,武学奇术!$A:$ZZ,25,FALSE)</f>
        <v>单体奇术</v>
      </c>
      <c r="AJ53" s="41">
        <f>VLOOKUP($Q53,武学奇术!$A:$ZZ,26,FALSE)</f>
        <v>0.236</v>
      </c>
      <c r="AK53" s="42">
        <f>VLOOKUP($Q53,武学奇术!$A:$ZZ,27,FALSE)*(1+IF(OR($AI53=$F$4,$AI53=$F$5),$B$22,0))</f>
        <v>44</v>
      </c>
      <c r="AL53" s="41">
        <f>VLOOKUP($Q53,武学奇术!$A:$ZZ,28,FALSE)</f>
        <v>0.354</v>
      </c>
      <c r="AM53" s="42">
        <f>VLOOKUP($Q53,武学奇术!$A:$ZZ,29,FALSE)*(1+IF(OR($AI53=$F$4,$AI53=$F$5),$B$22,0))</f>
        <v>0</v>
      </c>
      <c r="AN53" s="41" cm="1">
        <f t="array" ref="AN53">$G$3+IFERROR(VLOOKUP($AI53,$F$4:$G$7,2,FALSE),0)+VLOOKUP($Q53,武学奇术!$A:$ZZ,2,FALSE)+SUM(_xlfn.XLOOKUP($R53:$AH53,增益!$A:$A,增益!$B:$B,0))</f>
        <v>0.7515</v>
      </c>
      <c r="AO53" s="41" cm="1">
        <f t="array" ref="AO53">VLOOKUP($Q53,武学奇术!$A:$ZZ,5,FALSE)+SUM(_xlfn.XLOOKUP($R53:$AH53,增益!$A:$A,增益!$E:$E,0))</f>
        <v>0.15</v>
      </c>
      <c r="AP53" cm="1">
        <f t="array" ref="AP53">$D$10*(1+$AO53)+VLOOKUP($Q53,武学奇术!$A:$ZZ,3,FALSE)+SUM(_xlfn.XLOOKUP($R53:$AH53,增益!$A:$A,增益!$C:$C,0))-$I$2</f>
        <v>2150.71</v>
      </c>
      <c r="AQ53" cm="1">
        <f t="array" ref="AQ53">$E$10*(1+$AO53)+VLOOKUP($Q53,武学奇术!$A:$ZZ,4,FALSE)+SUM(_xlfn.XLOOKUP($R53:$AH53,增益!$A:$A,增益!$D:$D,0))-$I$2</f>
        <v>6394.9</v>
      </c>
      <c r="AR53" s="49" cm="1">
        <f t="array" ref="AR53">IF($F$10-$I$3+VLOOKUP($Q53,武学奇术!$A:$ZZ,6,FALSE)+SUM(_xlfn.XLOOKUP(R53:AH53,增益!$A:$A,增益!$F:$F,0))&gt;0,($F$10-$I$3+VLOOKUP($Q53,武学奇术!$A:$ZZ,6,FALSE)+SUM(_xlfn.XLOOKUP(R53:AH53,增益!$A:$A,增益!$F:$F,0)))/200,($F$10-$I$3+VLOOKUP($Q53,武学奇术!$A:$ZZ,6,FALSE)+SUM(_xlfn.XLOOKUP(R53:AH53,增益!$A:$A,增益!$F:$F,0)))/100)</f>
        <v>0.4675</v>
      </c>
      <c r="AS53" s="49" cm="1">
        <f t="array" ref="AS53">$G$10+VLOOKUP($Q53,武学奇术!$A:$ZZ,7,FALSE)+SUM(_xlfn.XLOOKUP(R53:AH53,增益!$A:$A,增益!$G:$G,0))</f>
        <v>0</v>
      </c>
      <c r="AT53" s="41" cm="1">
        <f t="array" ref="AT53">VLOOKUP($Q53,武学奇术!$A:$ZZ,8,FALSE)+SUM(_xlfn.XLOOKUP(R53:AH53,增益!$A:$A,增益!$H:$H,0))</f>
        <v>0</v>
      </c>
      <c r="AU53">
        <f t="shared" si="12"/>
        <v>0</v>
      </c>
      <c r="AV53">
        <f t="shared" si="13"/>
        <v>0</v>
      </c>
      <c r="AW53" s="49" cm="1">
        <f t="array" ref="AW53">IF($F$11-$I$4+VLOOKUP($Q53,武学奇术!$A:$ZZ,9,FALSE)+SUM(_xlfn.XLOOKUP(R53:AH53,增益!$A:$A,增益!$I:$I,0))&gt;0,($F$11-$I$4+VLOOKUP($Q53,武学奇术!$A:$ZZ,9,FALSE)+SUM(_xlfn.XLOOKUP(R53:AH53,增益!$A:$A,增益!$I:$I,0)))/200,($F$11-$I$4+VLOOKUP($Q53,武学奇术!$A:$ZZ,9,FALSE)+SUM(_xlfn.XLOOKUP(R53:AH53,增益!$A:$A,增益!$I:$I,0)))/100)</f>
        <v>-0.14</v>
      </c>
      <c r="AX53" s="49" cm="1">
        <f t="array" ref="AX53">$G$11+VLOOKUP($Q53,武学奇术!$A:$ZZ,10,FALSE)+SUM(_xlfn.XLOOKUP(R53:AH53,增益!$A:$A,增益!$J:$J,0))</f>
        <v>0.1</v>
      </c>
      <c r="AY53">
        <f t="shared" si="14"/>
        <v>0</v>
      </c>
      <c r="AZ53">
        <f t="shared" si="15"/>
        <v>0</v>
      </c>
      <c r="BA53" s="49" cm="1">
        <f t="array" ref="BA53">IF($F$12-$I$4+VLOOKUP($Q53,武学奇术!$A:$ZZ,11,FALSE)+SUM(_xlfn.XLOOKUP(R53:AH53,增益!$A:$A,增益!$K:$K,0))&gt;0,($F$12-$I$4+VLOOKUP($Q53,武学奇术!$A:$ZZ,11,FALSE)+SUM(_xlfn.XLOOKUP(R53:AH53,增益!$A:$A,增益!$K:$K,0)))/200,($F$12-$I$4+VLOOKUP($Q53,武学奇术!$A:$ZZ,11,FALSE)+SUM(_xlfn.XLOOKUP(R53:AH53,增益!$A:$A,增益!$K:$K,0)))/100)</f>
        <v>-0.14</v>
      </c>
      <c r="BB53" s="49" cm="1">
        <f t="array" ref="BB53">$G$12+VLOOKUP($Q53,武学奇术!$A:$ZZ,12,FALSE)+SUM(_xlfn.XLOOKUP(R53:AH53,增益!$A:$A,增益!$L:$L,0))</f>
        <v>0</v>
      </c>
      <c r="BC53">
        <f t="shared" si="16"/>
        <v>571.2</v>
      </c>
      <c r="BD53">
        <f t="shared" si="17"/>
        <v>1077.4</v>
      </c>
      <c r="BE53" s="49" cm="1">
        <f t="array" ref="BE53">IF($F$13-$I$4+VLOOKUP($Q53,武学奇术!$A:$ZZ,13,FALSE)+SUM(_xlfn.XLOOKUP(R53:AH53,增益!$A:$A,增益!$M:$M,0))&gt;0,($F$13-$I$4+VLOOKUP($Q53,武学奇术!$A:$ZZ,13,FALSE)+SUM(_xlfn.XLOOKUP(R53:AH53,增益!$A:$A,增益!$K:$K,0)))/200,($F$13-$I$4+VLOOKUP($Q53,武学奇术!$A:$ZZ,13,FALSE)+SUM(_xlfn.XLOOKUP(R53:AH53,增益!$A:$A,增益!$M:$M,0)))/100)</f>
        <v>0.08</v>
      </c>
      <c r="BF53" s="49" cm="1">
        <f t="array" ref="BF53">$G$13+VLOOKUP($Q53,武学奇术!$A:$ZZ,14,FALSE)+SUM(_xlfn.XLOOKUP(R53:AH53,增益!$A:$A,增益!$N:$N,0))</f>
        <v>0.15</v>
      </c>
      <c r="BG53">
        <f t="shared" si="18"/>
        <v>0</v>
      </c>
      <c r="BH53">
        <f t="shared" si="19"/>
        <v>0</v>
      </c>
      <c r="BI53" s="49" cm="1">
        <f t="array" ref="BI53">IF($F$14-$I$4+VLOOKUP($Q53,武学奇术!$A:$ZZ,15,FALSE)+SUM(_xlfn.XLOOKUP(R53:AH53,增益!$A:$A,增益!$O:$O,0))&gt;0,($F$14-$I$4+VLOOKUP($Q53,武学奇术!$A:$ZZ,15,FALSE)+SUM(_xlfn.XLOOKUP(R53:AH53,增益!$A:$A,增益!$O:$O,0)))/200,($F$14-$I$4+VLOOKUP($Q53,武学奇术!$A:$ZZ,15,FALSE)+SUM(_xlfn.XLOOKUP(R53:AH53,增益!$A:$A,增益!$O:$O,0)))/100)</f>
        <v>-0.14</v>
      </c>
      <c r="BJ53" s="49" cm="1">
        <f t="array" ref="BJ53">$G$14+VLOOKUP($Q53,武学奇术!$A:$ZZ,16,FALSE)+SUM(_xlfn.XLOOKUP(R53:AH53,增益!$A:$A,增益!$P:$P,0))</f>
        <v>0</v>
      </c>
      <c r="BK53" s="41">
        <f>MIN(IF(VLOOKUP($Q53,武学奇术!$A:$ZZ,23,FALSE)=1,100%,$B$8),100%)</f>
        <v>1</v>
      </c>
      <c r="BL53" s="41" cm="1">
        <f t="array" ref="BL53">IF(VLOOKUP($Q53,武学奇术!$A:$ZZ,23,FALSE)=1,100%,MIN(80%,$B$9+VLOOKUP($Q53,武学奇术!$A:$ZZ,17,FALSE)+SUM(_xlfn.XLOOKUP(R53:AH53,增益!$A:$A,增益!$Q:$Q,0)))+$B$11+SUM(_xlfn.XLOOKUP(R53:AH53,增益!$A:$A,增益!$U:$U,0)))*IF(VLOOKUP($Q53,武学奇术!$A:$ZZ,24,FALSE)=1,0,1)</f>
        <v>0.9045</v>
      </c>
      <c r="BM53" s="41" cm="1">
        <f t="array" ref="BM53">1+$B$13+VLOOKUP($Q53,武学奇术!$A:$ZZ,18,FALSE)+SUM(_xlfn.XLOOKUP(R53:AH53,增益!$A:$A,增益!$R:$R,0))</f>
        <v>1.85</v>
      </c>
      <c r="BN53" s="41" cm="1">
        <f t="array" ref="BN53">IF(VLOOKUP($Q53,武学奇术!$A:$ZZ,24,FALSE)=1,100%,MIN(40%,$B$10+VLOOKUP($Q53,武学奇术!$A:$ZZ,19,FALSE)+SUM(_xlfn.XLOOKUP(R53:AH53,增益!$A:$A,增益!$S:$S,0)))+$B$12+SUM(_xlfn.XLOOKUP(R53:AH53,增益!$A:$A,增益!$V:$V,0)))*IF(VLOOKUP($Q53,武学奇术!$A:$ZZ,23,FALSE)=1,0,1)</f>
        <v>0.0929</v>
      </c>
      <c r="BO53" s="41" cm="1">
        <f t="array" ref="BO53">1+$B$14+VLOOKUP($Q53,武学奇术!$A:$ZZ,20,FALSE)+SUM(_xlfn.XLOOKUP(R53:AH53,增益!$A:$A,增益!$T:$T,0))</f>
        <v>1.35</v>
      </c>
      <c r="BP53" s="41">
        <f t="shared" si="20"/>
        <v>0.9045</v>
      </c>
      <c r="BQ53" s="41">
        <f t="shared" si="21"/>
        <v>0.00260000000000005</v>
      </c>
      <c r="BR53" s="41">
        <f>IF(VLOOKUP($Q53,武学奇术!$A:$ZZ,22,FALSE)=1,0,(1-$BK53))*(1-$BN53)</f>
        <v>0</v>
      </c>
      <c r="BS53" s="41" cm="1">
        <f t="array" ref="BS53">SUM(_xlfn.XLOOKUP(R53:AH53,增益!$A:$A,增益!$W:$W,0))+$I$5</f>
        <v>0.31</v>
      </c>
    </row>
    <row r="54" spans="1:71">
      <c r="A54" s="4"/>
      <c r="B54" s="109"/>
      <c r="K54" s="55">
        <f t="shared" si="11"/>
        <v>56871.368829058</v>
      </c>
      <c r="L54" s="55">
        <f>((($AP54+$AQ54)/2*$AJ54+$AK54)*(1+$AR54)*(1+$AS54)+(($AU54+$AV54)/2*IF($G$1="鸣金",$AL54,$AJ54)+IF($G$1="鸣金",$AM54*1.5,0))*(1+$AW54)*(1+$AX54)+(($AY54+$AZ54)/2*IF($G$1="裂石",$AL54,$AJ54)+IF($G$1="裂石",$AM54*1.5,0))*(1+$BA54)*(1+$BB54)+(($BC54+$BD54)/2*IF($G$1="牵丝",$AL54,$AJ54)+IF($G$1="牵丝",$AM54*1.5,0))*(1+$BE54)*(1+$BF54)+(($BG54+$BH54)/2*IF($G$1="破竹",$AL54,$AJ54)+IF($G$1="破竹",$AM54*1.5,0))*(1+$BI54)*(1+$BJ54))*(1+$AN54)*$BM54*$P54*(1+IF(VLOOKUP($Q54,武学奇术!$A:$ZZ,30,FALSE)="弹道",$B$21,0))*(1+$BS54)</f>
        <v>56657.0317399544</v>
      </c>
      <c r="M54" s="55">
        <f>(($AQ54*$AJ54+$AK54)*(1+$AR54)*(1+$AS54)+($AV54*IF($G$1="鸣金",$AL54,$AJ54)+IF($G$1="鸣金",$AM54*1.5,0))*(1+$AW54)*(1+$AX54)+($AZ54*IF($G$1="裂石",$AL54,$AJ54)+IF($G$1="裂石",$AM54*1.5,0))*(1+$BA54)*(1+$BB54)+($BD54*IF($G$1="牵丝",$AL54,$AJ54)+IF($G$1="牵丝",$AM54*1.5,0))*(1+$BE54)*(1+$BF54)+($BH54*IF($G$1="破竹",$AL54,$AJ54)+IF($G$1="破竹",$AM54*1.5,0))*(1+$BI54)*(1+$BJ54))*(1+$AN54)*$BO54*$P54*(1+IF(VLOOKUP($Q54,武学奇术!$A:$ZZ,30,FALSE)="弹道",$B$21,0))*(1+$BS54)</f>
        <v>59692.7612659599</v>
      </c>
      <c r="N54" s="55">
        <f>((($AP54+$AQ54)/2*$AJ54+$AK54)*(1+$AR54)*(1+$AS54)+(($AU54+$AV54)/2*IF($G$1="鸣金",$AL54,$AJ54)+IF($G$1="鸣金",$AM54*1.5,0))*(1+$AW54)*(1+$AX54)+(($AY54+$AZ54)/2*IF($G$1="裂石",$AL54,$AJ54)+IF($G$1="裂石",$AM54*1.5,0))*(1+$BA54)*(1+$BB54)+(($BC54+$BD54)/2*IF($G$1="牵丝",$AL54,$AJ54)+IF($G$1="牵丝",$AM54*1.5,0))*(1+$BE54)*(1+$BF54)+(($BG54+$BH54)/2*IF($G$1="破竹",$AL54,$AJ54)+IF($G$1="破竹",$AM54*1.5,0))*(1+$BI54)*(1+$BJ54))*(1+$AN54)*$P54*(1+IF(VLOOKUP($Q54,武学奇术!$A:$ZZ,30,FALSE)="弹道",$B$21,0))*(1+$BS54)</f>
        <v>30625.4225621375</v>
      </c>
      <c r="O54" s="55">
        <f>((($AP54*$AJ54+$AK54)*(1+$AR54)*(1+$AS54)+($AU54*IF($G$1="鸣金",$AL54,$AJ54)+IF($G$1="鸣金",$AM54*1.5,0))*(1+$AW54)*(1+$AX54)+($AY54*IF($G$1="裂石",$AL54,$AJ54)+IF($G$1="裂石",$AM54*1.5,0))*(1+$BA54)*(1+$BB54)+($BC54*IF($G$1="牵丝",$AL54,$AJ54)+IF($G$1="牵丝",$AM54*1.5,0))*(1+$BE54)*(1+$BF54)+($BG54*IF($G$1="破竹",$AL54,$AJ54)+IF($G$1="破竹",$AM54*1.5,0))*(1+$BI54)*(1+$BJ54))*(1+$AN54))*$P54*(1+IF(VLOOKUP($Q54,武学奇术!$A:$ZZ,30,FALSE)="弹道",$B$21,0))*(1+$BS54)</f>
        <v>17033.9849272677</v>
      </c>
      <c r="P54" s="56">
        <v>7</v>
      </c>
      <c r="Q54" s="57" t="s">
        <v>148</v>
      </c>
      <c r="R54" s="57" t="s">
        <v>116</v>
      </c>
      <c r="S54" s="57" t="s">
        <v>153</v>
      </c>
      <c r="T54" s="57" t="s">
        <v>72</v>
      </c>
      <c r="U54" s="57" t="s">
        <v>157</v>
      </c>
      <c r="V54" s="57" t="s">
        <v>72</v>
      </c>
      <c r="W54" s="57" t="s">
        <v>72</v>
      </c>
      <c r="X54" s="57" t="s">
        <v>72</v>
      </c>
      <c r="Y54" s="57" t="s">
        <v>161</v>
      </c>
      <c r="Z54" s="57" t="s">
        <v>72</v>
      </c>
      <c r="AA54" s="57" t="s">
        <v>72</v>
      </c>
      <c r="AB54" s="57" t="s">
        <v>96</v>
      </c>
      <c r="AC54" s="57" t="s">
        <v>162</v>
      </c>
      <c r="AD54" s="57" t="s">
        <v>163</v>
      </c>
      <c r="AE54" s="57" t="s">
        <v>150</v>
      </c>
      <c r="AF54" s="57" t="s">
        <v>72</v>
      </c>
      <c r="AG54" s="57" t="s">
        <v>72</v>
      </c>
      <c r="AH54" s="57" t="s">
        <v>87</v>
      </c>
      <c r="AI54" t="str">
        <f>VLOOKUP($Q54,武学奇术!$A:$ZZ,25,FALSE)</f>
        <v>单体奇术</v>
      </c>
      <c r="AJ54" s="41">
        <f>VLOOKUP($Q54,武学奇术!$A:$ZZ,26,FALSE)</f>
        <v>0.236</v>
      </c>
      <c r="AK54" s="42">
        <f>VLOOKUP($Q54,武学奇术!$A:$ZZ,27,FALSE)*(1+IF(OR($AI54=$F$4,$AI54=$F$5),$B$22,0))</f>
        <v>44</v>
      </c>
      <c r="AL54" s="41">
        <f>VLOOKUP($Q54,武学奇术!$A:$ZZ,28,FALSE)</f>
        <v>0.354</v>
      </c>
      <c r="AM54" s="42">
        <f>VLOOKUP($Q54,武学奇术!$A:$ZZ,29,FALSE)*(1+IF(OR($AI54=$F$4,$AI54=$F$5),$B$22,0))</f>
        <v>0</v>
      </c>
      <c r="AN54" s="41" cm="1">
        <f t="array" ref="AN54">$G$3+IFERROR(VLOOKUP($AI54,$F$4:$G$7,2,FALSE),0)+VLOOKUP($Q54,武学奇术!$A:$ZZ,2,FALSE)+SUM(_xlfn.XLOOKUP($R54:$AH54,增益!$A:$A,增益!$B:$B,0))</f>
        <v>0.7515</v>
      </c>
      <c r="AO54" s="41" cm="1">
        <f t="array" ref="AO54">VLOOKUP($Q54,武学奇术!$A:$ZZ,5,FALSE)+SUM(_xlfn.XLOOKUP($R54:$AH54,增益!$A:$A,增益!$E:$E,0))</f>
        <v>0.15</v>
      </c>
      <c r="AP54" cm="1">
        <f t="array" ref="AP54">$D$10*(1+$AO54)+VLOOKUP($Q54,武学奇术!$A:$ZZ,3,FALSE)+SUM(_xlfn.XLOOKUP($R54:$AH54,增益!$A:$A,增益!$C:$C,0))-$I$2</f>
        <v>2150.71</v>
      </c>
      <c r="AQ54" cm="1">
        <f t="array" ref="AQ54">$E$10*(1+$AO54)+VLOOKUP($Q54,武学奇术!$A:$ZZ,4,FALSE)+SUM(_xlfn.XLOOKUP($R54:$AH54,增益!$A:$A,增益!$D:$D,0))-$I$2</f>
        <v>6394.9</v>
      </c>
      <c r="AR54" s="49" cm="1">
        <f t="array" ref="AR54">IF($F$10-$I$3+VLOOKUP($Q54,武学奇术!$A:$ZZ,6,FALSE)+SUM(_xlfn.XLOOKUP(R54:AH54,增益!$A:$A,增益!$F:$F,0))&gt;0,($F$10-$I$3+VLOOKUP($Q54,武学奇术!$A:$ZZ,6,FALSE)+SUM(_xlfn.XLOOKUP(R54:AH54,增益!$A:$A,增益!$F:$F,0)))/200,($F$10-$I$3+VLOOKUP($Q54,武学奇术!$A:$ZZ,6,FALSE)+SUM(_xlfn.XLOOKUP(R54:AH54,增益!$A:$A,增益!$F:$F,0)))/100)</f>
        <v>0.4675</v>
      </c>
      <c r="AS54" s="49" cm="1">
        <f t="array" ref="AS54">$G$10+VLOOKUP($Q54,武学奇术!$A:$ZZ,7,FALSE)+SUM(_xlfn.XLOOKUP(R54:AH54,增益!$A:$A,增益!$G:$G,0))</f>
        <v>0</v>
      </c>
      <c r="AT54" s="41" cm="1">
        <f t="array" ref="AT54">VLOOKUP($Q54,武学奇术!$A:$ZZ,8,FALSE)+SUM(_xlfn.XLOOKUP(R54:AH54,增益!$A:$A,增益!$H:$H,0))</f>
        <v>0</v>
      </c>
      <c r="AU54">
        <f t="shared" si="12"/>
        <v>0</v>
      </c>
      <c r="AV54">
        <f t="shared" si="13"/>
        <v>0</v>
      </c>
      <c r="AW54" s="49" cm="1">
        <f t="array" ref="AW54">IF($F$11-$I$4+VLOOKUP($Q54,武学奇术!$A:$ZZ,9,FALSE)+SUM(_xlfn.XLOOKUP(R54:AH54,增益!$A:$A,增益!$I:$I,0))&gt;0,($F$11-$I$4+VLOOKUP($Q54,武学奇术!$A:$ZZ,9,FALSE)+SUM(_xlfn.XLOOKUP(R54:AH54,增益!$A:$A,增益!$I:$I,0)))/200,($F$11-$I$4+VLOOKUP($Q54,武学奇术!$A:$ZZ,9,FALSE)+SUM(_xlfn.XLOOKUP(R54:AH54,增益!$A:$A,增益!$I:$I,0)))/100)</f>
        <v>-0.14</v>
      </c>
      <c r="AX54" s="49" cm="1">
        <f t="array" ref="AX54">$G$11+VLOOKUP($Q54,武学奇术!$A:$ZZ,10,FALSE)+SUM(_xlfn.XLOOKUP(R54:AH54,增益!$A:$A,增益!$J:$J,0))</f>
        <v>0.1</v>
      </c>
      <c r="AY54">
        <f t="shared" si="14"/>
        <v>0</v>
      </c>
      <c r="AZ54">
        <f t="shared" si="15"/>
        <v>0</v>
      </c>
      <c r="BA54" s="49" cm="1">
        <f t="array" ref="BA54">IF($F$12-$I$4+VLOOKUP($Q54,武学奇术!$A:$ZZ,11,FALSE)+SUM(_xlfn.XLOOKUP(R54:AH54,增益!$A:$A,增益!$K:$K,0))&gt;0,($F$12-$I$4+VLOOKUP($Q54,武学奇术!$A:$ZZ,11,FALSE)+SUM(_xlfn.XLOOKUP(R54:AH54,增益!$A:$A,增益!$K:$K,0)))/200,($F$12-$I$4+VLOOKUP($Q54,武学奇术!$A:$ZZ,11,FALSE)+SUM(_xlfn.XLOOKUP(R54:AH54,增益!$A:$A,增益!$K:$K,0)))/100)</f>
        <v>-0.14</v>
      </c>
      <c r="BB54" s="49" cm="1">
        <f t="array" ref="BB54">$G$12+VLOOKUP($Q54,武学奇术!$A:$ZZ,12,FALSE)+SUM(_xlfn.XLOOKUP(R54:AH54,增益!$A:$A,增益!$L:$L,0))</f>
        <v>0</v>
      </c>
      <c r="BC54">
        <f t="shared" si="16"/>
        <v>571.2</v>
      </c>
      <c r="BD54">
        <f t="shared" si="17"/>
        <v>1077.4</v>
      </c>
      <c r="BE54" s="49" cm="1">
        <f t="array" ref="BE54">IF($F$13-$I$4+VLOOKUP($Q54,武学奇术!$A:$ZZ,13,FALSE)+SUM(_xlfn.XLOOKUP(R54:AH54,增益!$A:$A,增益!$M:$M,0))&gt;0,($F$13-$I$4+VLOOKUP($Q54,武学奇术!$A:$ZZ,13,FALSE)+SUM(_xlfn.XLOOKUP(R54:AH54,增益!$A:$A,增益!$K:$K,0)))/200,($F$13-$I$4+VLOOKUP($Q54,武学奇术!$A:$ZZ,13,FALSE)+SUM(_xlfn.XLOOKUP(R54:AH54,增益!$A:$A,增益!$M:$M,0)))/100)</f>
        <v>0.08</v>
      </c>
      <c r="BF54" s="49" cm="1">
        <f t="array" ref="BF54">$G$13+VLOOKUP($Q54,武学奇术!$A:$ZZ,14,FALSE)+SUM(_xlfn.XLOOKUP(R54:AH54,增益!$A:$A,增益!$N:$N,0))</f>
        <v>0.15</v>
      </c>
      <c r="BG54">
        <f t="shared" si="18"/>
        <v>0</v>
      </c>
      <c r="BH54">
        <f t="shared" si="19"/>
        <v>0</v>
      </c>
      <c r="BI54" s="49" cm="1">
        <f t="array" ref="BI54">IF($F$14-$I$4+VLOOKUP($Q54,武学奇术!$A:$ZZ,15,FALSE)+SUM(_xlfn.XLOOKUP(R54:AH54,增益!$A:$A,增益!$O:$O,0))&gt;0,($F$14-$I$4+VLOOKUP($Q54,武学奇术!$A:$ZZ,15,FALSE)+SUM(_xlfn.XLOOKUP(R54:AH54,增益!$A:$A,增益!$O:$O,0)))/200,($F$14-$I$4+VLOOKUP($Q54,武学奇术!$A:$ZZ,15,FALSE)+SUM(_xlfn.XLOOKUP(R54:AH54,增益!$A:$A,增益!$O:$O,0)))/100)</f>
        <v>-0.14</v>
      </c>
      <c r="BJ54" s="49" cm="1">
        <f t="array" ref="BJ54">$G$14+VLOOKUP($Q54,武学奇术!$A:$ZZ,16,FALSE)+SUM(_xlfn.XLOOKUP(R54:AH54,增益!$A:$A,增益!$P:$P,0))</f>
        <v>0</v>
      </c>
      <c r="BK54" s="41">
        <f>MIN(IF(VLOOKUP($Q54,武学奇术!$A:$ZZ,23,FALSE)=1,100%,$B$8),100%)</f>
        <v>1</v>
      </c>
      <c r="BL54" s="41" cm="1">
        <f t="array" ref="BL54">IF(VLOOKUP($Q54,武学奇术!$A:$ZZ,23,FALSE)=1,100%,MIN(80%,$B$9+VLOOKUP($Q54,武学奇术!$A:$ZZ,17,FALSE)+SUM(_xlfn.XLOOKUP(R54:AH54,增益!$A:$A,增益!$Q:$Q,0)))+$B$11+SUM(_xlfn.XLOOKUP(R54:AH54,增益!$A:$A,增益!$U:$U,0)))*IF(VLOOKUP($Q54,武学奇术!$A:$ZZ,24,FALSE)=1,0,1)</f>
        <v>0.9045</v>
      </c>
      <c r="BM54" s="41" cm="1">
        <f t="array" ref="BM54">1+$B$13+VLOOKUP($Q54,武学奇术!$A:$ZZ,18,FALSE)+SUM(_xlfn.XLOOKUP(R54:AH54,增益!$A:$A,增益!$R:$R,0))</f>
        <v>1.85</v>
      </c>
      <c r="BN54" s="41" cm="1">
        <f t="array" ref="BN54">IF(VLOOKUP($Q54,武学奇术!$A:$ZZ,24,FALSE)=1,100%,MIN(40%,$B$10+VLOOKUP($Q54,武学奇术!$A:$ZZ,19,FALSE)+SUM(_xlfn.XLOOKUP(R54:AH54,增益!$A:$A,增益!$S:$S,0)))+$B$12+SUM(_xlfn.XLOOKUP(R54:AH54,增益!$A:$A,增益!$V:$V,0)))*IF(VLOOKUP($Q54,武学奇术!$A:$ZZ,23,FALSE)=1,0,1)</f>
        <v>0.0929</v>
      </c>
      <c r="BO54" s="41" cm="1">
        <f t="array" ref="BO54">1+$B$14+VLOOKUP($Q54,武学奇术!$A:$ZZ,20,FALSE)+SUM(_xlfn.XLOOKUP(R54:AH54,增益!$A:$A,增益!$T:$T,0))</f>
        <v>1.35</v>
      </c>
      <c r="BP54" s="41">
        <f t="shared" si="20"/>
        <v>0.9045</v>
      </c>
      <c r="BQ54" s="41">
        <f t="shared" si="21"/>
        <v>0.00260000000000005</v>
      </c>
      <c r="BR54" s="41">
        <f>IF(VLOOKUP($Q54,武学奇术!$A:$ZZ,22,FALSE)=1,0,(1-$BK54))*(1-$BN54)</f>
        <v>0</v>
      </c>
      <c r="BS54" s="41" cm="1">
        <f t="array" ref="BS54">SUM(_xlfn.XLOOKUP(R54:AH54,增益!$A:$A,增益!$W:$W,0))+$I$5</f>
        <v>0.31</v>
      </c>
    </row>
    <row r="55" spans="1:71">
      <c r="A55" s="4"/>
      <c r="B55" s="4"/>
      <c r="K55" s="55">
        <f t="shared" si="11"/>
        <v>27536.4097711033</v>
      </c>
      <c r="L55" s="55">
        <f>((($AP55+$AQ55)/2*$AJ55+$AK55)*(1+$AR55)*(1+$AS55)+(($AU55+$AV55)/2*IF($G$1="鸣金",$AL55,$AJ55)+IF($G$1="鸣金",$AM55*1.5,0))*(1+$AW55)*(1+$AX55)+(($AY55+$AZ55)/2*IF($G$1="裂石",$AL55,$AJ55)+IF($G$1="裂石",$AM55*1.5,0))*(1+$BA55)*(1+$BB55)+(($BC55+$BD55)/2*IF($G$1="牵丝",$AL55,$AJ55)+IF($G$1="牵丝",$AM55*1.5,0))*(1+$BE55)*(1+$BF55)+(($BG55+$BH55)/2*IF($G$1="破竹",$AL55,$AJ55)+IF($G$1="破竹",$AM55*1.5,0))*(1+$BI55)*(1+$BJ55))*(1+$AN55)*$BM55*$P55*(1+IF(VLOOKUP($Q55,武学奇术!$A:$ZZ,30,FALSE)="弹道",$B$21,0))*(1+$BS55)</f>
        <v>27432.6304171644</v>
      </c>
      <c r="M55" s="55">
        <f>(($AQ55*$AJ55+$AK55)*(1+$AR55)*(1+$AS55)+($AV55*IF($G$1="鸣金",$AL55,$AJ55)+IF($G$1="鸣金",$AM55*1.5,0))*(1+$AW55)*(1+$AX55)+($AZ55*IF($G$1="裂石",$AL55,$AJ55)+IF($G$1="裂石",$AM55*1.5,0))*(1+$BA55)*(1+$BB55)+($BD55*IF($G$1="牵丝",$AL55,$AJ55)+IF($G$1="牵丝",$AM55*1.5,0))*(1+$BE55)*(1+$BF55)+($BH55*IF($G$1="破竹",$AL55,$AJ55)+IF($G$1="破竹",$AM55*1.5,0))*(1+$BI55)*(1+$BJ55))*(1+$AN55)*$BO55*$P55*(1+IF(VLOOKUP($Q55,武学奇术!$A:$ZZ,30,FALSE)="弹道",$B$21,0))*(1+$BS55)</f>
        <v>28902.4929139435</v>
      </c>
      <c r="N55" s="55">
        <f>((($AP55+$AQ55)/2*$AJ55+$AK55)*(1+$AR55)*(1+$AS55)+(($AU55+$AV55)/2*IF($G$1="鸣金",$AL55,$AJ55)+IF($G$1="鸣金",$AM55*1.5,0))*(1+$AW55)*(1+$AX55)+(($AY55+$AZ55)/2*IF($G$1="裂石",$AL55,$AJ55)+IF($G$1="裂石",$AM55*1.5,0))*(1+$BA55)*(1+$BB55)+(($BC55+$BD55)/2*IF($G$1="牵丝",$AL55,$AJ55)+IF($G$1="牵丝",$AM55*1.5,0))*(1+$BE55)*(1+$BF55)+(($BG55+$BH55)/2*IF($G$1="破竹",$AL55,$AJ55)+IF($G$1="破竹",$AM55*1.5,0))*(1+$BI55)*(1+$BJ55))*(1+$AN55)*$P55*(1+IF(VLOOKUP($Q55,武学奇术!$A:$ZZ,30,FALSE)="弹道",$B$21,0))*(1+$BS55)</f>
        <v>14828.4488741429</v>
      </c>
      <c r="O55" s="55">
        <f>((($AP55*$AJ55+$AK55)*(1+$AR55)*(1+$AS55)+($AU55*IF($G$1="鸣金",$AL55,$AJ55)+IF($G$1="鸣金",$AM55*1.5,0))*(1+$AW55)*(1+$AX55)+($AY55*IF($G$1="裂石",$AL55,$AJ55)+IF($G$1="裂石",$AM55*1.5,0))*(1+$BA55)*(1+$BB55)+($BC55*IF($G$1="牵丝",$AL55,$AJ55)+IF($G$1="牵丝",$AM55*1.5,0))*(1+$BE55)*(1+$BF55)+($BG55*IF($G$1="破竹",$AL55,$AJ55)+IF($G$1="破竹",$AM55*1.5,0))*(1+$BI55)*(1+$BJ55))*(1+$AN55))*$P55*(1+IF(VLOOKUP($Q55,武学奇术!$A:$ZZ,30,FALSE)="弹道",$B$21,0))*(1+$BS55)</f>
        <v>8247.64373795729</v>
      </c>
      <c r="P55" s="56">
        <v>4</v>
      </c>
      <c r="Q55" s="57" t="s">
        <v>148</v>
      </c>
      <c r="R55" s="57" t="s">
        <v>116</v>
      </c>
      <c r="S55" s="57" t="s">
        <v>153</v>
      </c>
      <c r="T55" s="57" t="s">
        <v>72</v>
      </c>
      <c r="U55" s="57" t="s">
        <v>157</v>
      </c>
      <c r="V55" s="57" t="s">
        <v>72</v>
      </c>
      <c r="W55" s="57" t="s">
        <v>72</v>
      </c>
      <c r="X55" s="57" t="s">
        <v>72</v>
      </c>
      <c r="Y55" s="57" t="s">
        <v>161</v>
      </c>
      <c r="Z55" s="57" t="s">
        <v>72</v>
      </c>
      <c r="AA55" s="57" t="s">
        <v>72</v>
      </c>
      <c r="AB55" s="57" t="s">
        <v>96</v>
      </c>
      <c r="AC55" s="57" t="s">
        <v>72</v>
      </c>
      <c r="AD55" s="57" t="s">
        <v>72</v>
      </c>
      <c r="AE55" s="57" t="s">
        <v>150</v>
      </c>
      <c r="AF55" s="57" t="s">
        <v>72</v>
      </c>
      <c r="AG55" s="57" t="s">
        <v>72</v>
      </c>
      <c r="AH55" s="57" t="s">
        <v>87</v>
      </c>
      <c r="AI55" t="str">
        <f>VLOOKUP($Q55,武学奇术!$A:$ZZ,25,FALSE)</f>
        <v>单体奇术</v>
      </c>
      <c r="AJ55" s="41">
        <f>VLOOKUP($Q55,武学奇术!$A:$ZZ,26,FALSE)</f>
        <v>0.236</v>
      </c>
      <c r="AK55" s="42">
        <f>VLOOKUP($Q55,武学奇术!$A:$ZZ,27,FALSE)*(1+IF(OR($AI55=$F$4,$AI55=$F$5),$B$22,0))</f>
        <v>44</v>
      </c>
      <c r="AL55" s="41">
        <f>VLOOKUP($Q55,武学奇术!$A:$ZZ,28,FALSE)</f>
        <v>0.354</v>
      </c>
      <c r="AM55" s="42">
        <f>VLOOKUP($Q55,武学奇术!$A:$ZZ,29,FALSE)*(1+IF(OR($AI55=$F$4,$AI55=$F$5),$B$22,0))</f>
        <v>0</v>
      </c>
      <c r="AN55" s="41" cm="1">
        <f t="array" ref="AN55">$G$3+IFERROR(VLOOKUP($AI55,$F$4:$G$7,2,FALSE),0)+VLOOKUP($Q55,武学奇术!$A:$ZZ,2,FALSE)+SUM(_xlfn.XLOOKUP($R55:$AH55,增益!$A:$A,增益!$B:$B,0))</f>
        <v>0.7515</v>
      </c>
      <c r="AO55" s="41" cm="1">
        <f t="array" ref="AO55">VLOOKUP($Q55,武学奇术!$A:$ZZ,5,FALSE)+SUM(_xlfn.XLOOKUP($R55:$AH55,增益!$A:$A,增益!$E:$E,0))</f>
        <v>0.15</v>
      </c>
      <c r="AP55" cm="1">
        <f t="array" ref="AP55">$D$10*(1+$AO55)+VLOOKUP($Q55,武学奇术!$A:$ZZ,3,FALSE)+SUM(_xlfn.XLOOKUP($R55:$AH55,增益!$A:$A,增益!$C:$C,0))-$I$2</f>
        <v>2150.71</v>
      </c>
      <c r="AQ55" cm="1">
        <f t="array" ref="AQ55">$E$10*(1+$AO55)+VLOOKUP($Q55,武学奇术!$A:$ZZ,4,FALSE)+SUM(_xlfn.XLOOKUP($R55:$AH55,增益!$A:$A,增益!$D:$D,0))-$I$2</f>
        <v>6394.9</v>
      </c>
      <c r="AR55" s="49" cm="1">
        <f t="array" ref="AR55">IF($F$10-$I$3+VLOOKUP($Q55,武学奇术!$A:$ZZ,6,FALSE)+SUM(_xlfn.XLOOKUP(R55:AH55,增益!$A:$A,增益!$F:$F,0))&gt;0,($F$10-$I$3+VLOOKUP($Q55,武学奇术!$A:$ZZ,6,FALSE)+SUM(_xlfn.XLOOKUP(R55:AH55,增益!$A:$A,增益!$F:$F,0)))/200,($F$10-$I$3+VLOOKUP($Q55,武学奇术!$A:$ZZ,6,FALSE)+SUM(_xlfn.XLOOKUP(R55:AH55,增益!$A:$A,增益!$F:$F,0)))/100)</f>
        <v>0.4675</v>
      </c>
      <c r="AS55" s="49" cm="1">
        <f t="array" ref="AS55">$G$10+VLOOKUP($Q55,武学奇术!$A:$ZZ,7,FALSE)+SUM(_xlfn.XLOOKUP(R55:AH55,增益!$A:$A,增益!$G:$G,0))</f>
        <v>0</v>
      </c>
      <c r="AT55" s="41" cm="1">
        <f t="array" ref="AT55">VLOOKUP($Q55,武学奇术!$A:$ZZ,8,FALSE)+SUM(_xlfn.XLOOKUP(R55:AH55,增益!$A:$A,增益!$H:$H,0))</f>
        <v>0</v>
      </c>
      <c r="AU55">
        <f t="shared" si="12"/>
        <v>0</v>
      </c>
      <c r="AV55">
        <f t="shared" si="13"/>
        <v>0</v>
      </c>
      <c r="AW55" s="49" cm="1">
        <f t="array" ref="AW55">IF($F$11-$I$4+VLOOKUP($Q55,武学奇术!$A:$ZZ,9,FALSE)+SUM(_xlfn.XLOOKUP(R55:AH55,增益!$A:$A,增益!$I:$I,0))&gt;0,($F$11-$I$4+VLOOKUP($Q55,武学奇术!$A:$ZZ,9,FALSE)+SUM(_xlfn.XLOOKUP(R55:AH55,增益!$A:$A,增益!$I:$I,0)))/200,($F$11-$I$4+VLOOKUP($Q55,武学奇术!$A:$ZZ,9,FALSE)+SUM(_xlfn.XLOOKUP(R55:AH55,增益!$A:$A,增益!$I:$I,0)))/100)</f>
        <v>-0.14</v>
      </c>
      <c r="AX55" s="49" cm="1">
        <f t="array" ref="AX55">$G$11+VLOOKUP($Q55,武学奇术!$A:$ZZ,10,FALSE)+SUM(_xlfn.XLOOKUP(R55:AH55,增益!$A:$A,增益!$J:$J,0))</f>
        <v>0</v>
      </c>
      <c r="AY55">
        <f t="shared" si="14"/>
        <v>0</v>
      </c>
      <c r="AZ55">
        <f t="shared" si="15"/>
        <v>0</v>
      </c>
      <c r="BA55" s="49" cm="1">
        <f t="array" ref="BA55">IF($F$12-$I$4+VLOOKUP($Q55,武学奇术!$A:$ZZ,11,FALSE)+SUM(_xlfn.XLOOKUP(R55:AH55,增益!$A:$A,增益!$K:$K,0))&gt;0,($F$12-$I$4+VLOOKUP($Q55,武学奇术!$A:$ZZ,11,FALSE)+SUM(_xlfn.XLOOKUP(R55:AH55,增益!$A:$A,增益!$K:$K,0)))/200,($F$12-$I$4+VLOOKUP($Q55,武学奇术!$A:$ZZ,11,FALSE)+SUM(_xlfn.XLOOKUP(R55:AH55,增益!$A:$A,增益!$K:$K,0)))/100)</f>
        <v>-0.14</v>
      </c>
      <c r="BB55" s="49" cm="1">
        <f t="array" ref="BB55">$G$12+VLOOKUP($Q55,武学奇术!$A:$ZZ,12,FALSE)+SUM(_xlfn.XLOOKUP(R55:AH55,增益!$A:$A,增益!$L:$L,0))</f>
        <v>0</v>
      </c>
      <c r="BC55">
        <f t="shared" si="16"/>
        <v>571.2</v>
      </c>
      <c r="BD55">
        <f t="shared" si="17"/>
        <v>1077.4</v>
      </c>
      <c r="BE55" s="49" cm="1">
        <f t="array" ref="BE55">IF($F$13-$I$4+VLOOKUP($Q55,武学奇术!$A:$ZZ,13,FALSE)+SUM(_xlfn.XLOOKUP(R55:AH55,增益!$A:$A,增益!$M:$M,0))&gt;0,($F$13-$I$4+VLOOKUP($Q55,武学奇术!$A:$ZZ,13,FALSE)+SUM(_xlfn.XLOOKUP(R55:AH55,增益!$A:$A,增益!$K:$K,0)))/200,($F$13-$I$4+VLOOKUP($Q55,武学奇术!$A:$ZZ,13,FALSE)+SUM(_xlfn.XLOOKUP(R55:AH55,增益!$A:$A,增益!$M:$M,0)))/100)</f>
        <v>0.08</v>
      </c>
      <c r="BF55" s="49" cm="1">
        <f t="array" ref="BF55">$G$13+VLOOKUP($Q55,武学奇术!$A:$ZZ,14,FALSE)+SUM(_xlfn.XLOOKUP(R55:AH55,增益!$A:$A,增益!$N:$N,0))</f>
        <v>0.15</v>
      </c>
      <c r="BG55">
        <f t="shared" si="18"/>
        <v>0</v>
      </c>
      <c r="BH55">
        <f t="shared" si="19"/>
        <v>0</v>
      </c>
      <c r="BI55" s="49" cm="1">
        <f t="array" ref="BI55">IF($F$14-$I$4+VLOOKUP($Q55,武学奇术!$A:$ZZ,15,FALSE)+SUM(_xlfn.XLOOKUP(R55:AH55,增益!$A:$A,增益!$O:$O,0))&gt;0,($F$14-$I$4+VLOOKUP($Q55,武学奇术!$A:$ZZ,15,FALSE)+SUM(_xlfn.XLOOKUP(R55:AH55,增益!$A:$A,增益!$O:$O,0)))/200,($F$14-$I$4+VLOOKUP($Q55,武学奇术!$A:$ZZ,15,FALSE)+SUM(_xlfn.XLOOKUP(R55:AH55,增益!$A:$A,增益!$O:$O,0)))/100)</f>
        <v>-0.14</v>
      </c>
      <c r="BJ55" s="49" cm="1">
        <f t="array" ref="BJ55">$G$14+VLOOKUP($Q55,武学奇术!$A:$ZZ,16,FALSE)+SUM(_xlfn.XLOOKUP(R55:AH55,增益!$A:$A,增益!$P:$P,0))</f>
        <v>0</v>
      </c>
      <c r="BK55" s="41">
        <f>MIN(IF(VLOOKUP($Q55,武学奇术!$A:$ZZ,23,FALSE)=1,100%,$B$8),100%)</f>
        <v>1</v>
      </c>
      <c r="BL55" s="41" cm="1">
        <f t="array" ref="BL55">IF(VLOOKUP($Q55,武学奇术!$A:$ZZ,23,FALSE)=1,100%,MIN(80%,$B$9+VLOOKUP($Q55,武学奇术!$A:$ZZ,17,FALSE)+SUM(_xlfn.XLOOKUP(R55:AH55,增益!$A:$A,增益!$Q:$Q,0)))+$B$11+SUM(_xlfn.XLOOKUP(R55:AH55,增益!$A:$A,增益!$U:$U,0)))*IF(VLOOKUP($Q55,武学奇术!$A:$ZZ,24,FALSE)=1,0,1)</f>
        <v>0.9045</v>
      </c>
      <c r="BM55" s="41" cm="1">
        <f t="array" ref="BM55">1+$B$13+VLOOKUP($Q55,武学奇术!$A:$ZZ,18,FALSE)+SUM(_xlfn.XLOOKUP(R55:AH55,增益!$A:$A,增益!$R:$R,0))</f>
        <v>1.85</v>
      </c>
      <c r="BN55" s="41" cm="1">
        <f t="array" ref="BN55">IF(VLOOKUP($Q55,武学奇术!$A:$ZZ,24,FALSE)=1,100%,MIN(40%,$B$10+VLOOKUP($Q55,武学奇术!$A:$ZZ,19,FALSE)+SUM(_xlfn.XLOOKUP(R55:AH55,增益!$A:$A,增益!$S:$S,0)))+$B$12+SUM(_xlfn.XLOOKUP(R55:AH55,增益!$A:$A,增益!$V:$V,0)))*IF(VLOOKUP($Q55,武学奇术!$A:$ZZ,23,FALSE)=1,0,1)</f>
        <v>0.0929</v>
      </c>
      <c r="BO55" s="41" cm="1">
        <f t="array" ref="BO55">1+$B$14+VLOOKUP($Q55,武学奇术!$A:$ZZ,20,FALSE)+SUM(_xlfn.XLOOKUP(R55:AH55,增益!$A:$A,增益!$T:$T,0))</f>
        <v>1.35</v>
      </c>
      <c r="BP55" s="41">
        <f t="shared" si="20"/>
        <v>0.9045</v>
      </c>
      <c r="BQ55" s="41">
        <f t="shared" si="21"/>
        <v>0.00260000000000005</v>
      </c>
      <c r="BR55" s="41">
        <f>IF(VLOOKUP($Q55,武学奇术!$A:$ZZ,22,FALSE)=1,0,(1-$BK55))*(1-$BN55)</f>
        <v>0</v>
      </c>
      <c r="BS55" s="41" cm="1">
        <f t="array" ref="BS55">SUM(_xlfn.XLOOKUP(R55:AH55,增益!$A:$A,增益!$W:$W,0))+$I$5</f>
        <v>0.11</v>
      </c>
    </row>
    <row r="56" spans="1:71">
      <c r="K56" s="55">
        <f t="shared" si="11"/>
        <v>181227.805238244</v>
      </c>
      <c r="L56" s="55">
        <f>((($AP56+$AQ56)/2*$AJ56+$AK56)*(1+$AR56)*(1+$AS56)+(($AU56+$AV56)/2*IF($G$1="鸣金",$AL56,$AJ56)+IF($G$1="鸣金",$AM56*1.5,0))*(1+$AW56)*(1+$AX56)+(($AY56+$AZ56)/2*IF($G$1="裂石",$AL56,$AJ56)+IF($G$1="裂石",$AM56*1.5,0))*(1+$BA56)*(1+$BB56)+(($BC56+$BD56)/2*IF($G$1="牵丝",$AL56,$AJ56)+IF($G$1="牵丝",$AM56*1.5,0))*(1+$BE56)*(1+$BF56)+(($BG56+$BH56)/2*IF($G$1="破竹",$AL56,$AJ56)+IF($G$1="破竹",$AM56*1.5,0))*(1+$BI56)*(1+$BJ56))*(1+$AN56)*$BM56*$P56*(1+IF(VLOOKUP($Q56,武学奇术!$A:$ZZ,30,FALSE)="弹道",$B$21,0))*(1+$BS56)</f>
        <v>180542.98955126</v>
      </c>
      <c r="M56" s="55">
        <f>(($AQ56*$AJ56+$AK56)*(1+$AR56)*(1+$AS56)+($AV56*IF($G$1="鸣金",$AL56,$AJ56)+IF($G$1="鸣金",$AM56*1.5,0))*(1+$AW56)*(1+$AX56)+($AZ56*IF($G$1="裂石",$AL56,$AJ56)+IF($G$1="裂石",$AM56*1.5,0))*(1+$BA56)*(1+$BB56)+($BD56*IF($G$1="牵丝",$AL56,$AJ56)+IF($G$1="牵丝",$AM56*1.5,0))*(1+$BE56)*(1+$BF56)+($BH56*IF($G$1="破竹",$AL56,$AJ56)+IF($G$1="破竹",$AM56*1.5,0))*(1+$BI56)*(1+$BJ56))*(1+$AN56)*$BO56*$P56*(1+IF(VLOOKUP($Q56,武学奇术!$A:$ZZ,30,FALSE)="弹道",$B$21,0))*(1+$BS56)</f>
        <v>190236.115131389</v>
      </c>
      <c r="N56" s="55">
        <f>((($AP56+$AQ56)/2*$AJ56+$AK56)*(1+$AR56)*(1+$AS56)+(($AU56+$AV56)/2*IF($G$1="鸣金",$AL56,$AJ56)+IF($G$1="鸣金",$AM56*1.5,0))*(1+$AW56)*(1+$AX56)+(($AY56+$AZ56)/2*IF($G$1="裂石",$AL56,$AJ56)+IF($G$1="裂石",$AM56*1.5,0))*(1+$BA56)*(1+$BB56)+(($BC56+$BD56)/2*IF($G$1="牵丝",$AL56,$AJ56)+IF($G$1="牵丝",$AM56*1.5,0))*(1+$BE56)*(1+$BF56)+(($BG56+$BH56)/2*IF($G$1="破竹",$AL56,$AJ56)+IF($G$1="破竹",$AM56*1.5,0))*(1+$BI56)*(1+$BJ56))*(1+$AN56)*$P56*(1+IF(VLOOKUP($Q56,武学奇术!$A:$ZZ,30,FALSE)="弹道",$B$21,0))*(1+$BS56)</f>
        <v>97590.805162843</v>
      </c>
      <c r="O56" s="55">
        <f>((($AP56*$AJ56+$AK56)*(1+$AR56)*(1+$AS56)+($AU56*IF($G$1="鸣金",$AL56,$AJ56)+IF($G$1="鸣金",$AM56*1.5,0))*(1+$AW56)*(1+$AX56)+($AY56*IF($G$1="裂石",$AL56,$AJ56)+IF($G$1="裂石",$AM56*1.5,0))*(1+$BA56)*(1+$BB56)+($BC56*IF($G$1="牵丝",$AL56,$AJ56)+IF($G$1="牵丝",$AM56*1.5,0))*(1+$BE56)*(1+$BF56)+($BG56*IF($G$1="破竹",$AL56,$AJ56)+IF($G$1="破竹",$AM56*1.5,0))*(1+$BI56)*(1+$BJ56))*(1+$AN56))*$P56*(1+IF(VLOOKUP($Q56,武学奇术!$A:$ZZ,30,FALSE)="弹道",$B$21,0))*(1+$BS56)</f>
        <v>54265.9694876199</v>
      </c>
      <c r="P56" s="56">
        <v>6</v>
      </c>
      <c r="Q56" s="57" t="s">
        <v>164</v>
      </c>
      <c r="R56" s="57" t="s">
        <v>116</v>
      </c>
      <c r="S56" s="57" t="s">
        <v>153</v>
      </c>
      <c r="T56" s="57" t="s">
        <v>72</v>
      </c>
      <c r="U56" s="57" t="s">
        <v>157</v>
      </c>
      <c r="V56" s="57" t="s">
        <v>72</v>
      </c>
      <c r="W56" s="57" t="s">
        <v>72</v>
      </c>
      <c r="X56" s="57" t="s">
        <v>72</v>
      </c>
      <c r="Y56" s="57" t="s">
        <v>161</v>
      </c>
      <c r="Z56" s="57" t="s">
        <v>72</v>
      </c>
      <c r="AA56" s="57" t="s">
        <v>72</v>
      </c>
      <c r="AB56" s="57" t="s">
        <v>96</v>
      </c>
      <c r="AC56" s="57" t="s">
        <v>162</v>
      </c>
      <c r="AD56" s="57" t="s">
        <v>163</v>
      </c>
      <c r="AE56" s="57" t="s">
        <v>72</v>
      </c>
      <c r="AF56" s="57" t="s">
        <v>72</v>
      </c>
      <c r="AG56" s="57" t="s">
        <v>72</v>
      </c>
      <c r="AH56" s="57" t="s">
        <v>87</v>
      </c>
      <c r="AI56" t="str">
        <f>VLOOKUP($Q56,武学奇术!$A:$ZZ,25,FALSE)</f>
        <v>单体奇术</v>
      </c>
      <c r="AJ56" s="41">
        <f>VLOOKUP($Q56,武学奇术!$A:$ZZ,26,FALSE)</f>
        <v>1.0238</v>
      </c>
      <c r="AK56" s="42">
        <f>VLOOKUP($Q56,武学奇术!$A:$ZZ,27,FALSE)*(1+IF(OR($AI56=$F$4,$AI56=$F$5),$B$22,0))</f>
        <v>189</v>
      </c>
      <c r="AL56" s="41">
        <f>VLOOKUP($Q56,武学奇术!$A:$ZZ,28,FALSE)</f>
        <v>1.5357</v>
      </c>
      <c r="AM56" s="42">
        <f>VLOOKUP($Q56,武学奇术!$A:$ZZ,29,FALSE)*(1+IF(OR($AI56=$F$4,$AI56=$F$5),$B$22,0))</f>
        <v>0</v>
      </c>
      <c r="AN56" s="41" cm="1">
        <f t="array" ref="AN56">$G$3+IFERROR(VLOOKUP($AI56,$F$4:$G$7,2,FALSE),0)+VLOOKUP($Q56,武学奇术!$A:$ZZ,2,FALSE)+SUM(_xlfn.XLOOKUP($R56:$AH56,增益!$A:$A,增益!$B:$B,0))</f>
        <v>0.5015</v>
      </c>
      <c r="AO56" s="41" cm="1">
        <f t="array" ref="AO56">VLOOKUP($Q56,武学奇术!$A:$ZZ,5,FALSE)+SUM(_xlfn.XLOOKUP($R56:$AH56,增益!$A:$A,增益!$E:$E,0))</f>
        <v>0.15</v>
      </c>
      <c r="AP56" cm="1">
        <f t="array" ref="AP56">$D$10*(1+$AO56)+VLOOKUP($Q56,武学奇术!$A:$ZZ,3,FALSE)+SUM(_xlfn.XLOOKUP($R56:$AH56,增益!$A:$A,增益!$C:$C,0))-$I$2</f>
        <v>2150.71</v>
      </c>
      <c r="AQ56" cm="1">
        <f t="array" ref="AQ56">$E$10*(1+$AO56)+VLOOKUP($Q56,武学奇术!$A:$ZZ,4,FALSE)+SUM(_xlfn.XLOOKUP($R56:$AH56,增益!$A:$A,增益!$D:$D,0))-$I$2</f>
        <v>6394.9</v>
      </c>
      <c r="AR56" s="49" cm="1">
        <f t="array" ref="AR56">IF($F$10-$I$3+VLOOKUP($Q56,武学奇术!$A:$ZZ,6,FALSE)+SUM(_xlfn.XLOOKUP(R56:AH56,增益!$A:$A,增益!$F:$F,0))&gt;0,($F$10-$I$3+VLOOKUP($Q56,武学奇术!$A:$ZZ,6,FALSE)+SUM(_xlfn.XLOOKUP(R56:AH56,增益!$A:$A,增益!$F:$F,0)))/200,($F$10-$I$3+VLOOKUP($Q56,武学奇术!$A:$ZZ,6,FALSE)+SUM(_xlfn.XLOOKUP(R56:AH56,增益!$A:$A,增益!$F:$F,0)))/100)</f>
        <v>0.4675</v>
      </c>
      <c r="AS56" s="49" cm="1">
        <f t="array" ref="AS56">$G$10+VLOOKUP($Q56,武学奇术!$A:$ZZ,7,FALSE)+SUM(_xlfn.XLOOKUP(R56:AH56,增益!$A:$A,增益!$G:$G,0))</f>
        <v>0</v>
      </c>
      <c r="AT56" s="41" cm="1">
        <f t="array" ref="AT56">VLOOKUP($Q56,武学奇术!$A:$ZZ,8,FALSE)+SUM(_xlfn.XLOOKUP(R56:AH56,增益!$A:$A,增益!$H:$H,0))</f>
        <v>0</v>
      </c>
      <c r="AU56">
        <f t="shared" si="12"/>
        <v>0</v>
      </c>
      <c r="AV56">
        <f t="shared" si="13"/>
        <v>0</v>
      </c>
      <c r="AW56" s="49" cm="1">
        <f t="array" ref="AW56">IF($F$11-$I$4+VLOOKUP($Q56,武学奇术!$A:$ZZ,9,FALSE)+SUM(_xlfn.XLOOKUP(R56:AH56,增益!$A:$A,增益!$I:$I,0))&gt;0,($F$11-$I$4+VLOOKUP($Q56,武学奇术!$A:$ZZ,9,FALSE)+SUM(_xlfn.XLOOKUP(R56:AH56,增益!$A:$A,增益!$I:$I,0)))/200,($F$11-$I$4+VLOOKUP($Q56,武学奇术!$A:$ZZ,9,FALSE)+SUM(_xlfn.XLOOKUP(R56:AH56,增益!$A:$A,增益!$I:$I,0)))/100)</f>
        <v>-0.14</v>
      </c>
      <c r="AX56" s="49" cm="1">
        <f t="array" ref="AX56">$G$11+VLOOKUP($Q56,武学奇术!$A:$ZZ,10,FALSE)+SUM(_xlfn.XLOOKUP(R56:AH56,增益!$A:$A,增益!$J:$J,0))</f>
        <v>0.1</v>
      </c>
      <c r="AY56">
        <f t="shared" si="14"/>
        <v>0</v>
      </c>
      <c r="AZ56">
        <f t="shared" si="15"/>
        <v>0</v>
      </c>
      <c r="BA56" s="49" cm="1">
        <f t="array" ref="BA56">IF($F$12-$I$4+VLOOKUP($Q56,武学奇术!$A:$ZZ,11,FALSE)+SUM(_xlfn.XLOOKUP(R56:AH56,增益!$A:$A,增益!$K:$K,0))&gt;0,($F$12-$I$4+VLOOKUP($Q56,武学奇术!$A:$ZZ,11,FALSE)+SUM(_xlfn.XLOOKUP(R56:AH56,增益!$A:$A,增益!$K:$K,0)))/200,($F$12-$I$4+VLOOKUP($Q56,武学奇术!$A:$ZZ,11,FALSE)+SUM(_xlfn.XLOOKUP(R56:AH56,增益!$A:$A,增益!$K:$K,0)))/100)</f>
        <v>-0.14</v>
      </c>
      <c r="BB56" s="49" cm="1">
        <f t="array" ref="BB56">$G$12+VLOOKUP($Q56,武学奇术!$A:$ZZ,12,FALSE)+SUM(_xlfn.XLOOKUP(R56:AH56,增益!$A:$A,增益!$L:$L,0))</f>
        <v>0</v>
      </c>
      <c r="BC56">
        <f t="shared" si="16"/>
        <v>571.2</v>
      </c>
      <c r="BD56">
        <f t="shared" si="17"/>
        <v>1077.4</v>
      </c>
      <c r="BE56" s="49" cm="1">
        <f t="array" ref="BE56">IF($F$13-$I$4+VLOOKUP($Q56,武学奇术!$A:$ZZ,13,FALSE)+SUM(_xlfn.XLOOKUP(R56:AH56,增益!$A:$A,增益!$M:$M,0))&gt;0,($F$13-$I$4+VLOOKUP($Q56,武学奇术!$A:$ZZ,13,FALSE)+SUM(_xlfn.XLOOKUP(R56:AH56,增益!$A:$A,增益!$K:$K,0)))/200,($F$13-$I$4+VLOOKUP($Q56,武学奇术!$A:$ZZ,13,FALSE)+SUM(_xlfn.XLOOKUP(R56:AH56,增益!$A:$A,增益!$M:$M,0)))/100)</f>
        <v>0.08</v>
      </c>
      <c r="BF56" s="49" cm="1">
        <f t="array" ref="BF56">$G$13+VLOOKUP($Q56,武学奇术!$A:$ZZ,14,FALSE)+SUM(_xlfn.XLOOKUP(R56:AH56,增益!$A:$A,增益!$N:$N,0))</f>
        <v>0.15</v>
      </c>
      <c r="BG56">
        <f t="shared" si="18"/>
        <v>0</v>
      </c>
      <c r="BH56">
        <f t="shared" si="19"/>
        <v>0</v>
      </c>
      <c r="BI56" s="49" cm="1">
        <f t="array" ref="BI56">IF($F$14-$I$4+VLOOKUP($Q56,武学奇术!$A:$ZZ,15,FALSE)+SUM(_xlfn.XLOOKUP(R56:AH56,增益!$A:$A,增益!$O:$O,0))&gt;0,($F$14-$I$4+VLOOKUP($Q56,武学奇术!$A:$ZZ,15,FALSE)+SUM(_xlfn.XLOOKUP(R56:AH56,增益!$A:$A,增益!$O:$O,0)))/200,($F$14-$I$4+VLOOKUP($Q56,武学奇术!$A:$ZZ,15,FALSE)+SUM(_xlfn.XLOOKUP(R56:AH56,增益!$A:$A,增益!$O:$O,0)))/100)</f>
        <v>-0.14</v>
      </c>
      <c r="BJ56" s="49" cm="1">
        <f t="array" ref="BJ56">$G$14+VLOOKUP($Q56,武学奇术!$A:$ZZ,16,FALSE)+SUM(_xlfn.XLOOKUP(R56:AH56,增益!$A:$A,增益!$P:$P,0))</f>
        <v>0</v>
      </c>
      <c r="BK56" s="41">
        <f>MIN(IF(VLOOKUP($Q56,武学奇术!$A:$ZZ,23,FALSE)=1,100%,$B$8),100%)</f>
        <v>1</v>
      </c>
      <c r="BL56" s="41" cm="1">
        <f t="array" ref="BL56">IF(VLOOKUP($Q56,武学奇术!$A:$ZZ,23,FALSE)=1,100%,MIN(80%,$B$9+VLOOKUP($Q56,武学奇术!$A:$ZZ,17,FALSE)+SUM(_xlfn.XLOOKUP(R56:AH56,增益!$A:$A,增益!$Q:$Q,0)))+$B$11+SUM(_xlfn.XLOOKUP(R56:AH56,增益!$A:$A,增益!$U:$U,0)))*IF(VLOOKUP($Q56,武学奇术!$A:$ZZ,24,FALSE)=1,0,1)</f>
        <v>0.9045</v>
      </c>
      <c r="BM56" s="41" cm="1">
        <f t="array" ref="BM56">1+$B$13+VLOOKUP($Q56,武学奇术!$A:$ZZ,18,FALSE)+SUM(_xlfn.XLOOKUP(R56:AH56,增益!$A:$A,增益!$R:$R,0))</f>
        <v>1.85</v>
      </c>
      <c r="BN56" s="41" cm="1">
        <f t="array" ref="BN56">IF(VLOOKUP($Q56,武学奇术!$A:$ZZ,24,FALSE)=1,100%,MIN(40%,$B$10+VLOOKUP($Q56,武学奇术!$A:$ZZ,19,FALSE)+SUM(_xlfn.XLOOKUP(R56:AH56,增益!$A:$A,增益!$S:$S,0)))+$B$12+SUM(_xlfn.XLOOKUP(R56:AH56,增益!$A:$A,增益!$V:$V,0)))*IF(VLOOKUP($Q56,武学奇术!$A:$ZZ,23,FALSE)=1,0,1)</f>
        <v>0.0929</v>
      </c>
      <c r="BO56" s="41" cm="1">
        <f t="array" ref="BO56">1+$B$14+VLOOKUP($Q56,武学奇术!$A:$ZZ,20,FALSE)+SUM(_xlfn.XLOOKUP(R56:AH56,增益!$A:$A,增益!$T:$T,0))</f>
        <v>1.35</v>
      </c>
      <c r="BP56" s="41">
        <f t="shared" si="20"/>
        <v>0.9045</v>
      </c>
      <c r="BQ56" s="41">
        <f t="shared" si="21"/>
        <v>0.00260000000000005</v>
      </c>
      <c r="BR56" s="41">
        <f>IF(VLOOKUP($Q56,武学奇术!$A:$ZZ,22,FALSE)=1,0,(1-$BK56))*(1-$BN56)</f>
        <v>0</v>
      </c>
      <c r="BS56" s="41" cm="1">
        <f t="array" ref="BS56">SUM(_xlfn.XLOOKUP(R56:AH56,增益!$A:$A,增益!$W:$W,0))+$I$5</f>
        <v>0.31</v>
      </c>
    </row>
    <row r="57" spans="1:71">
      <c r="A57" s="4"/>
      <c r="B57" s="4"/>
      <c r="K57" s="55">
        <f t="shared" si="11"/>
        <v>77161.3406708021</v>
      </c>
      <c r="L57" s="55">
        <f>((($AP57+$AQ57)/2*$AJ57+$AK57)*(1+$AR57)*(1+$AS57)+(($AU57+$AV57)/2*IF($G$1="鸣金",$AL57,$AJ57)+IF($G$1="鸣金",$AM57*1.5,0))*(1+$AW57)*(1+$AX57)+(($AY57+$AZ57)/2*IF($G$1="裂石",$AL57,$AJ57)+IF($G$1="裂石",$AM57*1.5,0))*(1+$BA57)*(1+$BB57)+(($BC57+$BD57)/2*IF($G$1="牵丝",$AL57,$AJ57)+IF($G$1="牵丝",$AM57*1.5,0))*(1+$BE57)*(1+$BF57)+(($BG57+$BH57)/2*IF($G$1="破竹",$AL57,$AJ57)+IF($G$1="破竹",$AM57*1.5,0))*(1+$BI57)*(1+$BJ57))*(1+$AN57)*$BM57*$P57*(1+IF(VLOOKUP($Q57,武学奇术!$A:$ZZ,30,FALSE)="弹道",$B$21,0))*(1+$BS57)</f>
        <v>76869.7682889037</v>
      </c>
      <c r="M57" s="55">
        <f>(($AQ57*$AJ57+$AK57)*(1+$AR57)*(1+$AS57)+($AV57*IF($G$1="鸣金",$AL57,$AJ57)+IF($G$1="鸣金",$AM57*1.5,0))*(1+$AW57)*(1+$AX57)+($AZ57*IF($G$1="裂石",$AL57,$AJ57)+IF($G$1="裂石",$AM57*1.5,0))*(1+$BA57)*(1+$BB57)+($BD57*IF($G$1="牵丝",$AL57,$AJ57)+IF($G$1="牵丝",$AM57*1.5,0))*(1+$BE57)*(1+$BF57)+($BH57*IF($G$1="破竹",$AL57,$AJ57)+IF($G$1="破竹",$AM57*1.5,0))*(1+$BI57)*(1+$BJ57))*(1+$AN57)*$BO57*$P57*(1+IF(VLOOKUP($Q57,武学奇术!$A:$ZZ,30,FALSE)="弹道",$B$21,0))*(1+$BS57)</f>
        <v>80996.7929561167</v>
      </c>
      <c r="N57" s="55">
        <f>((($AP57+$AQ57)/2*$AJ57+$AK57)*(1+$AR57)*(1+$AS57)+(($AU57+$AV57)/2*IF($G$1="鸣金",$AL57,$AJ57)+IF($G$1="鸣金",$AM57*1.5,0))*(1+$AW57)*(1+$AX57)+(($AY57+$AZ57)/2*IF($G$1="裂石",$AL57,$AJ57)+IF($G$1="裂石",$AM57*1.5,0))*(1+$BA57)*(1+$BB57)+(($BC57+$BD57)/2*IF($G$1="牵丝",$AL57,$AJ57)+IF($G$1="牵丝",$AM57*1.5,0))*(1+$BE57)*(1+$BF57)+(($BG57+$BH57)/2*IF($G$1="破竹",$AL57,$AJ57)+IF($G$1="破竹",$AM57*1.5,0))*(1+$BI57)*(1+$BJ57))*(1+$AN57)*$P57*(1+IF(VLOOKUP($Q57,武学奇术!$A:$ZZ,30,FALSE)="弹道",$B$21,0))*(1+$BS57)</f>
        <v>41551.2261021101</v>
      </c>
      <c r="O57" s="55">
        <f>((($AP57*$AJ57+$AK57)*(1+$AR57)*(1+$AS57)+($AU57*IF($G$1="鸣金",$AL57,$AJ57)+IF($G$1="鸣金",$AM57*1.5,0))*(1+$AW57)*(1+$AX57)+($AY57*IF($G$1="裂石",$AL57,$AJ57)+IF($G$1="裂石",$AM57*1.5,0))*(1+$BA57)*(1+$BB57)+($BC57*IF($G$1="牵丝",$AL57,$AJ57)+IF($G$1="牵丝",$AM57*1.5,0))*(1+$BE57)*(1+$BF57)+($BG57*IF($G$1="破竹",$AL57,$AJ57)+IF($G$1="破竹",$AM57*1.5,0))*(1+$BI57)*(1+$BJ57))*(1+$AN57))*$P57*(1+IF(VLOOKUP($Q57,武学奇术!$A:$ZZ,30,FALSE)="弹道",$B$21,0))*(1+$BS57)</f>
        <v>23104.827792282</v>
      </c>
      <c r="P57" s="56">
        <v>1</v>
      </c>
      <c r="Q57" s="57" t="s">
        <v>165</v>
      </c>
      <c r="R57" s="57" t="s">
        <v>116</v>
      </c>
      <c r="S57" s="57" t="s">
        <v>153</v>
      </c>
      <c r="T57" s="57" t="s">
        <v>72</v>
      </c>
      <c r="U57" s="57" t="s">
        <v>157</v>
      </c>
      <c r="V57" s="57" t="s">
        <v>72</v>
      </c>
      <c r="W57" s="57" t="s">
        <v>72</v>
      </c>
      <c r="X57" s="57" t="s">
        <v>72</v>
      </c>
      <c r="Y57" s="57" t="s">
        <v>161</v>
      </c>
      <c r="Z57" s="57" t="s">
        <v>72</v>
      </c>
      <c r="AA57" s="57" t="s">
        <v>72</v>
      </c>
      <c r="AB57" s="57" t="s">
        <v>96</v>
      </c>
      <c r="AC57" s="57" t="s">
        <v>162</v>
      </c>
      <c r="AD57" s="57" t="s">
        <v>163</v>
      </c>
      <c r="AE57" s="57" t="s">
        <v>72</v>
      </c>
      <c r="AF57" s="57" t="s">
        <v>72</v>
      </c>
      <c r="AG57" s="57" t="s">
        <v>72</v>
      </c>
      <c r="AH57" s="57" t="s">
        <v>87</v>
      </c>
      <c r="AI57" t="str">
        <f>VLOOKUP($Q57,武学奇术!$A:$ZZ,25,FALSE)</f>
        <v>单体奇术</v>
      </c>
      <c r="AJ57" s="41">
        <f>VLOOKUP($Q57,武学奇术!$A:$ZZ,26,FALSE)</f>
        <v>1.7063</v>
      </c>
      <c r="AK57" s="42">
        <f>VLOOKUP($Q57,武学奇术!$A:$ZZ,27,FALSE)*(1+IF(OR($AI57=$F$4,$AI57=$F$5),$B$22,0))</f>
        <v>315</v>
      </c>
      <c r="AL57" s="41">
        <f>VLOOKUP($Q57,武学奇术!$A:$ZZ,28,FALSE)</f>
        <v>2.55945</v>
      </c>
      <c r="AM57" s="42">
        <f>VLOOKUP($Q57,武学奇术!$A:$ZZ,29,FALSE)*(1+IF(OR($AI57=$F$4,$AI57=$F$5),$B$22,0))</f>
        <v>0</v>
      </c>
      <c r="AN57" s="41" cm="1">
        <f t="array" ref="AN57">$G$3+IFERROR(VLOOKUP($AI57,$F$4:$G$7,2,FALSE),0)+VLOOKUP($Q57,武学奇术!$A:$ZZ,2,FALSE)+SUM(_xlfn.XLOOKUP($R57:$AH57,增益!$A:$A,增益!$B:$B,0))</f>
        <v>1.3015</v>
      </c>
      <c r="AO57" s="41" cm="1">
        <f t="array" ref="AO57">VLOOKUP($Q57,武学奇术!$A:$ZZ,5,FALSE)+SUM(_xlfn.XLOOKUP($R57:$AH57,增益!$A:$A,增益!$E:$E,0))</f>
        <v>0.15</v>
      </c>
      <c r="AP57" cm="1">
        <f t="array" ref="AP57">$D$10*(1+$AO57)+VLOOKUP($Q57,武学奇术!$A:$ZZ,3,FALSE)+SUM(_xlfn.XLOOKUP($R57:$AH57,增益!$A:$A,增益!$C:$C,0))-$I$2</f>
        <v>2150.71</v>
      </c>
      <c r="AQ57" cm="1">
        <f t="array" ref="AQ57">$E$10*(1+$AO57)+VLOOKUP($Q57,武学奇术!$A:$ZZ,4,FALSE)+SUM(_xlfn.XLOOKUP($R57:$AH57,增益!$A:$A,增益!$D:$D,0))-$I$2</f>
        <v>6394.9</v>
      </c>
      <c r="AR57" s="49" cm="1">
        <f t="array" ref="AR57">IF($F$10-$I$3+VLOOKUP($Q57,武学奇术!$A:$ZZ,6,FALSE)+SUM(_xlfn.XLOOKUP(R57:AH57,增益!$A:$A,增益!$F:$F,0))&gt;0,($F$10-$I$3+VLOOKUP($Q57,武学奇术!$A:$ZZ,6,FALSE)+SUM(_xlfn.XLOOKUP(R57:AH57,增益!$A:$A,增益!$F:$F,0)))/200,($F$10-$I$3+VLOOKUP($Q57,武学奇术!$A:$ZZ,6,FALSE)+SUM(_xlfn.XLOOKUP(R57:AH57,增益!$A:$A,增益!$F:$F,0)))/100)</f>
        <v>0.4675</v>
      </c>
      <c r="AS57" s="49" cm="1">
        <f t="array" ref="AS57">$G$10+VLOOKUP($Q57,武学奇术!$A:$ZZ,7,FALSE)+SUM(_xlfn.XLOOKUP(R57:AH57,增益!$A:$A,增益!$G:$G,0))</f>
        <v>0</v>
      </c>
      <c r="AT57" s="41" cm="1">
        <f t="array" ref="AT57">VLOOKUP($Q57,武学奇术!$A:$ZZ,8,FALSE)+SUM(_xlfn.XLOOKUP(R57:AH57,增益!$A:$A,增益!$H:$H,0))</f>
        <v>0</v>
      </c>
      <c r="AU57">
        <f t="shared" si="12"/>
        <v>0</v>
      </c>
      <c r="AV57">
        <f t="shared" si="13"/>
        <v>0</v>
      </c>
      <c r="AW57" s="49" cm="1">
        <f t="array" ref="AW57">IF($F$11-$I$4+VLOOKUP($Q57,武学奇术!$A:$ZZ,9,FALSE)+SUM(_xlfn.XLOOKUP(R57:AH57,增益!$A:$A,增益!$I:$I,0))&gt;0,($F$11-$I$4+VLOOKUP($Q57,武学奇术!$A:$ZZ,9,FALSE)+SUM(_xlfn.XLOOKUP(R57:AH57,增益!$A:$A,增益!$I:$I,0)))/200,($F$11-$I$4+VLOOKUP($Q57,武学奇术!$A:$ZZ,9,FALSE)+SUM(_xlfn.XLOOKUP(R57:AH57,增益!$A:$A,增益!$I:$I,0)))/100)</f>
        <v>-0.14</v>
      </c>
      <c r="AX57" s="49" cm="1">
        <f t="array" ref="AX57">$G$11+VLOOKUP($Q57,武学奇术!$A:$ZZ,10,FALSE)+SUM(_xlfn.XLOOKUP(R57:AH57,增益!$A:$A,增益!$J:$J,0))</f>
        <v>0.1</v>
      </c>
      <c r="AY57">
        <f t="shared" si="14"/>
        <v>0</v>
      </c>
      <c r="AZ57">
        <f t="shared" si="15"/>
        <v>0</v>
      </c>
      <c r="BA57" s="49" cm="1">
        <f t="array" ref="BA57">IF($F$12-$I$4+VLOOKUP($Q57,武学奇术!$A:$ZZ,11,FALSE)+SUM(_xlfn.XLOOKUP(R57:AH57,增益!$A:$A,增益!$K:$K,0))&gt;0,($F$12-$I$4+VLOOKUP($Q57,武学奇术!$A:$ZZ,11,FALSE)+SUM(_xlfn.XLOOKUP(R57:AH57,增益!$A:$A,增益!$K:$K,0)))/200,($F$12-$I$4+VLOOKUP($Q57,武学奇术!$A:$ZZ,11,FALSE)+SUM(_xlfn.XLOOKUP(R57:AH57,增益!$A:$A,增益!$K:$K,0)))/100)</f>
        <v>-0.14</v>
      </c>
      <c r="BB57" s="49" cm="1">
        <f t="array" ref="BB57">$G$12+VLOOKUP($Q57,武学奇术!$A:$ZZ,12,FALSE)+SUM(_xlfn.XLOOKUP(R57:AH57,增益!$A:$A,增益!$L:$L,0))</f>
        <v>0</v>
      </c>
      <c r="BC57">
        <f t="shared" si="16"/>
        <v>571.2</v>
      </c>
      <c r="BD57">
        <f t="shared" si="17"/>
        <v>1077.4</v>
      </c>
      <c r="BE57" s="49" cm="1">
        <f t="array" ref="BE57">IF($F$13-$I$4+VLOOKUP($Q57,武学奇术!$A:$ZZ,13,FALSE)+SUM(_xlfn.XLOOKUP(R57:AH57,增益!$A:$A,增益!$M:$M,0))&gt;0,($F$13-$I$4+VLOOKUP($Q57,武学奇术!$A:$ZZ,13,FALSE)+SUM(_xlfn.XLOOKUP(R57:AH57,增益!$A:$A,增益!$K:$K,0)))/200,($F$13-$I$4+VLOOKUP($Q57,武学奇术!$A:$ZZ,13,FALSE)+SUM(_xlfn.XLOOKUP(R57:AH57,增益!$A:$A,增益!$M:$M,0)))/100)</f>
        <v>0.08</v>
      </c>
      <c r="BF57" s="49" cm="1">
        <f t="array" ref="BF57">$G$13+VLOOKUP($Q57,武学奇术!$A:$ZZ,14,FALSE)+SUM(_xlfn.XLOOKUP(R57:AH57,增益!$A:$A,增益!$N:$N,0))</f>
        <v>0.15</v>
      </c>
      <c r="BG57">
        <f t="shared" si="18"/>
        <v>0</v>
      </c>
      <c r="BH57">
        <f t="shared" si="19"/>
        <v>0</v>
      </c>
      <c r="BI57" s="49" cm="1">
        <f t="array" ref="BI57">IF($F$14-$I$4+VLOOKUP($Q57,武学奇术!$A:$ZZ,15,FALSE)+SUM(_xlfn.XLOOKUP(R57:AH57,增益!$A:$A,增益!$O:$O,0))&gt;0,($F$14-$I$4+VLOOKUP($Q57,武学奇术!$A:$ZZ,15,FALSE)+SUM(_xlfn.XLOOKUP(R57:AH57,增益!$A:$A,增益!$O:$O,0)))/200,($F$14-$I$4+VLOOKUP($Q57,武学奇术!$A:$ZZ,15,FALSE)+SUM(_xlfn.XLOOKUP(R57:AH57,增益!$A:$A,增益!$O:$O,0)))/100)</f>
        <v>-0.14</v>
      </c>
      <c r="BJ57" s="49" cm="1">
        <f t="array" ref="BJ57">$G$14+VLOOKUP($Q57,武学奇术!$A:$ZZ,16,FALSE)+SUM(_xlfn.XLOOKUP(R57:AH57,增益!$A:$A,增益!$P:$P,0))</f>
        <v>0</v>
      </c>
      <c r="BK57" s="41">
        <f>MIN(IF(VLOOKUP($Q57,武学奇术!$A:$ZZ,23,FALSE)=1,100%,$B$8),100%)</f>
        <v>1</v>
      </c>
      <c r="BL57" s="41" cm="1">
        <f t="array" ref="BL57">IF(VLOOKUP($Q57,武学奇术!$A:$ZZ,23,FALSE)=1,100%,MIN(80%,$B$9+VLOOKUP($Q57,武学奇术!$A:$ZZ,17,FALSE)+SUM(_xlfn.XLOOKUP(R57:AH57,增益!$A:$A,增益!$Q:$Q,0)))+$B$11+SUM(_xlfn.XLOOKUP(R57:AH57,增益!$A:$A,增益!$U:$U,0)))*IF(VLOOKUP($Q57,武学奇术!$A:$ZZ,24,FALSE)=1,0,1)</f>
        <v>0.9045</v>
      </c>
      <c r="BM57" s="41" cm="1">
        <f t="array" ref="BM57">1+$B$13+VLOOKUP($Q57,武学奇术!$A:$ZZ,18,FALSE)+SUM(_xlfn.XLOOKUP(R57:AH57,增益!$A:$A,增益!$R:$R,0))</f>
        <v>1.85</v>
      </c>
      <c r="BN57" s="41" cm="1">
        <f t="array" ref="BN57">IF(VLOOKUP($Q57,武学奇术!$A:$ZZ,24,FALSE)=1,100%,MIN(40%,$B$10+VLOOKUP($Q57,武学奇术!$A:$ZZ,19,FALSE)+SUM(_xlfn.XLOOKUP(R57:AH57,增益!$A:$A,增益!$S:$S,0)))+$B$12+SUM(_xlfn.XLOOKUP(R57:AH57,增益!$A:$A,增益!$V:$V,0)))*IF(VLOOKUP($Q57,武学奇术!$A:$ZZ,23,FALSE)=1,0,1)</f>
        <v>0.0929</v>
      </c>
      <c r="BO57" s="41" cm="1">
        <f t="array" ref="BO57">1+$B$14+VLOOKUP($Q57,武学奇术!$A:$ZZ,20,FALSE)+SUM(_xlfn.XLOOKUP(R57:AH57,增益!$A:$A,增益!$T:$T,0))</f>
        <v>1.35</v>
      </c>
      <c r="BP57" s="41">
        <f t="shared" si="20"/>
        <v>0.9045</v>
      </c>
      <c r="BQ57" s="41">
        <f t="shared" si="21"/>
        <v>0.00260000000000005</v>
      </c>
      <c r="BR57" s="41">
        <f>IF(VLOOKUP($Q57,武学奇术!$A:$ZZ,22,FALSE)=1,0,(1-$BK57))*(1-$BN57)</f>
        <v>0</v>
      </c>
      <c r="BS57" s="41" cm="1">
        <f t="array" ref="BS57">SUM(_xlfn.XLOOKUP(R57:AH57,增益!$A:$A,增益!$W:$W,0))+$I$5</f>
        <v>0.31</v>
      </c>
    </row>
    <row r="58" spans="1:71">
      <c r="K58" s="55">
        <f t="shared" si="11"/>
        <v>332245.26775113</v>
      </c>
      <c r="L58" s="55">
        <f>((($AP58+$AQ58)/2*$AJ58+$AK58)*(1+$AR58)*(1+$AS58)+(($AU58+$AV58)/2*IF($G$1="鸣金",$AL58,$AJ58)+IF($G$1="鸣金",$AM58*1.5,0))*(1+$AW58)*(1+$AX58)+(($AY58+$AZ58)/2*IF($G$1="裂石",$AL58,$AJ58)+IF($G$1="裂石",$AM58*1.5,0))*(1+$BA58)*(1+$BB58)+(($BC58+$BD58)/2*IF($G$1="牵丝",$AL58,$AJ58)+IF($G$1="牵丝",$AM58*1.5,0))*(1+$BE58)*(1+$BF58)+(($BG58+$BH58)/2*IF($G$1="破竹",$AL58,$AJ58)+IF($G$1="破竹",$AM58*1.5,0))*(1+$BI58)*(1+$BJ58))*(1+$AN58)*$BM58*$P58*(1+IF(VLOOKUP($Q58,武学奇术!$A:$ZZ,30,FALSE)="弹道",$B$21,0))*(1+$BS58)</f>
        <v>330989.799807417</v>
      </c>
      <c r="M58" s="55">
        <f>(($AQ58*$AJ58+$AK58)*(1+$AR58)*(1+$AS58)+($AV58*IF($G$1="鸣金",$AL58,$AJ58)+IF($G$1="鸣金",$AM58*1.5,0))*(1+$AW58)*(1+$AX58)+($AZ58*IF($G$1="裂石",$AL58,$AJ58)+IF($G$1="裂石",$AM58*1.5,0))*(1+$BA58)*(1+$BB58)+($BD58*IF($G$1="牵丝",$AL58,$AJ58)+IF($G$1="牵丝",$AM58*1.5,0))*(1+$BE58)*(1+$BF58)+($BH58*IF($G$1="破竹",$AL58,$AJ58)+IF($G$1="破竹",$AM58*1.5,0))*(1+$BI58)*(1+$BJ58))*(1+$AN58)*$BO58*$P58*(1+IF(VLOOKUP($Q58,武学奇术!$A:$ZZ,30,FALSE)="弹道",$B$21,0))*(1+$BS58)</f>
        <v>348760.161157566</v>
      </c>
      <c r="N58" s="55">
        <f>((($AP58+$AQ58)/2*$AJ58+$AK58)*(1+$AR58)*(1+$AS58)+(($AU58+$AV58)/2*IF($G$1="鸣金",$AL58,$AJ58)+IF($G$1="鸣金",$AM58*1.5,0))*(1+$AW58)*(1+$AX58)+(($AY58+$AZ58)/2*IF($G$1="裂石",$AL58,$AJ58)+IF($G$1="裂石",$AM58*1.5,0))*(1+$BA58)*(1+$BB58)+(($BC58+$BD58)/2*IF($G$1="牵丝",$AL58,$AJ58)+IF($G$1="牵丝",$AM58*1.5,0))*(1+$BE58)*(1+$BF58)+(($BG58+$BH58)/2*IF($G$1="破竹",$AL58,$AJ58)+IF($G$1="破竹",$AM58*1.5,0))*(1+$BI58)*(1+$BJ58))*(1+$AN58)*$P58*(1+IF(VLOOKUP($Q58,武学奇术!$A:$ZZ,30,FALSE)="弹道",$B$21,0))*(1+$BS58)</f>
        <v>178913.405301307</v>
      </c>
      <c r="O58" s="55">
        <f>((($AP58*$AJ58+$AK58)*(1+$AR58)*(1+$AS58)+($AU58*IF($G$1="鸣金",$AL58,$AJ58)+IF($G$1="鸣金",$AM58*1.5,0))*(1+$AW58)*(1+$AX58)+($AY58*IF($G$1="裂石",$AL58,$AJ58)+IF($G$1="裂石",$AM58*1.5,0))*(1+$BA58)*(1+$BB58)+($BC58*IF($G$1="牵丝",$AL58,$AJ58)+IF($G$1="牵丝",$AM58*1.5,0))*(1+$BE58)*(1+$BF58)+($BG58*IF($G$1="破竹",$AL58,$AJ58)+IF($G$1="破竹",$AM58*1.5,0))*(1+$BI58)*(1+$BJ58))*(1+$AN58))*$P58*(1+IF(VLOOKUP($Q58,武学奇术!$A:$ZZ,30,FALSE)="弹道",$B$21,0))*(1+$BS58)</f>
        <v>99485.9504858981</v>
      </c>
      <c r="P58" s="56">
        <v>7</v>
      </c>
      <c r="Q58" s="57" t="s">
        <v>166</v>
      </c>
      <c r="R58" s="57" t="s">
        <v>116</v>
      </c>
      <c r="S58" s="57" t="s">
        <v>153</v>
      </c>
      <c r="T58" s="57" t="s">
        <v>72</v>
      </c>
      <c r="U58" s="57" t="s">
        <v>157</v>
      </c>
      <c r="V58" s="57" t="s">
        <v>72</v>
      </c>
      <c r="W58" s="57" t="s">
        <v>72</v>
      </c>
      <c r="X58" s="57" t="s">
        <v>72</v>
      </c>
      <c r="Y58" s="57" t="s">
        <v>161</v>
      </c>
      <c r="Z58" s="57" t="s">
        <v>72</v>
      </c>
      <c r="AA58" s="57" t="s">
        <v>72</v>
      </c>
      <c r="AB58" s="57" t="s">
        <v>96</v>
      </c>
      <c r="AC58" s="57" t="s">
        <v>162</v>
      </c>
      <c r="AD58" s="57" t="s">
        <v>163</v>
      </c>
      <c r="AE58" s="57" t="s">
        <v>72</v>
      </c>
      <c r="AF58" s="57" t="s">
        <v>72</v>
      </c>
      <c r="AG58" s="57" t="s">
        <v>72</v>
      </c>
      <c r="AH58" s="57" t="s">
        <v>87</v>
      </c>
      <c r="AI58" t="str">
        <f>VLOOKUP($Q58,武学奇术!$A:$ZZ,25,FALSE)</f>
        <v>单体奇术</v>
      </c>
      <c r="AJ58" s="41">
        <f>VLOOKUP($Q58,武学奇术!$A:$ZZ,26,FALSE)</f>
        <v>1.6088</v>
      </c>
      <c r="AK58" s="42">
        <f>VLOOKUP($Q58,武学奇术!$A:$ZZ,27,FALSE)*(1+IF(OR($AI58=$F$4,$AI58=$F$5),$B$22,0))</f>
        <v>297</v>
      </c>
      <c r="AL58" s="41">
        <f>VLOOKUP($Q58,武学奇术!$A:$ZZ,28,FALSE)</f>
        <v>2.4132</v>
      </c>
      <c r="AM58" s="42">
        <f>VLOOKUP($Q58,武学奇术!$A:$ZZ,29,FALSE)*(1+IF(OR($AI58=$F$4,$AI58=$F$5),$B$22,0))</f>
        <v>0</v>
      </c>
      <c r="AN58" s="41" cm="1">
        <f t="array" ref="AN58">$G$3+IFERROR(VLOOKUP($AI58,$F$4:$G$7,2,FALSE),0)+VLOOKUP($Q58,武学奇术!$A:$ZZ,2,FALSE)+SUM(_xlfn.XLOOKUP($R58:$AH58,增益!$A:$A,增益!$B:$B,0))</f>
        <v>0.5015</v>
      </c>
      <c r="AO58" s="41" cm="1">
        <f t="array" ref="AO58">VLOOKUP($Q58,武学奇术!$A:$ZZ,5,FALSE)+SUM(_xlfn.XLOOKUP($R58:$AH58,增益!$A:$A,增益!$E:$E,0))</f>
        <v>0.15</v>
      </c>
      <c r="AP58" cm="1">
        <f t="array" ref="AP58">$D$10*(1+$AO58)+VLOOKUP($Q58,武学奇术!$A:$ZZ,3,FALSE)+SUM(_xlfn.XLOOKUP($R58:$AH58,增益!$A:$A,增益!$C:$C,0))-$I$2</f>
        <v>2150.71</v>
      </c>
      <c r="AQ58" cm="1">
        <f t="array" ref="AQ58">$E$10*(1+$AO58)+VLOOKUP($Q58,武学奇术!$A:$ZZ,4,FALSE)+SUM(_xlfn.XLOOKUP($R58:$AH58,增益!$A:$A,增益!$D:$D,0))-$I$2</f>
        <v>6394.9</v>
      </c>
      <c r="AR58" s="49" cm="1">
        <f t="array" ref="AR58">IF($F$10-$I$3+VLOOKUP($Q58,武学奇术!$A:$ZZ,6,FALSE)+SUM(_xlfn.XLOOKUP(R58:AH58,增益!$A:$A,增益!$F:$F,0))&gt;0,($F$10-$I$3+VLOOKUP($Q58,武学奇术!$A:$ZZ,6,FALSE)+SUM(_xlfn.XLOOKUP(R58:AH58,增益!$A:$A,增益!$F:$F,0)))/200,($F$10-$I$3+VLOOKUP($Q58,武学奇术!$A:$ZZ,6,FALSE)+SUM(_xlfn.XLOOKUP(R58:AH58,增益!$A:$A,增益!$F:$F,0)))/100)</f>
        <v>0.4675</v>
      </c>
      <c r="AS58" s="49" cm="1">
        <f t="array" ref="AS58">$G$10+VLOOKUP($Q58,武学奇术!$A:$ZZ,7,FALSE)+SUM(_xlfn.XLOOKUP(R58:AH58,增益!$A:$A,增益!$G:$G,0))</f>
        <v>0</v>
      </c>
      <c r="AT58" s="41" cm="1">
        <f t="array" ref="AT58">VLOOKUP($Q58,武学奇术!$A:$ZZ,8,FALSE)+SUM(_xlfn.XLOOKUP(R58:AH58,增益!$A:$A,增益!$H:$H,0))</f>
        <v>0</v>
      </c>
      <c r="AU58">
        <f t="shared" si="12"/>
        <v>0</v>
      </c>
      <c r="AV58">
        <f t="shared" si="13"/>
        <v>0</v>
      </c>
      <c r="AW58" s="49" cm="1">
        <f t="array" ref="AW58">IF($F$11-$I$4+VLOOKUP($Q58,武学奇术!$A:$ZZ,9,FALSE)+SUM(_xlfn.XLOOKUP(R58:AH58,增益!$A:$A,增益!$I:$I,0))&gt;0,($F$11-$I$4+VLOOKUP($Q58,武学奇术!$A:$ZZ,9,FALSE)+SUM(_xlfn.XLOOKUP(R58:AH58,增益!$A:$A,增益!$I:$I,0)))/200,($F$11-$I$4+VLOOKUP($Q58,武学奇术!$A:$ZZ,9,FALSE)+SUM(_xlfn.XLOOKUP(R58:AH58,增益!$A:$A,增益!$I:$I,0)))/100)</f>
        <v>-0.14</v>
      </c>
      <c r="AX58" s="49" cm="1">
        <f t="array" ref="AX58">$G$11+VLOOKUP($Q58,武学奇术!$A:$ZZ,10,FALSE)+SUM(_xlfn.XLOOKUP(R58:AH58,增益!$A:$A,增益!$J:$J,0))</f>
        <v>0.1</v>
      </c>
      <c r="AY58">
        <f t="shared" si="14"/>
        <v>0</v>
      </c>
      <c r="AZ58">
        <f t="shared" si="15"/>
        <v>0</v>
      </c>
      <c r="BA58" s="49" cm="1">
        <f t="array" ref="BA58">IF($F$12-$I$4+VLOOKUP($Q58,武学奇术!$A:$ZZ,11,FALSE)+SUM(_xlfn.XLOOKUP(R58:AH58,增益!$A:$A,增益!$K:$K,0))&gt;0,($F$12-$I$4+VLOOKUP($Q58,武学奇术!$A:$ZZ,11,FALSE)+SUM(_xlfn.XLOOKUP(R58:AH58,增益!$A:$A,增益!$K:$K,0)))/200,($F$12-$I$4+VLOOKUP($Q58,武学奇术!$A:$ZZ,11,FALSE)+SUM(_xlfn.XLOOKUP(R58:AH58,增益!$A:$A,增益!$K:$K,0)))/100)</f>
        <v>-0.14</v>
      </c>
      <c r="BB58" s="49" cm="1">
        <f t="array" ref="BB58">$G$12+VLOOKUP($Q58,武学奇术!$A:$ZZ,12,FALSE)+SUM(_xlfn.XLOOKUP(R58:AH58,增益!$A:$A,增益!$L:$L,0))</f>
        <v>0</v>
      </c>
      <c r="BC58">
        <f t="shared" si="16"/>
        <v>571.2</v>
      </c>
      <c r="BD58">
        <f t="shared" si="17"/>
        <v>1077.4</v>
      </c>
      <c r="BE58" s="49" cm="1">
        <f t="array" ref="BE58">IF($F$13-$I$4+VLOOKUP($Q58,武学奇术!$A:$ZZ,13,FALSE)+SUM(_xlfn.XLOOKUP(R58:AH58,增益!$A:$A,增益!$M:$M,0))&gt;0,($F$13-$I$4+VLOOKUP($Q58,武学奇术!$A:$ZZ,13,FALSE)+SUM(_xlfn.XLOOKUP(R58:AH58,增益!$A:$A,增益!$K:$K,0)))/200,($F$13-$I$4+VLOOKUP($Q58,武学奇术!$A:$ZZ,13,FALSE)+SUM(_xlfn.XLOOKUP(R58:AH58,增益!$A:$A,增益!$M:$M,0)))/100)</f>
        <v>0.08</v>
      </c>
      <c r="BF58" s="49" cm="1">
        <f t="array" ref="BF58">$G$13+VLOOKUP($Q58,武学奇术!$A:$ZZ,14,FALSE)+SUM(_xlfn.XLOOKUP(R58:AH58,增益!$A:$A,增益!$N:$N,0))</f>
        <v>0.15</v>
      </c>
      <c r="BG58">
        <f t="shared" si="18"/>
        <v>0</v>
      </c>
      <c r="BH58">
        <f t="shared" si="19"/>
        <v>0</v>
      </c>
      <c r="BI58" s="49" cm="1">
        <f t="array" ref="BI58">IF($F$14-$I$4+VLOOKUP($Q58,武学奇术!$A:$ZZ,15,FALSE)+SUM(_xlfn.XLOOKUP(R58:AH58,增益!$A:$A,增益!$O:$O,0))&gt;0,($F$14-$I$4+VLOOKUP($Q58,武学奇术!$A:$ZZ,15,FALSE)+SUM(_xlfn.XLOOKUP(R58:AH58,增益!$A:$A,增益!$O:$O,0)))/200,($F$14-$I$4+VLOOKUP($Q58,武学奇术!$A:$ZZ,15,FALSE)+SUM(_xlfn.XLOOKUP(R58:AH58,增益!$A:$A,增益!$O:$O,0)))/100)</f>
        <v>-0.14</v>
      </c>
      <c r="BJ58" s="49" cm="1">
        <f t="array" ref="BJ58">$G$14+VLOOKUP($Q58,武学奇术!$A:$ZZ,16,FALSE)+SUM(_xlfn.XLOOKUP(R58:AH58,增益!$A:$A,增益!$P:$P,0))</f>
        <v>0</v>
      </c>
      <c r="BK58" s="41">
        <f>MIN(IF(VLOOKUP($Q58,武学奇术!$A:$ZZ,23,FALSE)=1,100%,$B$8),100%)</f>
        <v>1</v>
      </c>
      <c r="BL58" s="41" cm="1">
        <f t="array" ref="BL58">IF(VLOOKUP($Q58,武学奇术!$A:$ZZ,23,FALSE)=1,100%,MIN(80%,$B$9+VLOOKUP($Q58,武学奇术!$A:$ZZ,17,FALSE)+SUM(_xlfn.XLOOKUP(R58:AH58,增益!$A:$A,增益!$Q:$Q,0)))+$B$11+SUM(_xlfn.XLOOKUP(R58:AH58,增益!$A:$A,增益!$U:$U,0)))*IF(VLOOKUP($Q58,武学奇术!$A:$ZZ,24,FALSE)=1,0,1)</f>
        <v>0.9045</v>
      </c>
      <c r="BM58" s="41" cm="1">
        <f t="array" ref="BM58">1+$B$13+VLOOKUP($Q58,武学奇术!$A:$ZZ,18,FALSE)+SUM(_xlfn.XLOOKUP(R58:AH58,增益!$A:$A,增益!$R:$R,0))</f>
        <v>1.85</v>
      </c>
      <c r="BN58" s="41" cm="1">
        <f t="array" ref="BN58">IF(VLOOKUP($Q58,武学奇术!$A:$ZZ,24,FALSE)=1,100%,MIN(40%,$B$10+VLOOKUP($Q58,武学奇术!$A:$ZZ,19,FALSE)+SUM(_xlfn.XLOOKUP(R58:AH58,增益!$A:$A,增益!$S:$S,0)))+$B$12+SUM(_xlfn.XLOOKUP(R58:AH58,增益!$A:$A,增益!$V:$V,0)))*IF(VLOOKUP($Q58,武学奇术!$A:$ZZ,23,FALSE)=1,0,1)</f>
        <v>0.0929</v>
      </c>
      <c r="BO58" s="41" cm="1">
        <f t="array" ref="BO58">1+$B$14+VLOOKUP($Q58,武学奇术!$A:$ZZ,20,FALSE)+SUM(_xlfn.XLOOKUP(R58:AH58,增益!$A:$A,增益!$T:$T,0))</f>
        <v>1.35</v>
      </c>
      <c r="BP58" s="41">
        <f t="shared" si="20"/>
        <v>0.9045</v>
      </c>
      <c r="BQ58" s="41">
        <f t="shared" si="21"/>
        <v>0.00260000000000005</v>
      </c>
      <c r="BR58" s="41">
        <f>IF(VLOOKUP($Q58,武学奇术!$A:$ZZ,22,FALSE)=1,0,(1-$BK58))*(1-$BN58)</f>
        <v>0</v>
      </c>
      <c r="BS58" s="41" cm="1">
        <f t="array" ref="BS58">SUM(_xlfn.XLOOKUP(R58:AH58,增益!$A:$A,增益!$W:$W,0))+$I$5</f>
        <v>0.31</v>
      </c>
    </row>
    <row r="59" spans="1:71">
      <c r="A59" s="4"/>
      <c r="B59" s="4"/>
      <c r="K59" s="55">
        <f t="shared" si="11"/>
        <v>60409.2684127479</v>
      </c>
      <c r="L59" s="55">
        <f>((($AP59+$AQ59)/2*$AJ59+$AK59)*(1+$AR59)*(1+$AS59)+(($AU59+$AV59)/2*IF($G$1="鸣金",$AL59,$AJ59)+IF($G$1="鸣金",$AM59*1.5,0))*(1+$AW59)*(1+$AX59)+(($AY59+$AZ59)/2*IF($G$1="裂石",$AL59,$AJ59)+IF($G$1="裂石",$AM59*1.5,0))*(1+$BA59)*(1+$BB59)+(($BC59+$BD59)/2*IF($G$1="牵丝",$AL59,$AJ59)+IF($G$1="牵丝",$AM59*1.5,0))*(1+$BE59)*(1+$BF59)+(($BG59+$BH59)/2*IF($G$1="破竹",$AL59,$AJ59)+IF($G$1="破竹",$AM59*1.5,0))*(1+$BI59)*(1+$BJ59))*(1+$AN59)*$BM59*$P59*(1+IF(VLOOKUP($Q59,武学奇术!$A:$ZZ,30,FALSE)="弹道",$B$21,0))*(1+$BS59)</f>
        <v>60180.9965170865</v>
      </c>
      <c r="M59" s="55">
        <f>(($AQ59*$AJ59+$AK59)*(1+$AR59)*(1+$AS59)+($AV59*IF($G$1="鸣金",$AL59,$AJ59)+IF($G$1="鸣金",$AM59*1.5,0))*(1+$AW59)*(1+$AX59)+($AZ59*IF($G$1="裂石",$AL59,$AJ59)+IF($G$1="裂石",$AM59*1.5,0))*(1+$BA59)*(1+$BB59)+($BD59*IF($G$1="牵丝",$AL59,$AJ59)+IF($G$1="牵丝",$AM59*1.5,0))*(1+$BE59)*(1+$BF59)+($BH59*IF($G$1="破竹",$AL59,$AJ59)+IF($G$1="破竹",$AM59*1.5,0))*(1+$BI59)*(1+$BJ59))*(1+$AN59)*$BO59*$P59*(1+IF(VLOOKUP($Q59,武学奇术!$A:$ZZ,30,FALSE)="弹道",$B$21,0))*(1+$BS59)</f>
        <v>63412.0383771297</v>
      </c>
      <c r="N59" s="55">
        <f>((($AP59+$AQ59)/2*$AJ59+$AK59)*(1+$AR59)*(1+$AS59)+(($AU59+$AV59)/2*IF($G$1="鸣金",$AL59,$AJ59)+IF($G$1="鸣金",$AM59*1.5,0))*(1+$AW59)*(1+$AX59)+(($AY59+$AZ59)/2*IF($G$1="裂石",$AL59,$AJ59)+IF($G$1="裂石",$AM59*1.5,0))*(1+$BA59)*(1+$BB59)+(($BC59+$BD59)/2*IF($G$1="牵丝",$AL59,$AJ59)+IF($G$1="牵丝",$AM59*1.5,0))*(1+$BE59)*(1+$BF59)+(($BG59+$BH59)/2*IF($G$1="破竹",$AL59,$AJ59)+IF($G$1="破竹",$AM59*1.5,0))*(1+$BI59)*(1+$BJ59))*(1+$AN59)*$P59*(1+IF(VLOOKUP($Q59,武学奇术!$A:$ZZ,30,FALSE)="弹道",$B$21,0))*(1+$BS59)</f>
        <v>32530.2683876143</v>
      </c>
      <c r="O59" s="55">
        <f>((($AP59*$AJ59+$AK59)*(1+$AR59)*(1+$AS59)+($AU59*IF($G$1="鸣金",$AL59,$AJ59)+IF($G$1="鸣金",$AM59*1.5,0))*(1+$AW59)*(1+$AX59)+($AY59*IF($G$1="裂石",$AL59,$AJ59)+IF($G$1="裂石",$AM59*1.5,0))*(1+$BA59)*(1+$BB59)+($BC59*IF($G$1="牵丝",$AL59,$AJ59)+IF($G$1="牵丝",$AM59*1.5,0))*(1+$BE59)*(1+$BF59)+($BG59*IF($G$1="破竹",$AL59,$AJ59)+IF($G$1="破竹",$AM59*1.5,0))*(1+$BI59)*(1+$BJ59))*(1+$AN59))*$P59*(1+IF(VLOOKUP($Q59,武学奇术!$A:$ZZ,30,FALSE)="弹道",$B$21,0))*(1+$BS59)</f>
        <v>18088.6564958733</v>
      </c>
      <c r="P59" s="56">
        <v>2</v>
      </c>
      <c r="Q59" s="57" t="s">
        <v>164</v>
      </c>
      <c r="R59" s="57" t="s">
        <v>116</v>
      </c>
      <c r="S59" s="57" t="s">
        <v>153</v>
      </c>
      <c r="T59" s="57" t="s">
        <v>72</v>
      </c>
      <c r="U59" s="57" t="s">
        <v>157</v>
      </c>
      <c r="V59" s="57" t="s">
        <v>72</v>
      </c>
      <c r="W59" s="57" t="s">
        <v>72</v>
      </c>
      <c r="X59" s="57" t="s">
        <v>72</v>
      </c>
      <c r="Y59" s="57" t="s">
        <v>161</v>
      </c>
      <c r="Z59" s="57" t="s">
        <v>72</v>
      </c>
      <c r="AA59" s="57" t="s">
        <v>72</v>
      </c>
      <c r="AB59" s="57" t="s">
        <v>96</v>
      </c>
      <c r="AC59" s="57" t="s">
        <v>162</v>
      </c>
      <c r="AD59" s="57" t="s">
        <v>163</v>
      </c>
      <c r="AE59" s="57" t="s">
        <v>72</v>
      </c>
      <c r="AF59" s="57" t="s">
        <v>72</v>
      </c>
      <c r="AG59" s="57" t="s">
        <v>72</v>
      </c>
      <c r="AH59" s="57" t="s">
        <v>87</v>
      </c>
      <c r="AI59" t="str">
        <f>VLOOKUP($Q59,武学奇术!$A:$ZZ,25,FALSE)</f>
        <v>单体奇术</v>
      </c>
      <c r="AJ59" s="41">
        <f>VLOOKUP($Q59,武学奇术!$A:$ZZ,26,FALSE)</f>
        <v>1.0238</v>
      </c>
      <c r="AK59" s="42">
        <f>VLOOKUP($Q59,武学奇术!$A:$ZZ,27,FALSE)*(1+IF(OR($AI59=$F$4,$AI59=$F$5),$B$22,0))</f>
        <v>189</v>
      </c>
      <c r="AL59" s="41">
        <f>VLOOKUP($Q59,武学奇术!$A:$ZZ,28,FALSE)</f>
        <v>1.5357</v>
      </c>
      <c r="AM59" s="42">
        <f>VLOOKUP($Q59,武学奇术!$A:$ZZ,29,FALSE)*(1+IF(OR($AI59=$F$4,$AI59=$F$5),$B$22,0))</f>
        <v>0</v>
      </c>
      <c r="AN59" s="41" cm="1">
        <f t="array" ref="AN59">$G$3+IFERROR(VLOOKUP($AI59,$F$4:$G$7,2,FALSE),0)+VLOOKUP($Q59,武学奇术!$A:$ZZ,2,FALSE)+SUM(_xlfn.XLOOKUP($R59:$AH59,增益!$A:$A,增益!$B:$B,0))</f>
        <v>0.5015</v>
      </c>
      <c r="AO59" s="41" cm="1">
        <f t="array" ref="AO59">VLOOKUP($Q59,武学奇术!$A:$ZZ,5,FALSE)+SUM(_xlfn.XLOOKUP($R59:$AH59,增益!$A:$A,增益!$E:$E,0))</f>
        <v>0.15</v>
      </c>
      <c r="AP59" cm="1">
        <f t="array" ref="AP59">$D$10*(1+$AO59)+VLOOKUP($Q59,武学奇术!$A:$ZZ,3,FALSE)+SUM(_xlfn.XLOOKUP($R59:$AH59,增益!$A:$A,增益!$C:$C,0))-$I$2</f>
        <v>2150.71</v>
      </c>
      <c r="AQ59" cm="1">
        <f t="array" ref="AQ59">$E$10*(1+$AO59)+VLOOKUP($Q59,武学奇术!$A:$ZZ,4,FALSE)+SUM(_xlfn.XLOOKUP($R59:$AH59,增益!$A:$A,增益!$D:$D,0))-$I$2</f>
        <v>6394.9</v>
      </c>
      <c r="AR59" s="49" cm="1">
        <f t="array" ref="AR59">IF($F$10-$I$3+VLOOKUP($Q59,武学奇术!$A:$ZZ,6,FALSE)+SUM(_xlfn.XLOOKUP(R59:AH59,增益!$A:$A,增益!$F:$F,0))&gt;0,($F$10-$I$3+VLOOKUP($Q59,武学奇术!$A:$ZZ,6,FALSE)+SUM(_xlfn.XLOOKUP(R59:AH59,增益!$A:$A,增益!$F:$F,0)))/200,($F$10-$I$3+VLOOKUP($Q59,武学奇术!$A:$ZZ,6,FALSE)+SUM(_xlfn.XLOOKUP(R59:AH59,增益!$A:$A,增益!$F:$F,0)))/100)</f>
        <v>0.4675</v>
      </c>
      <c r="AS59" s="49" cm="1">
        <f t="array" ref="AS59">$G$10+VLOOKUP($Q59,武学奇术!$A:$ZZ,7,FALSE)+SUM(_xlfn.XLOOKUP(R59:AH59,增益!$A:$A,增益!$G:$G,0))</f>
        <v>0</v>
      </c>
      <c r="AT59" s="41" cm="1">
        <f t="array" ref="AT59">VLOOKUP($Q59,武学奇术!$A:$ZZ,8,FALSE)+SUM(_xlfn.XLOOKUP(R59:AH59,增益!$A:$A,增益!$H:$H,0))</f>
        <v>0</v>
      </c>
      <c r="AU59">
        <f t="shared" si="12"/>
        <v>0</v>
      </c>
      <c r="AV59">
        <f t="shared" si="13"/>
        <v>0</v>
      </c>
      <c r="AW59" s="49" cm="1">
        <f t="array" ref="AW59">IF($F$11-$I$4+VLOOKUP($Q59,武学奇术!$A:$ZZ,9,FALSE)+SUM(_xlfn.XLOOKUP(R59:AH59,增益!$A:$A,增益!$I:$I,0))&gt;0,($F$11-$I$4+VLOOKUP($Q59,武学奇术!$A:$ZZ,9,FALSE)+SUM(_xlfn.XLOOKUP(R59:AH59,增益!$A:$A,增益!$I:$I,0)))/200,($F$11-$I$4+VLOOKUP($Q59,武学奇术!$A:$ZZ,9,FALSE)+SUM(_xlfn.XLOOKUP(R59:AH59,增益!$A:$A,增益!$I:$I,0)))/100)</f>
        <v>-0.14</v>
      </c>
      <c r="AX59" s="49" cm="1">
        <f t="array" ref="AX59">$G$11+VLOOKUP($Q59,武学奇术!$A:$ZZ,10,FALSE)+SUM(_xlfn.XLOOKUP(R59:AH59,增益!$A:$A,增益!$J:$J,0))</f>
        <v>0.1</v>
      </c>
      <c r="AY59">
        <f t="shared" si="14"/>
        <v>0</v>
      </c>
      <c r="AZ59">
        <f t="shared" si="15"/>
        <v>0</v>
      </c>
      <c r="BA59" s="49" cm="1">
        <f t="array" ref="BA59">IF($F$12-$I$4+VLOOKUP($Q59,武学奇术!$A:$ZZ,11,FALSE)+SUM(_xlfn.XLOOKUP(R59:AH59,增益!$A:$A,增益!$K:$K,0))&gt;0,($F$12-$I$4+VLOOKUP($Q59,武学奇术!$A:$ZZ,11,FALSE)+SUM(_xlfn.XLOOKUP(R59:AH59,增益!$A:$A,增益!$K:$K,0)))/200,($F$12-$I$4+VLOOKUP($Q59,武学奇术!$A:$ZZ,11,FALSE)+SUM(_xlfn.XLOOKUP(R59:AH59,增益!$A:$A,增益!$K:$K,0)))/100)</f>
        <v>-0.14</v>
      </c>
      <c r="BB59" s="49" cm="1">
        <f t="array" ref="BB59">$G$12+VLOOKUP($Q59,武学奇术!$A:$ZZ,12,FALSE)+SUM(_xlfn.XLOOKUP(R59:AH59,增益!$A:$A,增益!$L:$L,0))</f>
        <v>0</v>
      </c>
      <c r="BC59">
        <f t="shared" si="16"/>
        <v>571.2</v>
      </c>
      <c r="BD59">
        <f t="shared" si="17"/>
        <v>1077.4</v>
      </c>
      <c r="BE59" s="49" cm="1">
        <f t="array" ref="BE59">IF($F$13-$I$4+VLOOKUP($Q59,武学奇术!$A:$ZZ,13,FALSE)+SUM(_xlfn.XLOOKUP(R59:AH59,增益!$A:$A,增益!$M:$M,0))&gt;0,($F$13-$I$4+VLOOKUP($Q59,武学奇术!$A:$ZZ,13,FALSE)+SUM(_xlfn.XLOOKUP(R59:AH59,增益!$A:$A,增益!$K:$K,0)))/200,($F$13-$I$4+VLOOKUP($Q59,武学奇术!$A:$ZZ,13,FALSE)+SUM(_xlfn.XLOOKUP(R59:AH59,增益!$A:$A,增益!$M:$M,0)))/100)</f>
        <v>0.08</v>
      </c>
      <c r="BF59" s="49" cm="1">
        <f t="array" ref="BF59">$G$13+VLOOKUP($Q59,武学奇术!$A:$ZZ,14,FALSE)+SUM(_xlfn.XLOOKUP(R59:AH59,增益!$A:$A,增益!$N:$N,0))</f>
        <v>0.15</v>
      </c>
      <c r="BG59">
        <f t="shared" si="18"/>
        <v>0</v>
      </c>
      <c r="BH59">
        <f t="shared" si="19"/>
        <v>0</v>
      </c>
      <c r="BI59" s="49" cm="1">
        <f t="array" ref="BI59">IF($F$14-$I$4+VLOOKUP($Q59,武学奇术!$A:$ZZ,15,FALSE)+SUM(_xlfn.XLOOKUP(R59:AH59,增益!$A:$A,增益!$O:$O,0))&gt;0,($F$14-$I$4+VLOOKUP($Q59,武学奇术!$A:$ZZ,15,FALSE)+SUM(_xlfn.XLOOKUP(R59:AH59,增益!$A:$A,增益!$O:$O,0)))/200,($F$14-$I$4+VLOOKUP($Q59,武学奇术!$A:$ZZ,15,FALSE)+SUM(_xlfn.XLOOKUP(R59:AH59,增益!$A:$A,增益!$O:$O,0)))/100)</f>
        <v>-0.14</v>
      </c>
      <c r="BJ59" s="49" cm="1">
        <f t="array" ref="BJ59">$G$14+VLOOKUP($Q59,武学奇术!$A:$ZZ,16,FALSE)+SUM(_xlfn.XLOOKUP(R59:AH59,增益!$A:$A,增益!$P:$P,0))</f>
        <v>0</v>
      </c>
      <c r="BK59" s="41">
        <f>MIN(IF(VLOOKUP($Q59,武学奇术!$A:$ZZ,23,FALSE)=1,100%,$B$8),100%)</f>
        <v>1</v>
      </c>
      <c r="BL59" s="41" cm="1">
        <f t="array" ref="BL59">IF(VLOOKUP($Q59,武学奇术!$A:$ZZ,23,FALSE)=1,100%,MIN(80%,$B$9+VLOOKUP($Q59,武学奇术!$A:$ZZ,17,FALSE)+SUM(_xlfn.XLOOKUP(R59:AH59,增益!$A:$A,增益!$Q:$Q,0)))+$B$11+SUM(_xlfn.XLOOKUP(R59:AH59,增益!$A:$A,增益!$U:$U,0)))*IF(VLOOKUP($Q59,武学奇术!$A:$ZZ,24,FALSE)=1,0,1)</f>
        <v>0.9045</v>
      </c>
      <c r="BM59" s="41" cm="1">
        <f t="array" ref="BM59">1+$B$13+VLOOKUP($Q59,武学奇术!$A:$ZZ,18,FALSE)+SUM(_xlfn.XLOOKUP(R59:AH59,增益!$A:$A,增益!$R:$R,0))</f>
        <v>1.85</v>
      </c>
      <c r="BN59" s="41" cm="1">
        <f t="array" ref="BN59">IF(VLOOKUP($Q59,武学奇术!$A:$ZZ,24,FALSE)=1,100%,MIN(40%,$B$10+VLOOKUP($Q59,武学奇术!$A:$ZZ,19,FALSE)+SUM(_xlfn.XLOOKUP(R59:AH59,增益!$A:$A,增益!$S:$S,0)))+$B$12+SUM(_xlfn.XLOOKUP(R59:AH59,增益!$A:$A,增益!$V:$V,0)))*IF(VLOOKUP($Q59,武学奇术!$A:$ZZ,23,FALSE)=1,0,1)</f>
        <v>0.0929</v>
      </c>
      <c r="BO59" s="41" cm="1">
        <f t="array" ref="BO59">1+$B$14+VLOOKUP($Q59,武学奇术!$A:$ZZ,20,FALSE)+SUM(_xlfn.XLOOKUP(R59:AH59,增益!$A:$A,增益!$T:$T,0))</f>
        <v>1.35</v>
      </c>
      <c r="BP59" s="41">
        <f t="shared" si="20"/>
        <v>0.9045</v>
      </c>
      <c r="BQ59" s="41">
        <f t="shared" si="21"/>
        <v>0.00260000000000005</v>
      </c>
      <c r="BR59" s="41">
        <f>IF(VLOOKUP($Q59,武学奇术!$A:$ZZ,22,FALSE)=1,0,(1-$BK59))*(1-$BN59)</f>
        <v>0</v>
      </c>
      <c r="BS59" s="41" cm="1">
        <f t="array" ref="BS59">SUM(_xlfn.XLOOKUP(R59:AH59,增益!$A:$A,增益!$W:$W,0))+$I$5</f>
        <v>0.31</v>
      </c>
    </row>
    <row r="60" spans="1:71">
      <c r="A60" s="4"/>
      <c r="B60" s="4"/>
      <c r="E60" s="44"/>
      <c r="K60" s="55">
        <f t="shared" si="11"/>
        <v>77161.3406708021</v>
      </c>
      <c r="L60" s="55">
        <f>((($AP60+$AQ60)/2*$AJ60+$AK60)*(1+$AR60)*(1+$AS60)+(($AU60+$AV60)/2*IF($G$1="鸣金",$AL60,$AJ60)+IF($G$1="鸣金",$AM60*1.5,0))*(1+$AW60)*(1+$AX60)+(($AY60+$AZ60)/2*IF($G$1="裂石",$AL60,$AJ60)+IF($G$1="裂石",$AM60*1.5,0))*(1+$BA60)*(1+$BB60)+(($BC60+$BD60)/2*IF($G$1="牵丝",$AL60,$AJ60)+IF($G$1="牵丝",$AM60*1.5,0))*(1+$BE60)*(1+$BF60)+(($BG60+$BH60)/2*IF($G$1="破竹",$AL60,$AJ60)+IF($G$1="破竹",$AM60*1.5,0))*(1+$BI60)*(1+$BJ60))*(1+$AN60)*$BM60*$P60*(1+IF(VLOOKUP($Q60,武学奇术!$A:$ZZ,30,FALSE)="弹道",$B$21,0))*(1+$BS60)</f>
        <v>76869.7682889037</v>
      </c>
      <c r="M60" s="55">
        <f>(($AQ60*$AJ60+$AK60)*(1+$AR60)*(1+$AS60)+($AV60*IF($G$1="鸣金",$AL60,$AJ60)+IF($G$1="鸣金",$AM60*1.5,0))*(1+$AW60)*(1+$AX60)+($AZ60*IF($G$1="裂石",$AL60,$AJ60)+IF($G$1="裂石",$AM60*1.5,0))*(1+$BA60)*(1+$BB60)+($BD60*IF($G$1="牵丝",$AL60,$AJ60)+IF($G$1="牵丝",$AM60*1.5,0))*(1+$BE60)*(1+$BF60)+($BH60*IF($G$1="破竹",$AL60,$AJ60)+IF($G$1="破竹",$AM60*1.5,0))*(1+$BI60)*(1+$BJ60))*(1+$AN60)*$BO60*$P60*(1+IF(VLOOKUP($Q60,武学奇术!$A:$ZZ,30,FALSE)="弹道",$B$21,0))*(1+$BS60)</f>
        <v>80996.7929561167</v>
      </c>
      <c r="N60" s="55">
        <f>((($AP60+$AQ60)/2*$AJ60+$AK60)*(1+$AR60)*(1+$AS60)+(($AU60+$AV60)/2*IF($G$1="鸣金",$AL60,$AJ60)+IF($G$1="鸣金",$AM60*1.5,0))*(1+$AW60)*(1+$AX60)+(($AY60+$AZ60)/2*IF($G$1="裂石",$AL60,$AJ60)+IF($G$1="裂石",$AM60*1.5,0))*(1+$BA60)*(1+$BB60)+(($BC60+$BD60)/2*IF($G$1="牵丝",$AL60,$AJ60)+IF($G$1="牵丝",$AM60*1.5,0))*(1+$BE60)*(1+$BF60)+(($BG60+$BH60)/2*IF($G$1="破竹",$AL60,$AJ60)+IF($G$1="破竹",$AM60*1.5,0))*(1+$BI60)*(1+$BJ60))*(1+$AN60)*$P60*(1+IF(VLOOKUP($Q60,武学奇术!$A:$ZZ,30,FALSE)="弹道",$B$21,0))*(1+$BS60)</f>
        <v>41551.2261021101</v>
      </c>
      <c r="O60" s="55">
        <f>((($AP60*$AJ60+$AK60)*(1+$AR60)*(1+$AS60)+($AU60*IF($G$1="鸣金",$AL60,$AJ60)+IF($G$1="鸣金",$AM60*1.5,0))*(1+$AW60)*(1+$AX60)+($AY60*IF($G$1="裂石",$AL60,$AJ60)+IF($G$1="裂石",$AM60*1.5,0))*(1+$BA60)*(1+$BB60)+($BC60*IF($G$1="牵丝",$AL60,$AJ60)+IF($G$1="牵丝",$AM60*1.5,0))*(1+$BE60)*(1+$BF60)+($BG60*IF($G$1="破竹",$AL60,$AJ60)+IF($G$1="破竹",$AM60*1.5,0))*(1+$BI60)*(1+$BJ60))*(1+$AN60))*$P60*(1+IF(VLOOKUP($Q60,武学奇术!$A:$ZZ,30,FALSE)="弹道",$B$21,0))*(1+$BS60)</f>
        <v>23104.827792282</v>
      </c>
      <c r="P60" s="56">
        <v>1</v>
      </c>
      <c r="Q60" s="57" t="s">
        <v>165</v>
      </c>
      <c r="R60" s="57" t="s">
        <v>116</v>
      </c>
      <c r="S60" s="57" t="s">
        <v>153</v>
      </c>
      <c r="T60" s="57" t="s">
        <v>72</v>
      </c>
      <c r="U60" s="57" t="s">
        <v>157</v>
      </c>
      <c r="V60" s="57" t="s">
        <v>72</v>
      </c>
      <c r="W60" s="57" t="s">
        <v>72</v>
      </c>
      <c r="X60" s="57" t="s">
        <v>72</v>
      </c>
      <c r="Y60" s="57" t="s">
        <v>161</v>
      </c>
      <c r="Z60" s="57" t="s">
        <v>72</v>
      </c>
      <c r="AA60" s="57" t="s">
        <v>72</v>
      </c>
      <c r="AB60" s="57" t="s">
        <v>96</v>
      </c>
      <c r="AC60" s="57" t="s">
        <v>162</v>
      </c>
      <c r="AD60" s="57" t="s">
        <v>163</v>
      </c>
      <c r="AE60" s="57" t="s">
        <v>72</v>
      </c>
      <c r="AF60" s="57" t="s">
        <v>72</v>
      </c>
      <c r="AG60" s="57" t="s">
        <v>72</v>
      </c>
      <c r="AH60" s="57" t="s">
        <v>87</v>
      </c>
      <c r="AI60" t="str">
        <f>VLOOKUP($Q60,武学奇术!$A:$ZZ,25,FALSE)</f>
        <v>单体奇术</v>
      </c>
      <c r="AJ60" s="41">
        <f>VLOOKUP($Q60,武学奇术!$A:$ZZ,26,FALSE)</f>
        <v>1.7063</v>
      </c>
      <c r="AK60" s="42">
        <f>VLOOKUP($Q60,武学奇术!$A:$ZZ,27,FALSE)*(1+IF(OR($AI60=$F$4,$AI60=$F$5),$B$22,0))</f>
        <v>315</v>
      </c>
      <c r="AL60" s="41">
        <f>VLOOKUP($Q60,武学奇术!$A:$ZZ,28,FALSE)</f>
        <v>2.55945</v>
      </c>
      <c r="AM60" s="42">
        <f>VLOOKUP($Q60,武学奇术!$A:$ZZ,29,FALSE)*(1+IF(OR($AI60=$F$4,$AI60=$F$5),$B$22,0))</f>
        <v>0</v>
      </c>
      <c r="AN60" s="41" cm="1">
        <f t="array" ref="AN60">$G$3+IFERROR(VLOOKUP($AI60,$F$4:$G$7,2,FALSE),0)+VLOOKUP($Q60,武学奇术!$A:$ZZ,2,FALSE)+SUM(_xlfn.XLOOKUP($R60:$AH60,增益!$A:$A,增益!$B:$B,0))</f>
        <v>1.3015</v>
      </c>
      <c r="AO60" s="41" cm="1">
        <f t="array" ref="AO60">VLOOKUP($Q60,武学奇术!$A:$ZZ,5,FALSE)+SUM(_xlfn.XLOOKUP($R60:$AH60,增益!$A:$A,增益!$E:$E,0))</f>
        <v>0.15</v>
      </c>
      <c r="AP60" cm="1">
        <f t="array" ref="AP60">$D$10*(1+$AO60)+VLOOKUP($Q60,武学奇术!$A:$ZZ,3,FALSE)+SUM(_xlfn.XLOOKUP($R60:$AH60,增益!$A:$A,增益!$C:$C,0))-$I$2</f>
        <v>2150.71</v>
      </c>
      <c r="AQ60" cm="1">
        <f t="array" ref="AQ60">$E$10*(1+$AO60)+VLOOKUP($Q60,武学奇术!$A:$ZZ,4,FALSE)+SUM(_xlfn.XLOOKUP($R60:$AH60,增益!$A:$A,增益!$D:$D,0))-$I$2</f>
        <v>6394.9</v>
      </c>
      <c r="AR60" s="49" cm="1">
        <f t="array" ref="AR60">IF($F$10-$I$3+VLOOKUP($Q60,武学奇术!$A:$ZZ,6,FALSE)+SUM(_xlfn.XLOOKUP(R60:AH60,增益!$A:$A,增益!$F:$F,0))&gt;0,($F$10-$I$3+VLOOKUP($Q60,武学奇术!$A:$ZZ,6,FALSE)+SUM(_xlfn.XLOOKUP(R60:AH60,增益!$A:$A,增益!$F:$F,0)))/200,($F$10-$I$3+VLOOKUP($Q60,武学奇术!$A:$ZZ,6,FALSE)+SUM(_xlfn.XLOOKUP(R60:AH60,增益!$A:$A,增益!$F:$F,0)))/100)</f>
        <v>0.4675</v>
      </c>
      <c r="AS60" s="49" cm="1">
        <f t="array" ref="AS60">$G$10+VLOOKUP($Q60,武学奇术!$A:$ZZ,7,FALSE)+SUM(_xlfn.XLOOKUP(R60:AH60,增益!$A:$A,增益!$G:$G,0))</f>
        <v>0</v>
      </c>
      <c r="AT60" s="41" cm="1">
        <f t="array" ref="AT60">VLOOKUP($Q60,武学奇术!$A:$ZZ,8,FALSE)+SUM(_xlfn.XLOOKUP(R60:AH60,增益!$A:$A,增益!$H:$H,0))</f>
        <v>0</v>
      </c>
      <c r="AU60">
        <f t="shared" si="12"/>
        <v>0</v>
      </c>
      <c r="AV60">
        <f t="shared" si="13"/>
        <v>0</v>
      </c>
      <c r="AW60" s="49" cm="1">
        <f t="array" ref="AW60">IF($F$11-$I$4+VLOOKUP($Q60,武学奇术!$A:$ZZ,9,FALSE)+SUM(_xlfn.XLOOKUP(R60:AH60,增益!$A:$A,增益!$I:$I,0))&gt;0,($F$11-$I$4+VLOOKUP($Q60,武学奇术!$A:$ZZ,9,FALSE)+SUM(_xlfn.XLOOKUP(R60:AH60,增益!$A:$A,增益!$I:$I,0)))/200,($F$11-$I$4+VLOOKUP($Q60,武学奇术!$A:$ZZ,9,FALSE)+SUM(_xlfn.XLOOKUP(R60:AH60,增益!$A:$A,增益!$I:$I,0)))/100)</f>
        <v>-0.14</v>
      </c>
      <c r="AX60" s="49" cm="1">
        <f t="array" ref="AX60">$G$11+VLOOKUP($Q60,武学奇术!$A:$ZZ,10,FALSE)+SUM(_xlfn.XLOOKUP(R60:AH60,增益!$A:$A,增益!$J:$J,0))</f>
        <v>0.1</v>
      </c>
      <c r="AY60">
        <f t="shared" si="14"/>
        <v>0</v>
      </c>
      <c r="AZ60">
        <f t="shared" si="15"/>
        <v>0</v>
      </c>
      <c r="BA60" s="49" cm="1">
        <f t="array" ref="BA60">IF($F$12-$I$4+VLOOKUP($Q60,武学奇术!$A:$ZZ,11,FALSE)+SUM(_xlfn.XLOOKUP(R60:AH60,增益!$A:$A,增益!$K:$K,0))&gt;0,($F$12-$I$4+VLOOKUP($Q60,武学奇术!$A:$ZZ,11,FALSE)+SUM(_xlfn.XLOOKUP(R60:AH60,增益!$A:$A,增益!$K:$K,0)))/200,($F$12-$I$4+VLOOKUP($Q60,武学奇术!$A:$ZZ,11,FALSE)+SUM(_xlfn.XLOOKUP(R60:AH60,增益!$A:$A,增益!$K:$K,0)))/100)</f>
        <v>-0.14</v>
      </c>
      <c r="BB60" s="49" cm="1">
        <f t="array" ref="BB60">$G$12+VLOOKUP($Q60,武学奇术!$A:$ZZ,12,FALSE)+SUM(_xlfn.XLOOKUP(R60:AH60,增益!$A:$A,增益!$L:$L,0))</f>
        <v>0</v>
      </c>
      <c r="BC60">
        <f t="shared" si="16"/>
        <v>571.2</v>
      </c>
      <c r="BD60">
        <f t="shared" si="17"/>
        <v>1077.4</v>
      </c>
      <c r="BE60" s="49" cm="1">
        <f t="array" ref="BE60">IF($F$13-$I$4+VLOOKUP($Q60,武学奇术!$A:$ZZ,13,FALSE)+SUM(_xlfn.XLOOKUP(R60:AH60,增益!$A:$A,增益!$M:$M,0))&gt;0,($F$13-$I$4+VLOOKUP($Q60,武学奇术!$A:$ZZ,13,FALSE)+SUM(_xlfn.XLOOKUP(R60:AH60,增益!$A:$A,增益!$K:$K,0)))/200,($F$13-$I$4+VLOOKUP($Q60,武学奇术!$A:$ZZ,13,FALSE)+SUM(_xlfn.XLOOKUP(R60:AH60,增益!$A:$A,增益!$M:$M,0)))/100)</f>
        <v>0.08</v>
      </c>
      <c r="BF60" s="49" cm="1">
        <f t="array" ref="BF60">$G$13+VLOOKUP($Q60,武学奇术!$A:$ZZ,14,FALSE)+SUM(_xlfn.XLOOKUP(R60:AH60,增益!$A:$A,增益!$N:$N,0))</f>
        <v>0.15</v>
      </c>
      <c r="BG60">
        <f t="shared" si="18"/>
        <v>0</v>
      </c>
      <c r="BH60">
        <f t="shared" si="19"/>
        <v>0</v>
      </c>
      <c r="BI60" s="49" cm="1">
        <f t="array" ref="BI60">IF($F$14-$I$4+VLOOKUP($Q60,武学奇术!$A:$ZZ,15,FALSE)+SUM(_xlfn.XLOOKUP(R60:AH60,增益!$A:$A,增益!$O:$O,0))&gt;0,($F$14-$I$4+VLOOKUP($Q60,武学奇术!$A:$ZZ,15,FALSE)+SUM(_xlfn.XLOOKUP(R60:AH60,增益!$A:$A,增益!$O:$O,0)))/200,($F$14-$I$4+VLOOKUP($Q60,武学奇术!$A:$ZZ,15,FALSE)+SUM(_xlfn.XLOOKUP(R60:AH60,增益!$A:$A,增益!$O:$O,0)))/100)</f>
        <v>-0.14</v>
      </c>
      <c r="BJ60" s="49" cm="1">
        <f t="array" ref="BJ60">$G$14+VLOOKUP($Q60,武学奇术!$A:$ZZ,16,FALSE)+SUM(_xlfn.XLOOKUP(R60:AH60,增益!$A:$A,增益!$P:$P,0))</f>
        <v>0</v>
      </c>
      <c r="BK60" s="41">
        <f>MIN(IF(VLOOKUP($Q60,武学奇术!$A:$ZZ,23,FALSE)=1,100%,$B$8),100%)</f>
        <v>1</v>
      </c>
      <c r="BL60" s="41" cm="1">
        <f t="array" ref="BL60">IF(VLOOKUP($Q60,武学奇术!$A:$ZZ,23,FALSE)=1,100%,MIN(80%,$B$9+VLOOKUP($Q60,武学奇术!$A:$ZZ,17,FALSE)+SUM(_xlfn.XLOOKUP(R60:AH60,增益!$A:$A,增益!$Q:$Q,0)))+$B$11+SUM(_xlfn.XLOOKUP(R60:AH60,增益!$A:$A,增益!$U:$U,0)))*IF(VLOOKUP($Q60,武学奇术!$A:$ZZ,24,FALSE)=1,0,1)</f>
        <v>0.9045</v>
      </c>
      <c r="BM60" s="41" cm="1">
        <f t="array" ref="BM60">1+$B$13+VLOOKUP($Q60,武学奇术!$A:$ZZ,18,FALSE)+SUM(_xlfn.XLOOKUP(R60:AH60,增益!$A:$A,增益!$R:$R,0))</f>
        <v>1.85</v>
      </c>
      <c r="BN60" s="41" cm="1">
        <f t="array" ref="BN60">IF(VLOOKUP($Q60,武学奇术!$A:$ZZ,24,FALSE)=1,100%,MIN(40%,$B$10+VLOOKUP($Q60,武学奇术!$A:$ZZ,19,FALSE)+SUM(_xlfn.XLOOKUP(R60:AH60,增益!$A:$A,增益!$S:$S,0)))+$B$12+SUM(_xlfn.XLOOKUP(R60:AH60,增益!$A:$A,增益!$V:$V,0)))*IF(VLOOKUP($Q60,武学奇术!$A:$ZZ,23,FALSE)=1,0,1)</f>
        <v>0.0929</v>
      </c>
      <c r="BO60" s="41" cm="1">
        <f t="array" ref="BO60">1+$B$14+VLOOKUP($Q60,武学奇术!$A:$ZZ,20,FALSE)+SUM(_xlfn.XLOOKUP(R60:AH60,增益!$A:$A,增益!$T:$T,0))</f>
        <v>1.35</v>
      </c>
      <c r="BP60" s="41">
        <f t="shared" si="20"/>
        <v>0.9045</v>
      </c>
      <c r="BQ60" s="41">
        <f t="shared" si="21"/>
        <v>0.00260000000000005</v>
      </c>
      <c r="BR60" s="41">
        <f>IF(VLOOKUP($Q60,武学奇术!$A:$ZZ,22,FALSE)=1,0,(1-$BK60))*(1-$BN60)</f>
        <v>0</v>
      </c>
      <c r="BS60" s="41" cm="1">
        <f t="array" ref="BS60">SUM(_xlfn.XLOOKUP(R60:AH60,增益!$A:$A,增益!$W:$W,0))+$I$5</f>
        <v>0.31</v>
      </c>
    </row>
    <row r="61" spans="1:71">
      <c r="A61" s="4"/>
      <c r="B61" s="109"/>
      <c r="D61" s="4"/>
      <c r="E61" s="4"/>
      <c r="K61" s="55">
        <f t="shared" si="11"/>
        <v>142390.829036199</v>
      </c>
      <c r="L61" s="55">
        <f>((($AP61+$AQ61)/2*$AJ61+$AK61)*(1+$AR61)*(1+$AS61)+(($AU61+$AV61)/2*IF($G$1="鸣金",$AL61,$AJ61)+IF($G$1="鸣金",$AM61*1.5,0))*(1+$AW61)*(1+$AX61)+(($AY61+$AZ61)/2*IF($G$1="裂石",$AL61,$AJ61)+IF($G$1="裂石",$AM61*1.5,0))*(1+$BA61)*(1+$BB61)+(($BC61+$BD61)/2*IF($G$1="牵丝",$AL61,$AJ61)+IF($G$1="牵丝",$AM61*1.5,0))*(1+$BE61)*(1+$BF61)+(($BG61+$BH61)/2*IF($G$1="破竹",$AL61,$AJ61)+IF($G$1="破竹",$AM61*1.5,0))*(1+$BI61)*(1+$BJ61))*(1+$AN61)*$BM61*$P61*(1+IF(VLOOKUP($Q61,武学奇术!$A:$ZZ,30,FALSE)="弹道",$B$21,0))*(1+$BS61)</f>
        <v>141852.771346036</v>
      </c>
      <c r="M61" s="55">
        <f>(($AQ61*$AJ61+$AK61)*(1+$AR61)*(1+$AS61)+($AV61*IF($G$1="鸣金",$AL61,$AJ61)+IF($G$1="鸣金",$AM61*1.5,0))*(1+$AW61)*(1+$AX61)+($AZ61*IF($G$1="裂石",$AL61,$AJ61)+IF($G$1="裂石",$AM61*1.5,0))*(1+$BA61)*(1+$BB61)+($BD61*IF($G$1="牵丝",$AL61,$AJ61)+IF($G$1="牵丝",$AM61*1.5,0))*(1+$BE61)*(1+$BF61)+($BH61*IF($G$1="破竹",$AL61,$AJ61)+IF($G$1="破竹",$AM61*1.5,0))*(1+$BI61)*(1+$BJ61))*(1+$AN61)*$BO61*$P61*(1+IF(VLOOKUP($Q61,武学奇术!$A:$ZZ,30,FALSE)="弹道",$B$21,0))*(1+$BS61)</f>
        <v>149468.6404961</v>
      </c>
      <c r="N61" s="55">
        <f>((($AP61+$AQ61)/2*$AJ61+$AK61)*(1+$AR61)*(1+$AS61)+(($AU61+$AV61)/2*IF($G$1="鸣金",$AL61,$AJ61)+IF($G$1="鸣金",$AM61*1.5,0))*(1+$AW61)*(1+$AX61)+(($AY61+$AZ61)/2*IF($G$1="裂石",$AL61,$AJ61)+IF($G$1="裂石",$AM61*1.5,0))*(1+$BA61)*(1+$BB61)+(($BC61+$BD61)/2*IF($G$1="牵丝",$AL61,$AJ61)+IF($G$1="牵丝",$AM61*1.5,0))*(1+$BE61)*(1+$BF61)+(($BG61+$BH61)/2*IF($G$1="破竹",$AL61,$AJ61)+IF($G$1="破竹",$AM61*1.5,0))*(1+$BI61)*(1+$BJ61))*(1+$AN61)*$P61*(1+IF(VLOOKUP($Q61,武学奇术!$A:$ZZ,30,FALSE)="弹道",$B$21,0))*(1+$BS61)</f>
        <v>76677.17370056</v>
      </c>
      <c r="O61" s="55">
        <f>((($AP61*$AJ61+$AK61)*(1+$AR61)*(1+$AS61)+($AU61*IF($G$1="鸣金",$AL61,$AJ61)+IF($G$1="鸣金",$AM61*1.5,0))*(1+$AW61)*(1+$AX61)+($AY61*IF($G$1="裂石",$AL61,$AJ61)+IF($G$1="裂石",$AM61*1.5,0))*(1+$BA61)*(1+$BB61)+($BC61*IF($G$1="牵丝",$AL61,$AJ61)+IF($G$1="牵丝",$AM61*1.5,0))*(1+$BE61)*(1+$BF61)+($BG61*IF($G$1="破竹",$AL61,$AJ61)+IF($G$1="破竹",$AM61*1.5,0))*(1+$BI61)*(1+$BJ61))*(1+$AN61))*$P61*(1+IF(VLOOKUP($Q61,武学奇术!$A:$ZZ,30,FALSE)="弹道",$B$21,0))*(1+$BS61)</f>
        <v>42636.8359225278</v>
      </c>
      <c r="P61" s="56">
        <v>3</v>
      </c>
      <c r="Q61" s="57" t="s">
        <v>166</v>
      </c>
      <c r="R61" s="57" t="s">
        <v>116</v>
      </c>
      <c r="S61" s="57" t="s">
        <v>153</v>
      </c>
      <c r="T61" s="57" t="s">
        <v>72</v>
      </c>
      <c r="U61" s="57" t="s">
        <v>157</v>
      </c>
      <c r="V61" s="57" t="s">
        <v>72</v>
      </c>
      <c r="W61" s="57" t="s">
        <v>72</v>
      </c>
      <c r="X61" s="57" t="s">
        <v>72</v>
      </c>
      <c r="Y61" s="57" t="s">
        <v>161</v>
      </c>
      <c r="Z61" s="57" t="s">
        <v>72</v>
      </c>
      <c r="AA61" s="57" t="s">
        <v>72</v>
      </c>
      <c r="AB61" s="57" t="s">
        <v>96</v>
      </c>
      <c r="AC61" s="57" t="s">
        <v>162</v>
      </c>
      <c r="AD61" s="57" t="s">
        <v>163</v>
      </c>
      <c r="AE61" s="57" t="s">
        <v>72</v>
      </c>
      <c r="AF61" s="57" t="s">
        <v>72</v>
      </c>
      <c r="AG61" s="57" t="s">
        <v>72</v>
      </c>
      <c r="AH61" s="57" t="s">
        <v>87</v>
      </c>
      <c r="AI61" t="str">
        <f>VLOOKUP($Q61,武学奇术!$A:$ZZ,25,FALSE)</f>
        <v>单体奇术</v>
      </c>
      <c r="AJ61" s="41">
        <f>VLOOKUP($Q61,武学奇术!$A:$ZZ,26,FALSE)</f>
        <v>1.6088</v>
      </c>
      <c r="AK61" s="42">
        <f>VLOOKUP($Q61,武学奇术!$A:$ZZ,27,FALSE)*(1+IF(OR($AI61=$F$4,$AI61=$F$5),$B$22,0))</f>
        <v>297</v>
      </c>
      <c r="AL61" s="41">
        <f>VLOOKUP($Q61,武学奇术!$A:$ZZ,28,FALSE)</f>
        <v>2.4132</v>
      </c>
      <c r="AM61" s="42">
        <f>VLOOKUP($Q61,武学奇术!$A:$ZZ,29,FALSE)*(1+IF(OR($AI61=$F$4,$AI61=$F$5),$B$22,0))</f>
        <v>0</v>
      </c>
      <c r="AN61" s="41" cm="1">
        <f t="array" ref="AN61">$G$3+IFERROR(VLOOKUP($AI61,$F$4:$G$7,2,FALSE),0)+VLOOKUP($Q61,武学奇术!$A:$ZZ,2,FALSE)+SUM(_xlfn.XLOOKUP($R61:$AH61,增益!$A:$A,增益!$B:$B,0))</f>
        <v>0.5015</v>
      </c>
      <c r="AO61" s="41" cm="1">
        <f t="array" ref="AO61">VLOOKUP($Q61,武学奇术!$A:$ZZ,5,FALSE)+SUM(_xlfn.XLOOKUP($R61:$AH61,增益!$A:$A,增益!$E:$E,0))</f>
        <v>0.15</v>
      </c>
      <c r="AP61" cm="1">
        <f t="array" ref="AP61">$D$10*(1+$AO61)+VLOOKUP($Q61,武学奇术!$A:$ZZ,3,FALSE)+SUM(_xlfn.XLOOKUP($R61:$AH61,增益!$A:$A,增益!$C:$C,0))-$I$2</f>
        <v>2150.71</v>
      </c>
      <c r="AQ61" cm="1">
        <f t="array" ref="AQ61">$E$10*(1+$AO61)+VLOOKUP($Q61,武学奇术!$A:$ZZ,4,FALSE)+SUM(_xlfn.XLOOKUP($R61:$AH61,增益!$A:$A,增益!$D:$D,0))-$I$2</f>
        <v>6394.9</v>
      </c>
      <c r="AR61" s="49" cm="1">
        <f t="array" ref="AR61">IF($F$10-$I$3+VLOOKUP($Q61,武学奇术!$A:$ZZ,6,FALSE)+SUM(_xlfn.XLOOKUP(R61:AH61,增益!$A:$A,增益!$F:$F,0))&gt;0,($F$10-$I$3+VLOOKUP($Q61,武学奇术!$A:$ZZ,6,FALSE)+SUM(_xlfn.XLOOKUP(R61:AH61,增益!$A:$A,增益!$F:$F,0)))/200,($F$10-$I$3+VLOOKUP($Q61,武学奇术!$A:$ZZ,6,FALSE)+SUM(_xlfn.XLOOKUP(R61:AH61,增益!$A:$A,增益!$F:$F,0)))/100)</f>
        <v>0.4675</v>
      </c>
      <c r="AS61" s="49" cm="1">
        <f t="array" ref="AS61">$G$10+VLOOKUP($Q61,武学奇术!$A:$ZZ,7,FALSE)+SUM(_xlfn.XLOOKUP(R61:AH61,增益!$A:$A,增益!$G:$G,0))</f>
        <v>0</v>
      </c>
      <c r="AT61" s="41" cm="1">
        <f t="array" ref="AT61">VLOOKUP($Q61,武学奇术!$A:$ZZ,8,FALSE)+SUM(_xlfn.XLOOKUP(R61:AH61,增益!$A:$A,增益!$H:$H,0))</f>
        <v>0</v>
      </c>
      <c r="AU61">
        <f t="shared" si="12"/>
        <v>0</v>
      </c>
      <c r="AV61">
        <f t="shared" si="13"/>
        <v>0</v>
      </c>
      <c r="AW61" s="49" cm="1">
        <f t="array" ref="AW61">IF($F$11-$I$4+VLOOKUP($Q61,武学奇术!$A:$ZZ,9,FALSE)+SUM(_xlfn.XLOOKUP(R61:AH61,增益!$A:$A,增益!$I:$I,0))&gt;0,($F$11-$I$4+VLOOKUP($Q61,武学奇术!$A:$ZZ,9,FALSE)+SUM(_xlfn.XLOOKUP(R61:AH61,增益!$A:$A,增益!$I:$I,0)))/200,($F$11-$I$4+VLOOKUP($Q61,武学奇术!$A:$ZZ,9,FALSE)+SUM(_xlfn.XLOOKUP(R61:AH61,增益!$A:$A,增益!$I:$I,0)))/100)</f>
        <v>-0.14</v>
      </c>
      <c r="AX61" s="49" cm="1">
        <f t="array" ref="AX61">$G$11+VLOOKUP($Q61,武学奇术!$A:$ZZ,10,FALSE)+SUM(_xlfn.XLOOKUP(R61:AH61,增益!$A:$A,增益!$J:$J,0))</f>
        <v>0.1</v>
      </c>
      <c r="AY61">
        <f t="shared" si="14"/>
        <v>0</v>
      </c>
      <c r="AZ61">
        <f t="shared" si="15"/>
        <v>0</v>
      </c>
      <c r="BA61" s="49" cm="1">
        <f t="array" ref="BA61">IF($F$12-$I$4+VLOOKUP($Q61,武学奇术!$A:$ZZ,11,FALSE)+SUM(_xlfn.XLOOKUP(R61:AH61,增益!$A:$A,增益!$K:$K,0))&gt;0,($F$12-$I$4+VLOOKUP($Q61,武学奇术!$A:$ZZ,11,FALSE)+SUM(_xlfn.XLOOKUP(R61:AH61,增益!$A:$A,增益!$K:$K,0)))/200,($F$12-$I$4+VLOOKUP($Q61,武学奇术!$A:$ZZ,11,FALSE)+SUM(_xlfn.XLOOKUP(R61:AH61,增益!$A:$A,增益!$K:$K,0)))/100)</f>
        <v>-0.14</v>
      </c>
      <c r="BB61" s="49" cm="1">
        <f t="array" ref="BB61">$G$12+VLOOKUP($Q61,武学奇术!$A:$ZZ,12,FALSE)+SUM(_xlfn.XLOOKUP(R61:AH61,增益!$A:$A,增益!$L:$L,0))</f>
        <v>0</v>
      </c>
      <c r="BC61">
        <f t="shared" si="16"/>
        <v>571.2</v>
      </c>
      <c r="BD61">
        <f t="shared" si="17"/>
        <v>1077.4</v>
      </c>
      <c r="BE61" s="49" cm="1">
        <f t="array" ref="BE61">IF($F$13-$I$4+VLOOKUP($Q61,武学奇术!$A:$ZZ,13,FALSE)+SUM(_xlfn.XLOOKUP(R61:AH61,增益!$A:$A,增益!$M:$M,0))&gt;0,($F$13-$I$4+VLOOKUP($Q61,武学奇术!$A:$ZZ,13,FALSE)+SUM(_xlfn.XLOOKUP(R61:AH61,增益!$A:$A,增益!$K:$K,0)))/200,($F$13-$I$4+VLOOKUP($Q61,武学奇术!$A:$ZZ,13,FALSE)+SUM(_xlfn.XLOOKUP(R61:AH61,增益!$A:$A,增益!$M:$M,0)))/100)</f>
        <v>0.08</v>
      </c>
      <c r="BF61" s="49" cm="1">
        <f t="array" ref="BF61">$G$13+VLOOKUP($Q61,武学奇术!$A:$ZZ,14,FALSE)+SUM(_xlfn.XLOOKUP(R61:AH61,增益!$A:$A,增益!$N:$N,0))</f>
        <v>0.15</v>
      </c>
      <c r="BG61">
        <f t="shared" si="18"/>
        <v>0</v>
      </c>
      <c r="BH61">
        <f t="shared" si="19"/>
        <v>0</v>
      </c>
      <c r="BI61" s="49" cm="1">
        <f t="array" ref="BI61">IF($F$14-$I$4+VLOOKUP($Q61,武学奇术!$A:$ZZ,15,FALSE)+SUM(_xlfn.XLOOKUP(R61:AH61,增益!$A:$A,增益!$O:$O,0))&gt;0,($F$14-$I$4+VLOOKUP($Q61,武学奇术!$A:$ZZ,15,FALSE)+SUM(_xlfn.XLOOKUP(R61:AH61,增益!$A:$A,增益!$O:$O,0)))/200,($F$14-$I$4+VLOOKUP($Q61,武学奇术!$A:$ZZ,15,FALSE)+SUM(_xlfn.XLOOKUP(R61:AH61,增益!$A:$A,增益!$O:$O,0)))/100)</f>
        <v>-0.14</v>
      </c>
      <c r="BJ61" s="49" cm="1">
        <f t="array" ref="BJ61">$G$14+VLOOKUP($Q61,武学奇术!$A:$ZZ,16,FALSE)+SUM(_xlfn.XLOOKUP(R61:AH61,增益!$A:$A,增益!$P:$P,0))</f>
        <v>0</v>
      </c>
      <c r="BK61" s="41">
        <f>MIN(IF(VLOOKUP($Q61,武学奇术!$A:$ZZ,23,FALSE)=1,100%,$B$8),100%)</f>
        <v>1</v>
      </c>
      <c r="BL61" s="41" cm="1">
        <f t="array" ref="BL61">IF(VLOOKUP($Q61,武学奇术!$A:$ZZ,23,FALSE)=1,100%,MIN(80%,$B$9+VLOOKUP($Q61,武学奇术!$A:$ZZ,17,FALSE)+SUM(_xlfn.XLOOKUP(R61:AH61,增益!$A:$A,增益!$Q:$Q,0)))+$B$11+SUM(_xlfn.XLOOKUP(R61:AH61,增益!$A:$A,增益!$U:$U,0)))*IF(VLOOKUP($Q61,武学奇术!$A:$ZZ,24,FALSE)=1,0,1)</f>
        <v>0.9045</v>
      </c>
      <c r="BM61" s="41" cm="1">
        <f t="array" ref="BM61">1+$B$13+VLOOKUP($Q61,武学奇术!$A:$ZZ,18,FALSE)+SUM(_xlfn.XLOOKUP(R61:AH61,增益!$A:$A,增益!$R:$R,0))</f>
        <v>1.85</v>
      </c>
      <c r="BN61" s="41" cm="1">
        <f t="array" ref="BN61">IF(VLOOKUP($Q61,武学奇术!$A:$ZZ,24,FALSE)=1,100%,MIN(40%,$B$10+VLOOKUP($Q61,武学奇术!$A:$ZZ,19,FALSE)+SUM(_xlfn.XLOOKUP(R61:AH61,增益!$A:$A,增益!$S:$S,0)))+$B$12+SUM(_xlfn.XLOOKUP(R61:AH61,增益!$A:$A,增益!$V:$V,0)))*IF(VLOOKUP($Q61,武学奇术!$A:$ZZ,23,FALSE)=1,0,1)</f>
        <v>0.0929</v>
      </c>
      <c r="BO61" s="41" cm="1">
        <f t="array" ref="BO61">1+$B$14+VLOOKUP($Q61,武学奇术!$A:$ZZ,20,FALSE)+SUM(_xlfn.XLOOKUP(R61:AH61,增益!$A:$A,增益!$T:$T,0))</f>
        <v>1.35</v>
      </c>
      <c r="BP61" s="41">
        <f t="shared" si="20"/>
        <v>0.9045</v>
      </c>
      <c r="BQ61" s="41">
        <f t="shared" si="21"/>
        <v>0.00260000000000005</v>
      </c>
      <c r="BR61" s="41">
        <f>IF(VLOOKUP($Q61,武学奇术!$A:$ZZ,22,FALSE)=1,0,(1-$BK61))*(1-$BN61)</f>
        <v>0</v>
      </c>
      <c r="BS61" s="41" cm="1">
        <f t="array" ref="BS61">SUM(_xlfn.XLOOKUP(R61:AH61,增益!$A:$A,增益!$W:$W,0))+$I$5</f>
        <v>0.31</v>
      </c>
    </row>
    <row r="62" spans="1:71">
      <c r="A62" s="4"/>
      <c r="B62" s="109"/>
      <c r="D62" s="4"/>
      <c r="E62" s="4"/>
      <c r="K62" s="55">
        <f>($L62*$BP62+$M62*$BN62+$N62*$BQ62+$O62*$BR62)</f>
        <v>0</v>
      </c>
      <c r="L62" s="55">
        <f>((($AP62+$AQ62)/2*$AJ62+$AK62)*(1+$AR62)*(1+$AS62)+(($AU62+$AV62)/2*IF($G$1="鸣金",$AL62,$AJ62)+IF($G$1="鸣金",$AM62*1.5,0))*(1+$AW62)*(1+$AX62)+(($AY62+$AZ62)/2*IF($G$1="裂石",$AL62,$AJ62)+IF($G$1="裂石",$AM62*1.5,0))*(1+$BA62)*(1+$BB62)+(($BC62+$BD62)/2*IF($G$1="牵丝",$AL62,$AJ62)+IF($G$1="牵丝",$AM62*1.5,0))*(1+$BE62)*(1+$BF62)+(($BG62+$BH62)/2*IF($G$1="破竹",$AL62,$AJ62)+IF($G$1="破竹",$AM62*1.5,0))*(1+$BI62)*(1+$BJ62))*(1+$AN62)*$BM62*$P62*(1+IF(VLOOKUP($Q62,武学奇术!$A:$ZZ,30,FALSE)="弹道",$B$21,0))*(1+$BS62)</f>
        <v>0</v>
      </c>
      <c r="M62" s="55">
        <f>(($AQ62*$AJ62+$AK62)*(1+$AR62)*(1+$AS62)+($AV62*IF($G$1="鸣金",$AL62,$AJ62)+IF($G$1="鸣金",$AM62*1.5,0))*(1+$AW62)*(1+$AX62)+($AZ62*IF($G$1="裂石",$AL62,$AJ62)+IF($G$1="裂石",$AM62*1.5,0))*(1+$BA62)*(1+$BB62)+($BD62*IF($G$1="牵丝",$AL62,$AJ62)+IF($G$1="牵丝",$AM62*1.5,0))*(1+$BE62)*(1+$BF62)+($BH62*IF($G$1="破竹",$AL62,$AJ62)+IF($G$1="破竹",$AM62*1.5,0))*(1+$BI62)*(1+$BJ62))*(1+$AN62)*$BO62*$P62*(1+IF(VLOOKUP($Q62,武学奇术!$A:$ZZ,30,FALSE)="弹道",$B$21,0))*(1+$BS62)</f>
        <v>0</v>
      </c>
      <c r="N62" s="55">
        <f>((($AP62+$AQ62)/2*$AJ62+$AK62)*(1+$AR62)*(1+$AS62)+(($AU62+$AV62)/2*IF($G$1="鸣金",$AL62,$AJ62)+IF($G$1="鸣金",$AM62*1.5,0))*(1+$AW62)*(1+$AX62)+(($AY62+$AZ62)/2*IF($G$1="裂石",$AL62,$AJ62)+IF($G$1="裂石",$AM62*1.5,0))*(1+$BA62)*(1+$BB62)+(($BC62+$BD62)/2*IF($G$1="牵丝",$AL62,$AJ62)+IF($G$1="牵丝",$AM62*1.5,0))*(1+$BE62)*(1+$BF62)+(($BG62+$BH62)/2*IF($G$1="破竹",$AL62,$AJ62)+IF($G$1="破竹",$AM62*1.5,0))*(1+$BI62)*(1+$BJ62))*(1+$AN62)*$P62*(1+IF(VLOOKUP($Q62,武学奇术!$A:$ZZ,30,FALSE)="弹道",$B$21,0))*(1+$BS62)</f>
        <v>0</v>
      </c>
      <c r="O62" s="55">
        <f>((($AP62*$AJ62+$AK62)*(1+$AR62)*(1+$AS62)+($AU62*IF($G$1="鸣金",$AL62,$AJ62)+IF($G$1="鸣金",$AM62*1.5,0))*(1+$AW62)*(1+$AX62)+($AY62*IF($G$1="裂石",$AL62,$AJ62)+IF($G$1="裂石",$AM62*1.5,0))*(1+$BA62)*(1+$BB62)+($BC62*IF($G$1="牵丝",$AL62,$AJ62)+IF($G$1="牵丝",$AM62*1.5,0))*(1+$BE62)*(1+$BF62)+($BG62*IF($G$1="破竹",$AL62,$AJ62)+IF($G$1="破竹",$AM62*1.5,0))*(1+$BI62)*(1+$BJ62))*(1+$AN62))*$P62*(1+IF(VLOOKUP($Q62,武学奇术!$A:$ZZ,30,FALSE)="弹道",$B$21,0))*(1+$BS62)</f>
        <v>0</v>
      </c>
      <c r="P62" s="56">
        <v>1</v>
      </c>
      <c r="Q62" s="57" t="s">
        <v>72</v>
      </c>
      <c r="R62" s="57" t="s">
        <v>72</v>
      </c>
      <c r="S62" s="57" t="s">
        <v>72</v>
      </c>
      <c r="T62" s="57" t="s">
        <v>72</v>
      </c>
      <c r="U62" s="57" t="s">
        <v>72</v>
      </c>
      <c r="V62" s="57" t="s">
        <v>72</v>
      </c>
      <c r="W62" s="57" t="s">
        <v>72</v>
      </c>
      <c r="X62" s="57" t="s">
        <v>72</v>
      </c>
      <c r="Y62" s="57" t="s">
        <v>72</v>
      </c>
      <c r="Z62" s="57" t="s">
        <v>72</v>
      </c>
      <c r="AA62" s="57" t="s">
        <v>72</v>
      </c>
      <c r="AB62" s="57" t="s">
        <v>72</v>
      </c>
      <c r="AC62" s="57" t="s">
        <v>72</v>
      </c>
      <c r="AD62" s="57" t="s">
        <v>72</v>
      </c>
      <c r="AE62" s="57" t="s">
        <v>72</v>
      </c>
      <c r="AF62" s="57" t="s">
        <v>72</v>
      </c>
      <c r="AG62" s="57" t="s">
        <v>72</v>
      </c>
      <c r="AH62" s="57" t="s">
        <v>72</v>
      </c>
      <c r="AI62" t="str">
        <f>VLOOKUP($Q62,武学奇术!$A:$ZZ,25,FALSE)</f>
        <v>心法</v>
      </c>
      <c r="AJ62" s="41">
        <f>VLOOKUP($Q62,武学奇术!$A:$ZZ,26,FALSE)</f>
        <v>0</v>
      </c>
      <c r="AK62" s="42">
        <f>VLOOKUP($Q62,武学奇术!$A:$ZZ,27,FALSE)*(1+IF(OR($AI62=$F$4,$AI62=$F$5),$B$22,0))</f>
        <v>0</v>
      </c>
      <c r="AL62" s="41">
        <f>VLOOKUP($Q62,武学奇术!$A:$ZZ,28,FALSE)</f>
        <v>0</v>
      </c>
      <c r="AM62" s="42">
        <f>VLOOKUP($Q62,武学奇术!$A:$ZZ,29,FALSE)*(1+IF(OR($AI62=$F$4,$AI62=$F$5),$B$22,0))</f>
        <v>0</v>
      </c>
      <c r="AN62" s="41" cm="1">
        <f t="array" ref="AN62">$G$3+IFERROR(VLOOKUP($AI62,$F$4:$G$7,2,FALSE),0)+VLOOKUP($Q62,武学奇术!$A:$ZZ,2,FALSE)+SUM(_xlfn.XLOOKUP($R62:$AH62,增益!$A:$A,增益!$B:$B,0))</f>
        <v>0.1837</v>
      </c>
      <c r="AO62" s="41" cm="1">
        <f t="array" ref="AO62">VLOOKUP($Q62,武学奇术!$A:$ZZ,5,FALSE)+SUM(_xlfn.XLOOKUP($R62:$AH62,增益!$A:$A,增益!$E:$E,0))</f>
        <v>0</v>
      </c>
      <c r="AP62" cm="1">
        <f t="array" ref="AP62">$D$10*(1+$AO62)+VLOOKUP($Q62,武学奇术!$A:$ZZ,3,FALSE)+SUM(_xlfn.XLOOKUP($R62:$AH62,增益!$A:$A,增益!$C:$C,0))-$I$2</f>
        <v>1797.4</v>
      </c>
      <c r="AQ62" cm="1">
        <f t="array" ref="AQ62">$E$10*(1+$AO62)+VLOOKUP($Q62,武学奇术!$A:$ZZ,4,FALSE)+SUM(_xlfn.XLOOKUP($R62:$AH62,增益!$A:$A,增益!$D:$D,0))-$I$2</f>
        <v>5488</v>
      </c>
      <c r="AR62" s="49" cm="1">
        <f t="array" ref="AR62">IF($F$10-$I$3+VLOOKUP($Q62,武学奇术!$A:$ZZ,6,FALSE)+SUM(_xlfn.XLOOKUP(R62:AH62,增益!$A:$A,增益!$F:$F,0))&gt;0,($F$10-$I$3+VLOOKUP($Q62,武学奇术!$A:$ZZ,6,FALSE)+SUM(_xlfn.XLOOKUP(R62:AH62,增益!$A:$A,增益!$F:$F,0)))/200,($F$10-$I$3+VLOOKUP($Q62,武学奇术!$A:$ZZ,6,FALSE)+SUM(_xlfn.XLOOKUP(R62:AH62,增益!$A:$A,增益!$F:$F,0)))/100)</f>
        <v>0.2925</v>
      </c>
      <c r="AS62" s="49" cm="1">
        <f t="array" ref="AS62">$G$10+VLOOKUP($Q62,武学奇术!$A:$ZZ,7,FALSE)+SUM(_xlfn.XLOOKUP(R62:AH62,增益!$A:$A,增益!$G:$G,0))</f>
        <v>0</v>
      </c>
      <c r="AT62" s="41" cm="1">
        <f t="array" ref="AT62">VLOOKUP($Q62,武学奇术!$A:$ZZ,8,FALSE)+SUM(_xlfn.XLOOKUP(R62:AH62,增益!$A:$A,增益!$H:$H,0))</f>
        <v>0</v>
      </c>
      <c r="AU62">
        <f>$D$11*(1+$AT62)</f>
        <v>0</v>
      </c>
      <c r="AV62">
        <f>$E$11*(1+$AT62)</f>
        <v>0</v>
      </c>
      <c r="AW62" s="49" cm="1">
        <f t="array" ref="AW62">IF($F$11-$I$4+VLOOKUP($Q62,武学奇术!$A:$ZZ,9,FALSE)+SUM(_xlfn.XLOOKUP(R62:AH62,增益!$A:$A,增益!$I:$I,0))&gt;0,($F$11-$I$4+VLOOKUP($Q62,武学奇术!$A:$ZZ,9,FALSE)+SUM(_xlfn.XLOOKUP(R62:AH62,增益!$A:$A,增益!$I:$I,0)))/200,($F$11-$I$4+VLOOKUP($Q62,武学奇术!$A:$ZZ,9,FALSE)+SUM(_xlfn.XLOOKUP(R62:AH62,增益!$A:$A,增益!$I:$I,0)))/100)</f>
        <v>-0.3</v>
      </c>
      <c r="AX62" s="49" cm="1">
        <f t="array" ref="AX62">$G$11+VLOOKUP($Q62,武学奇术!$A:$ZZ,10,FALSE)+SUM(_xlfn.XLOOKUP(R62:AH62,增益!$A:$A,增益!$J:$J,0))</f>
        <v>0</v>
      </c>
      <c r="AY62">
        <f>$D$12*(1+$AT62)</f>
        <v>0</v>
      </c>
      <c r="AZ62">
        <f>$E$12*(1+$AT62)</f>
        <v>0</v>
      </c>
      <c r="BA62" s="49" cm="1">
        <f t="array" ref="BA62">IF($F$12-$I$4+VLOOKUP($Q62,武学奇术!$A:$ZZ,11,FALSE)+SUM(_xlfn.XLOOKUP(R62:AH62,增益!$A:$A,增益!$K:$K,0))&gt;0,($F$12-$I$4+VLOOKUP($Q62,武学奇术!$A:$ZZ,11,FALSE)+SUM(_xlfn.XLOOKUP(R62:AH62,增益!$A:$A,增益!$K:$K,0)))/200,($F$12-$I$4+VLOOKUP($Q62,武学奇术!$A:$ZZ,11,FALSE)+SUM(_xlfn.XLOOKUP(R62:AH62,增益!$A:$A,增益!$K:$K,0)))/100)</f>
        <v>-0.3</v>
      </c>
      <c r="BB62" s="49" cm="1">
        <f t="array" ref="BB62">$G$12+VLOOKUP($Q62,武学奇术!$A:$ZZ,12,FALSE)+SUM(_xlfn.XLOOKUP(R62:AH62,增益!$A:$A,增益!$L:$L,0))</f>
        <v>0</v>
      </c>
      <c r="BC62">
        <f>$D$13*(1+$AT62)</f>
        <v>571.2</v>
      </c>
      <c r="BD62">
        <f>$E$13*(1+$AT62)</f>
        <v>1077.4</v>
      </c>
      <c r="BE62" s="49" cm="1">
        <f t="array" ref="BE62">IF($F$13-$I$4+VLOOKUP($Q62,武学奇术!$A:$ZZ,13,FALSE)+SUM(_xlfn.XLOOKUP(R62:AH62,增益!$A:$A,增益!$M:$M,0))&gt;0,($F$13-$I$4+VLOOKUP($Q62,武学奇术!$A:$ZZ,13,FALSE)+SUM(_xlfn.XLOOKUP(R62:AH62,增益!$A:$A,增益!$K:$K,0)))/200,($F$13-$I$4+VLOOKUP($Q62,武学奇术!$A:$ZZ,13,FALSE)+SUM(_xlfn.XLOOKUP(R62:AH62,增益!$A:$A,增益!$M:$M,0)))/100)</f>
        <v>0</v>
      </c>
      <c r="BF62" s="49" cm="1">
        <f t="array" ref="BF62">$G$13+VLOOKUP($Q62,武学奇术!$A:$ZZ,14,FALSE)+SUM(_xlfn.XLOOKUP(R62:AH62,增益!$A:$A,增益!$N:$N,0))</f>
        <v>0.15</v>
      </c>
      <c r="BG62">
        <f>$D$14*(1+$AT62)</f>
        <v>0</v>
      </c>
      <c r="BH62">
        <f>$E$14*(1+$AT62)</f>
        <v>0</v>
      </c>
      <c r="BI62" s="49" cm="1">
        <f t="array" ref="BI62">IF($F$14-$I$4+VLOOKUP($Q62,武学奇术!$A:$ZZ,15,FALSE)+SUM(_xlfn.XLOOKUP(R62:AH62,增益!$A:$A,增益!$O:$O,0))&gt;0,($F$14-$I$4+VLOOKUP($Q62,武学奇术!$A:$ZZ,15,FALSE)+SUM(_xlfn.XLOOKUP(R62:AH62,增益!$A:$A,增益!$O:$O,0)))/200,($F$14-$I$4+VLOOKUP($Q62,武学奇术!$A:$ZZ,15,FALSE)+SUM(_xlfn.XLOOKUP(R62:AH62,增益!$A:$A,增益!$O:$O,0)))/100)</f>
        <v>-0.3</v>
      </c>
      <c r="BJ62" s="49" cm="1">
        <f t="array" ref="BJ62">$G$14+VLOOKUP($Q62,武学奇术!$A:$ZZ,16,FALSE)+SUM(_xlfn.XLOOKUP(R62:AH62,增益!$A:$A,增益!$P:$P,0))</f>
        <v>0</v>
      </c>
      <c r="BK62" s="41">
        <f>MIN(IF(VLOOKUP($Q62,武学奇术!$A:$ZZ,23,FALSE)=1,100%,$B$8),100%)</f>
        <v>1</v>
      </c>
      <c r="BL62" s="41" cm="1">
        <f t="array" ref="BL62">IF(VLOOKUP($Q62,武学奇术!$A:$ZZ,23,FALSE)=1,100%,MIN(80%,$B$9+VLOOKUP($Q62,武学奇术!$A:$ZZ,17,FALSE)+SUM(_xlfn.XLOOKUP(R62:AH62,增益!$A:$A,增益!$Q:$Q,0)))+$B$11+SUM(_xlfn.XLOOKUP(R62:AH62,增益!$A:$A,增益!$U:$U,0)))*IF(VLOOKUP($Q62,武学奇术!$A:$ZZ,24,FALSE)=1,0,1)</f>
        <v>0.9045</v>
      </c>
      <c r="BM62" s="41" cm="1">
        <f t="array" ref="BM62">1+$B$13+VLOOKUP($Q62,武学奇术!$A:$ZZ,18,FALSE)+SUM(_xlfn.XLOOKUP(R62:AH62,增益!$A:$A,增益!$R:$R,0))</f>
        <v>1.5</v>
      </c>
      <c r="BN62" s="41" cm="1">
        <f t="array" ref="BN62">IF(VLOOKUP($Q62,武学奇术!$A:$ZZ,24,FALSE)=1,100%,MIN(40%,$B$10+VLOOKUP($Q62,武学奇术!$A:$ZZ,19,FALSE)+SUM(_xlfn.XLOOKUP(R62:AH62,增益!$A:$A,增益!$S:$S,0)))+$B$12+SUM(_xlfn.XLOOKUP(R62:AH62,增益!$A:$A,增益!$V:$V,0)))*IF(VLOOKUP($Q62,武学奇术!$A:$ZZ,23,FALSE)=1,0,1)</f>
        <v>0.0929</v>
      </c>
      <c r="BO62" s="41" cm="1">
        <f t="array" ref="BO62">1+$B$14+VLOOKUP($Q62,武学奇术!$A:$ZZ,20,FALSE)+SUM(_xlfn.XLOOKUP(R62:AH62,增益!$A:$A,增益!$T:$T,0))</f>
        <v>1.35</v>
      </c>
      <c r="BP62" s="41">
        <f>MIN((1-BN62)*BK62,BK62*BL62)</f>
        <v>0.9045</v>
      </c>
      <c r="BQ62" s="41">
        <f>1-BN62-BP62-BR62</f>
        <v>0.00260000000000005</v>
      </c>
      <c r="BR62" s="41">
        <f>IF(VLOOKUP($Q62,武学奇术!$A:$ZZ,22,FALSE)=1,0,(1-$BK62))*(1-$BN62)</f>
        <v>0</v>
      </c>
      <c r="BS62" s="41" cm="1">
        <f t="array" ref="BS62">SUM(_xlfn.XLOOKUP(R62:AH62,增益!$A:$A,增益!$W:$W,0))+$I$5</f>
        <v>0.06</v>
      </c>
    </row>
    <row r="63" spans="1:71">
      <c r="A63" s="4"/>
      <c r="B63" s="109"/>
      <c r="E63" s="4"/>
      <c r="F63" s="4"/>
      <c r="G63"/>
      <c r="K63" s="55">
        <f>($L63*$BP63+$M63*$BN63+$N63*$BQ63+$O63*$BR63)</f>
        <v>84941.5565816632</v>
      </c>
      <c r="L63" s="55">
        <f>((($AP63+$AQ63)/2*$AJ63+$AK63)*(1+$AR63)*(1+$AS63)+(($AU63+$AV63)/2*IF($G$1="鸣金",$AL63,$AJ63)+IF($G$1="鸣金",$AM63*1.5,0))*(1+$AW63)*(1+$AX63)+(($AY63+$AZ63)/2*IF($G$1="裂石",$AL63,$AJ63)+IF($G$1="裂石",$AM63*1.5,0))*(1+$BA63)*(1+$BB63)+(($BC63+$BD63)/2*IF($G$1="牵丝",$AL63,$AJ63)+IF($G$1="牵丝",$AM63*1.5,0))*(1+$BE63)*(1+$BF63)+(($BG63+$BH63)/2*IF($G$1="破竹",$AL63,$AJ63)+IF($G$1="破竹",$AM63*1.5,0))*(1+$BI63)*(1+$BJ63))*(1+$AN63)*$BM63*$P63*(1+IF(VLOOKUP($Q63,武学奇术!$A:$ZZ,30,FALSE)="弹道",$B$21,0))*(1+$BS63)</f>
        <v>85316.9289926782</v>
      </c>
      <c r="M63" s="55">
        <f>(($AQ63*$AJ63+$AK63)*(1+$AR63)*(1+$AS63)+($AV63*IF($G$1="鸣金",$AL63,$AJ63)+IF($G$1="鸣金",$AM63*1.5,0))*(1+$AW63)*(1+$AX63)+($AZ63*IF($G$1="裂石",$AL63,$AJ63)+IF($G$1="裂石",$AM63*1.5,0))*(1+$BA63)*(1+$BB63)+($BD63*IF($G$1="牵丝",$AL63,$AJ63)+IF($G$1="牵丝",$AM63*1.5,0))*(1+$BE63)*(1+$BF63)+($BH63*IF($G$1="破竹",$AL63,$AJ63)+IF($G$1="破竹",$AM63*1.5,0))*(1+$BI63)*(1+$BJ63))*(1+$AN63)*$BO63*$P63*(1+IF(VLOOKUP($Q63,武学奇术!$A:$ZZ,30,FALSE)="弹道",$B$21,0))*(1+$BS63)</f>
        <v>82445.8427312621</v>
      </c>
      <c r="N63" s="55">
        <f>((($AP63+$AQ63)/2*$AJ63+$AK63)*(1+$AR63)*(1+$AS63)+(($AU63+$AV63)/2*IF($G$1="鸣金",$AL63,$AJ63)+IF($G$1="鸣金",$AM63*1.5,0))*(1+$AW63)*(1+$AX63)+(($AY63+$AZ63)/2*IF($G$1="裂石",$AL63,$AJ63)+IF($G$1="裂石",$AM63*1.5,0))*(1+$BA63)*(1+$BB63)+(($BC63+$BD63)/2*IF($G$1="牵丝",$AL63,$AJ63)+IF($G$1="牵丝",$AM63*1.5,0))*(1+$BE63)*(1+$BF63)+(($BG63+$BH63)/2*IF($G$1="破竹",$AL63,$AJ63)+IF($G$1="破竹",$AM63*1.5,0))*(1+$BI63)*(1+$BJ63))*(1+$AN63)*$P63*(1+IF(VLOOKUP($Q63,武学奇术!$A:$ZZ,30,FALSE)="弹道",$B$21,0))*(1+$BS63)</f>
        <v>43529.0454044276</v>
      </c>
      <c r="O63" s="55">
        <f>((($AP63*$AJ63+$AK63)*(1+$AR63)*(1+$AS63)+($AU63*IF($G$1="鸣金",$AL63,$AJ63)+IF($G$1="鸣金",$AM63*1.5,0))*(1+$AW63)*(1+$AX63)+($AY63*IF($G$1="裂石",$AL63,$AJ63)+IF($G$1="裂石",$AM63*1.5,0))*(1+$BA63)*(1+$BB63)+($BC63*IF($G$1="牵丝",$AL63,$AJ63)+IF($G$1="牵丝",$AM63*1.5,0))*(1+$BE63)*(1+$BF63)+($BG63*IF($G$1="破竹",$AL63,$AJ63)+IF($G$1="破竹",$AM63*1.5,0))*(1+$BI63)*(1+$BJ63))*(1+$AN63))*$P63*(1+IF(VLOOKUP($Q63,武学奇术!$A:$ZZ,30,FALSE)="弹道",$B$21,0))*(1+$BS63)</f>
        <v>25987.0961931055</v>
      </c>
      <c r="P63" s="56">
        <v>1</v>
      </c>
      <c r="Q63" s="57" t="s">
        <v>84</v>
      </c>
      <c r="R63" s="57" t="s">
        <v>116</v>
      </c>
      <c r="S63" s="57" t="s">
        <v>153</v>
      </c>
      <c r="T63" s="57" t="s">
        <v>92</v>
      </c>
      <c r="U63" s="57" t="s">
        <v>72</v>
      </c>
      <c r="V63" s="57" t="s">
        <v>86</v>
      </c>
      <c r="W63" s="57" t="s">
        <v>72</v>
      </c>
      <c r="X63" s="57" t="s">
        <v>72</v>
      </c>
      <c r="Y63" s="57" t="s">
        <v>72</v>
      </c>
      <c r="Z63" s="57" t="s">
        <v>72</v>
      </c>
      <c r="AA63" s="57" t="s">
        <v>72</v>
      </c>
      <c r="AB63" s="57" t="s">
        <v>96</v>
      </c>
      <c r="AC63" s="57" t="s">
        <v>72</v>
      </c>
      <c r="AD63" s="57" t="s">
        <v>72</v>
      </c>
      <c r="AE63" s="57" t="s">
        <v>72</v>
      </c>
      <c r="AF63" s="57" t="s">
        <v>72</v>
      </c>
      <c r="AG63" s="57" t="s">
        <v>72</v>
      </c>
      <c r="AH63" s="57" t="s">
        <v>87</v>
      </c>
      <c r="AI63" t="str">
        <f>VLOOKUP($Q63,武学奇术!$A:$ZZ,25,FALSE)</f>
        <v>伞</v>
      </c>
      <c r="AJ63" s="41">
        <f>VLOOKUP($Q63,武学奇术!$A:$ZZ,26,FALSE)</f>
        <v>2.3397</v>
      </c>
      <c r="AK63" s="42">
        <f>VLOOKUP($Q63,武学奇术!$A:$ZZ,27,FALSE)*(1+IF(OR($AI63=$F$4,$AI63=$F$5),$B$22,0))</f>
        <v>907.2</v>
      </c>
      <c r="AL63" s="41">
        <f>VLOOKUP($Q63,武学奇术!$A:$ZZ,28,FALSE)</f>
        <v>3.5095</v>
      </c>
      <c r="AM63" s="42">
        <f>VLOOKUP($Q63,武学奇术!$A:$ZZ,29,FALSE)*(1+IF(OR($AI63=$F$4,$AI63=$F$5),$B$22,0))</f>
        <v>494.2</v>
      </c>
      <c r="AN63" s="41" cm="1">
        <f t="array" ref="AN63">$G$3+IFERROR(VLOOKUP($AI63,$F$4:$G$7,2,FALSE),0)+VLOOKUP($Q63,武学奇术!$A:$ZZ,2,FALSE)+SUM(_xlfn.XLOOKUP($R63:$AH63,增益!$A:$A,增益!$B:$B,0))</f>
        <v>1.0541</v>
      </c>
      <c r="AO63" s="41" cm="1">
        <f t="array" ref="AO63">VLOOKUP($Q63,武学奇术!$A:$ZZ,5,FALSE)+SUM(_xlfn.XLOOKUP($R63:$AH63,增益!$A:$A,增益!$E:$E,0))</f>
        <v>0</v>
      </c>
      <c r="AP63" cm="1">
        <f t="array" ref="AP63">$D$10*(1+$AO63)+VLOOKUP($Q63,武学奇术!$A:$ZZ,3,FALSE)+SUM(_xlfn.XLOOKUP($R63:$AH63,增益!$A:$A,增益!$C:$C,0))-$I$2</f>
        <v>1797.4</v>
      </c>
      <c r="AQ63" cm="1">
        <f t="array" ref="AQ63">$E$10*(1+$AO63)+VLOOKUP($Q63,武学奇术!$A:$ZZ,4,FALSE)+SUM(_xlfn.XLOOKUP($R63:$AH63,增益!$A:$A,增益!$D:$D,0))-$I$2</f>
        <v>5488</v>
      </c>
      <c r="AR63" s="49" cm="1">
        <f t="array" ref="AR63">IF($F$10-$I$3+VLOOKUP($Q63,武学奇术!$A:$ZZ,6,FALSE)+SUM(_xlfn.XLOOKUP(R63:AH63,增益!$A:$A,增益!$F:$F,0))&gt;0,($F$10-$I$3+VLOOKUP($Q63,武学奇术!$A:$ZZ,6,FALSE)+SUM(_xlfn.XLOOKUP(R63:AH63,增益!$A:$A,增益!$F:$F,0)))/200,($F$10-$I$3+VLOOKUP($Q63,武学奇术!$A:$ZZ,6,FALSE)+SUM(_xlfn.XLOOKUP(R63:AH63,增益!$A:$A,增益!$F:$F,0)))/100)</f>
        <v>0.3675</v>
      </c>
      <c r="AS63" s="49" cm="1">
        <f t="array" ref="AS63">$G$10+VLOOKUP($Q63,武学奇术!$A:$ZZ,7,FALSE)+SUM(_xlfn.XLOOKUP(R63:AH63,增益!$A:$A,增益!$G:$G,0))</f>
        <v>0.1</v>
      </c>
      <c r="AT63" s="41" cm="1">
        <f t="array" ref="AT63">VLOOKUP($Q63,武学奇术!$A:$ZZ,8,FALSE)+SUM(_xlfn.XLOOKUP(R63:AH63,增益!$A:$A,增益!$H:$H,0))</f>
        <v>0</v>
      </c>
      <c r="AU63">
        <f>$D$11*(1+$AT63)</f>
        <v>0</v>
      </c>
      <c r="AV63">
        <f>$E$11*(1+$AT63)</f>
        <v>0</v>
      </c>
      <c r="AW63" s="49" cm="1">
        <f t="array" ref="AW63">IF($F$11-$I$4+VLOOKUP($Q63,武学奇术!$A:$ZZ,9,FALSE)+SUM(_xlfn.XLOOKUP(R63:AH63,增益!$A:$A,增益!$I:$I,0))&gt;0,($F$11-$I$4+VLOOKUP($Q63,武学奇术!$A:$ZZ,9,FALSE)+SUM(_xlfn.XLOOKUP(R63:AH63,增益!$A:$A,增益!$I:$I,0)))/200,($F$11-$I$4+VLOOKUP($Q63,武学奇术!$A:$ZZ,9,FALSE)+SUM(_xlfn.XLOOKUP(R63:AH63,增益!$A:$A,增益!$I:$I,0)))/100)</f>
        <v>-0.14</v>
      </c>
      <c r="AX63" s="49" cm="1">
        <f t="array" ref="AX63">$G$11+VLOOKUP($Q63,武学奇术!$A:$ZZ,10,FALSE)+SUM(_xlfn.XLOOKUP(R63:AH63,增益!$A:$A,增益!$J:$J,0))</f>
        <v>0</v>
      </c>
      <c r="AY63">
        <f>$D$12*(1+$AT63)</f>
        <v>0</v>
      </c>
      <c r="AZ63">
        <f>$E$12*(1+$AT63)</f>
        <v>0</v>
      </c>
      <c r="BA63" s="49" cm="1">
        <f t="array" ref="BA63">IF($F$12-$I$4+VLOOKUP($Q63,武学奇术!$A:$ZZ,11,FALSE)+SUM(_xlfn.XLOOKUP(R63:AH63,增益!$A:$A,增益!$K:$K,0))&gt;0,($F$12-$I$4+VLOOKUP($Q63,武学奇术!$A:$ZZ,11,FALSE)+SUM(_xlfn.XLOOKUP(R63:AH63,增益!$A:$A,增益!$K:$K,0)))/200,($F$12-$I$4+VLOOKUP($Q63,武学奇术!$A:$ZZ,11,FALSE)+SUM(_xlfn.XLOOKUP(R63:AH63,增益!$A:$A,增益!$K:$K,0)))/100)</f>
        <v>-0.14</v>
      </c>
      <c r="BB63" s="49" cm="1">
        <f t="array" ref="BB63">$G$12+VLOOKUP($Q63,武学奇术!$A:$ZZ,12,FALSE)+SUM(_xlfn.XLOOKUP(R63:AH63,增益!$A:$A,增益!$L:$L,0))</f>
        <v>0</v>
      </c>
      <c r="BC63">
        <f>$D$13*(1+$AT63)</f>
        <v>571.2</v>
      </c>
      <c r="BD63">
        <f>$E$13*(1+$AT63)</f>
        <v>1077.4</v>
      </c>
      <c r="BE63" s="49" cm="1">
        <f t="array" ref="BE63">IF($F$13-$I$4+VLOOKUP($Q63,武学奇术!$A:$ZZ,13,FALSE)+SUM(_xlfn.XLOOKUP(R63:AH63,增益!$A:$A,增益!$M:$M,0))&gt;0,($F$13-$I$4+VLOOKUP($Q63,武学奇术!$A:$ZZ,13,FALSE)+SUM(_xlfn.XLOOKUP(R63:AH63,增益!$A:$A,增益!$K:$K,0)))/200,($F$13-$I$4+VLOOKUP($Q63,武学奇术!$A:$ZZ,13,FALSE)+SUM(_xlfn.XLOOKUP(R63:AH63,增益!$A:$A,增益!$M:$M,0)))/100)</f>
        <v>0.08</v>
      </c>
      <c r="BF63" s="49" cm="1">
        <f t="array" ref="BF63">$G$13+VLOOKUP($Q63,武学奇术!$A:$ZZ,14,FALSE)+SUM(_xlfn.XLOOKUP(R63:AH63,增益!$A:$A,增益!$N:$N,0))</f>
        <v>0.25</v>
      </c>
      <c r="BG63">
        <f>$D$14*(1+$AT63)</f>
        <v>0</v>
      </c>
      <c r="BH63">
        <f>$E$14*(1+$AT63)</f>
        <v>0</v>
      </c>
      <c r="BI63" s="49" cm="1">
        <f t="array" ref="BI63">IF($F$14-$I$4+VLOOKUP($Q63,武学奇术!$A:$ZZ,15,FALSE)+SUM(_xlfn.XLOOKUP(R63:AH63,增益!$A:$A,增益!$O:$O,0))&gt;0,($F$14-$I$4+VLOOKUP($Q63,武学奇术!$A:$ZZ,15,FALSE)+SUM(_xlfn.XLOOKUP(R63:AH63,增益!$A:$A,增益!$O:$O,0)))/200,($F$14-$I$4+VLOOKUP($Q63,武学奇术!$A:$ZZ,15,FALSE)+SUM(_xlfn.XLOOKUP(R63:AH63,增益!$A:$A,增益!$O:$O,0)))/100)</f>
        <v>-0.14</v>
      </c>
      <c r="BJ63" s="49" cm="1">
        <f t="array" ref="BJ63">$G$14+VLOOKUP($Q63,武学奇术!$A:$ZZ,16,FALSE)+SUM(_xlfn.XLOOKUP(R63:AH63,增益!$A:$A,增益!$P:$P,0))</f>
        <v>0</v>
      </c>
      <c r="BK63" s="41">
        <f>MIN(IF(VLOOKUP($Q63,武学奇术!$A:$ZZ,23,FALSE)=1,100%,$B$8),100%)</f>
        <v>1</v>
      </c>
      <c r="BL63" s="41" cm="1">
        <f t="array" ref="BL63">IF(VLOOKUP($Q63,武学奇术!$A:$ZZ,23,FALSE)=1,100%,MIN(80%,$B$9+VLOOKUP($Q63,武学奇术!$A:$ZZ,17,FALSE)+SUM(_xlfn.XLOOKUP(R63:AH63,增益!$A:$A,增益!$Q:$Q,0)))+$B$11+SUM(_xlfn.XLOOKUP(R63:AH63,增益!$A:$A,增益!$U:$U,0)))*IF(VLOOKUP($Q63,武学奇术!$A:$ZZ,24,FALSE)=1,0,1)</f>
        <v>0.9045</v>
      </c>
      <c r="BM63" s="41" cm="1">
        <f t="array" ref="BM63">1+$B$13+VLOOKUP($Q63,武学奇术!$A:$ZZ,18,FALSE)+SUM(_xlfn.XLOOKUP(R63:AH63,增益!$A:$A,增益!$R:$R,0))</f>
        <v>1.96</v>
      </c>
      <c r="BN63" s="41" cm="1">
        <f t="array" ref="BN63">IF(VLOOKUP($Q63,武学奇术!$A:$ZZ,24,FALSE)=1,100%,MIN(40%,$B$10+VLOOKUP($Q63,武学奇术!$A:$ZZ,19,FALSE)+SUM(_xlfn.XLOOKUP(R63:AH63,增益!$A:$A,增益!$S:$S,0)))+$B$12+SUM(_xlfn.XLOOKUP(R63:AH63,增益!$A:$A,增益!$V:$V,0)))*IF(VLOOKUP($Q63,武学奇术!$A:$ZZ,23,FALSE)=1,0,1)</f>
        <v>0.0929</v>
      </c>
      <c r="BO63" s="41" cm="1">
        <f t="array" ref="BO63">1+$B$14+VLOOKUP($Q63,武学奇术!$A:$ZZ,20,FALSE)+SUM(_xlfn.XLOOKUP(R63:AH63,增益!$A:$A,增益!$T:$T,0))</f>
        <v>1.35</v>
      </c>
      <c r="BP63" s="41">
        <f>MIN((1-BN63)*BK63,BK63*BL63)</f>
        <v>0.9045</v>
      </c>
      <c r="BQ63" s="41">
        <f>1-BN63-BP63-BR63</f>
        <v>0.00260000000000005</v>
      </c>
      <c r="BR63" s="41">
        <f>IF(VLOOKUP($Q63,武学奇术!$A:$ZZ,22,FALSE)=1,0,(1-$BK63))*(1-$BN63)</f>
        <v>0</v>
      </c>
      <c r="BS63" s="41" cm="1">
        <f t="array" ref="BS63">SUM(_xlfn.XLOOKUP(R63:AH63,增益!$A:$A,增益!$W:$W,0))+$I$5</f>
        <v>0.11</v>
      </c>
    </row>
    <row r="64" spans="1:71">
      <c r="A64" s="4"/>
      <c r="B64" s="4"/>
      <c r="K64" s="55">
        <f>($L64*$BP64+$M64*$BN64+$N64*$BQ64+$O64*$BR64)</f>
        <v>14526.1564102922</v>
      </c>
      <c r="L64" s="55">
        <f>((($AP64+$AQ64)/2*$AJ64+$AK64)*(1+$AR64)*(1+$AS64)+(($AU64+$AV64)/2*IF($G$1="鸣金",$AL64,$AJ64)+IF($G$1="鸣金",$AM64*1.5,0))*(1+$AW64)*(1+$AX64)+(($AY64+$AZ64)/2*IF($G$1="裂石",$AL64,$AJ64)+IF($G$1="裂石",$AM64*1.5,0))*(1+$BA64)*(1+$BB64)+(($BC64+$BD64)/2*IF($G$1="牵丝",$AL64,$AJ64)+IF($G$1="牵丝",$AM64*1.5,0))*(1+$BE64)*(1+$BF64)+(($BG64+$BH64)/2*IF($G$1="破竹",$AL64,$AJ64)+IF($G$1="破竹",$AM64*1.5,0))*(1+$BI64)*(1+$BJ64))*(1+$AN64)*$BM64*$P64*(1+IF(VLOOKUP($Q64,武学奇术!$A:$ZZ,30,FALSE)="弹道",$B$21,0))*(1+$BS64)</f>
        <v>14296.5341302616</v>
      </c>
      <c r="M64" s="55">
        <f>(($AQ64*$AJ64+$AK64)*(1+$AR64)*(1+$AS64)+($AV64*IF($G$1="鸣金",$AL64,$AJ64)+IF($G$1="鸣金",$AM64*1.5,0))*(1+$AW64)*(1+$AX64)+($AZ64*IF($G$1="裂石",$AL64,$AJ64)+IF($G$1="裂石",$AM64*1.5,0))*(1+$BA64)*(1+$BB64)+($BD64*IF($G$1="牵丝",$AL64,$AJ64)+IF($G$1="牵丝",$AM64*1.5,0))*(1+$BE64)*(1+$BF64)+($BH64*IF($G$1="破竹",$AL64,$AJ64)+IF($G$1="破竹",$AM64*1.5,0))*(1+$BI64)*(1+$BJ64))*(1+$AN64)*$BO64*$P64*(1+IF(VLOOKUP($Q64,武学奇术!$A:$ZZ,30,FALSE)="弹道",$B$21,0))*(1+$BS64)</f>
        <v>16918.2930194712</v>
      </c>
      <c r="N64" s="55">
        <f>((($AP64+$AQ64)/2*$AJ64+$AK64)*(1+$AR64)*(1+$AS64)+(($AU64+$AV64)/2*IF($G$1="鸣金",$AL64,$AJ64)+IF($G$1="鸣金",$AM64*1.5,0))*(1+$AW64)*(1+$AX64)+(($AY64+$AZ64)/2*IF($G$1="裂石",$AL64,$AJ64)+IF($G$1="裂石",$AM64*1.5,0))*(1+$BA64)*(1+$BB64)+(($BC64+$BD64)/2*IF($G$1="牵丝",$AL64,$AJ64)+IF($G$1="牵丝",$AM64*1.5,0))*(1+$BE64)*(1+$BF64)+(($BG64+$BH64)/2*IF($G$1="破竹",$AL64,$AJ64)+IF($G$1="破竹",$AM64*1.5,0))*(1+$BI64)*(1+$BJ64))*(1+$AN64)*$P64*(1+IF(VLOOKUP($Q64,武学奇术!$A:$ZZ,30,FALSE)="弹道",$B$21,0))*(1+$BS64)</f>
        <v>8935.3338314135</v>
      </c>
      <c r="O64" s="55">
        <f>((($AP64*$AJ64+$AK64)*(1+$AR64)*(1+$AS64)+($AU64*IF($G$1="鸣金",$AL64,$AJ64)+IF($G$1="鸣金",$AM64*1.5,0))*(1+$AW64)*(1+$AX64)+($AY64*IF($G$1="裂石",$AL64,$AJ64)+IF($G$1="裂石",$AM64*1.5,0))*(1+$BA64)*(1+$BB64)+($BC64*IF($G$1="牵丝",$AL64,$AJ64)+IF($G$1="牵丝",$AM64*1.5,0))*(1+$BE64)*(1+$BF64)+($BG64*IF($G$1="破竹",$AL64,$AJ64)+IF($G$1="破竹",$AM64*1.5,0))*(1+$BI64)*(1+$BJ64))*(1+$AN64))*$P64*(1+IF(VLOOKUP($Q64,武学奇术!$A:$ZZ,30,FALSE)="弹道",$B$21,0))*(1+$BS64)</f>
        <v>5338.59875951502</v>
      </c>
      <c r="P64" s="56">
        <v>1</v>
      </c>
      <c r="Q64" s="57" t="s">
        <v>99</v>
      </c>
      <c r="R64" s="57" t="s">
        <v>116</v>
      </c>
      <c r="S64" s="57" t="s">
        <v>153</v>
      </c>
      <c r="T64" s="57" t="s">
        <v>72</v>
      </c>
      <c r="U64" s="57" t="s">
        <v>72</v>
      </c>
      <c r="V64" s="57" t="s">
        <v>72</v>
      </c>
      <c r="W64" s="57" t="s">
        <v>72</v>
      </c>
      <c r="X64" s="57" t="s">
        <v>72</v>
      </c>
      <c r="Y64" s="57" t="s">
        <v>72</v>
      </c>
      <c r="Z64" s="57" t="s">
        <v>72</v>
      </c>
      <c r="AA64" s="57" t="s">
        <v>72</v>
      </c>
      <c r="AB64" s="57" t="s">
        <v>96</v>
      </c>
      <c r="AC64" s="57" t="s">
        <v>72</v>
      </c>
      <c r="AD64" s="57" t="s">
        <v>72</v>
      </c>
      <c r="AE64" s="57" t="s">
        <v>72</v>
      </c>
      <c r="AF64" s="57" t="s">
        <v>72</v>
      </c>
      <c r="AG64" s="57" t="s">
        <v>72</v>
      </c>
      <c r="AH64" s="57" t="s">
        <v>87</v>
      </c>
      <c r="AI64" t="str">
        <f>VLOOKUP($Q64,武学奇术!$A:$ZZ,25,FALSE)</f>
        <v>伞</v>
      </c>
      <c r="AJ64" s="41">
        <f>VLOOKUP($Q64,武学奇术!$A:$ZZ,26,FALSE)</f>
        <v>0.54</v>
      </c>
      <c r="AK64" s="42">
        <f>VLOOKUP($Q64,武学奇术!$A:$ZZ,27,FALSE)*(1+IF(OR($AI64=$F$4,$AI64=$F$5),$B$22,0))</f>
        <v>207.2</v>
      </c>
      <c r="AL64" s="41">
        <f>VLOOKUP($Q64,武学奇术!$A:$ZZ,28,FALSE)</f>
        <v>0.81</v>
      </c>
      <c r="AM64" s="42">
        <f>VLOOKUP($Q64,武学奇术!$A:$ZZ,29,FALSE)*(1+IF(OR($AI64=$F$4,$AI64=$F$5),$B$22,0))</f>
        <v>114.1</v>
      </c>
      <c r="AN64" s="41" cm="1">
        <f t="array" ref="AN64">$G$3+IFERROR(VLOOKUP($AI64,$F$4:$G$7,2,FALSE),0)+VLOOKUP($Q64,武学奇术!$A:$ZZ,2,FALSE)+SUM(_xlfn.XLOOKUP($R64:$AH64,增益!$A:$A,增益!$B:$B,0))</f>
        <v>0.4041</v>
      </c>
      <c r="AO64" s="41" cm="1">
        <f t="array" ref="AO64">VLOOKUP($Q64,武学奇术!$A:$ZZ,5,FALSE)+SUM(_xlfn.XLOOKUP($R64:$AH64,增益!$A:$A,增益!$E:$E,0))</f>
        <v>0</v>
      </c>
      <c r="AP64" cm="1">
        <f t="array" ref="AP64">$D$10*(1+$AO64)+VLOOKUP($Q64,武学奇术!$A:$ZZ,3,FALSE)+SUM(_xlfn.XLOOKUP($R64:$AH64,增益!$A:$A,增益!$C:$C,0))-$I$2</f>
        <v>1797.4</v>
      </c>
      <c r="AQ64" cm="1">
        <f t="array" ref="AQ64">$E$10*(1+$AO64)+VLOOKUP($Q64,武学奇术!$A:$ZZ,4,FALSE)+SUM(_xlfn.XLOOKUP($R64:$AH64,增益!$A:$A,增益!$D:$D,0))-$I$2</f>
        <v>5488</v>
      </c>
      <c r="AR64" s="49" cm="1">
        <f t="array" ref="AR64">IF($F$10-$I$3+VLOOKUP($Q64,武学奇术!$A:$ZZ,6,FALSE)+SUM(_xlfn.XLOOKUP(R64:AH64,增益!$A:$A,增益!$F:$F,0))&gt;0,($F$10-$I$3+VLOOKUP($Q64,武学奇术!$A:$ZZ,6,FALSE)+SUM(_xlfn.XLOOKUP(R64:AH64,增益!$A:$A,增益!$F:$F,0)))/200,($F$10-$I$3+VLOOKUP($Q64,武学奇术!$A:$ZZ,6,FALSE)+SUM(_xlfn.XLOOKUP(R64:AH64,增益!$A:$A,增益!$F:$F,0)))/100)</f>
        <v>0.3425</v>
      </c>
      <c r="AS64" s="49" cm="1">
        <f t="array" ref="AS64">$G$10+VLOOKUP($Q64,武学奇术!$A:$ZZ,7,FALSE)+SUM(_xlfn.XLOOKUP(R64:AH64,增益!$A:$A,增益!$G:$G,0))</f>
        <v>0.1</v>
      </c>
      <c r="AT64" s="41" cm="1">
        <f t="array" ref="AT64">VLOOKUP($Q64,武学奇术!$A:$ZZ,8,FALSE)+SUM(_xlfn.XLOOKUP(R64:AH64,增益!$A:$A,增益!$H:$H,0))</f>
        <v>0</v>
      </c>
      <c r="AU64">
        <f>$D$11*(1+$AT64)</f>
        <v>0</v>
      </c>
      <c r="AV64">
        <f>$E$11*(1+$AT64)</f>
        <v>0</v>
      </c>
      <c r="AW64" s="49" cm="1">
        <f t="array" ref="AW64">IF($F$11-$I$4+VLOOKUP($Q64,武学奇术!$A:$ZZ,9,FALSE)+SUM(_xlfn.XLOOKUP(R64:AH64,增益!$A:$A,增益!$I:$I,0))&gt;0,($F$11-$I$4+VLOOKUP($Q64,武学奇术!$A:$ZZ,9,FALSE)+SUM(_xlfn.XLOOKUP(R64:AH64,增益!$A:$A,增益!$I:$I,0)))/200,($F$11-$I$4+VLOOKUP($Q64,武学奇术!$A:$ZZ,9,FALSE)+SUM(_xlfn.XLOOKUP(R64:AH64,增益!$A:$A,增益!$I:$I,0)))/100)</f>
        <v>-0.14</v>
      </c>
      <c r="AX64" s="49" cm="1">
        <f t="array" ref="AX64">$G$11+VLOOKUP($Q64,武学奇术!$A:$ZZ,10,FALSE)+SUM(_xlfn.XLOOKUP(R64:AH64,增益!$A:$A,增益!$J:$J,0))</f>
        <v>0</v>
      </c>
      <c r="AY64">
        <f>$D$12*(1+$AT64)</f>
        <v>0</v>
      </c>
      <c r="AZ64">
        <f>$E$12*(1+$AT64)</f>
        <v>0</v>
      </c>
      <c r="BA64" s="49" cm="1">
        <f t="array" ref="BA64">IF($F$12-$I$4+VLOOKUP($Q64,武学奇术!$A:$ZZ,11,FALSE)+SUM(_xlfn.XLOOKUP(R64:AH64,增益!$A:$A,增益!$K:$K,0))&gt;0,($F$12-$I$4+VLOOKUP($Q64,武学奇术!$A:$ZZ,11,FALSE)+SUM(_xlfn.XLOOKUP(R64:AH64,增益!$A:$A,增益!$K:$K,0)))/200,($F$12-$I$4+VLOOKUP($Q64,武学奇术!$A:$ZZ,11,FALSE)+SUM(_xlfn.XLOOKUP(R64:AH64,增益!$A:$A,增益!$K:$K,0)))/100)</f>
        <v>-0.14</v>
      </c>
      <c r="BB64" s="49" cm="1">
        <f t="array" ref="BB64">$G$12+VLOOKUP($Q64,武学奇术!$A:$ZZ,12,FALSE)+SUM(_xlfn.XLOOKUP(R64:AH64,增益!$A:$A,增益!$L:$L,0))</f>
        <v>0</v>
      </c>
      <c r="BC64">
        <f>$D$13*(1+$AT64)</f>
        <v>571.2</v>
      </c>
      <c r="BD64">
        <f>$E$13*(1+$AT64)</f>
        <v>1077.4</v>
      </c>
      <c r="BE64" s="49" cm="1">
        <f t="array" ref="BE64">IF($F$13-$I$4+VLOOKUP($Q64,武学奇术!$A:$ZZ,13,FALSE)+SUM(_xlfn.XLOOKUP(R64:AH64,增益!$A:$A,增益!$M:$M,0))&gt;0,($F$13-$I$4+VLOOKUP($Q64,武学奇术!$A:$ZZ,13,FALSE)+SUM(_xlfn.XLOOKUP(R64:AH64,增益!$A:$A,增益!$K:$K,0)))/200,($F$13-$I$4+VLOOKUP($Q64,武学奇术!$A:$ZZ,13,FALSE)+SUM(_xlfn.XLOOKUP(R64:AH64,增益!$A:$A,增益!$M:$M,0)))/100)</f>
        <v>0.08</v>
      </c>
      <c r="BF64" s="49" cm="1">
        <f t="array" ref="BF64">$G$13+VLOOKUP($Q64,武学奇术!$A:$ZZ,14,FALSE)+SUM(_xlfn.XLOOKUP(R64:AH64,增益!$A:$A,增益!$N:$N,0))</f>
        <v>0.25</v>
      </c>
      <c r="BG64">
        <f>$D$14*(1+$AT64)</f>
        <v>0</v>
      </c>
      <c r="BH64">
        <f>$E$14*(1+$AT64)</f>
        <v>0</v>
      </c>
      <c r="BI64" s="49" cm="1">
        <f t="array" ref="BI64">IF($F$14-$I$4+VLOOKUP($Q64,武学奇术!$A:$ZZ,15,FALSE)+SUM(_xlfn.XLOOKUP(R64:AH64,增益!$A:$A,增益!$O:$O,0))&gt;0,($F$14-$I$4+VLOOKUP($Q64,武学奇术!$A:$ZZ,15,FALSE)+SUM(_xlfn.XLOOKUP(R64:AH64,增益!$A:$A,增益!$O:$O,0)))/200,($F$14-$I$4+VLOOKUP($Q64,武学奇术!$A:$ZZ,15,FALSE)+SUM(_xlfn.XLOOKUP(R64:AH64,增益!$A:$A,增益!$O:$O,0)))/100)</f>
        <v>-0.14</v>
      </c>
      <c r="BJ64" s="49" cm="1">
        <f t="array" ref="BJ64">$G$14+VLOOKUP($Q64,武学奇术!$A:$ZZ,16,FALSE)+SUM(_xlfn.XLOOKUP(R64:AH64,增益!$A:$A,增益!$P:$P,0))</f>
        <v>0</v>
      </c>
      <c r="BK64" s="41">
        <f>MIN(IF(VLOOKUP($Q64,武学奇术!$A:$ZZ,23,FALSE)=1,100%,$B$8),100%)</f>
        <v>1</v>
      </c>
      <c r="BL64" s="41" cm="1">
        <f t="array" ref="BL64">IF(VLOOKUP($Q64,武学奇术!$A:$ZZ,23,FALSE)=1,100%,MIN(80%,$B$9+VLOOKUP($Q64,武学奇术!$A:$ZZ,17,FALSE)+SUM(_xlfn.XLOOKUP(R64:AH64,增益!$A:$A,增益!$Q:$Q,0)))+$B$11+SUM(_xlfn.XLOOKUP(R64:AH64,增益!$A:$A,增益!$U:$U,0)))*IF(VLOOKUP($Q64,武学奇术!$A:$ZZ,24,FALSE)=1,0,1)</f>
        <v>0.9045</v>
      </c>
      <c r="BM64" s="41" cm="1">
        <f t="array" ref="BM64">1+$B$13+VLOOKUP($Q64,武学奇术!$A:$ZZ,18,FALSE)+SUM(_xlfn.XLOOKUP(R64:AH64,增益!$A:$A,增益!$R:$R,0))</f>
        <v>1.6</v>
      </c>
      <c r="BN64" s="41" cm="1">
        <f t="array" ref="BN64">IF(VLOOKUP($Q64,武学奇术!$A:$ZZ,24,FALSE)=1,100%,MIN(40%,$B$10+VLOOKUP($Q64,武学奇术!$A:$ZZ,19,FALSE)+SUM(_xlfn.XLOOKUP(R64:AH64,增益!$A:$A,增益!$S:$S,0)))+$B$12+SUM(_xlfn.XLOOKUP(R64:AH64,增益!$A:$A,增益!$V:$V,0)))*IF(VLOOKUP($Q64,武学奇术!$A:$ZZ,23,FALSE)=1,0,1)</f>
        <v>0.0929</v>
      </c>
      <c r="BO64" s="41" cm="1">
        <f t="array" ref="BO64">1+$B$14+VLOOKUP($Q64,武学奇术!$A:$ZZ,20,FALSE)+SUM(_xlfn.XLOOKUP(R64:AH64,增益!$A:$A,增益!$T:$T,0))</f>
        <v>1.35</v>
      </c>
      <c r="BP64" s="41">
        <f>MIN((1-BN64)*BK64,BK64*BL64)</f>
        <v>0.9045</v>
      </c>
      <c r="BQ64" s="41">
        <f>1-BN64-BP64-BR64</f>
        <v>0.00260000000000005</v>
      </c>
      <c r="BR64" s="41">
        <f>IF(VLOOKUP($Q64,武学奇术!$A:$ZZ,22,FALSE)=1,0,(1-$BK64))*(1-$BN64)</f>
        <v>0</v>
      </c>
      <c r="BS64" s="41" cm="1">
        <f t="array" ref="BS64">SUM(_xlfn.XLOOKUP(R64:AH64,增益!$A:$A,增益!$W:$W,0))+$I$5</f>
        <v>0.11</v>
      </c>
    </row>
    <row r="65" spans="1:71">
      <c r="A65" s="4"/>
      <c r="B65" s="109"/>
      <c r="K65" s="55">
        <f>($L65*$BP65+$M65*$BN65+$N65*$BQ65+$O65*$BR65)</f>
        <v>78956.6651643417</v>
      </c>
      <c r="L65" s="55">
        <f>((($AP65+$AQ65)/2*$AJ65+$AK65)*(1+$AR65)*(1+$AS65)+(($AU65+$AV65)/2*IF($G$1="鸣金",$AL65,$AJ65)+IF($G$1="鸣金",$AM65*1.5,0))*(1+$AW65)*(1+$AX65)+(($AY65+$AZ65)/2*IF($G$1="裂石",$AL65,$AJ65)+IF($G$1="裂石",$AM65*1.5,0))*(1+$BA65)*(1+$BB65)+(($BC65+$BD65)/2*IF($G$1="牵丝",$AL65,$AJ65)+IF($G$1="牵丝",$AM65*1.5,0))*(1+$BE65)*(1+$BF65)+(($BG65+$BH65)/2*IF($G$1="破竹",$AL65,$AJ65)+IF($G$1="破竹",$AM65*1.5,0))*(1+$BI65)*(1+$BJ65))*(1+$AN65)*$BM65*$P65*(1+IF(VLOOKUP($Q65,武学奇术!$A:$ZZ,30,FALSE)="弹道",$B$21,0))*(1+$BS65)</f>
        <v>77710.0133343237</v>
      </c>
      <c r="M65" s="55">
        <f>(($AQ65*$AJ65+$AK65)*(1+$AR65)*(1+$AS65)+($AV65*IF($G$1="鸣金",$AL65,$AJ65)+IF($G$1="鸣金",$AM65*1.5,0))*(1+$AW65)*(1+$AX65)+($AZ65*IF($G$1="裂石",$AL65,$AJ65)+IF($G$1="裂石",$AM65*1.5,0))*(1+$BA65)*(1+$BB65)+($BD65*IF($G$1="牵丝",$AL65,$AJ65)+IF($G$1="牵丝",$AM65*1.5,0))*(1+$BE65)*(1+$BF65)+($BH65*IF($G$1="破竹",$AL65,$AJ65)+IF($G$1="破竹",$AM65*1.5,0))*(1+$BI65)*(1+$BJ65))*(1+$AN65)*$BO65*$P65*(1+IF(VLOOKUP($Q65,武学奇术!$A:$ZZ,30,FALSE)="弹道",$B$21,0))*(1+$BS65)</f>
        <v>91944.8797823207</v>
      </c>
      <c r="N65" s="55">
        <f>((($AP65+$AQ65)/2*$AJ65+$AK65)*(1+$AR65)*(1+$AS65)+(($AU65+$AV65)/2*IF($G$1="鸣金",$AL65,$AJ65)+IF($G$1="鸣金",$AM65*1.5,0))*(1+$AW65)*(1+$AX65)+(($AY65+$AZ65)/2*IF($G$1="裂石",$AL65,$AJ65)+IF($G$1="裂石",$AM65*1.5,0))*(1+$BA65)*(1+$BB65)+(($BC65+$BD65)/2*IF($G$1="牵丝",$AL65,$AJ65)+IF($G$1="牵丝",$AM65*1.5,0))*(1+$BE65)*(1+$BF65)+(($BG65+$BH65)/2*IF($G$1="破竹",$AL65,$AJ65)+IF($G$1="破竹",$AM65*1.5,0))*(1+$BI65)*(1+$BJ65))*(1+$AN65)*$P65*(1+IF(VLOOKUP($Q65,武学奇术!$A:$ZZ,30,FALSE)="弹道",$B$21,0))*(1+$BS65)</f>
        <v>48568.7583339523</v>
      </c>
      <c r="O65" s="55">
        <f>((($AP65*$AJ65+$AK65)*(1+$AR65)*(1+$AS65)+($AU65*IF($G$1="鸣金",$AL65,$AJ65)+IF($G$1="鸣金",$AM65*1.5,0))*(1+$AW65)*(1+$AX65)+($AY65*IF($G$1="裂石",$AL65,$AJ65)+IF($G$1="裂石",$AM65*1.5,0))*(1+$BA65)*(1+$BB65)+($BC65*IF($G$1="牵丝",$AL65,$AJ65)+IF($G$1="牵丝",$AM65*1.5,0))*(1+$BE65)*(1+$BF65)+($BG65*IF($G$1="破竹",$AL65,$AJ65)+IF($G$1="破竹",$AM65*1.5,0))*(1+$BI65)*(1+$BJ65))*(1+$AN65))*$P65*(1+IF(VLOOKUP($Q65,武学奇术!$A:$ZZ,30,FALSE)="弹道",$B$21,0))*(1+$BS65)</f>
        <v>29030.1983106301</v>
      </c>
      <c r="P65" s="56">
        <v>1</v>
      </c>
      <c r="Q65" s="57" t="s">
        <v>126</v>
      </c>
      <c r="R65" s="57" t="s">
        <v>116</v>
      </c>
      <c r="S65" s="57" t="s">
        <v>153</v>
      </c>
      <c r="T65" s="57" t="s">
        <v>92</v>
      </c>
      <c r="U65" s="57" t="s">
        <v>72</v>
      </c>
      <c r="V65" s="57" t="s">
        <v>86</v>
      </c>
      <c r="W65" s="57" t="s">
        <v>72</v>
      </c>
      <c r="X65" s="57" t="s">
        <v>72</v>
      </c>
      <c r="Y65" s="57" t="s">
        <v>72</v>
      </c>
      <c r="Z65" s="57" t="s">
        <v>72</v>
      </c>
      <c r="AA65" s="57" t="s">
        <v>72</v>
      </c>
      <c r="AB65" s="57" t="s">
        <v>96</v>
      </c>
      <c r="AC65" s="57" t="s">
        <v>72</v>
      </c>
      <c r="AD65" s="57" t="s">
        <v>72</v>
      </c>
      <c r="AE65" s="57" t="s">
        <v>72</v>
      </c>
      <c r="AF65" s="57" t="s">
        <v>72</v>
      </c>
      <c r="AG65" s="57" t="s">
        <v>72</v>
      </c>
      <c r="AH65" s="57" t="s">
        <v>87</v>
      </c>
      <c r="AI65" t="str">
        <f>VLOOKUP($Q65,武学奇术!$A:$ZZ,25,FALSE)</f>
        <v>扇</v>
      </c>
      <c r="AJ65" s="41">
        <f>VLOOKUP($Q65,武学奇术!$A:$ZZ,26,FALSE)</f>
        <v>2.76138</v>
      </c>
      <c r="AK65" s="42">
        <f>VLOOKUP($Q65,武学奇术!$A:$ZZ,27,FALSE)*(1+IF(OR($AI65=$F$4,$AI65=$F$5),$B$22,0))</f>
        <v>1069.81</v>
      </c>
      <c r="AL65" s="41">
        <f>VLOOKUP($Q65,武学奇术!$A:$ZZ,28,FALSE)</f>
        <v>4.14207</v>
      </c>
      <c r="AM65" s="42">
        <f>VLOOKUP($Q65,武学奇术!$A:$ZZ,29,FALSE)*(1+IF(OR($AI65=$F$4,$AI65=$F$5),$B$22,0))</f>
        <v>582.61</v>
      </c>
      <c r="AN65" s="41" cm="1">
        <f t="array" ref="AN65">$G$3+IFERROR(VLOOKUP($AI65,$F$4:$G$7,2,FALSE),0)+VLOOKUP($Q65,武学奇术!$A:$ZZ,2,FALSE)+SUM(_xlfn.XLOOKUP($R65:$AH65,增益!$A:$A,增益!$B:$B,0))</f>
        <v>0.9689</v>
      </c>
      <c r="AO65" s="41" cm="1">
        <f t="array" ref="AO65">VLOOKUP($Q65,武学奇术!$A:$ZZ,5,FALSE)+SUM(_xlfn.XLOOKUP($R65:$AH65,增益!$A:$A,增益!$E:$E,0))</f>
        <v>0</v>
      </c>
      <c r="AP65" cm="1">
        <f t="array" ref="AP65">$D$10*(1+$AO65)+VLOOKUP($Q65,武学奇术!$A:$ZZ,3,FALSE)+SUM(_xlfn.XLOOKUP($R65:$AH65,增益!$A:$A,增益!$C:$C,0))-$I$2</f>
        <v>1797.4</v>
      </c>
      <c r="AQ65" cm="1">
        <f t="array" ref="AQ65">$E$10*(1+$AO65)+VLOOKUP($Q65,武学奇术!$A:$ZZ,4,FALSE)+SUM(_xlfn.XLOOKUP($R65:$AH65,增益!$A:$A,增益!$D:$D,0))-$I$2</f>
        <v>5488</v>
      </c>
      <c r="AR65" s="49" cm="1">
        <f t="array" ref="AR65">IF($F$10-$I$3+VLOOKUP($Q65,武学奇术!$A:$ZZ,6,FALSE)+SUM(_xlfn.XLOOKUP(R65:AH65,增益!$A:$A,增益!$F:$F,0))&gt;0,($F$10-$I$3+VLOOKUP($Q65,武学奇术!$A:$ZZ,6,FALSE)+SUM(_xlfn.XLOOKUP(R65:AH65,增益!$A:$A,增益!$F:$F,0)))/200,($F$10-$I$3+VLOOKUP($Q65,武学奇术!$A:$ZZ,6,FALSE)+SUM(_xlfn.XLOOKUP(R65:AH65,增益!$A:$A,增益!$F:$F,0)))/100)</f>
        <v>0.3425</v>
      </c>
      <c r="AS65" s="49" cm="1">
        <f t="array" ref="AS65">$G$10+VLOOKUP($Q65,武学奇术!$A:$ZZ,7,FALSE)+SUM(_xlfn.XLOOKUP(R65:AH65,增益!$A:$A,增益!$G:$G,0))</f>
        <v>0.1</v>
      </c>
      <c r="AT65" s="41" cm="1">
        <f t="array" ref="AT65">VLOOKUP($Q65,武学奇术!$A:$ZZ,8,FALSE)+SUM(_xlfn.XLOOKUP(R65:AH65,增益!$A:$A,增益!$H:$H,0))</f>
        <v>0</v>
      </c>
      <c r="AU65">
        <f>$D$11*(1+$AT65)</f>
        <v>0</v>
      </c>
      <c r="AV65">
        <f>$E$11*(1+$AT65)</f>
        <v>0</v>
      </c>
      <c r="AW65" s="49" cm="1">
        <f t="array" ref="AW65">IF($F$11-$I$4+VLOOKUP($Q65,武学奇术!$A:$ZZ,9,FALSE)+SUM(_xlfn.XLOOKUP(R65:AH65,增益!$A:$A,增益!$I:$I,0))&gt;0,($F$11-$I$4+VLOOKUP($Q65,武学奇术!$A:$ZZ,9,FALSE)+SUM(_xlfn.XLOOKUP(R65:AH65,增益!$A:$A,增益!$I:$I,0)))/200,($F$11-$I$4+VLOOKUP($Q65,武学奇术!$A:$ZZ,9,FALSE)+SUM(_xlfn.XLOOKUP(R65:AH65,增益!$A:$A,增益!$I:$I,0)))/100)</f>
        <v>-0.14</v>
      </c>
      <c r="AX65" s="49" cm="1">
        <f t="array" ref="AX65">$G$11+VLOOKUP($Q65,武学奇术!$A:$ZZ,10,FALSE)+SUM(_xlfn.XLOOKUP(R65:AH65,增益!$A:$A,增益!$J:$J,0))</f>
        <v>0</v>
      </c>
      <c r="AY65">
        <f>$D$12*(1+$AT65)</f>
        <v>0</v>
      </c>
      <c r="AZ65">
        <f>$E$12*(1+$AT65)</f>
        <v>0</v>
      </c>
      <c r="BA65" s="49" cm="1">
        <f t="array" ref="BA65">IF($F$12-$I$4+VLOOKUP($Q65,武学奇术!$A:$ZZ,11,FALSE)+SUM(_xlfn.XLOOKUP(R65:AH65,增益!$A:$A,增益!$K:$K,0))&gt;0,($F$12-$I$4+VLOOKUP($Q65,武学奇术!$A:$ZZ,11,FALSE)+SUM(_xlfn.XLOOKUP(R65:AH65,增益!$A:$A,增益!$K:$K,0)))/200,($F$12-$I$4+VLOOKUP($Q65,武学奇术!$A:$ZZ,11,FALSE)+SUM(_xlfn.XLOOKUP(R65:AH65,增益!$A:$A,增益!$K:$K,0)))/100)</f>
        <v>-0.14</v>
      </c>
      <c r="BB65" s="49" cm="1">
        <f t="array" ref="BB65">$G$12+VLOOKUP($Q65,武学奇术!$A:$ZZ,12,FALSE)+SUM(_xlfn.XLOOKUP(R65:AH65,增益!$A:$A,增益!$L:$L,0))</f>
        <v>0</v>
      </c>
      <c r="BC65">
        <f>$D$13*(1+$AT65)</f>
        <v>571.2</v>
      </c>
      <c r="BD65">
        <f>$E$13*(1+$AT65)</f>
        <v>1077.4</v>
      </c>
      <c r="BE65" s="49" cm="1">
        <f t="array" ref="BE65">IF($F$13-$I$4+VLOOKUP($Q65,武学奇术!$A:$ZZ,13,FALSE)+SUM(_xlfn.XLOOKUP(R65:AH65,增益!$A:$A,增益!$M:$M,0))&gt;0,($F$13-$I$4+VLOOKUP($Q65,武学奇术!$A:$ZZ,13,FALSE)+SUM(_xlfn.XLOOKUP(R65:AH65,增益!$A:$A,增益!$K:$K,0)))/200,($F$13-$I$4+VLOOKUP($Q65,武学奇术!$A:$ZZ,13,FALSE)+SUM(_xlfn.XLOOKUP(R65:AH65,增益!$A:$A,增益!$M:$M,0)))/100)</f>
        <v>0.08</v>
      </c>
      <c r="BF65" s="49" cm="1">
        <f t="array" ref="BF65">$G$13+VLOOKUP($Q65,武学奇术!$A:$ZZ,14,FALSE)+SUM(_xlfn.XLOOKUP(R65:AH65,增益!$A:$A,增益!$N:$N,0))</f>
        <v>0.25</v>
      </c>
      <c r="BG65">
        <f>$D$14*(1+$AT65)</f>
        <v>0</v>
      </c>
      <c r="BH65">
        <f>$E$14*(1+$AT65)</f>
        <v>0</v>
      </c>
      <c r="BI65" s="49" cm="1">
        <f t="array" ref="BI65">IF($F$14-$I$4+VLOOKUP($Q65,武学奇术!$A:$ZZ,15,FALSE)+SUM(_xlfn.XLOOKUP(R65:AH65,增益!$A:$A,增益!$O:$O,0))&gt;0,($F$14-$I$4+VLOOKUP($Q65,武学奇术!$A:$ZZ,15,FALSE)+SUM(_xlfn.XLOOKUP(R65:AH65,增益!$A:$A,增益!$O:$O,0)))/200,($F$14-$I$4+VLOOKUP($Q65,武学奇术!$A:$ZZ,15,FALSE)+SUM(_xlfn.XLOOKUP(R65:AH65,增益!$A:$A,增益!$O:$O,0)))/100)</f>
        <v>-0.14</v>
      </c>
      <c r="BJ65" s="49" cm="1">
        <f t="array" ref="BJ65">$G$14+VLOOKUP($Q65,武学奇术!$A:$ZZ,16,FALSE)+SUM(_xlfn.XLOOKUP(R65:AH65,增益!$A:$A,增益!$P:$P,0))</f>
        <v>0</v>
      </c>
      <c r="BK65" s="41">
        <f>MIN(IF(VLOOKUP($Q65,武学奇术!$A:$ZZ,23,FALSE)=1,100%,$B$8),100%)</f>
        <v>1</v>
      </c>
      <c r="BL65" s="41" cm="1">
        <f t="array" ref="BL65">IF(VLOOKUP($Q65,武学奇术!$A:$ZZ,23,FALSE)=1,100%,MIN(80%,$B$9+VLOOKUP($Q65,武学奇术!$A:$ZZ,17,FALSE)+SUM(_xlfn.XLOOKUP(R65:AH65,增益!$A:$A,增益!$Q:$Q,0)))+$B$11+SUM(_xlfn.XLOOKUP(R65:AH65,增益!$A:$A,增益!$U:$U,0)))*IF(VLOOKUP($Q65,武学奇术!$A:$ZZ,24,FALSE)=1,0,1)</f>
        <v>0.9045</v>
      </c>
      <c r="BM65" s="41" cm="1">
        <f t="array" ref="BM65">1+$B$13+VLOOKUP($Q65,武学奇术!$A:$ZZ,18,FALSE)+SUM(_xlfn.XLOOKUP(R65:AH65,增益!$A:$A,增益!$R:$R,0))</f>
        <v>1.6</v>
      </c>
      <c r="BN65" s="41" cm="1">
        <f t="array" ref="BN65">IF(VLOOKUP($Q65,武学奇术!$A:$ZZ,24,FALSE)=1,100%,MIN(40%,$B$10+VLOOKUP($Q65,武学奇术!$A:$ZZ,19,FALSE)+SUM(_xlfn.XLOOKUP(R65:AH65,增益!$A:$A,增益!$S:$S,0)))+$B$12+SUM(_xlfn.XLOOKUP(R65:AH65,增益!$A:$A,增益!$V:$V,0)))*IF(VLOOKUP($Q65,武学奇术!$A:$ZZ,23,FALSE)=1,0,1)</f>
        <v>0.0929</v>
      </c>
      <c r="BO65" s="41" cm="1">
        <f t="array" ref="BO65">1+$B$14+VLOOKUP($Q65,武学奇术!$A:$ZZ,20,FALSE)+SUM(_xlfn.XLOOKUP(R65:AH65,增益!$A:$A,增益!$T:$T,0))</f>
        <v>1.35</v>
      </c>
      <c r="BP65" s="41">
        <f>MIN((1-BN65)*BK65,BK65*BL65)</f>
        <v>0.9045</v>
      </c>
      <c r="BQ65" s="41">
        <f>1-BN65-BP65-BR65</f>
        <v>0.00260000000000005</v>
      </c>
      <c r="BR65" s="41">
        <f>IF(VLOOKUP($Q65,武学奇术!$A:$ZZ,22,FALSE)=1,0,(1-$BK65))*(1-$BN65)</f>
        <v>0</v>
      </c>
      <c r="BS65" s="41" cm="1">
        <f t="array" ref="BS65">SUM(_xlfn.XLOOKUP(R65:AH65,增益!$A:$A,增益!$W:$W,0))+$I$5</f>
        <v>0.11</v>
      </c>
    </row>
    <row r="66" spans="1:71">
      <c r="A66" s="4"/>
      <c r="B66" s="4"/>
      <c r="C66"/>
      <c r="K66" s="55">
        <f t="shared" ref="K66:K73" si="22">($L66*$BP66+$M66*$BN66+$N66*$BQ66+$O66*$BR66)</f>
        <v>595675.762324395</v>
      </c>
      <c r="L66" s="55">
        <f>((($AP66+$AQ66)/2*$AJ66+$AK66)*(1+$AR66)*(1+$AS66)+(($AU66+$AV66)/2*IF($G$1="鸣金",$AL66,$AJ66)+IF($G$1="鸣金",$AM66*1.5,0))*(1+$AW66)*(1+$AX66)+(($AY66+$AZ66)/2*IF($G$1="裂石",$AL66,$AJ66)+IF($G$1="裂石",$AM66*1.5,0))*(1+$BA66)*(1+$BB66)+(($BC66+$BD66)/2*IF($G$1="牵丝",$AL66,$AJ66)+IF($G$1="牵丝",$AM66*1.5,0))*(1+$BE66)*(1+$BF66)+(($BG66+$BH66)/2*IF($G$1="破竹",$AL66,$AJ66)+IF($G$1="破竹",$AM66*1.5,0))*(1+$BI66)*(1+$BJ66))*(1+$AN66)*$BM66*$P66*(1+IF(VLOOKUP($Q66,武学奇术!$A:$ZZ,30,FALSE)="弹道",$B$21,0))*(1+$BS66)</f>
        <v>598227.21793504</v>
      </c>
      <c r="M66" s="55">
        <f>(($AQ66*$AJ66+$AK66)*(1+$AR66)*(1+$AS66)+($AV66*IF($G$1="鸣金",$AL66,$AJ66)+IF($G$1="鸣金",$AM66*1.5,0))*(1+$AW66)*(1+$AX66)+($AZ66*IF($G$1="裂石",$AL66,$AJ66)+IF($G$1="裂石",$AM66*1.5,0))*(1+$BA66)*(1+$BB66)+($BD66*IF($G$1="牵丝",$AL66,$AJ66)+IF($G$1="牵丝",$AM66*1.5,0))*(1+$BE66)*(1+$BF66)+($BH66*IF($G$1="破竹",$AL66,$AJ66)+IF($G$1="破竹",$AM66*1.5,0))*(1+$BI66)*(1+$BJ66))*(1+$AN66)*$BO66*$P66*(1+IF(VLOOKUP($Q66,武学奇术!$A:$ZZ,30,FALSE)="弹道",$B$21,0))*(1+$BS66)</f>
        <v>578963.153761919</v>
      </c>
      <c r="N66" s="55">
        <f>((($AP66+$AQ66)/2*$AJ66+$AK66)*(1+$AR66)*(1+$AS66)+(($AU66+$AV66)/2*IF($G$1="鸣金",$AL66,$AJ66)+IF($G$1="鸣金",$AM66*1.5,0))*(1+$AW66)*(1+$AX66)+(($AY66+$AZ66)/2*IF($G$1="裂石",$AL66,$AJ66)+IF($G$1="裂石",$AM66*1.5,0))*(1+$BA66)*(1+$BB66)+(($BC66+$BD66)/2*IF($G$1="牵丝",$AL66,$AJ66)+IF($G$1="牵丝",$AM66*1.5,0))*(1+$BE66)*(1+$BF66)+(($BG66+$BH66)/2*IF($G$1="破竹",$AL66,$AJ66)+IF($G$1="破竹",$AM66*1.5,0))*(1+$BI66)*(1+$BJ66))*(1+$AN66)*$P66*(1+IF(VLOOKUP($Q66,武学奇术!$A:$ZZ,30,FALSE)="弹道",$B$21,0))*(1+$BS66)</f>
        <v>305217.968334204</v>
      </c>
      <c r="O66" s="55">
        <f>((($AP66*$AJ66+$AK66)*(1+$AR66)*(1+$AS66)+($AU66*IF($G$1="鸣金",$AL66,$AJ66)+IF($G$1="鸣金",$AM66*1.5,0))*(1+$AW66)*(1+$AX66)+($AY66*IF($G$1="裂石",$AL66,$AJ66)+IF($G$1="裂石",$AM66*1.5,0))*(1+$BA66)*(1+$BB66)+($BC66*IF($G$1="牵丝",$AL66,$AJ66)+IF($G$1="牵丝",$AM66*1.5,0))*(1+$BE66)*(1+$BF66)+($BG66*IF($G$1="破竹",$AL66,$AJ66)+IF($G$1="破竹",$AM66*1.5,0))*(1+$BI66)*(1+$BJ66))*(1+$AN66))*$P66*(1+IF(VLOOKUP($Q66,武学奇术!$A:$ZZ,30,FALSE)="弹道",$B$21,0))*(1+$BS66)</f>
        <v>181574.341289209</v>
      </c>
      <c r="P66" s="56">
        <v>10</v>
      </c>
      <c r="Q66" s="57" t="s">
        <v>102</v>
      </c>
      <c r="R66" s="57" t="s">
        <v>116</v>
      </c>
      <c r="S66" s="57" t="s">
        <v>153</v>
      </c>
      <c r="T66" s="57" t="s">
        <v>92</v>
      </c>
      <c r="U66" s="57" t="s">
        <v>107</v>
      </c>
      <c r="V66" s="57" t="s">
        <v>86</v>
      </c>
      <c r="W66" s="57" t="s">
        <v>72</v>
      </c>
      <c r="X66" s="57" t="s">
        <v>72</v>
      </c>
      <c r="Y66" s="57" t="s">
        <v>72</v>
      </c>
      <c r="Z66" s="57" t="s">
        <v>72</v>
      </c>
      <c r="AA66" s="57" t="s">
        <v>72</v>
      </c>
      <c r="AB66" s="57" t="s">
        <v>96</v>
      </c>
      <c r="AC66" s="57" t="s">
        <v>72</v>
      </c>
      <c r="AD66" s="57" t="s">
        <v>72</v>
      </c>
      <c r="AE66" s="57" t="s">
        <v>72</v>
      </c>
      <c r="AF66" s="57" t="s">
        <v>72</v>
      </c>
      <c r="AG66" s="57" t="s">
        <v>72</v>
      </c>
      <c r="AH66" s="57" t="s">
        <v>87</v>
      </c>
      <c r="AI66" t="str">
        <f>VLOOKUP($Q66,武学奇术!$A:$ZZ,25,FALSE)</f>
        <v>伞</v>
      </c>
      <c r="AJ66" s="41">
        <f>VLOOKUP($Q66,武学奇术!$A:$ZZ,26,FALSE)</f>
        <v>1.174955</v>
      </c>
      <c r="AK66" s="42">
        <f>VLOOKUP($Q66,武学奇术!$A:$ZZ,27,FALSE)*(1+IF(OR($AI66=$F$4,$AI66=$F$5),$B$22,0))</f>
        <v>454.02</v>
      </c>
      <c r="AL66" s="41">
        <f>VLOOKUP($Q66,武学奇术!$A:$ZZ,28,FALSE)</f>
        <v>1.762375</v>
      </c>
      <c r="AM66" s="42">
        <f>VLOOKUP($Q66,武学奇术!$A:$ZZ,29,FALSE)*(1+IF(OR($AI66=$F$4,$AI66=$F$5),$B$22,0))</f>
        <v>247.94</v>
      </c>
      <c r="AN66" s="41" cm="1">
        <f t="array" ref="AN66">$G$3+IFERROR(VLOOKUP($AI66,$F$4:$G$7,2,FALSE),0)+VLOOKUP($Q66,武学奇术!$A:$ZZ,2,FALSE)+SUM(_xlfn.XLOOKUP($R66:$AH66,增益!$A:$A,增益!$B:$B,0))</f>
        <v>1.0541</v>
      </c>
      <c r="AO66" s="41" cm="1">
        <f t="array" ref="AO66">VLOOKUP($Q66,武学奇术!$A:$ZZ,5,FALSE)+SUM(_xlfn.XLOOKUP($R66:$AH66,增益!$A:$A,增益!$E:$E,0))</f>
        <v>0.075</v>
      </c>
      <c r="AP66" cm="1">
        <f t="array" ref="AP66">$D$10*(1+$AO66)+VLOOKUP($Q66,武学奇术!$A:$ZZ,3,FALSE)+SUM(_xlfn.XLOOKUP($R66:$AH66,增益!$A:$A,增益!$C:$C,0))-$I$2</f>
        <v>1974.055</v>
      </c>
      <c r="AQ66" cm="1">
        <f t="array" ref="AQ66">$E$10*(1+$AO66)+VLOOKUP($Q66,武学奇术!$A:$ZZ,4,FALSE)+SUM(_xlfn.XLOOKUP($R66:$AH66,增益!$A:$A,增益!$D:$D,0))-$I$2</f>
        <v>5941.45</v>
      </c>
      <c r="AR66" s="49" cm="1">
        <f t="array" ref="AR66">IF($F$10-$I$3+VLOOKUP($Q66,武学奇术!$A:$ZZ,6,FALSE)+SUM(_xlfn.XLOOKUP(R66:AH66,增益!$A:$A,增益!$F:$F,0))&gt;0,($F$10-$I$3+VLOOKUP($Q66,武学奇术!$A:$ZZ,6,FALSE)+SUM(_xlfn.XLOOKUP(R66:AH66,增益!$A:$A,增益!$F:$F,0)))/200,($F$10-$I$3+VLOOKUP($Q66,武学奇术!$A:$ZZ,6,FALSE)+SUM(_xlfn.XLOOKUP(R66:AH66,增益!$A:$A,增益!$F:$F,0)))/100)</f>
        <v>0.3675</v>
      </c>
      <c r="AS66" s="49" cm="1">
        <f t="array" ref="AS66">$G$10+VLOOKUP($Q66,武学奇术!$A:$ZZ,7,FALSE)+SUM(_xlfn.XLOOKUP(R66:AH66,增益!$A:$A,增益!$G:$G,0))</f>
        <v>0.1</v>
      </c>
      <c r="AT66" s="41" cm="1">
        <f t="array" ref="AT66">VLOOKUP($Q66,武学奇术!$A:$ZZ,8,FALSE)+SUM(_xlfn.XLOOKUP(R66:AH66,增益!$A:$A,增益!$H:$H,0))</f>
        <v>0</v>
      </c>
      <c r="AU66">
        <f t="shared" ref="AU66:AU73" si="23">$D$11*(1+$AT66)</f>
        <v>0</v>
      </c>
      <c r="AV66">
        <f t="shared" ref="AV66:AV73" si="24">$E$11*(1+$AT66)</f>
        <v>0</v>
      </c>
      <c r="AW66" s="49" cm="1">
        <f t="array" ref="AW66">IF($F$11-$I$4+VLOOKUP($Q66,武学奇术!$A:$ZZ,9,FALSE)+SUM(_xlfn.XLOOKUP(R66:AH66,增益!$A:$A,增益!$I:$I,0))&gt;0,($F$11-$I$4+VLOOKUP($Q66,武学奇术!$A:$ZZ,9,FALSE)+SUM(_xlfn.XLOOKUP(R66:AH66,增益!$A:$A,增益!$I:$I,0)))/200,($F$11-$I$4+VLOOKUP($Q66,武学奇术!$A:$ZZ,9,FALSE)+SUM(_xlfn.XLOOKUP(R66:AH66,增益!$A:$A,增益!$I:$I,0)))/100)</f>
        <v>-0.14</v>
      </c>
      <c r="AX66" s="49" cm="1">
        <f t="array" ref="AX66">$G$11+VLOOKUP($Q66,武学奇术!$A:$ZZ,10,FALSE)+SUM(_xlfn.XLOOKUP(R66:AH66,增益!$A:$A,增益!$J:$J,0))</f>
        <v>0</v>
      </c>
      <c r="AY66">
        <f t="shared" ref="AY66:AY73" si="25">$D$12*(1+$AT66)</f>
        <v>0</v>
      </c>
      <c r="AZ66">
        <f t="shared" ref="AZ66:AZ73" si="26">$E$12*(1+$AT66)</f>
        <v>0</v>
      </c>
      <c r="BA66" s="49" cm="1">
        <f t="array" ref="BA66">IF($F$12-$I$4+VLOOKUP($Q66,武学奇术!$A:$ZZ,11,FALSE)+SUM(_xlfn.XLOOKUP(R66:AH66,增益!$A:$A,增益!$K:$K,0))&gt;0,($F$12-$I$4+VLOOKUP($Q66,武学奇术!$A:$ZZ,11,FALSE)+SUM(_xlfn.XLOOKUP(R66:AH66,增益!$A:$A,增益!$K:$K,0)))/200,($F$12-$I$4+VLOOKUP($Q66,武学奇术!$A:$ZZ,11,FALSE)+SUM(_xlfn.XLOOKUP(R66:AH66,增益!$A:$A,增益!$K:$K,0)))/100)</f>
        <v>-0.14</v>
      </c>
      <c r="BB66" s="49" cm="1">
        <f t="array" ref="BB66">$G$12+VLOOKUP($Q66,武学奇术!$A:$ZZ,12,FALSE)+SUM(_xlfn.XLOOKUP(R66:AH66,增益!$A:$A,增益!$L:$L,0))</f>
        <v>0</v>
      </c>
      <c r="BC66">
        <f t="shared" ref="BC66:BC73" si="27">$D$13*(1+$AT66)</f>
        <v>571.2</v>
      </c>
      <c r="BD66">
        <f t="shared" ref="BD66:BD73" si="28">$E$13*(1+$AT66)</f>
        <v>1077.4</v>
      </c>
      <c r="BE66" s="49" cm="1">
        <f t="array" ref="BE66">IF($F$13-$I$4+VLOOKUP($Q66,武学奇术!$A:$ZZ,13,FALSE)+SUM(_xlfn.XLOOKUP(R66:AH66,增益!$A:$A,增益!$M:$M,0))&gt;0,($F$13-$I$4+VLOOKUP($Q66,武学奇术!$A:$ZZ,13,FALSE)+SUM(_xlfn.XLOOKUP(R66:AH66,增益!$A:$A,增益!$K:$K,0)))/200,($F$13-$I$4+VLOOKUP($Q66,武学奇术!$A:$ZZ,13,FALSE)+SUM(_xlfn.XLOOKUP(R66:AH66,增益!$A:$A,增益!$M:$M,0)))/100)</f>
        <v>0.08</v>
      </c>
      <c r="BF66" s="49" cm="1">
        <f t="array" ref="BF66">$G$13+VLOOKUP($Q66,武学奇术!$A:$ZZ,14,FALSE)+SUM(_xlfn.XLOOKUP(R66:AH66,增益!$A:$A,增益!$N:$N,0))</f>
        <v>0.25</v>
      </c>
      <c r="BG66">
        <f t="shared" ref="BG66:BG73" si="29">$D$14*(1+$AT66)</f>
        <v>0</v>
      </c>
      <c r="BH66">
        <f t="shared" ref="BH66:BH73" si="30">$E$14*(1+$AT66)</f>
        <v>0</v>
      </c>
      <c r="BI66" s="49" cm="1">
        <f t="array" ref="BI66">IF($F$14-$I$4+VLOOKUP($Q66,武学奇术!$A:$ZZ,15,FALSE)+SUM(_xlfn.XLOOKUP(R66:AH66,增益!$A:$A,增益!$O:$O,0))&gt;0,($F$14-$I$4+VLOOKUP($Q66,武学奇术!$A:$ZZ,15,FALSE)+SUM(_xlfn.XLOOKUP(R66:AH66,增益!$A:$A,增益!$O:$O,0)))/200,($F$14-$I$4+VLOOKUP($Q66,武学奇术!$A:$ZZ,15,FALSE)+SUM(_xlfn.XLOOKUP(R66:AH66,增益!$A:$A,增益!$O:$O,0)))/100)</f>
        <v>-0.14</v>
      </c>
      <c r="BJ66" s="49" cm="1">
        <f t="array" ref="BJ66">$G$14+VLOOKUP($Q66,武学奇术!$A:$ZZ,16,FALSE)+SUM(_xlfn.XLOOKUP(R66:AH66,增益!$A:$A,增益!$P:$P,0))</f>
        <v>0</v>
      </c>
      <c r="BK66" s="41">
        <f>MIN(IF(VLOOKUP($Q66,武学奇术!$A:$ZZ,23,FALSE)=1,100%,$B$8),100%)</f>
        <v>1</v>
      </c>
      <c r="BL66" s="41" cm="1">
        <f t="array" ref="BL66">IF(VLOOKUP($Q66,武学奇术!$A:$ZZ,23,FALSE)=1,100%,MIN(80%,$B$9+VLOOKUP($Q66,武学奇术!$A:$ZZ,17,FALSE)+SUM(_xlfn.XLOOKUP(R66:AH66,增益!$A:$A,增益!$Q:$Q,0)))+$B$11+SUM(_xlfn.XLOOKUP(R66:AH66,增益!$A:$A,增益!$U:$U,0)))*IF(VLOOKUP($Q66,武学奇术!$A:$ZZ,24,FALSE)=1,0,1)</f>
        <v>0.9045</v>
      </c>
      <c r="BM66" s="41" cm="1">
        <f t="array" ref="BM66">1+$B$13+VLOOKUP($Q66,武学奇术!$A:$ZZ,18,FALSE)+SUM(_xlfn.XLOOKUP(R66:AH66,增益!$A:$A,增益!$R:$R,0))</f>
        <v>1.96</v>
      </c>
      <c r="BN66" s="41" cm="1">
        <f t="array" ref="BN66">IF(VLOOKUP($Q66,武学奇术!$A:$ZZ,24,FALSE)=1,100%,MIN(40%,$B$10+VLOOKUP($Q66,武学奇术!$A:$ZZ,19,FALSE)+SUM(_xlfn.XLOOKUP(R66:AH66,增益!$A:$A,增益!$S:$S,0)))+$B$12+SUM(_xlfn.XLOOKUP(R66:AH66,增益!$A:$A,增益!$V:$V,0)))*IF(VLOOKUP($Q66,武学奇术!$A:$ZZ,23,FALSE)=1,0,1)</f>
        <v>0.0929</v>
      </c>
      <c r="BO66" s="41" cm="1">
        <f t="array" ref="BO66">1+$B$14+VLOOKUP($Q66,武学奇术!$A:$ZZ,20,FALSE)+SUM(_xlfn.XLOOKUP(R66:AH66,增益!$A:$A,增益!$T:$T,0))</f>
        <v>1.35</v>
      </c>
      <c r="BP66" s="41">
        <f>MIN((1-BN66)*BK66,BK66*BL66)</f>
        <v>0.9045</v>
      </c>
      <c r="BQ66" s="41">
        <f>1-BN66-BP66-BR66</f>
        <v>0.00260000000000005</v>
      </c>
      <c r="BR66" s="41">
        <f>IF(VLOOKUP($Q66,武学奇术!$A:$ZZ,22,FALSE)=1,0,(1-$BK66))*(1-$BN66)</f>
        <v>0</v>
      </c>
      <c r="BS66" s="41" cm="1">
        <f t="array" ref="BS66">SUM(_xlfn.XLOOKUP(R66:AH66,增益!$A:$A,增益!$W:$W,0))+$I$5</f>
        <v>0.11</v>
      </c>
    </row>
    <row r="67" spans="1:71">
      <c r="A67" s="4"/>
      <c r="B67" s="4"/>
      <c r="C67"/>
      <c r="K67" s="55">
        <f t="shared" si="22"/>
        <v>23649.5575928005</v>
      </c>
      <c r="L67" s="55">
        <f>((($AP67+$AQ67)/2*$AJ67+$AK67)*(1+$AR67)*(1+$AS67)+(($AU67+$AV67)/2*IF($G$1="鸣金",$AL67,$AJ67)+IF($G$1="鸣金",$AM67*1.5,0))*(1+$AW67)*(1+$AX67)+(($AY67+$AZ67)/2*IF($G$1="裂石",$AL67,$AJ67)+IF($G$1="裂石",$AM67*1.5,0))*(1+$BA67)*(1+$BB67)+(($BC67+$BD67)/2*IF($G$1="牵丝",$AL67,$AJ67)+IF($G$1="牵丝",$AM67*1.5,0))*(1+$BE67)*(1+$BF67)+(($BG67+$BH67)/2*IF($G$1="破竹",$AL67,$AJ67)+IF($G$1="破竹",$AM67*1.5,0))*(1+$BI67)*(1+$BJ67))*(1+$AN67)*$BM67*$P67*(1+IF(VLOOKUP($Q67,武学奇术!$A:$ZZ,30,FALSE)="弹道",$B$21,0))*(1+$BS67)</f>
        <v>23273.5088442139</v>
      </c>
      <c r="M67" s="55">
        <f>(($AQ67*$AJ67+$AK67)*(1+$AR67)*(1+$AS67)+($AV67*IF($G$1="鸣金",$AL67,$AJ67)+IF($G$1="鸣金",$AM67*1.5,0))*(1+$AW67)*(1+$AX67)+($AZ67*IF($G$1="裂石",$AL67,$AJ67)+IF($G$1="裂石",$AM67*1.5,0))*(1+$BA67)*(1+$BB67)+($BD67*IF($G$1="牵丝",$AL67,$AJ67)+IF($G$1="牵丝",$AM67*1.5,0))*(1+$BE67)*(1+$BF67)+($BH67*IF($G$1="破竹",$AL67,$AJ67)+IF($G$1="破竹",$AM67*1.5,0))*(1+$BI67)*(1+$BJ67))*(1+$AN67)*$BO67*$P67*(1+IF(VLOOKUP($Q67,武学奇术!$A:$ZZ,30,FALSE)="弹道",$B$21,0))*(1+$BS67)</f>
        <v>27565.6554503465</v>
      </c>
      <c r="N67" s="55">
        <f>((($AP67+$AQ67)/2*$AJ67+$AK67)*(1+$AR67)*(1+$AS67)+(($AU67+$AV67)/2*IF($G$1="鸣金",$AL67,$AJ67)+IF($G$1="鸣金",$AM67*1.5,0))*(1+$AW67)*(1+$AX67)+(($AY67+$AZ67)/2*IF($G$1="裂石",$AL67,$AJ67)+IF($G$1="裂石",$AM67*1.5,0))*(1+$BA67)*(1+$BB67)+(($BC67+$BD67)/2*IF($G$1="牵丝",$AL67,$AJ67)+IF($G$1="牵丝",$AM67*1.5,0))*(1+$BE67)*(1+$BF67)+(($BG67+$BH67)/2*IF($G$1="破竹",$AL67,$AJ67)+IF($G$1="破竹",$AM67*1.5,0))*(1+$BI67)*(1+$BJ67))*(1+$AN67)*$P67*(1+IF(VLOOKUP($Q67,武学奇术!$A:$ZZ,30,FALSE)="弹道",$B$21,0))*(1+$BS67)</f>
        <v>14545.9430276337</v>
      </c>
      <c r="O67" s="55">
        <f>((($AP67*$AJ67+$AK67)*(1+$AR67)*(1+$AS67)+($AU67*IF($G$1="鸣金",$AL67,$AJ67)+IF($G$1="鸣金",$AM67*1.5,0))*(1+$AW67)*(1+$AX67)+($AY67*IF($G$1="裂石",$AL67,$AJ67)+IF($G$1="裂石",$AM67*1.5,0))*(1+$BA67)*(1+$BB67)+($BC67*IF($G$1="牵丝",$AL67,$AJ67)+IF($G$1="牵丝",$AM67*1.5,0))*(1+$BE67)*(1+$BF67)+($BG67*IF($G$1="破竹",$AL67,$AJ67)+IF($G$1="破竹",$AM67*1.5,0))*(1+$BI67)*(1+$BJ67))*(1+$AN67))*$P67*(1+IF(VLOOKUP($Q67,武学奇术!$A:$ZZ,30,FALSE)="弹道",$B$21,0))*(1+$BS67)</f>
        <v>8672.88201797364</v>
      </c>
      <c r="P67" s="56">
        <v>1</v>
      </c>
      <c r="Q67" s="57" t="s">
        <v>154</v>
      </c>
      <c r="R67" s="57" t="s">
        <v>116</v>
      </c>
      <c r="S67" s="57" t="s">
        <v>153</v>
      </c>
      <c r="T67" s="57" t="s">
        <v>72</v>
      </c>
      <c r="U67" s="57" t="s">
        <v>107</v>
      </c>
      <c r="V67" s="57" t="s">
        <v>72</v>
      </c>
      <c r="W67" s="57" t="s">
        <v>72</v>
      </c>
      <c r="X67" s="57" t="s">
        <v>72</v>
      </c>
      <c r="Y67" s="57" t="s">
        <v>72</v>
      </c>
      <c r="Z67" s="57" t="s">
        <v>72</v>
      </c>
      <c r="AA67" s="57" t="s">
        <v>72</v>
      </c>
      <c r="AB67" s="57" t="s">
        <v>96</v>
      </c>
      <c r="AC67" s="57" t="s">
        <v>72</v>
      </c>
      <c r="AD67" s="57" t="s">
        <v>72</v>
      </c>
      <c r="AE67" s="57" t="s">
        <v>72</v>
      </c>
      <c r="AF67" s="57" t="s">
        <v>72</v>
      </c>
      <c r="AG67" s="57" t="s">
        <v>72</v>
      </c>
      <c r="AH67" s="57" t="s">
        <v>87</v>
      </c>
      <c r="AI67" t="str">
        <f>VLOOKUP($Q67,武学奇术!$A:$ZZ,25,FALSE)</f>
        <v>扇</v>
      </c>
      <c r="AJ67" s="41">
        <f>VLOOKUP($Q67,武学奇术!$A:$ZZ,26,FALSE)</f>
        <v>1.2798</v>
      </c>
      <c r="AK67" s="42">
        <f>VLOOKUP($Q67,武学奇术!$A:$ZZ,27,FALSE)*(1+IF(OR($AI67=$F$4,$AI67=$F$5),$B$22,0))</f>
        <v>497</v>
      </c>
      <c r="AL67" s="41">
        <f>VLOOKUP($Q67,武学奇术!$A:$ZZ,28,FALSE)</f>
        <v>1.9197</v>
      </c>
      <c r="AM67" s="42">
        <f>VLOOKUP($Q67,武学奇术!$A:$ZZ,29,FALSE)*(1+IF(OR($AI67=$F$4,$AI67=$F$5),$B$22,0))</f>
        <v>270.2</v>
      </c>
      <c r="AN67" s="41" cm="1">
        <f t="array" ref="AN67">$G$3+IFERROR(VLOOKUP($AI67,$F$4:$G$7,2,FALSE),0)+VLOOKUP($Q67,武学奇术!$A:$ZZ,2,FALSE)+SUM(_xlfn.XLOOKUP($R67:$AH67,增益!$A:$A,增益!$B:$B,0))</f>
        <v>0.3189</v>
      </c>
      <c r="AO67" s="41" cm="1">
        <f t="array" ref="AO67">VLOOKUP($Q67,武学奇术!$A:$ZZ,5,FALSE)+SUM(_xlfn.XLOOKUP($R67:$AH67,增益!$A:$A,增益!$E:$E,0))</f>
        <v>0.075</v>
      </c>
      <c r="AP67" cm="1">
        <f t="array" ref="AP67">$D$10*(1+$AO67)+VLOOKUP($Q67,武学奇术!$A:$ZZ,3,FALSE)+SUM(_xlfn.XLOOKUP($R67:$AH67,增益!$A:$A,增益!$C:$C,0))-$I$2</f>
        <v>1974.055</v>
      </c>
      <c r="AQ67" cm="1">
        <f t="array" ref="AQ67">$E$10*(1+$AO67)+VLOOKUP($Q67,武学奇术!$A:$ZZ,4,FALSE)+SUM(_xlfn.XLOOKUP($R67:$AH67,增益!$A:$A,增益!$D:$D,0))-$I$2</f>
        <v>5941.45</v>
      </c>
      <c r="AR67" s="49" cm="1">
        <f t="array" ref="AR67">IF($F$10-$I$3+VLOOKUP($Q67,武学奇术!$A:$ZZ,6,FALSE)+SUM(_xlfn.XLOOKUP(R67:AH67,增益!$A:$A,增益!$F:$F,0))&gt;0,($F$10-$I$3+VLOOKUP($Q67,武学奇术!$A:$ZZ,6,FALSE)+SUM(_xlfn.XLOOKUP(R67:AH67,增益!$A:$A,增益!$F:$F,0)))/200,($F$10-$I$3+VLOOKUP($Q67,武学奇术!$A:$ZZ,6,FALSE)+SUM(_xlfn.XLOOKUP(R67:AH67,增益!$A:$A,增益!$F:$F,0)))/100)</f>
        <v>0.3425</v>
      </c>
      <c r="AS67" s="49" cm="1">
        <f t="array" ref="AS67">$G$10+VLOOKUP($Q67,武学奇术!$A:$ZZ,7,FALSE)+SUM(_xlfn.XLOOKUP(R67:AH67,增益!$A:$A,增益!$G:$G,0))</f>
        <v>0</v>
      </c>
      <c r="AT67" s="41" cm="1">
        <f t="array" ref="AT67">VLOOKUP($Q67,武学奇术!$A:$ZZ,8,FALSE)+SUM(_xlfn.XLOOKUP(R67:AH67,增益!$A:$A,增益!$H:$H,0))</f>
        <v>0</v>
      </c>
      <c r="AU67">
        <f t="shared" si="23"/>
        <v>0</v>
      </c>
      <c r="AV67">
        <f t="shared" si="24"/>
        <v>0</v>
      </c>
      <c r="AW67" s="49" cm="1">
        <f t="array" ref="AW67">IF($F$11-$I$4+VLOOKUP($Q67,武学奇术!$A:$ZZ,9,FALSE)+SUM(_xlfn.XLOOKUP(R67:AH67,增益!$A:$A,增益!$I:$I,0))&gt;0,($F$11-$I$4+VLOOKUP($Q67,武学奇术!$A:$ZZ,9,FALSE)+SUM(_xlfn.XLOOKUP(R67:AH67,增益!$A:$A,增益!$I:$I,0)))/200,($F$11-$I$4+VLOOKUP($Q67,武学奇术!$A:$ZZ,9,FALSE)+SUM(_xlfn.XLOOKUP(R67:AH67,增益!$A:$A,增益!$I:$I,0)))/100)</f>
        <v>-0.14</v>
      </c>
      <c r="AX67" s="49" cm="1">
        <f t="array" ref="AX67">$G$11+VLOOKUP($Q67,武学奇术!$A:$ZZ,10,FALSE)+SUM(_xlfn.XLOOKUP(R67:AH67,增益!$A:$A,增益!$J:$J,0))</f>
        <v>0</v>
      </c>
      <c r="AY67">
        <f t="shared" si="25"/>
        <v>0</v>
      </c>
      <c r="AZ67">
        <f t="shared" si="26"/>
        <v>0</v>
      </c>
      <c r="BA67" s="49" cm="1">
        <f t="array" ref="BA67">IF($F$12-$I$4+VLOOKUP($Q67,武学奇术!$A:$ZZ,11,FALSE)+SUM(_xlfn.XLOOKUP(R67:AH67,增益!$A:$A,增益!$K:$K,0))&gt;0,($F$12-$I$4+VLOOKUP($Q67,武学奇术!$A:$ZZ,11,FALSE)+SUM(_xlfn.XLOOKUP(R67:AH67,增益!$A:$A,增益!$K:$K,0)))/200,($F$12-$I$4+VLOOKUP($Q67,武学奇术!$A:$ZZ,11,FALSE)+SUM(_xlfn.XLOOKUP(R67:AH67,增益!$A:$A,增益!$K:$K,0)))/100)</f>
        <v>-0.14</v>
      </c>
      <c r="BB67" s="49" cm="1">
        <f t="array" ref="BB67">$G$12+VLOOKUP($Q67,武学奇术!$A:$ZZ,12,FALSE)+SUM(_xlfn.XLOOKUP(R67:AH67,增益!$A:$A,增益!$L:$L,0))</f>
        <v>0</v>
      </c>
      <c r="BC67">
        <f t="shared" si="27"/>
        <v>571.2</v>
      </c>
      <c r="BD67">
        <f t="shared" si="28"/>
        <v>1077.4</v>
      </c>
      <c r="BE67" s="49" cm="1">
        <f t="array" ref="BE67">IF($F$13-$I$4+VLOOKUP($Q67,武学奇术!$A:$ZZ,13,FALSE)+SUM(_xlfn.XLOOKUP(R67:AH67,增益!$A:$A,增益!$M:$M,0))&gt;0,($F$13-$I$4+VLOOKUP($Q67,武学奇术!$A:$ZZ,13,FALSE)+SUM(_xlfn.XLOOKUP(R67:AH67,增益!$A:$A,增益!$K:$K,0)))/200,($F$13-$I$4+VLOOKUP($Q67,武学奇术!$A:$ZZ,13,FALSE)+SUM(_xlfn.XLOOKUP(R67:AH67,增益!$A:$A,增益!$M:$M,0)))/100)</f>
        <v>0.08</v>
      </c>
      <c r="BF67" s="49" cm="1">
        <f t="array" ref="BF67">$G$13+VLOOKUP($Q67,武学奇术!$A:$ZZ,14,FALSE)+SUM(_xlfn.XLOOKUP(R67:AH67,增益!$A:$A,增益!$N:$N,0))</f>
        <v>0.15</v>
      </c>
      <c r="BG67">
        <f t="shared" si="29"/>
        <v>0</v>
      </c>
      <c r="BH67">
        <f t="shared" si="30"/>
        <v>0</v>
      </c>
      <c r="BI67" s="49" cm="1">
        <f t="array" ref="BI67">IF($F$14-$I$4+VLOOKUP($Q67,武学奇术!$A:$ZZ,15,FALSE)+SUM(_xlfn.XLOOKUP(R67:AH67,增益!$A:$A,增益!$O:$O,0))&gt;0,($F$14-$I$4+VLOOKUP($Q67,武学奇术!$A:$ZZ,15,FALSE)+SUM(_xlfn.XLOOKUP(R67:AH67,增益!$A:$A,增益!$O:$O,0)))/200,($F$14-$I$4+VLOOKUP($Q67,武学奇术!$A:$ZZ,15,FALSE)+SUM(_xlfn.XLOOKUP(R67:AH67,增益!$A:$A,增益!$O:$O,0)))/100)</f>
        <v>-0.14</v>
      </c>
      <c r="BJ67" s="49" cm="1">
        <f t="array" ref="BJ67">$G$14+VLOOKUP($Q67,武学奇术!$A:$ZZ,16,FALSE)+SUM(_xlfn.XLOOKUP(R67:AH67,增益!$A:$A,增益!$P:$P,0))</f>
        <v>0</v>
      </c>
      <c r="BK67" s="41">
        <f>MIN(IF(VLOOKUP($Q67,武学奇术!$A:$ZZ,23,FALSE)=1,100%,$B$8),100%)</f>
        <v>1</v>
      </c>
      <c r="BL67" s="41" cm="1">
        <f t="array" ref="BL67">IF(VLOOKUP($Q67,武学奇术!$A:$ZZ,23,FALSE)=1,100%,MIN(80%,$B$9+VLOOKUP($Q67,武学奇术!$A:$ZZ,17,FALSE)+SUM(_xlfn.XLOOKUP(R67:AH67,增益!$A:$A,增益!$Q:$Q,0)))+$B$11+SUM(_xlfn.XLOOKUP(R67:AH67,增益!$A:$A,增益!$U:$U,0)))*IF(VLOOKUP($Q67,武学奇术!$A:$ZZ,24,FALSE)=1,0,1)</f>
        <v>0.9045</v>
      </c>
      <c r="BM67" s="41" cm="1">
        <f t="array" ref="BM67">1+$B$13+VLOOKUP($Q67,武学奇术!$A:$ZZ,18,FALSE)+SUM(_xlfn.XLOOKUP(R67:AH67,增益!$A:$A,增益!$R:$R,0))</f>
        <v>1.6</v>
      </c>
      <c r="BN67" s="41" cm="1">
        <f t="array" ref="BN67">IF(VLOOKUP($Q67,武学奇术!$A:$ZZ,24,FALSE)=1,100%,MIN(40%,$B$10+VLOOKUP($Q67,武学奇术!$A:$ZZ,19,FALSE)+SUM(_xlfn.XLOOKUP(R67:AH67,增益!$A:$A,增益!$S:$S,0)))+$B$12+SUM(_xlfn.XLOOKUP(R67:AH67,增益!$A:$A,增益!$V:$V,0)))*IF(VLOOKUP($Q67,武学奇术!$A:$ZZ,23,FALSE)=1,0,1)</f>
        <v>0.0929</v>
      </c>
      <c r="BO67" s="41" cm="1">
        <f t="array" ref="BO67">1+$B$14+VLOOKUP($Q67,武学奇术!$A:$ZZ,20,FALSE)+SUM(_xlfn.XLOOKUP(R67:AH67,增益!$A:$A,增益!$T:$T,0))</f>
        <v>1.35</v>
      </c>
      <c r="BP67" s="41">
        <f>MIN((1-BN67)*BK67,BK67*BL67)</f>
        <v>0.9045</v>
      </c>
      <c r="BQ67" s="41">
        <f>1-BN67-BP67-BR67</f>
        <v>0.00260000000000005</v>
      </c>
      <c r="BR67" s="41">
        <f>IF(VLOOKUP($Q67,武学奇术!$A:$ZZ,22,FALSE)=1,0,(1-$BK67))*(1-$BN67)</f>
        <v>0</v>
      </c>
      <c r="BS67" s="41" cm="1">
        <f t="array" ref="BS67">SUM(_xlfn.XLOOKUP(R67:AH67,增益!$A:$A,增益!$W:$W,0))+$I$5</f>
        <v>0.11</v>
      </c>
    </row>
    <row r="68" spans="1:71">
      <c r="A68" s="4"/>
      <c r="B68" s="4"/>
      <c r="C68"/>
      <c r="K68" s="55">
        <f t="shared" si="22"/>
        <v>114524.678783933</v>
      </c>
      <c r="L68" s="55">
        <f>((($AP68+$AQ68)/2*$AJ68+$AK68)*(1+$AR68)*(1+$AS68)+(($AU68+$AV68)/2*IF($G$1="鸣金",$AL68,$AJ68)+IF($G$1="鸣金",$AM68*1.5,0))*(1+$AW68)*(1+$AX68)+(($AY68+$AZ68)/2*IF($G$1="裂石",$AL68,$AJ68)+IF($G$1="裂石",$AM68*1.5,0))*(1+$BA68)*(1+$BB68)+(($BC68+$BD68)/2*IF($G$1="牵丝",$AL68,$AJ68)+IF($G$1="牵丝",$AM68*1.5,0))*(1+$BE68)*(1+$BF68)+(($BG68+$BH68)/2*IF($G$1="破竹",$AL68,$AJ68)+IF($G$1="破竹",$AM68*1.5,0))*(1+$BI68)*(1+$BJ68))*(1+$AN68)*$BM68*$P68*(1+IF(VLOOKUP($Q68,武学奇术!$A:$ZZ,30,FALSE)="弹道",$B$21,0))*(1+$BS68)</f>
        <v>115021.030034779</v>
      </c>
      <c r="M68" s="55">
        <f>(($AQ68*$AJ68+$AK68)*(1+$AR68)*(1+$AS68)+($AV68*IF($G$1="鸣金",$AL68,$AJ68)+IF($G$1="鸣金",$AM68*1.5,0))*(1+$AW68)*(1+$AX68)+($AZ68*IF($G$1="裂石",$AL68,$AJ68)+IF($G$1="裂石",$AM68*1.5,0))*(1+$BA68)*(1+$BB68)+($BD68*IF($G$1="牵丝",$AL68,$AJ68)+IF($G$1="牵丝",$AM68*1.5,0))*(1+$BE68)*(1+$BF68)+($BH68*IF($G$1="破竹",$AL68,$AJ68)+IF($G$1="破竹",$AM68*1.5,0))*(1+$BI68)*(1+$BJ68))*(1+$AN68)*$BO68*$P68*(1+IF(VLOOKUP($Q68,武学奇术!$A:$ZZ,30,FALSE)="弹道",$B$21,0))*(1+$BS68)</f>
        <v>111254.878364714</v>
      </c>
      <c r="N68" s="55">
        <f>((($AP68+$AQ68)/2*$AJ68+$AK68)*(1+$AR68)*(1+$AS68)+(($AU68+$AV68)/2*IF($G$1="鸣金",$AL68,$AJ68)+IF($G$1="鸣金",$AM68*1.5,0))*(1+$AW68)*(1+$AX68)+(($AY68+$AZ68)/2*IF($G$1="裂石",$AL68,$AJ68)+IF($G$1="裂石",$AM68*1.5,0))*(1+$BA68)*(1+$BB68)+(($BC68+$BD68)/2*IF($G$1="牵丝",$AL68,$AJ68)+IF($G$1="牵丝",$AM68*1.5,0))*(1+$BE68)*(1+$BF68)+(($BG68+$BH68)/2*IF($G$1="破竹",$AL68,$AJ68)+IF($G$1="破竹",$AM68*1.5,0))*(1+$BI68)*(1+$BJ68))*(1+$AN68)*$P68*(1+IF(VLOOKUP($Q68,武学奇术!$A:$ZZ,30,FALSE)="弹道",$B$21,0))*(1+$BS68)</f>
        <v>58684.1989973364</v>
      </c>
      <c r="O68" s="55">
        <f>((($AP68*$AJ68+$AK68)*(1+$AR68)*(1+$AS68)+($AU68*IF($G$1="鸣金",$AL68,$AJ68)+IF($G$1="鸣金",$AM68*1.5,0))*(1+$AW68)*(1+$AX68)+($AY68*IF($G$1="裂石",$AL68,$AJ68)+IF($G$1="裂石",$AM68*1.5,0))*(1+$BA68)*(1+$BB68)+($BC68*IF($G$1="牵丝",$AL68,$AJ68)+IF($G$1="牵丝",$AM68*1.5,0))*(1+$BE68)*(1+$BF68)+($BG68*IF($G$1="破竹",$AL68,$AJ68)+IF($G$1="破竹",$AM68*1.5,0))*(1+$BI68)*(1+$BJ68))*(1+$AN68))*$P68*(1+IF(VLOOKUP($Q68,武学奇术!$A:$ZZ,30,FALSE)="弹道",$B$21,0))*(1+$BS68)</f>
        <v>34957.3769837738</v>
      </c>
      <c r="P68" s="56">
        <v>1</v>
      </c>
      <c r="Q68" s="57" t="s">
        <v>155</v>
      </c>
      <c r="R68" s="57" t="s">
        <v>116</v>
      </c>
      <c r="S68" s="57" t="s">
        <v>153</v>
      </c>
      <c r="T68" s="57" t="s">
        <v>72</v>
      </c>
      <c r="U68" s="57" t="s">
        <v>107</v>
      </c>
      <c r="V68" s="57" t="s">
        <v>156</v>
      </c>
      <c r="W68" s="57" t="s">
        <v>72</v>
      </c>
      <c r="X68" s="57" t="s">
        <v>72</v>
      </c>
      <c r="Y68" s="57" t="s">
        <v>72</v>
      </c>
      <c r="Z68" s="57" t="s">
        <v>72</v>
      </c>
      <c r="AA68" s="57" t="s">
        <v>72</v>
      </c>
      <c r="AB68" s="57" t="s">
        <v>96</v>
      </c>
      <c r="AC68" s="57" t="s">
        <v>72</v>
      </c>
      <c r="AD68" s="57" t="s">
        <v>72</v>
      </c>
      <c r="AE68" s="57" t="s">
        <v>72</v>
      </c>
      <c r="AF68" s="57" t="s">
        <v>72</v>
      </c>
      <c r="AG68" s="57" t="s">
        <v>72</v>
      </c>
      <c r="AH68" s="57" t="s">
        <v>87</v>
      </c>
      <c r="AI68" t="str">
        <f>VLOOKUP($Q68,武学奇术!$A:$ZZ,25,FALSE)</f>
        <v>扇</v>
      </c>
      <c r="AJ68" s="41">
        <f>VLOOKUP($Q68,武学奇术!$A:$ZZ,26,FALSE)</f>
        <v>4.376825</v>
      </c>
      <c r="AK68" s="42">
        <f>VLOOKUP($Q68,武学奇术!$A:$ZZ,27,FALSE)*(1+IF(OR($AI68=$F$4,$AI68=$F$5),$B$22,0))</f>
        <v>1695.05</v>
      </c>
      <c r="AL68" s="41">
        <f>VLOOKUP($Q68,武学奇术!$A:$ZZ,28,FALSE)</f>
        <v>6.56531</v>
      </c>
      <c r="AM68" s="42">
        <f>VLOOKUP($Q68,武学奇术!$A:$ZZ,29,FALSE)*(1+IF(OR($AI68=$F$4,$AI68=$F$5),$B$22,0))</f>
        <v>923.65</v>
      </c>
      <c r="AN68" s="41" cm="1">
        <f t="array" ref="AN68">$G$3+IFERROR(VLOOKUP($AI68,$F$4:$G$7,2,FALSE),0)+VLOOKUP($Q68,武学奇术!$A:$ZZ,2,FALSE)+SUM(_xlfn.XLOOKUP($R68:$AH68,增益!$A:$A,增益!$B:$B,0))</f>
        <v>0.4189</v>
      </c>
      <c r="AO68" s="41" cm="1">
        <f t="array" ref="AO68">VLOOKUP($Q68,武学奇术!$A:$ZZ,5,FALSE)+SUM(_xlfn.XLOOKUP($R68:$AH68,增益!$A:$A,增益!$E:$E,0))</f>
        <v>0.075</v>
      </c>
      <c r="AP68" cm="1">
        <f t="array" ref="AP68">$D$10*(1+$AO68)+VLOOKUP($Q68,武学奇术!$A:$ZZ,3,FALSE)+SUM(_xlfn.XLOOKUP($R68:$AH68,增益!$A:$A,增益!$C:$C,0))-$I$2</f>
        <v>1974.055</v>
      </c>
      <c r="AQ68" cm="1">
        <f t="array" ref="AQ68">$E$10*(1+$AO68)+VLOOKUP($Q68,武学奇术!$A:$ZZ,4,FALSE)+SUM(_xlfn.XLOOKUP($R68:$AH68,增益!$A:$A,增益!$D:$D,0))-$I$2</f>
        <v>5941.45</v>
      </c>
      <c r="AR68" s="49" cm="1">
        <f t="array" ref="AR68">IF($F$10-$I$3+VLOOKUP($Q68,武学奇术!$A:$ZZ,6,FALSE)+SUM(_xlfn.XLOOKUP(R68:AH68,增益!$A:$A,增益!$F:$F,0))&gt;0,($F$10-$I$3+VLOOKUP($Q68,武学奇术!$A:$ZZ,6,FALSE)+SUM(_xlfn.XLOOKUP(R68:AH68,增益!$A:$A,增益!$F:$F,0)))/200,($F$10-$I$3+VLOOKUP($Q68,武学奇术!$A:$ZZ,6,FALSE)+SUM(_xlfn.XLOOKUP(R68:AH68,增益!$A:$A,增益!$F:$F,0)))/100)</f>
        <v>0.3425</v>
      </c>
      <c r="AS68" s="49" cm="1">
        <f t="array" ref="AS68">$G$10+VLOOKUP($Q68,武学奇术!$A:$ZZ,7,FALSE)+SUM(_xlfn.XLOOKUP(R68:AH68,增益!$A:$A,增益!$G:$G,0))</f>
        <v>0.1</v>
      </c>
      <c r="AT68" s="41" cm="1">
        <f t="array" ref="AT68">VLOOKUP($Q68,武学奇术!$A:$ZZ,8,FALSE)+SUM(_xlfn.XLOOKUP(R68:AH68,增益!$A:$A,增益!$H:$H,0))</f>
        <v>0</v>
      </c>
      <c r="AU68">
        <f t="shared" si="23"/>
        <v>0</v>
      </c>
      <c r="AV68">
        <f t="shared" si="24"/>
        <v>0</v>
      </c>
      <c r="AW68" s="49" cm="1">
        <f t="array" ref="AW68">IF($F$11-$I$4+VLOOKUP($Q68,武学奇术!$A:$ZZ,9,FALSE)+SUM(_xlfn.XLOOKUP(R68:AH68,增益!$A:$A,增益!$I:$I,0))&gt;0,($F$11-$I$4+VLOOKUP($Q68,武学奇术!$A:$ZZ,9,FALSE)+SUM(_xlfn.XLOOKUP(R68:AH68,增益!$A:$A,增益!$I:$I,0)))/200,($F$11-$I$4+VLOOKUP($Q68,武学奇术!$A:$ZZ,9,FALSE)+SUM(_xlfn.XLOOKUP(R68:AH68,增益!$A:$A,增益!$I:$I,0)))/100)</f>
        <v>-0.14</v>
      </c>
      <c r="AX68" s="49" cm="1">
        <f t="array" ref="AX68">$G$11+VLOOKUP($Q68,武学奇术!$A:$ZZ,10,FALSE)+SUM(_xlfn.XLOOKUP(R68:AH68,增益!$A:$A,增益!$J:$J,0))</f>
        <v>0</v>
      </c>
      <c r="AY68">
        <f t="shared" si="25"/>
        <v>0</v>
      </c>
      <c r="AZ68">
        <f t="shared" si="26"/>
        <v>0</v>
      </c>
      <c r="BA68" s="49" cm="1">
        <f t="array" ref="BA68">IF($F$12-$I$4+VLOOKUP($Q68,武学奇术!$A:$ZZ,11,FALSE)+SUM(_xlfn.XLOOKUP(R68:AH68,增益!$A:$A,增益!$K:$K,0))&gt;0,($F$12-$I$4+VLOOKUP($Q68,武学奇术!$A:$ZZ,11,FALSE)+SUM(_xlfn.XLOOKUP(R68:AH68,增益!$A:$A,增益!$K:$K,0)))/200,($F$12-$I$4+VLOOKUP($Q68,武学奇术!$A:$ZZ,11,FALSE)+SUM(_xlfn.XLOOKUP(R68:AH68,增益!$A:$A,增益!$K:$K,0)))/100)</f>
        <v>-0.14</v>
      </c>
      <c r="BB68" s="49" cm="1">
        <f t="array" ref="BB68">$G$12+VLOOKUP($Q68,武学奇术!$A:$ZZ,12,FALSE)+SUM(_xlfn.XLOOKUP(R68:AH68,增益!$A:$A,增益!$L:$L,0))</f>
        <v>0</v>
      </c>
      <c r="BC68">
        <f t="shared" si="27"/>
        <v>571.2</v>
      </c>
      <c r="BD68">
        <f t="shared" si="28"/>
        <v>1077.4</v>
      </c>
      <c r="BE68" s="49" cm="1">
        <f t="array" ref="BE68">IF($F$13-$I$4+VLOOKUP($Q68,武学奇术!$A:$ZZ,13,FALSE)+SUM(_xlfn.XLOOKUP(R68:AH68,增益!$A:$A,增益!$M:$M,0))&gt;0,($F$13-$I$4+VLOOKUP($Q68,武学奇术!$A:$ZZ,13,FALSE)+SUM(_xlfn.XLOOKUP(R68:AH68,增益!$A:$A,增益!$K:$K,0)))/200,($F$13-$I$4+VLOOKUP($Q68,武学奇术!$A:$ZZ,13,FALSE)+SUM(_xlfn.XLOOKUP(R68:AH68,增益!$A:$A,增益!$M:$M,0)))/100)</f>
        <v>0.08</v>
      </c>
      <c r="BF68" s="49" cm="1">
        <f t="array" ref="BF68">$G$13+VLOOKUP($Q68,武学奇术!$A:$ZZ,14,FALSE)+SUM(_xlfn.XLOOKUP(R68:AH68,增益!$A:$A,增益!$N:$N,0))</f>
        <v>0.25</v>
      </c>
      <c r="BG68">
        <f t="shared" si="29"/>
        <v>0</v>
      </c>
      <c r="BH68">
        <f t="shared" si="30"/>
        <v>0</v>
      </c>
      <c r="BI68" s="49" cm="1">
        <f t="array" ref="BI68">IF($F$14-$I$4+VLOOKUP($Q68,武学奇术!$A:$ZZ,15,FALSE)+SUM(_xlfn.XLOOKUP(R68:AH68,增益!$A:$A,增益!$O:$O,0))&gt;0,($F$14-$I$4+VLOOKUP($Q68,武学奇术!$A:$ZZ,15,FALSE)+SUM(_xlfn.XLOOKUP(R68:AH68,增益!$A:$A,增益!$O:$O,0)))/200,($F$14-$I$4+VLOOKUP($Q68,武学奇术!$A:$ZZ,15,FALSE)+SUM(_xlfn.XLOOKUP(R68:AH68,增益!$A:$A,增益!$O:$O,0)))/100)</f>
        <v>-0.14</v>
      </c>
      <c r="BJ68" s="49" cm="1">
        <f t="array" ref="BJ68">$G$14+VLOOKUP($Q68,武学奇术!$A:$ZZ,16,FALSE)+SUM(_xlfn.XLOOKUP(R68:AH68,增益!$A:$A,增益!$P:$P,0))</f>
        <v>0</v>
      </c>
      <c r="BK68" s="41">
        <f>MIN(IF(VLOOKUP($Q68,武学奇术!$A:$ZZ,23,FALSE)=1,100%,$B$8),100%)</f>
        <v>1</v>
      </c>
      <c r="BL68" s="41" cm="1">
        <f t="array" ref="BL68">IF(VLOOKUP($Q68,武学奇术!$A:$ZZ,23,FALSE)=1,100%,MIN(80%,$B$9+VLOOKUP($Q68,武学奇术!$A:$ZZ,17,FALSE)+SUM(_xlfn.XLOOKUP(R68:AH68,增益!$A:$A,增益!$Q:$Q,0)))+$B$11+SUM(_xlfn.XLOOKUP(R68:AH68,增益!$A:$A,增益!$U:$U,0)))*IF(VLOOKUP($Q68,武学奇术!$A:$ZZ,24,FALSE)=1,0,1)</f>
        <v>0.9045</v>
      </c>
      <c r="BM68" s="41" cm="1">
        <f t="array" ref="BM68">1+$B$13+VLOOKUP($Q68,武学奇术!$A:$ZZ,18,FALSE)+SUM(_xlfn.XLOOKUP(R68:AH68,增益!$A:$A,增益!$R:$R,0))</f>
        <v>1.96</v>
      </c>
      <c r="BN68" s="41" cm="1">
        <f t="array" ref="BN68">IF(VLOOKUP($Q68,武学奇术!$A:$ZZ,24,FALSE)=1,100%,MIN(40%,$B$10+VLOOKUP($Q68,武学奇术!$A:$ZZ,19,FALSE)+SUM(_xlfn.XLOOKUP(R68:AH68,增益!$A:$A,增益!$S:$S,0)))+$B$12+SUM(_xlfn.XLOOKUP(R68:AH68,增益!$A:$A,增益!$V:$V,0)))*IF(VLOOKUP($Q68,武学奇术!$A:$ZZ,23,FALSE)=1,0,1)</f>
        <v>0.0929</v>
      </c>
      <c r="BO68" s="41" cm="1">
        <f t="array" ref="BO68">1+$B$14+VLOOKUP($Q68,武学奇术!$A:$ZZ,20,FALSE)+SUM(_xlfn.XLOOKUP(R68:AH68,增益!$A:$A,增益!$T:$T,0))</f>
        <v>1.35</v>
      </c>
      <c r="BP68" s="41">
        <f>MIN((1-BN68)*BK68,BK68*BL68)</f>
        <v>0.9045</v>
      </c>
      <c r="BQ68" s="41">
        <f>1-BN68-BP68-BR68</f>
        <v>0.00260000000000005</v>
      </c>
      <c r="BR68" s="41">
        <f>IF(VLOOKUP($Q68,武学奇术!$A:$ZZ,22,FALSE)=1,0,(1-$BK68))*(1-$BN68)</f>
        <v>0</v>
      </c>
      <c r="BS68" s="41" cm="1">
        <f t="array" ref="BS68">SUM(_xlfn.XLOOKUP(R68:AH68,增益!$A:$A,增益!$W:$W,0))+$I$5</f>
        <v>0.11</v>
      </c>
    </row>
    <row r="69" spans="1:71">
      <c r="A69" s="4"/>
      <c r="B69" s="4"/>
      <c r="C69"/>
      <c r="K69" s="55">
        <f t="shared" si="22"/>
        <v>89886.4906434617</v>
      </c>
      <c r="L69" s="55">
        <f>((($AP69+$AQ69)/2*$AJ69+$AK69)*(1+$AR69)*(1+$AS69)+(($AU69+$AV69)/2*IF($G$1="鸣金",$AL69,$AJ69)+IF($G$1="鸣金",$AM69*1.5,0))*(1+$AW69)*(1+$AX69)+(($AY69+$AZ69)/2*IF($G$1="裂石",$AL69,$AJ69)+IF($G$1="裂石",$AM69*1.5,0))*(1+$BA69)*(1+$BB69)+(($BC69+$BD69)/2*IF($G$1="牵丝",$AL69,$AJ69)+IF($G$1="牵丝",$AM69*1.5,0))*(1+$BE69)*(1+$BF69)+(($BG69+$BH69)/2*IF($G$1="破竹",$AL69,$AJ69)+IF($G$1="破竹",$AM69*1.5,0))*(1+$BI69)*(1+$BJ69))*(1+$AN69)*$BM69*$P69*(1+IF(VLOOKUP($Q69,武学奇术!$A:$ZZ,30,FALSE)="弹道",$B$21,0))*(1+$BS69)</f>
        <v>90272.1583171748</v>
      </c>
      <c r="M69" s="55">
        <f>(($AQ69*$AJ69+$AK69)*(1+$AR69)*(1+$AS69)+($AV69*IF($G$1="鸣金",$AL69,$AJ69)+IF($G$1="鸣金",$AM69*1.5,0))*(1+$AW69)*(1+$AX69)+($AZ69*IF($G$1="裂石",$AL69,$AJ69)+IF($G$1="裂石",$AM69*1.5,0))*(1+$BA69)*(1+$BB69)+($BD69*IF($G$1="牵丝",$AL69,$AJ69)+IF($G$1="牵丝",$AM69*1.5,0))*(1+$BE69)*(1+$BF69)+($BH69*IF($G$1="破竹",$AL69,$AJ69)+IF($G$1="破竹",$AM69*1.5,0))*(1+$BI69)*(1+$BJ69))*(1+$AN69)*$BO69*$P69*(1+IF(VLOOKUP($Q69,武学奇术!$A:$ZZ,30,FALSE)="弹道",$B$21,0))*(1+$BS69)</f>
        <v>87358.1772242833</v>
      </c>
      <c r="N69" s="55">
        <f>((($AP69+$AQ69)/2*$AJ69+$AK69)*(1+$AR69)*(1+$AS69)+(($AU69+$AV69)/2*IF($G$1="鸣金",$AL69,$AJ69)+IF($G$1="鸣金",$AM69*1.5,0))*(1+$AW69)*(1+$AX69)+(($AY69+$AZ69)/2*IF($G$1="裂石",$AL69,$AJ69)+IF($G$1="裂石",$AM69*1.5,0))*(1+$BA69)*(1+$BB69)+(($BC69+$BD69)/2*IF($G$1="牵丝",$AL69,$AJ69)+IF($G$1="牵丝",$AM69*1.5,0))*(1+$BE69)*(1+$BF69)+(($BG69+$BH69)/2*IF($G$1="破竹",$AL69,$AJ69)+IF($G$1="破竹",$AM69*1.5,0))*(1+$BI69)*(1+$BJ69))*(1+$AN69)*$P69*(1+IF(VLOOKUP($Q69,武学奇术!$A:$ZZ,30,FALSE)="弹道",$B$21,0))*(1+$BS69)</f>
        <v>46057.2236312116</v>
      </c>
      <c r="O69" s="55">
        <f>((($AP69*$AJ69+$AK69)*(1+$AR69)*(1+$AS69)+($AU69*IF($G$1="鸣金",$AL69,$AJ69)+IF($G$1="鸣金",$AM69*1.5,0))*(1+$AW69)*(1+$AX69)+($AY69*IF($G$1="裂石",$AL69,$AJ69)+IF($G$1="裂石",$AM69*1.5,0))*(1+$BA69)*(1+$BB69)+($BC69*IF($G$1="牵丝",$AL69,$AJ69)+IF($G$1="牵丝",$AM69*1.5,0))*(1+$BE69)*(1+$BF69)+($BG69*IF($G$1="破竹",$AL69,$AJ69)+IF($G$1="破竹",$AM69*1.5,0))*(1+$BI69)*(1+$BJ69))*(1+$AN69))*$P69*(1+IF(VLOOKUP($Q69,武学奇术!$A:$ZZ,30,FALSE)="弹道",$B$21,0))*(1+$BS69)</f>
        <v>27404.6863555468</v>
      </c>
      <c r="P69" s="56">
        <v>1</v>
      </c>
      <c r="Q69" s="57" t="s">
        <v>84</v>
      </c>
      <c r="R69" s="57" t="s">
        <v>116</v>
      </c>
      <c r="S69" s="57" t="s">
        <v>153</v>
      </c>
      <c r="T69" s="57" t="s">
        <v>92</v>
      </c>
      <c r="U69" s="57" t="s">
        <v>107</v>
      </c>
      <c r="V69" s="57" t="s">
        <v>86</v>
      </c>
      <c r="W69" s="57" t="s">
        <v>72</v>
      </c>
      <c r="X69" s="57" t="s">
        <v>72</v>
      </c>
      <c r="Y69" s="57" t="s">
        <v>72</v>
      </c>
      <c r="Z69" s="57" t="s">
        <v>72</v>
      </c>
      <c r="AA69" s="57" t="s">
        <v>72</v>
      </c>
      <c r="AB69" s="57" t="s">
        <v>96</v>
      </c>
      <c r="AC69" s="57" t="s">
        <v>72</v>
      </c>
      <c r="AD69" s="57" t="s">
        <v>72</v>
      </c>
      <c r="AE69" s="57" t="s">
        <v>72</v>
      </c>
      <c r="AF69" s="57" t="s">
        <v>72</v>
      </c>
      <c r="AG69" s="57" t="s">
        <v>72</v>
      </c>
      <c r="AH69" s="57" t="s">
        <v>87</v>
      </c>
      <c r="AI69" t="str">
        <f>VLOOKUP($Q69,武学奇术!$A:$ZZ,25,FALSE)</f>
        <v>伞</v>
      </c>
      <c r="AJ69" s="41">
        <f>VLOOKUP($Q69,武学奇术!$A:$ZZ,26,FALSE)</f>
        <v>2.3397</v>
      </c>
      <c r="AK69" s="42">
        <f>VLOOKUP($Q69,武学奇术!$A:$ZZ,27,FALSE)*(1+IF(OR($AI69=$F$4,$AI69=$F$5),$B$22,0))</f>
        <v>907.2</v>
      </c>
      <c r="AL69" s="41">
        <f>VLOOKUP($Q69,武学奇术!$A:$ZZ,28,FALSE)</f>
        <v>3.5095</v>
      </c>
      <c r="AM69" s="42">
        <f>VLOOKUP($Q69,武学奇术!$A:$ZZ,29,FALSE)*(1+IF(OR($AI69=$F$4,$AI69=$F$5),$B$22,0))</f>
        <v>494.2</v>
      </c>
      <c r="AN69" s="41" cm="1">
        <f t="array" ref="AN69">$G$3+IFERROR(VLOOKUP($AI69,$F$4:$G$7,2,FALSE),0)+VLOOKUP($Q69,武学奇术!$A:$ZZ,2,FALSE)+SUM(_xlfn.XLOOKUP($R69:$AH69,增益!$A:$A,增益!$B:$B,0))</f>
        <v>1.0541</v>
      </c>
      <c r="AO69" s="41" cm="1">
        <f t="array" ref="AO69">VLOOKUP($Q69,武学奇术!$A:$ZZ,5,FALSE)+SUM(_xlfn.XLOOKUP($R69:$AH69,增益!$A:$A,增益!$E:$E,0))</f>
        <v>0.075</v>
      </c>
      <c r="AP69" cm="1">
        <f t="array" ref="AP69">$D$10*(1+$AO69)+VLOOKUP($Q69,武学奇术!$A:$ZZ,3,FALSE)+SUM(_xlfn.XLOOKUP($R69:$AH69,增益!$A:$A,增益!$C:$C,0))-$I$2</f>
        <v>1974.055</v>
      </c>
      <c r="AQ69" cm="1">
        <f t="array" ref="AQ69">$E$10*(1+$AO69)+VLOOKUP($Q69,武学奇术!$A:$ZZ,4,FALSE)+SUM(_xlfn.XLOOKUP($R69:$AH69,增益!$A:$A,增益!$D:$D,0))-$I$2</f>
        <v>5941.45</v>
      </c>
      <c r="AR69" s="49" cm="1">
        <f t="array" ref="AR69">IF($F$10-$I$3+VLOOKUP($Q69,武学奇术!$A:$ZZ,6,FALSE)+SUM(_xlfn.XLOOKUP(R69:AH69,增益!$A:$A,增益!$F:$F,0))&gt;0,($F$10-$I$3+VLOOKUP($Q69,武学奇术!$A:$ZZ,6,FALSE)+SUM(_xlfn.XLOOKUP(R69:AH69,增益!$A:$A,增益!$F:$F,0)))/200,($F$10-$I$3+VLOOKUP($Q69,武学奇术!$A:$ZZ,6,FALSE)+SUM(_xlfn.XLOOKUP(R69:AH69,增益!$A:$A,增益!$F:$F,0)))/100)</f>
        <v>0.3675</v>
      </c>
      <c r="AS69" s="49" cm="1">
        <f t="array" ref="AS69">$G$10+VLOOKUP($Q69,武学奇术!$A:$ZZ,7,FALSE)+SUM(_xlfn.XLOOKUP(R69:AH69,增益!$A:$A,增益!$G:$G,0))</f>
        <v>0.1</v>
      </c>
      <c r="AT69" s="41" cm="1">
        <f t="array" ref="AT69">VLOOKUP($Q69,武学奇术!$A:$ZZ,8,FALSE)+SUM(_xlfn.XLOOKUP(R69:AH69,增益!$A:$A,增益!$H:$H,0))</f>
        <v>0</v>
      </c>
      <c r="AU69">
        <f t="shared" si="23"/>
        <v>0</v>
      </c>
      <c r="AV69">
        <f t="shared" si="24"/>
        <v>0</v>
      </c>
      <c r="AW69" s="49" cm="1">
        <f t="array" ref="AW69">IF($F$11-$I$4+VLOOKUP($Q69,武学奇术!$A:$ZZ,9,FALSE)+SUM(_xlfn.XLOOKUP(R69:AH69,增益!$A:$A,增益!$I:$I,0))&gt;0,($F$11-$I$4+VLOOKUP($Q69,武学奇术!$A:$ZZ,9,FALSE)+SUM(_xlfn.XLOOKUP(R69:AH69,增益!$A:$A,增益!$I:$I,0)))/200,($F$11-$I$4+VLOOKUP($Q69,武学奇术!$A:$ZZ,9,FALSE)+SUM(_xlfn.XLOOKUP(R69:AH69,增益!$A:$A,增益!$I:$I,0)))/100)</f>
        <v>-0.14</v>
      </c>
      <c r="AX69" s="49" cm="1">
        <f t="array" ref="AX69">$G$11+VLOOKUP($Q69,武学奇术!$A:$ZZ,10,FALSE)+SUM(_xlfn.XLOOKUP(R69:AH69,增益!$A:$A,增益!$J:$J,0))</f>
        <v>0</v>
      </c>
      <c r="AY69">
        <f t="shared" si="25"/>
        <v>0</v>
      </c>
      <c r="AZ69">
        <f t="shared" si="26"/>
        <v>0</v>
      </c>
      <c r="BA69" s="49" cm="1">
        <f t="array" ref="BA69">IF($F$12-$I$4+VLOOKUP($Q69,武学奇术!$A:$ZZ,11,FALSE)+SUM(_xlfn.XLOOKUP(R69:AH69,增益!$A:$A,增益!$K:$K,0))&gt;0,($F$12-$I$4+VLOOKUP($Q69,武学奇术!$A:$ZZ,11,FALSE)+SUM(_xlfn.XLOOKUP(R69:AH69,增益!$A:$A,增益!$K:$K,0)))/200,($F$12-$I$4+VLOOKUP($Q69,武学奇术!$A:$ZZ,11,FALSE)+SUM(_xlfn.XLOOKUP(R69:AH69,增益!$A:$A,增益!$K:$K,0)))/100)</f>
        <v>-0.14</v>
      </c>
      <c r="BB69" s="49" cm="1">
        <f t="array" ref="BB69">$G$12+VLOOKUP($Q69,武学奇术!$A:$ZZ,12,FALSE)+SUM(_xlfn.XLOOKUP(R69:AH69,增益!$A:$A,增益!$L:$L,0))</f>
        <v>0</v>
      </c>
      <c r="BC69">
        <f t="shared" si="27"/>
        <v>571.2</v>
      </c>
      <c r="BD69">
        <f t="shared" si="28"/>
        <v>1077.4</v>
      </c>
      <c r="BE69" s="49" cm="1">
        <f t="array" ref="BE69">IF($F$13-$I$4+VLOOKUP($Q69,武学奇术!$A:$ZZ,13,FALSE)+SUM(_xlfn.XLOOKUP(R69:AH69,增益!$A:$A,增益!$M:$M,0))&gt;0,($F$13-$I$4+VLOOKUP($Q69,武学奇术!$A:$ZZ,13,FALSE)+SUM(_xlfn.XLOOKUP(R69:AH69,增益!$A:$A,增益!$K:$K,0)))/200,($F$13-$I$4+VLOOKUP($Q69,武学奇术!$A:$ZZ,13,FALSE)+SUM(_xlfn.XLOOKUP(R69:AH69,增益!$A:$A,增益!$M:$M,0)))/100)</f>
        <v>0.08</v>
      </c>
      <c r="BF69" s="49" cm="1">
        <f t="array" ref="BF69">$G$13+VLOOKUP($Q69,武学奇术!$A:$ZZ,14,FALSE)+SUM(_xlfn.XLOOKUP(R69:AH69,增益!$A:$A,增益!$N:$N,0))</f>
        <v>0.25</v>
      </c>
      <c r="BG69">
        <f t="shared" si="29"/>
        <v>0</v>
      </c>
      <c r="BH69">
        <f t="shared" si="30"/>
        <v>0</v>
      </c>
      <c r="BI69" s="49" cm="1">
        <f t="array" ref="BI69">IF($F$14-$I$4+VLOOKUP($Q69,武学奇术!$A:$ZZ,15,FALSE)+SUM(_xlfn.XLOOKUP(R69:AH69,增益!$A:$A,增益!$O:$O,0))&gt;0,($F$14-$I$4+VLOOKUP($Q69,武学奇术!$A:$ZZ,15,FALSE)+SUM(_xlfn.XLOOKUP(R69:AH69,增益!$A:$A,增益!$O:$O,0)))/200,($F$14-$I$4+VLOOKUP($Q69,武学奇术!$A:$ZZ,15,FALSE)+SUM(_xlfn.XLOOKUP(R69:AH69,增益!$A:$A,增益!$O:$O,0)))/100)</f>
        <v>-0.14</v>
      </c>
      <c r="BJ69" s="49" cm="1">
        <f t="array" ref="BJ69">$G$14+VLOOKUP($Q69,武学奇术!$A:$ZZ,16,FALSE)+SUM(_xlfn.XLOOKUP(R69:AH69,增益!$A:$A,增益!$P:$P,0))</f>
        <v>0</v>
      </c>
      <c r="BK69" s="41">
        <f>MIN(IF(VLOOKUP($Q69,武学奇术!$A:$ZZ,23,FALSE)=1,100%,$B$8),100%)</f>
        <v>1</v>
      </c>
      <c r="BL69" s="41" cm="1">
        <f t="array" ref="BL69">IF(VLOOKUP($Q69,武学奇术!$A:$ZZ,23,FALSE)=1,100%,MIN(80%,$B$9+VLOOKUP($Q69,武学奇术!$A:$ZZ,17,FALSE)+SUM(_xlfn.XLOOKUP(R69:AH69,增益!$A:$A,增益!$Q:$Q,0)))+$B$11+SUM(_xlfn.XLOOKUP(R69:AH69,增益!$A:$A,增益!$U:$U,0)))*IF(VLOOKUP($Q69,武学奇术!$A:$ZZ,24,FALSE)=1,0,1)</f>
        <v>0.9045</v>
      </c>
      <c r="BM69" s="41" cm="1">
        <f t="array" ref="BM69">1+$B$13+VLOOKUP($Q69,武学奇术!$A:$ZZ,18,FALSE)+SUM(_xlfn.XLOOKUP(R69:AH69,增益!$A:$A,增益!$R:$R,0))</f>
        <v>1.96</v>
      </c>
      <c r="BN69" s="41" cm="1">
        <f t="array" ref="BN69">IF(VLOOKUP($Q69,武学奇术!$A:$ZZ,24,FALSE)=1,100%,MIN(40%,$B$10+VLOOKUP($Q69,武学奇术!$A:$ZZ,19,FALSE)+SUM(_xlfn.XLOOKUP(R69:AH69,增益!$A:$A,增益!$S:$S,0)))+$B$12+SUM(_xlfn.XLOOKUP(R69:AH69,增益!$A:$A,增益!$V:$V,0)))*IF(VLOOKUP($Q69,武学奇术!$A:$ZZ,23,FALSE)=1,0,1)</f>
        <v>0.0929</v>
      </c>
      <c r="BO69" s="41" cm="1">
        <f t="array" ref="BO69">1+$B$14+VLOOKUP($Q69,武学奇术!$A:$ZZ,20,FALSE)+SUM(_xlfn.XLOOKUP(R69:AH69,增益!$A:$A,增益!$T:$T,0))</f>
        <v>1.35</v>
      </c>
      <c r="BP69" s="41">
        <f>MIN((1-BN69)*BK69,BK69*BL69)</f>
        <v>0.9045</v>
      </c>
      <c r="BQ69" s="41">
        <f>1-BN69-BP69-BR69</f>
        <v>0.00260000000000005</v>
      </c>
      <c r="BR69" s="41">
        <f>IF(VLOOKUP($Q69,武学奇术!$A:$ZZ,22,FALSE)=1,0,(1-$BK69))*(1-$BN69)</f>
        <v>0</v>
      </c>
      <c r="BS69" s="41" cm="1">
        <f t="array" ref="BS69">SUM(_xlfn.XLOOKUP(R69:AH69,增益!$A:$A,增益!$W:$W,0))+$I$5</f>
        <v>0.11</v>
      </c>
    </row>
    <row r="70" spans="1:71">
      <c r="A70" s="4"/>
      <c r="B70" s="4"/>
      <c r="K70" s="55">
        <f t="shared" si="22"/>
        <v>36677.8149707334</v>
      </c>
      <c r="L70" s="55">
        <f>((($AP70+$AQ70)/2*$AJ70+$AK70)*(1+$AR70)*(1+$AS70)+(($AU70+$AV70)/2*IF($G$1="鸣金",$AL70,$AJ70)+IF($G$1="鸣金",$AM70*1.5,0))*(1+$AW70)*(1+$AX70)+(($AY70+$AZ70)/2*IF($G$1="裂石",$AL70,$AJ70)+IF($G$1="裂石",$AM70*1.5,0))*(1+$BA70)*(1+$BB70)+(($BC70+$BD70)/2*IF($G$1="牵丝",$AL70,$AJ70)+IF($G$1="牵丝",$AM70*1.5,0))*(1+$BE70)*(1+$BF70)+(($BG70+$BH70)/2*IF($G$1="破竹",$AL70,$AJ70)+IF($G$1="破竹",$AM70*1.5,0))*(1+$BI70)*(1+$BJ70))*(1+$AN70)*$BM70*$P70*(1+IF(VLOOKUP($Q70,武学奇术!$A:$ZZ,30,FALSE)="弹道",$B$21,0))*(1+$BS70)</f>
        <v>36093.117142614</v>
      </c>
      <c r="M70" s="55">
        <f>(($AQ70*$AJ70+$AK70)*(1+$AR70)*(1+$AS70)+($AV70*IF($G$1="鸣金",$AL70,$AJ70)+IF($G$1="鸣金",$AM70*1.5,0))*(1+$AW70)*(1+$AX70)+($AZ70*IF($G$1="裂石",$AL70,$AJ70)+IF($G$1="裂石",$AM70*1.5,0))*(1+$BA70)*(1+$BB70)+($BD70*IF($G$1="牵丝",$AL70,$AJ70)+IF($G$1="牵丝",$AM70*1.5,0))*(1+$BE70)*(1+$BF70)+($BH70*IF($G$1="破竹",$AL70,$AJ70)+IF($G$1="破竹",$AM70*1.5,0))*(1+$BI70)*(1+$BJ70))*(1+$AN70)*$BO70*$P70*(1+IF(VLOOKUP($Q70,武学奇术!$A:$ZZ,30,FALSE)="弹道",$B$21,0))*(1+$BS70)</f>
        <v>42765.761032102</v>
      </c>
      <c r="N70" s="55">
        <f>((($AP70+$AQ70)/2*$AJ70+$AK70)*(1+$AR70)*(1+$AS70)+(($AU70+$AV70)/2*IF($G$1="鸣金",$AL70,$AJ70)+IF($G$1="鸣金",$AM70*1.5,0))*(1+$AW70)*(1+$AX70)+(($AY70+$AZ70)/2*IF($G$1="裂石",$AL70,$AJ70)+IF($G$1="裂石",$AM70*1.5,0))*(1+$BA70)*(1+$BB70)+(($BC70+$BD70)/2*IF($G$1="牵丝",$AL70,$AJ70)+IF($G$1="牵丝",$AM70*1.5,0))*(1+$BE70)*(1+$BF70)+(($BG70+$BH70)/2*IF($G$1="破竹",$AL70,$AJ70)+IF($G$1="破竹",$AM70*1.5,0))*(1+$BI70)*(1+$BJ70))*(1+$AN70)*$P70*(1+IF(VLOOKUP($Q70,武学奇术!$A:$ZZ,30,FALSE)="弹道",$B$21,0))*(1+$BS70)</f>
        <v>22558.1982141338</v>
      </c>
      <c r="O70" s="55">
        <f>((($AP70*$AJ70+$AK70)*(1+$AR70)*(1+$AS70)+($AU70*IF($G$1="鸣金",$AL70,$AJ70)+IF($G$1="鸣金",$AM70*1.5,0))*(1+$AW70)*(1+$AX70)+($AY70*IF($G$1="裂石",$AL70,$AJ70)+IF($G$1="裂石",$AM70*1.5,0))*(1+$BA70)*(1+$BB70)+($BC70*IF($G$1="牵丝",$AL70,$AJ70)+IF($G$1="牵丝",$AM70*1.5,0))*(1+$BE70)*(1+$BF70)+($BG70*IF($G$1="破竹",$AL70,$AJ70)+IF($G$1="破竹",$AM70*1.5,0))*(1+$BI70)*(1+$BJ70))*(1+$AN70))*$P70*(1+IF(VLOOKUP($Q70,武学奇术!$A:$ZZ,30,FALSE)="弹道",$B$21,0))*(1+$BS70)</f>
        <v>13438.0549230068</v>
      </c>
      <c r="P70" s="56">
        <v>1</v>
      </c>
      <c r="Q70" s="57" t="s">
        <v>94</v>
      </c>
      <c r="R70" s="57" t="s">
        <v>116</v>
      </c>
      <c r="S70" s="57" t="s">
        <v>153</v>
      </c>
      <c r="T70" s="57" t="s">
        <v>72</v>
      </c>
      <c r="U70" s="57" t="s">
        <v>107</v>
      </c>
      <c r="V70" s="57" t="s">
        <v>72</v>
      </c>
      <c r="W70" s="57" t="s">
        <v>72</v>
      </c>
      <c r="X70" s="57" t="s">
        <v>72</v>
      </c>
      <c r="Y70" s="57" t="s">
        <v>72</v>
      </c>
      <c r="Z70" s="57" t="s">
        <v>72</v>
      </c>
      <c r="AA70" s="57" t="s">
        <v>72</v>
      </c>
      <c r="AB70" s="57" t="s">
        <v>96</v>
      </c>
      <c r="AC70" s="57" t="s">
        <v>72</v>
      </c>
      <c r="AD70" s="57" t="s">
        <v>72</v>
      </c>
      <c r="AE70" s="57" t="s">
        <v>72</v>
      </c>
      <c r="AF70" s="57" t="s">
        <v>72</v>
      </c>
      <c r="AG70" s="57" t="s">
        <v>72</v>
      </c>
      <c r="AH70" s="57" t="s">
        <v>87</v>
      </c>
      <c r="AI70" t="str">
        <f>VLOOKUP($Q70,武学奇术!$A:$ZZ,25,FALSE)</f>
        <v>伞</v>
      </c>
      <c r="AJ70" s="41">
        <f>VLOOKUP($Q70,武学奇术!$A:$ZZ,26,FALSE)</f>
        <v>1.7001</v>
      </c>
      <c r="AK70" s="42">
        <f>VLOOKUP($Q70,武学奇术!$A:$ZZ,27,FALSE)*(1+IF(OR($AI70=$F$4,$AI70=$F$5),$B$22,0))</f>
        <v>659.4</v>
      </c>
      <c r="AL70" s="41">
        <f>VLOOKUP($Q70,武学奇术!$A:$ZZ,28,FALSE)</f>
        <v>2.5502</v>
      </c>
      <c r="AM70" s="42">
        <f>VLOOKUP($Q70,武学奇术!$A:$ZZ,29,FALSE)*(1+IF(OR($AI70=$F$4,$AI70=$F$5),$B$22,0))</f>
        <v>358.4</v>
      </c>
      <c r="AN70" s="41" cm="1">
        <f t="array" ref="AN70">$G$3+IFERROR(VLOOKUP($AI70,$F$4:$G$7,2,FALSE),0)+VLOOKUP($Q70,武学奇术!$A:$ZZ,2,FALSE)+SUM(_xlfn.XLOOKUP($R70:$AH70,增益!$A:$A,增益!$B:$B,0))</f>
        <v>0.4041</v>
      </c>
      <c r="AO70" s="41" cm="1">
        <f t="array" ref="AO70">VLOOKUP($Q70,武学奇术!$A:$ZZ,5,FALSE)+SUM(_xlfn.XLOOKUP($R70:$AH70,增益!$A:$A,增益!$E:$E,0))</f>
        <v>0.075</v>
      </c>
      <c r="AP70" cm="1">
        <f t="array" ref="AP70">$D$10*(1+$AO70)+VLOOKUP($Q70,武学奇术!$A:$ZZ,3,FALSE)+SUM(_xlfn.XLOOKUP($R70:$AH70,增益!$A:$A,增益!$C:$C,0))-$I$2</f>
        <v>1974.055</v>
      </c>
      <c r="AQ70" cm="1">
        <f t="array" ref="AQ70">$E$10*(1+$AO70)+VLOOKUP($Q70,武学奇术!$A:$ZZ,4,FALSE)+SUM(_xlfn.XLOOKUP($R70:$AH70,增益!$A:$A,增益!$D:$D,0))-$I$2</f>
        <v>5941.45</v>
      </c>
      <c r="AR70" s="49" cm="1">
        <f t="array" ref="AR70">IF($F$10-$I$3+VLOOKUP($Q70,武学奇术!$A:$ZZ,6,FALSE)+SUM(_xlfn.XLOOKUP(R70:AH70,增益!$A:$A,增益!$F:$F,0))&gt;0,($F$10-$I$3+VLOOKUP($Q70,武学奇术!$A:$ZZ,6,FALSE)+SUM(_xlfn.XLOOKUP(R70:AH70,增益!$A:$A,增益!$F:$F,0)))/200,($F$10-$I$3+VLOOKUP($Q70,武学奇术!$A:$ZZ,6,FALSE)+SUM(_xlfn.XLOOKUP(R70:AH70,增益!$A:$A,增益!$F:$F,0)))/100)</f>
        <v>0.3425</v>
      </c>
      <c r="AS70" s="49" cm="1">
        <f t="array" ref="AS70">$G$10+VLOOKUP($Q70,武学奇术!$A:$ZZ,7,FALSE)+SUM(_xlfn.XLOOKUP(R70:AH70,增益!$A:$A,增益!$G:$G,0))</f>
        <v>0.1</v>
      </c>
      <c r="AT70" s="41" cm="1">
        <f t="array" ref="AT70">VLOOKUP($Q70,武学奇术!$A:$ZZ,8,FALSE)+SUM(_xlfn.XLOOKUP(R70:AH70,增益!$A:$A,增益!$H:$H,0))</f>
        <v>0</v>
      </c>
      <c r="AU70">
        <f t="shared" si="23"/>
        <v>0</v>
      </c>
      <c r="AV70">
        <f t="shared" si="24"/>
        <v>0</v>
      </c>
      <c r="AW70" s="49" cm="1">
        <f t="array" ref="AW70">IF($F$11-$I$4+VLOOKUP($Q70,武学奇术!$A:$ZZ,9,FALSE)+SUM(_xlfn.XLOOKUP(R70:AH70,增益!$A:$A,增益!$I:$I,0))&gt;0,($F$11-$I$4+VLOOKUP($Q70,武学奇术!$A:$ZZ,9,FALSE)+SUM(_xlfn.XLOOKUP(R70:AH70,增益!$A:$A,增益!$I:$I,0)))/200,($F$11-$I$4+VLOOKUP($Q70,武学奇术!$A:$ZZ,9,FALSE)+SUM(_xlfn.XLOOKUP(R70:AH70,增益!$A:$A,增益!$I:$I,0)))/100)</f>
        <v>-0.14</v>
      </c>
      <c r="AX70" s="49" cm="1">
        <f t="array" ref="AX70">$G$11+VLOOKUP($Q70,武学奇术!$A:$ZZ,10,FALSE)+SUM(_xlfn.XLOOKUP(R70:AH70,增益!$A:$A,增益!$J:$J,0))</f>
        <v>0</v>
      </c>
      <c r="AY70">
        <f t="shared" si="25"/>
        <v>0</v>
      </c>
      <c r="AZ70">
        <f t="shared" si="26"/>
        <v>0</v>
      </c>
      <c r="BA70" s="49" cm="1">
        <f t="array" ref="BA70">IF($F$12-$I$4+VLOOKUP($Q70,武学奇术!$A:$ZZ,11,FALSE)+SUM(_xlfn.XLOOKUP(R70:AH70,增益!$A:$A,增益!$K:$K,0))&gt;0,($F$12-$I$4+VLOOKUP($Q70,武学奇术!$A:$ZZ,11,FALSE)+SUM(_xlfn.XLOOKUP(R70:AH70,增益!$A:$A,增益!$K:$K,0)))/200,($F$12-$I$4+VLOOKUP($Q70,武学奇术!$A:$ZZ,11,FALSE)+SUM(_xlfn.XLOOKUP(R70:AH70,增益!$A:$A,增益!$K:$K,0)))/100)</f>
        <v>-0.14</v>
      </c>
      <c r="BB70" s="49" cm="1">
        <f t="array" ref="BB70">$G$12+VLOOKUP($Q70,武学奇术!$A:$ZZ,12,FALSE)+SUM(_xlfn.XLOOKUP(R70:AH70,增益!$A:$A,增益!$L:$L,0))</f>
        <v>0</v>
      </c>
      <c r="BC70">
        <f t="shared" si="27"/>
        <v>571.2</v>
      </c>
      <c r="BD70">
        <f t="shared" si="28"/>
        <v>1077.4</v>
      </c>
      <c r="BE70" s="49" cm="1">
        <f t="array" ref="BE70">IF($F$13-$I$4+VLOOKUP($Q70,武学奇术!$A:$ZZ,13,FALSE)+SUM(_xlfn.XLOOKUP(R70:AH70,增益!$A:$A,增益!$M:$M,0))&gt;0,($F$13-$I$4+VLOOKUP($Q70,武学奇术!$A:$ZZ,13,FALSE)+SUM(_xlfn.XLOOKUP(R70:AH70,增益!$A:$A,增益!$K:$K,0)))/200,($F$13-$I$4+VLOOKUP($Q70,武学奇术!$A:$ZZ,13,FALSE)+SUM(_xlfn.XLOOKUP(R70:AH70,增益!$A:$A,增益!$M:$M,0)))/100)</f>
        <v>0.08</v>
      </c>
      <c r="BF70" s="49" cm="1">
        <f t="array" ref="BF70">$G$13+VLOOKUP($Q70,武学奇术!$A:$ZZ,14,FALSE)+SUM(_xlfn.XLOOKUP(R70:AH70,增益!$A:$A,增益!$N:$N,0))</f>
        <v>0.25</v>
      </c>
      <c r="BG70">
        <f t="shared" si="29"/>
        <v>0</v>
      </c>
      <c r="BH70">
        <f t="shared" si="30"/>
        <v>0</v>
      </c>
      <c r="BI70" s="49" cm="1">
        <f t="array" ref="BI70">IF($F$14-$I$4+VLOOKUP($Q70,武学奇术!$A:$ZZ,15,FALSE)+SUM(_xlfn.XLOOKUP(R70:AH70,增益!$A:$A,增益!$O:$O,0))&gt;0,($F$14-$I$4+VLOOKUP($Q70,武学奇术!$A:$ZZ,15,FALSE)+SUM(_xlfn.XLOOKUP(R70:AH70,增益!$A:$A,增益!$O:$O,0)))/200,($F$14-$I$4+VLOOKUP($Q70,武学奇术!$A:$ZZ,15,FALSE)+SUM(_xlfn.XLOOKUP(R70:AH70,增益!$A:$A,增益!$O:$O,0)))/100)</f>
        <v>-0.14</v>
      </c>
      <c r="BJ70" s="49" cm="1">
        <f t="array" ref="BJ70">$G$14+VLOOKUP($Q70,武学奇术!$A:$ZZ,16,FALSE)+SUM(_xlfn.XLOOKUP(R70:AH70,增益!$A:$A,增益!$P:$P,0))</f>
        <v>0</v>
      </c>
      <c r="BK70" s="41">
        <f>MIN(IF(VLOOKUP($Q70,武学奇术!$A:$ZZ,23,FALSE)=1,100%,$B$8),100%)</f>
        <v>1</v>
      </c>
      <c r="BL70" s="41" cm="1">
        <f t="array" ref="BL70">IF(VLOOKUP($Q70,武学奇术!$A:$ZZ,23,FALSE)=1,100%,MIN(80%,$B$9+VLOOKUP($Q70,武学奇术!$A:$ZZ,17,FALSE)+SUM(_xlfn.XLOOKUP(R70:AH70,增益!$A:$A,增益!$Q:$Q,0)))+$B$11+SUM(_xlfn.XLOOKUP(R70:AH70,增益!$A:$A,增益!$U:$U,0)))*IF(VLOOKUP($Q70,武学奇术!$A:$ZZ,24,FALSE)=1,0,1)</f>
        <v>0.9045</v>
      </c>
      <c r="BM70" s="41" cm="1">
        <f t="array" ref="BM70">1+$B$13+VLOOKUP($Q70,武学奇术!$A:$ZZ,18,FALSE)+SUM(_xlfn.XLOOKUP(R70:AH70,增益!$A:$A,增益!$R:$R,0))</f>
        <v>1.6</v>
      </c>
      <c r="BN70" s="41" cm="1">
        <f t="array" ref="BN70">IF(VLOOKUP($Q70,武学奇术!$A:$ZZ,24,FALSE)=1,100%,MIN(40%,$B$10+VLOOKUP($Q70,武学奇术!$A:$ZZ,19,FALSE)+SUM(_xlfn.XLOOKUP(R70:AH70,增益!$A:$A,增益!$S:$S,0)))+$B$12+SUM(_xlfn.XLOOKUP(R70:AH70,增益!$A:$A,增益!$V:$V,0)))*IF(VLOOKUP($Q70,武学奇术!$A:$ZZ,23,FALSE)=1,0,1)</f>
        <v>0.0929</v>
      </c>
      <c r="BO70" s="41" cm="1">
        <f t="array" ref="BO70">1+$B$14+VLOOKUP($Q70,武学奇术!$A:$ZZ,20,FALSE)+SUM(_xlfn.XLOOKUP(R70:AH70,增益!$A:$A,增益!$T:$T,0))</f>
        <v>1.35</v>
      </c>
      <c r="BP70" s="41">
        <f>MIN((1-BN70)*BK70,BK70*BL70)</f>
        <v>0.9045</v>
      </c>
      <c r="BQ70" s="41">
        <f>1-BN70-BP70-BR70</f>
        <v>0.00260000000000005</v>
      </c>
      <c r="BR70" s="41">
        <f>IF(VLOOKUP($Q70,武学奇术!$A:$ZZ,22,FALSE)=1,0,(1-$BK70))*(1-$BN70)</f>
        <v>0</v>
      </c>
      <c r="BS70" s="41" cm="1">
        <f t="array" ref="BS70">SUM(_xlfn.XLOOKUP(R70:AH70,增益!$A:$A,增益!$W:$W,0))+$I$5</f>
        <v>0.11</v>
      </c>
    </row>
    <row r="71" spans="1:71">
      <c r="A71" s="4"/>
      <c r="B71" s="109"/>
      <c r="C71" s="4"/>
      <c r="D71"/>
      <c r="E71"/>
      <c r="K71" s="55">
        <f t="shared" si="22"/>
        <v>15368.8083476775</v>
      </c>
      <c r="L71" s="55">
        <f>((($AP71+$AQ71)/2*$AJ71+$AK71)*(1+$AR71)*(1+$AS71)+(($AU71+$AV71)/2*IF($G$1="鸣金",$AL71,$AJ71)+IF($G$1="鸣金",$AM71*1.5,0))*(1+$AW71)*(1+$AX71)+(($AY71+$AZ71)/2*IF($G$1="裂石",$AL71,$AJ71)+IF($G$1="裂石",$AM71*1.5,0))*(1+$BA71)*(1+$BB71)+(($BC71+$BD71)/2*IF($G$1="牵丝",$AL71,$AJ71)+IF($G$1="牵丝",$AM71*1.5,0))*(1+$BE71)*(1+$BF71)+(($BG71+$BH71)/2*IF($G$1="破竹",$AL71,$AJ71)+IF($G$1="破竹",$AM71*1.5,0))*(1+$BI71)*(1+$BJ71))*(1+$AN71)*$BM71*$P71*(1+IF(VLOOKUP($Q71,武学奇术!$A:$ZZ,30,FALSE)="弹道",$B$21,0))*(1+$BS71)</f>
        <v>15123.5209758308</v>
      </c>
      <c r="M71" s="55">
        <f>(($AQ71*$AJ71+$AK71)*(1+$AR71)*(1+$AS71)+($AV71*IF($G$1="鸣金",$AL71,$AJ71)+IF($G$1="鸣金",$AM71*1.5,0))*(1+$AW71)*(1+$AX71)+($AZ71*IF($G$1="裂石",$AL71,$AJ71)+IF($G$1="裂石",$AM71*1.5,0))*(1+$BA71)*(1+$BB71)+($BD71*IF($G$1="牵丝",$AL71,$AJ71)+IF($G$1="牵丝",$AM71*1.5,0))*(1+$BE71)*(1+$BF71)+($BH71*IF($G$1="破竹",$AL71,$AJ71)+IF($G$1="破竹",$AM71*1.5,0))*(1+$BI71)*(1+$BJ71))*(1+$AN71)*$BO71*$P71*(1+IF(VLOOKUP($Q71,武学奇术!$A:$ZZ,30,FALSE)="弹道",$B$21,0))*(1+$BS71)</f>
        <v>17922.5823837766</v>
      </c>
      <c r="N71" s="55">
        <f>((($AP71+$AQ71)/2*$AJ71+$AK71)*(1+$AR71)*(1+$AS71)+(($AU71+$AV71)/2*IF($G$1="鸣金",$AL71,$AJ71)+IF($G$1="鸣金",$AM71*1.5,0))*(1+$AW71)*(1+$AX71)+(($AY71+$AZ71)/2*IF($G$1="裂石",$AL71,$AJ71)+IF($G$1="裂石",$AM71*1.5,0))*(1+$BA71)*(1+$BB71)+(($BC71+$BD71)/2*IF($G$1="牵丝",$AL71,$AJ71)+IF($G$1="牵丝",$AM71*1.5,0))*(1+$BE71)*(1+$BF71)+(($BG71+$BH71)/2*IF($G$1="破竹",$AL71,$AJ71)+IF($G$1="破竹",$AM71*1.5,0))*(1+$BI71)*(1+$BJ71))*(1+$AN71)*$P71*(1+IF(VLOOKUP($Q71,武学奇术!$A:$ZZ,30,FALSE)="弹道",$B$21,0))*(1+$BS71)</f>
        <v>9452.20060989424</v>
      </c>
      <c r="O71" s="55">
        <f>((($AP71*$AJ71+$AK71)*(1+$AR71)*(1+$AS71)+($AU71*IF($G$1="鸣金",$AL71,$AJ71)+IF($G$1="鸣金",$AM71*1.5,0))*(1+$AW71)*(1+$AX71)+($AY71*IF($G$1="裂石",$AL71,$AJ71)+IF($G$1="裂石",$AM71*1.5,0))*(1+$BA71)*(1+$BB71)+($BC71*IF($G$1="牵丝",$AL71,$AJ71)+IF($G$1="牵丝",$AM71*1.5,0))*(1+$BE71)*(1+$BF71)+($BG71*IF($G$1="破竹",$AL71,$AJ71)+IF($G$1="破竹",$AM71*1.5,0))*(1+$BI71)*(1+$BJ71))*(1+$AN71))*$P71*(1+IF(VLOOKUP($Q71,武学奇术!$A:$ZZ,30,FALSE)="弹道",$B$21,0))*(1+$BS71)</f>
        <v>5628.41426884288</v>
      </c>
      <c r="P71" s="56">
        <v>1</v>
      </c>
      <c r="Q71" s="57" t="s">
        <v>99</v>
      </c>
      <c r="R71" s="57" t="s">
        <v>116</v>
      </c>
      <c r="S71" s="57" t="s">
        <v>153</v>
      </c>
      <c r="T71" s="57" t="s">
        <v>72</v>
      </c>
      <c r="U71" s="57" t="s">
        <v>107</v>
      </c>
      <c r="V71" s="57" t="s">
        <v>72</v>
      </c>
      <c r="W71" s="57" t="s">
        <v>72</v>
      </c>
      <c r="X71" s="57" t="s">
        <v>72</v>
      </c>
      <c r="Y71" s="57" t="s">
        <v>72</v>
      </c>
      <c r="Z71" s="57" t="s">
        <v>72</v>
      </c>
      <c r="AA71" s="57" t="s">
        <v>72</v>
      </c>
      <c r="AB71" s="57" t="s">
        <v>96</v>
      </c>
      <c r="AC71" s="57" t="s">
        <v>72</v>
      </c>
      <c r="AD71" s="57" t="s">
        <v>72</v>
      </c>
      <c r="AE71" s="57" t="s">
        <v>72</v>
      </c>
      <c r="AF71" s="57" t="s">
        <v>72</v>
      </c>
      <c r="AG71" s="57" t="s">
        <v>72</v>
      </c>
      <c r="AH71" s="57" t="s">
        <v>87</v>
      </c>
      <c r="AI71" t="str">
        <f>VLOOKUP($Q71,武学奇术!$A:$ZZ,25,FALSE)</f>
        <v>伞</v>
      </c>
      <c r="AJ71" s="41">
        <f>VLOOKUP($Q71,武学奇术!$A:$ZZ,26,FALSE)</f>
        <v>0.54</v>
      </c>
      <c r="AK71" s="42">
        <f>VLOOKUP($Q71,武学奇术!$A:$ZZ,27,FALSE)*(1+IF(OR($AI71=$F$4,$AI71=$F$5),$B$22,0))</f>
        <v>207.2</v>
      </c>
      <c r="AL71" s="41">
        <f>VLOOKUP($Q71,武学奇术!$A:$ZZ,28,FALSE)</f>
        <v>0.81</v>
      </c>
      <c r="AM71" s="42">
        <f>VLOOKUP($Q71,武学奇术!$A:$ZZ,29,FALSE)*(1+IF(OR($AI71=$F$4,$AI71=$F$5),$B$22,0))</f>
        <v>114.1</v>
      </c>
      <c r="AN71" s="41" cm="1">
        <f t="array" ref="AN71">$G$3+IFERROR(VLOOKUP($AI71,$F$4:$G$7,2,FALSE),0)+VLOOKUP($Q71,武学奇术!$A:$ZZ,2,FALSE)+SUM(_xlfn.XLOOKUP($R71:$AH71,增益!$A:$A,增益!$B:$B,0))</f>
        <v>0.4041</v>
      </c>
      <c r="AO71" s="41" cm="1">
        <f t="array" ref="AO71">VLOOKUP($Q71,武学奇术!$A:$ZZ,5,FALSE)+SUM(_xlfn.XLOOKUP($R71:$AH71,增益!$A:$A,增益!$E:$E,0))</f>
        <v>0.075</v>
      </c>
      <c r="AP71" cm="1">
        <f t="array" ref="AP71">$D$10*(1+$AO71)+VLOOKUP($Q71,武学奇术!$A:$ZZ,3,FALSE)+SUM(_xlfn.XLOOKUP($R71:$AH71,增益!$A:$A,增益!$C:$C,0))-$I$2</f>
        <v>1974.055</v>
      </c>
      <c r="AQ71" cm="1">
        <f t="array" ref="AQ71">$E$10*(1+$AO71)+VLOOKUP($Q71,武学奇术!$A:$ZZ,4,FALSE)+SUM(_xlfn.XLOOKUP($R71:$AH71,增益!$A:$A,增益!$D:$D,0))-$I$2</f>
        <v>5941.45</v>
      </c>
      <c r="AR71" s="49" cm="1">
        <f t="array" ref="AR71">IF($F$10-$I$3+VLOOKUP($Q71,武学奇术!$A:$ZZ,6,FALSE)+SUM(_xlfn.XLOOKUP(R71:AH71,增益!$A:$A,增益!$F:$F,0))&gt;0,($F$10-$I$3+VLOOKUP($Q71,武学奇术!$A:$ZZ,6,FALSE)+SUM(_xlfn.XLOOKUP(R71:AH71,增益!$A:$A,增益!$F:$F,0)))/200,($F$10-$I$3+VLOOKUP($Q71,武学奇术!$A:$ZZ,6,FALSE)+SUM(_xlfn.XLOOKUP(R71:AH71,增益!$A:$A,增益!$F:$F,0)))/100)</f>
        <v>0.3425</v>
      </c>
      <c r="AS71" s="49" cm="1">
        <f t="array" ref="AS71">$G$10+VLOOKUP($Q71,武学奇术!$A:$ZZ,7,FALSE)+SUM(_xlfn.XLOOKUP(R71:AH71,增益!$A:$A,增益!$G:$G,0))</f>
        <v>0.1</v>
      </c>
      <c r="AT71" s="41" cm="1">
        <f t="array" ref="AT71">VLOOKUP($Q71,武学奇术!$A:$ZZ,8,FALSE)+SUM(_xlfn.XLOOKUP(R71:AH71,增益!$A:$A,增益!$H:$H,0))</f>
        <v>0</v>
      </c>
      <c r="AU71">
        <f t="shared" si="23"/>
        <v>0</v>
      </c>
      <c r="AV71">
        <f t="shared" si="24"/>
        <v>0</v>
      </c>
      <c r="AW71" s="49" cm="1">
        <f t="array" ref="AW71">IF($F$11-$I$4+VLOOKUP($Q71,武学奇术!$A:$ZZ,9,FALSE)+SUM(_xlfn.XLOOKUP(R71:AH71,增益!$A:$A,增益!$I:$I,0))&gt;0,($F$11-$I$4+VLOOKUP($Q71,武学奇术!$A:$ZZ,9,FALSE)+SUM(_xlfn.XLOOKUP(R71:AH71,增益!$A:$A,增益!$I:$I,0)))/200,($F$11-$I$4+VLOOKUP($Q71,武学奇术!$A:$ZZ,9,FALSE)+SUM(_xlfn.XLOOKUP(R71:AH71,增益!$A:$A,增益!$I:$I,0)))/100)</f>
        <v>-0.14</v>
      </c>
      <c r="AX71" s="49" cm="1">
        <f t="array" ref="AX71">$G$11+VLOOKUP($Q71,武学奇术!$A:$ZZ,10,FALSE)+SUM(_xlfn.XLOOKUP(R71:AH71,增益!$A:$A,增益!$J:$J,0))</f>
        <v>0</v>
      </c>
      <c r="AY71">
        <f t="shared" si="25"/>
        <v>0</v>
      </c>
      <c r="AZ71">
        <f t="shared" si="26"/>
        <v>0</v>
      </c>
      <c r="BA71" s="49" cm="1">
        <f t="array" ref="BA71">IF($F$12-$I$4+VLOOKUP($Q71,武学奇术!$A:$ZZ,11,FALSE)+SUM(_xlfn.XLOOKUP(R71:AH71,增益!$A:$A,增益!$K:$K,0))&gt;0,($F$12-$I$4+VLOOKUP($Q71,武学奇术!$A:$ZZ,11,FALSE)+SUM(_xlfn.XLOOKUP(R71:AH71,增益!$A:$A,增益!$K:$K,0)))/200,($F$12-$I$4+VLOOKUP($Q71,武学奇术!$A:$ZZ,11,FALSE)+SUM(_xlfn.XLOOKUP(R71:AH71,增益!$A:$A,增益!$K:$K,0)))/100)</f>
        <v>-0.14</v>
      </c>
      <c r="BB71" s="49" cm="1">
        <f t="array" ref="BB71">$G$12+VLOOKUP($Q71,武学奇术!$A:$ZZ,12,FALSE)+SUM(_xlfn.XLOOKUP(R71:AH71,增益!$A:$A,增益!$L:$L,0))</f>
        <v>0</v>
      </c>
      <c r="BC71">
        <f t="shared" si="27"/>
        <v>571.2</v>
      </c>
      <c r="BD71">
        <f t="shared" si="28"/>
        <v>1077.4</v>
      </c>
      <c r="BE71" s="49" cm="1">
        <f t="array" ref="BE71">IF($F$13-$I$4+VLOOKUP($Q71,武学奇术!$A:$ZZ,13,FALSE)+SUM(_xlfn.XLOOKUP(R71:AH71,增益!$A:$A,增益!$M:$M,0))&gt;0,($F$13-$I$4+VLOOKUP($Q71,武学奇术!$A:$ZZ,13,FALSE)+SUM(_xlfn.XLOOKUP(R71:AH71,增益!$A:$A,增益!$K:$K,0)))/200,($F$13-$I$4+VLOOKUP($Q71,武学奇术!$A:$ZZ,13,FALSE)+SUM(_xlfn.XLOOKUP(R71:AH71,增益!$A:$A,增益!$M:$M,0)))/100)</f>
        <v>0.08</v>
      </c>
      <c r="BF71" s="49" cm="1">
        <f t="array" ref="BF71">$G$13+VLOOKUP($Q71,武学奇术!$A:$ZZ,14,FALSE)+SUM(_xlfn.XLOOKUP(R71:AH71,增益!$A:$A,增益!$N:$N,0))</f>
        <v>0.25</v>
      </c>
      <c r="BG71">
        <f t="shared" si="29"/>
        <v>0</v>
      </c>
      <c r="BH71">
        <f t="shared" si="30"/>
        <v>0</v>
      </c>
      <c r="BI71" s="49" cm="1">
        <f t="array" ref="BI71">IF($F$14-$I$4+VLOOKUP($Q71,武学奇术!$A:$ZZ,15,FALSE)+SUM(_xlfn.XLOOKUP(R71:AH71,增益!$A:$A,增益!$O:$O,0))&gt;0,($F$14-$I$4+VLOOKUP($Q71,武学奇术!$A:$ZZ,15,FALSE)+SUM(_xlfn.XLOOKUP(R71:AH71,增益!$A:$A,增益!$O:$O,0)))/200,($F$14-$I$4+VLOOKUP($Q71,武学奇术!$A:$ZZ,15,FALSE)+SUM(_xlfn.XLOOKUP(R71:AH71,增益!$A:$A,增益!$O:$O,0)))/100)</f>
        <v>-0.14</v>
      </c>
      <c r="BJ71" s="49" cm="1">
        <f t="array" ref="BJ71">$G$14+VLOOKUP($Q71,武学奇术!$A:$ZZ,16,FALSE)+SUM(_xlfn.XLOOKUP(R71:AH71,增益!$A:$A,增益!$P:$P,0))</f>
        <v>0</v>
      </c>
      <c r="BK71" s="41">
        <f>MIN(IF(VLOOKUP($Q71,武学奇术!$A:$ZZ,23,FALSE)=1,100%,$B$8),100%)</f>
        <v>1</v>
      </c>
      <c r="BL71" s="41" cm="1">
        <f t="array" ref="BL71">IF(VLOOKUP($Q71,武学奇术!$A:$ZZ,23,FALSE)=1,100%,MIN(80%,$B$9+VLOOKUP($Q71,武学奇术!$A:$ZZ,17,FALSE)+SUM(_xlfn.XLOOKUP(R71:AH71,增益!$A:$A,增益!$Q:$Q,0)))+$B$11+SUM(_xlfn.XLOOKUP(R71:AH71,增益!$A:$A,增益!$U:$U,0)))*IF(VLOOKUP($Q71,武学奇术!$A:$ZZ,24,FALSE)=1,0,1)</f>
        <v>0.9045</v>
      </c>
      <c r="BM71" s="41" cm="1">
        <f t="array" ref="BM71">1+$B$13+VLOOKUP($Q71,武学奇术!$A:$ZZ,18,FALSE)+SUM(_xlfn.XLOOKUP(R71:AH71,增益!$A:$A,增益!$R:$R,0))</f>
        <v>1.6</v>
      </c>
      <c r="BN71" s="41" cm="1">
        <f t="array" ref="BN71">IF(VLOOKUP($Q71,武学奇术!$A:$ZZ,24,FALSE)=1,100%,MIN(40%,$B$10+VLOOKUP($Q71,武学奇术!$A:$ZZ,19,FALSE)+SUM(_xlfn.XLOOKUP(R71:AH71,增益!$A:$A,增益!$S:$S,0)))+$B$12+SUM(_xlfn.XLOOKUP(R71:AH71,增益!$A:$A,增益!$V:$V,0)))*IF(VLOOKUP($Q71,武学奇术!$A:$ZZ,23,FALSE)=1,0,1)</f>
        <v>0.0929</v>
      </c>
      <c r="BO71" s="41" cm="1">
        <f t="array" ref="BO71">1+$B$14+VLOOKUP($Q71,武学奇术!$A:$ZZ,20,FALSE)+SUM(_xlfn.XLOOKUP(R71:AH71,增益!$A:$A,增益!$T:$T,0))</f>
        <v>1.35</v>
      </c>
      <c r="BP71" s="41">
        <f>MIN((1-BN71)*BK71,BK71*BL71)</f>
        <v>0.9045</v>
      </c>
      <c r="BQ71" s="41">
        <f>1-BN71-BP71-BR71</f>
        <v>0.00260000000000005</v>
      </c>
      <c r="BR71" s="41">
        <f>IF(VLOOKUP($Q71,武学奇术!$A:$ZZ,22,FALSE)=1,0,(1-$BK71))*(1-$BN71)</f>
        <v>0</v>
      </c>
      <c r="BS71" s="41" cm="1">
        <f t="array" ref="BS71">SUM(_xlfn.XLOOKUP(R71:AH71,增益!$A:$A,增益!$W:$W,0))+$I$5</f>
        <v>0.11</v>
      </c>
    </row>
    <row r="72" spans="1:71">
      <c r="A72" s="4"/>
      <c r="B72" s="109"/>
      <c r="C72" s="4"/>
      <c r="D72"/>
      <c r="E72"/>
      <c r="K72" s="55">
        <f t="shared" si="22"/>
        <v>167535.849856622</v>
      </c>
      <c r="L72" s="55">
        <f>((($AP72+$AQ72)/2*$AJ72+$AK72)*(1+$AR72)*(1+$AS72)+(($AU72+$AV72)/2*IF($G$1="鸣金",$AL72,$AJ72)+IF($G$1="鸣金",$AM72*1.5,0))*(1+$AW72)*(1+$AX72)+(($AY72+$AZ72)/2*IF($G$1="裂石",$AL72,$AJ72)+IF($G$1="裂石",$AM72*1.5,0))*(1+$BA72)*(1+$BB72)+(($BC72+$BD72)/2*IF($G$1="牵丝",$AL72,$AJ72)+IF($G$1="牵丝",$AM72*1.5,0))*(1+$BE72)*(1+$BF72)+(($BG72+$BH72)/2*IF($G$1="破竹",$AL72,$AJ72)+IF($G$1="破竹",$AM72*1.5,0))*(1+$BI72)*(1+$BJ72))*(1+$AN72)*$BM72*$P72*(1+IF(VLOOKUP($Q72,武学奇术!$A:$ZZ,30,FALSE)="弹道",$B$21,0))*(1+$BS72)</f>
        <v>166900.615966582</v>
      </c>
      <c r="M72" s="55">
        <f>(($AQ72*$AJ72+$AK72)*(1+$AR72)*(1+$AS72)+($AV72*IF($G$1="鸣金",$AL72,$AJ72)+IF($G$1="鸣金",$AM72*1.5,0))*(1+$AW72)*(1+$AX72)+($AZ72*IF($G$1="裂石",$AL72,$AJ72)+IF($G$1="裂石",$AM72*1.5,0))*(1+$BA72)*(1+$BB72)+($BD72*IF($G$1="牵丝",$AL72,$AJ72)+IF($G$1="牵丝",$AM72*1.5,0))*(1+$BE72)*(1+$BF72)+($BH72*IF($G$1="破竹",$AL72,$AJ72)+IF($G$1="破竹",$AM72*1.5,0))*(1+$BI72)*(1+$BJ72))*(1+$AN72)*$BO72*$P72*(1+IF(VLOOKUP($Q72,武学奇术!$A:$ZZ,30,FALSE)="弹道",$B$21,0))*(1+$BS72)</f>
        <v>175884.603735244</v>
      </c>
      <c r="N72" s="55">
        <f>((($AP72+$AQ72)/2*$AJ72+$AK72)*(1+$AR72)*(1+$AS72)+(($AU72+$AV72)/2*IF($G$1="鸣金",$AL72,$AJ72)+IF($G$1="鸣金",$AM72*1.5,0))*(1+$AW72)*(1+$AX72)+(($AY72+$AZ72)/2*IF($G$1="裂石",$AL72,$AJ72)+IF($G$1="裂石",$AM72*1.5,0))*(1+$BA72)*(1+$BB72)+(($BC72+$BD72)/2*IF($G$1="牵丝",$AL72,$AJ72)+IF($G$1="牵丝",$AM72*1.5,0))*(1+$BE72)*(1+$BF72)+(($BG72+$BH72)/2*IF($G$1="破竹",$AL72,$AJ72)+IF($G$1="破竹",$AM72*1.5,0))*(1+$BI72)*(1+$BJ72))*(1+$AN72)*$P72*(1+IF(VLOOKUP($Q72,武学奇术!$A:$ZZ,30,FALSE)="弹道",$B$21,0))*(1+$BS72)</f>
        <v>90216.5491711252</v>
      </c>
      <c r="O72" s="55">
        <f>((($AP72*$AJ72+$AK72)*(1+$AR72)*(1+$AS72)+($AU72*IF($G$1="鸣金",$AL72,$AJ72)+IF($G$1="鸣金",$AM72*1.5,0))*(1+$AW72)*(1+$AX72)+($AY72*IF($G$1="裂石",$AL72,$AJ72)+IF($G$1="裂石",$AM72*1.5,0))*(1+$BA72)*(1+$BB72)+($BC72*IF($G$1="牵丝",$AL72,$AJ72)+IF($G$1="牵丝",$AM72*1.5,0))*(1+$BE72)*(1+$BF72)+($BG72*IF($G$1="破竹",$AL72,$AJ72)+IF($G$1="破竹",$AM72*1.5,0))*(1+$BI72)*(1+$BJ72))*(1+$AN72))*$P72*(1+IF(VLOOKUP($Q72,武学奇术!$A:$ZZ,30,FALSE)="弹道",$B$21,0))*(1+$BS72)</f>
        <v>50148.206686514</v>
      </c>
      <c r="P72" s="56">
        <v>1</v>
      </c>
      <c r="Q72" s="57" t="s">
        <v>129</v>
      </c>
      <c r="R72" s="57" t="s">
        <v>116</v>
      </c>
      <c r="S72" s="57" t="s">
        <v>153</v>
      </c>
      <c r="T72" s="57" t="s">
        <v>72</v>
      </c>
      <c r="U72" s="57" t="s">
        <v>107</v>
      </c>
      <c r="V72" s="57" t="s">
        <v>72</v>
      </c>
      <c r="W72" s="57" t="s">
        <v>72</v>
      </c>
      <c r="X72" s="57" t="s">
        <v>72</v>
      </c>
      <c r="Y72" s="57" t="s">
        <v>112</v>
      </c>
      <c r="Z72" s="57" t="s">
        <v>72</v>
      </c>
      <c r="AA72" s="57" t="s">
        <v>72</v>
      </c>
      <c r="AB72" s="57" t="s">
        <v>96</v>
      </c>
      <c r="AC72" s="57" t="s">
        <v>72</v>
      </c>
      <c r="AD72" s="57" t="s">
        <v>72</v>
      </c>
      <c r="AE72" s="57" t="s">
        <v>72</v>
      </c>
      <c r="AF72" s="57" t="s">
        <v>72</v>
      </c>
      <c r="AG72" s="57" t="s">
        <v>72</v>
      </c>
      <c r="AH72" s="57" t="s">
        <v>87</v>
      </c>
      <c r="AI72" t="str">
        <f>VLOOKUP($Q72,武学奇术!$A:$ZZ,25,FALSE)</f>
        <v>单体奇术</v>
      </c>
      <c r="AJ72" s="41">
        <f>VLOOKUP($Q72,武学奇术!$A:$ZZ,26,FALSE)</f>
        <v>7.1074</v>
      </c>
      <c r="AK72" s="42">
        <f>VLOOKUP($Q72,武学奇术!$A:$ZZ,27,FALSE)*(1+IF(OR($AI72=$F$4,$AI72=$F$5),$B$22,0))</f>
        <v>1320</v>
      </c>
      <c r="AL72" s="41">
        <f>VLOOKUP($Q72,武学奇术!$A:$ZZ,28,FALSE)</f>
        <v>10.6596</v>
      </c>
      <c r="AM72" s="42">
        <f>VLOOKUP($Q72,武学奇术!$A:$ZZ,29,FALSE)*(1+IF(OR($AI72=$F$4,$AI72=$F$5),$B$22,0))</f>
        <v>0</v>
      </c>
      <c r="AN72" s="41" cm="1">
        <f t="array" ref="AN72">$G$3+IFERROR(VLOOKUP($AI72,$F$4:$G$7,2,FALSE),0)+VLOOKUP($Q72,武学奇术!$A:$ZZ,2,FALSE)+SUM(_xlfn.XLOOKUP($R72:$AH72,增益!$A:$A,增益!$B:$B,0))</f>
        <v>0.5015</v>
      </c>
      <c r="AO72" s="41" cm="1">
        <f t="array" ref="AO72">VLOOKUP($Q72,武学奇术!$A:$ZZ,5,FALSE)+SUM(_xlfn.XLOOKUP($R72:$AH72,增益!$A:$A,增益!$E:$E,0))</f>
        <v>0.075</v>
      </c>
      <c r="AP72" cm="1">
        <f t="array" ref="AP72">$D$10*(1+$AO72)+VLOOKUP($Q72,武学奇术!$A:$ZZ,3,FALSE)+SUM(_xlfn.XLOOKUP($R72:$AH72,增益!$A:$A,增益!$C:$C,0))-$I$2</f>
        <v>1974.055</v>
      </c>
      <c r="AQ72" cm="1">
        <f t="array" ref="AQ72">$E$10*(1+$AO72)+VLOOKUP($Q72,武学奇术!$A:$ZZ,4,FALSE)+SUM(_xlfn.XLOOKUP($R72:$AH72,增益!$A:$A,增益!$D:$D,0))-$I$2</f>
        <v>5941.45</v>
      </c>
      <c r="AR72" s="49" cm="1">
        <f t="array" ref="AR72">IF($F$10-$I$3+VLOOKUP($Q72,武学奇术!$A:$ZZ,6,FALSE)+SUM(_xlfn.XLOOKUP(R72:AH72,增益!$A:$A,增益!$F:$F,0))&gt;0,($F$10-$I$3+VLOOKUP($Q72,武学奇术!$A:$ZZ,6,FALSE)+SUM(_xlfn.XLOOKUP(R72:AH72,增益!$A:$A,增益!$F:$F,0)))/200,($F$10-$I$3+VLOOKUP($Q72,武学奇术!$A:$ZZ,6,FALSE)+SUM(_xlfn.XLOOKUP(R72:AH72,增益!$A:$A,增益!$F:$F,0)))/100)</f>
        <v>0.4675</v>
      </c>
      <c r="AS72" s="49" cm="1">
        <f t="array" ref="AS72">$G$10+VLOOKUP($Q72,武学奇术!$A:$ZZ,7,FALSE)+SUM(_xlfn.XLOOKUP(R72:AH72,增益!$A:$A,增益!$G:$G,0))</f>
        <v>0</v>
      </c>
      <c r="AT72" s="41" cm="1">
        <f t="array" ref="AT72">VLOOKUP($Q72,武学奇术!$A:$ZZ,8,FALSE)+SUM(_xlfn.XLOOKUP(R72:AH72,增益!$A:$A,增益!$H:$H,0))</f>
        <v>0</v>
      </c>
      <c r="AU72">
        <f t="shared" si="23"/>
        <v>0</v>
      </c>
      <c r="AV72">
        <f t="shared" si="24"/>
        <v>0</v>
      </c>
      <c r="AW72" s="49" cm="1">
        <f t="array" ref="AW72">IF($F$11-$I$4+VLOOKUP($Q72,武学奇术!$A:$ZZ,9,FALSE)+SUM(_xlfn.XLOOKUP(R72:AH72,增益!$A:$A,增益!$I:$I,0))&gt;0,($F$11-$I$4+VLOOKUP($Q72,武学奇术!$A:$ZZ,9,FALSE)+SUM(_xlfn.XLOOKUP(R72:AH72,增益!$A:$A,增益!$I:$I,0)))/200,($F$11-$I$4+VLOOKUP($Q72,武学奇术!$A:$ZZ,9,FALSE)+SUM(_xlfn.XLOOKUP(R72:AH72,增益!$A:$A,增益!$I:$I,0)))/100)</f>
        <v>-0.14</v>
      </c>
      <c r="AX72" s="49" cm="1">
        <f t="array" ref="AX72">$G$11+VLOOKUP($Q72,武学奇术!$A:$ZZ,10,FALSE)+SUM(_xlfn.XLOOKUP(R72:AH72,增益!$A:$A,增益!$J:$J,0))</f>
        <v>0</v>
      </c>
      <c r="AY72">
        <f t="shared" si="25"/>
        <v>0</v>
      </c>
      <c r="AZ72">
        <f t="shared" si="26"/>
        <v>0</v>
      </c>
      <c r="BA72" s="49" cm="1">
        <f t="array" ref="BA72">IF($F$12-$I$4+VLOOKUP($Q72,武学奇术!$A:$ZZ,11,FALSE)+SUM(_xlfn.XLOOKUP(R72:AH72,增益!$A:$A,增益!$K:$K,0))&gt;0,($F$12-$I$4+VLOOKUP($Q72,武学奇术!$A:$ZZ,11,FALSE)+SUM(_xlfn.XLOOKUP(R72:AH72,增益!$A:$A,增益!$K:$K,0)))/200,($F$12-$I$4+VLOOKUP($Q72,武学奇术!$A:$ZZ,11,FALSE)+SUM(_xlfn.XLOOKUP(R72:AH72,增益!$A:$A,增益!$K:$K,0)))/100)</f>
        <v>-0.14</v>
      </c>
      <c r="BB72" s="49" cm="1">
        <f t="array" ref="BB72">$G$12+VLOOKUP($Q72,武学奇术!$A:$ZZ,12,FALSE)+SUM(_xlfn.XLOOKUP(R72:AH72,增益!$A:$A,增益!$L:$L,0))</f>
        <v>0</v>
      </c>
      <c r="BC72">
        <f t="shared" si="27"/>
        <v>571.2</v>
      </c>
      <c r="BD72">
        <f t="shared" si="28"/>
        <v>1077.4</v>
      </c>
      <c r="BE72" s="49" cm="1">
        <f t="array" ref="BE72">IF($F$13-$I$4+VLOOKUP($Q72,武学奇术!$A:$ZZ,13,FALSE)+SUM(_xlfn.XLOOKUP(R72:AH72,增益!$A:$A,增益!$M:$M,0))&gt;0,($F$13-$I$4+VLOOKUP($Q72,武学奇术!$A:$ZZ,13,FALSE)+SUM(_xlfn.XLOOKUP(R72:AH72,增益!$A:$A,增益!$K:$K,0)))/200,($F$13-$I$4+VLOOKUP($Q72,武学奇术!$A:$ZZ,13,FALSE)+SUM(_xlfn.XLOOKUP(R72:AH72,增益!$A:$A,增益!$M:$M,0)))/100)</f>
        <v>0.08</v>
      </c>
      <c r="BF72" s="49" cm="1">
        <f t="array" ref="BF72">$G$13+VLOOKUP($Q72,武学奇术!$A:$ZZ,14,FALSE)+SUM(_xlfn.XLOOKUP(R72:AH72,增益!$A:$A,增益!$N:$N,0))</f>
        <v>0.15</v>
      </c>
      <c r="BG72">
        <f t="shared" si="29"/>
        <v>0</v>
      </c>
      <c r="BH72">
        <f t="shared" si="30"/>
        <v>0</v>
      </c>
      <c r="BI72" s="49" cm="1">
        <f t="array" ref="BI72">IF($F$14-$I$4+VLOOKUP($Q72,武学奇术!$A:$ZZ,15,FALSE)+SUM(_xlfn.XLOOKUP(R72:AH72,增益!$A:$A,增益!$O:$O,0))&gt;0,($F$14-$I$4+VLOOKUP($Q72,武学奇术!$A:$ZZ,15,FALSE)+SUM(_xlfn.XLOOKUP(R72:AH72,增益!$A:$A,增益!$O:$O,0)))/200,($F$14-$I$4+VLOOKUP($Q72,武学奇术!$A:$ZZ,15,FALSE)+SUM(_xlfn.XLOOKUP(R72:AH72,增益!$A:$A,增益!$O:$O,0)))/100)</f>
        <v>-0.14</v>
      </c>
      <c r="BJ72" s="49" cm="1">
        <f t="array" ref="BJ72">$G$14+VLOOKUP($Q72,武学奇术!$A:$ZZ,16,FALSE)+SUM(_xlfn.XLOOKUP(R72:AH72,增益!$A:$A,增益!$P:$P,0))</f>
        <v>0</v>
      </c>
      <c r="BK72" s="41">
        <f>MIN(IF(VLOOKUP($Q72,武学奇术!$A:$ZZ,23,FALSE)=1,100%,$B$8),100%)</f>
        <v>1</v>
      </c>
      <c r="BL72" s="41" cm="1">
        <f t="array" ref="BL72">IF(VLOOKUP($Q72,武学奇术!$A:$ZZ,23,FALSE)=1,100%,MIN(80%,$B$9+VLOOKUP($Q72,武学奇术!$A:$ZZ,17,FALSE)+SUM(_xlfn.XLOOKUP(R72:AH72,增益!$A:$A,增益!$Q:$Q,0)))+$B$11+SUM(_xlfn.XLOOKUP(R72:AH72,增益!$A:$A,增益!$U:$U,0)))*IF(VLOOKUP($Q72,武学奇术!$A:$ZZ,24,FALSE)=1,0,1)</f>
        <v>0.9045</v>
      </c>
      <c r="BM72" s="41" cm="1">
        <f t="array" ref="BM72">1+$B$13+VLOOKUP($Q72,武学奇术!$A:$ZZ,18,FALSE)+SUM(_xlfn.XLOOKUP(R72:AH72,增益!$A:$A,增益!$R:$R,0))</f>
        <v>1.85</v>
      </c>
      <c r="BN72" s="41" cm="1">
        <f t="array" ref="BN72">IF(VLOOKUP($Q72,武学奇术!$A:$ZZ,24,FALSE)=1,100%,MIN(40%,$B$10+VLOOKUP($Q72,武学奇术!$A:$ZZ,19,FALSE)+SUM(_xlfn.XLOOKUP(R72:AH72,增益!$A:$A,增益!$S:$S,0)))+$B$12+SUM(_xlfn.XLOOKUP(R72:AH72,增益!$A:$A,增益!$V:$V,0)))*IF(VLOOKUP($Q72,武学奇术!$A:$ZZ,23,FALSE)=1,0,1)</f>
        <v>0.0929</v>
      </c>
      <c r="BO72" s="41" cm="1">
        <f t="array" ref="BO72">1+$B$14+VLOOKUP($Q72,武学奇术!$A:$ZZ,20,FALSE)+SUM(_xlfn.XLOOKUP(R72:AH72,增益!$A:$A,增益!$T:$T,0))</f>
        <v>1.35</v>
      </c>
      <c r="BP72" s="41">
        <f>MIN((1-BN72)*BK72,BK72*BL72)</f>
        <v>0.9045</v>
      </c>
      <c r="BQ72" s="41">
        <f>1-BN72-BP72-BR72</f>
        <v>0.00260000000000005</v>
      </c>
      <c r="BR72" s="41">
        <f>IF(VLOOKUP($Q72,武学奇术!$A:$ZZ,22,FALSE)=1,0,(1-$BK72))*(1-$BN72)</f>
        <v>0</v>
      </c>
      <c r="BS72" s="41" cm="1">
        <f t="array" ref="BS72">SUM(_xlfn.XLOOKUP(R72:AH72,增益!$A:$A,增益!$W:$W,0))+$I$5</f>
        <v>0.11</v>
      </c>
    </row>
    <row r="73" spans="1:71">
      <c r="A73" s="4"/>
      <c r="B73" s="4"/>
      <c r="C73" s="4"/>
      <c r="D73"/>
      <c r="E73"/>
      <c r="K73" s="55">
        <f t="shared" si="22"/>
        <v>297837.881162197</v>
      </c>
      <c r="L73" s="55">
        <f>((($AP73+$AQ73)/2*$AJ73+$AK73)*(1+$AR73)*(1+$AS73)+(($AU73+$AV73)/2*IF($G$1="鸣金",$AL73,$AJ73)+IF($G$1="鸣金",$AM73*1.5,0))*(1+$AW73)*(1+$AX73)+(($AY73+$AZ73)/2*IF($G$1="裂石",$AL73,$AJ73)+IF($G$1="裂石",$AM73*1.5,0))*(1+$BA73)*(1+$BB73)+(($BC73+$BD73)/2*IF($G$1="牵丝",$AL73,$AJ73)+IF($G$1="牵丝",$AM73*1.5,0))*(1+$BE73)*(1+$BF73)+(($BG73+$BH73)/2*IF($G$1="破竹",$AL73,$AJ73)+IF($G$1="破竹",$AM73*1.5,0))*(1+$BI73)*(1+$BJ73))*(1+$AN73)*$BM73*$P73*(1+IF(VLOOKUP($Q73,武学奇术!$A:$ZZ,30,FALSE)="弹道",$B$21,0))*(1+$BS73)</f>
        <v>299113.60896752</v>
      </c>
      <c r="M73" s="55">
        <f>(($AQ73*$AJ73+$AK73)*(1+$AR73)*(1+$AS73)+($AV73*IF($G$1="鸣金",$AL73,$AJ73)+IF($G$1="鸣金",$AM73*1.5,0))*(1+$AW73)*(1+$AX73)+($AZ73*IF($G$1="裂石",$AL73,$AJ73)+IF($G$1="裂石",$AM73*1.5,0))*(1+$BA73)*(1+$BB73)+($BD73*IF($G$1="牵丝",$AL73,$AJ73)+IF($G$1="牵丝",$AM73*1.5,0))*(1+$BE73)*(1+$BF73)+($BH73*IF($G$1="破竹",$AL73,$AJ73)+IF($G$1="破竹",$AM73*1.5,0))*(1+$BI73)*(1+$BJ73))*(1+$AN73)*$BO73*$P73*(1+IF(VLOOKUP($Q73,武学奇术!$A:$ZZ,30,FALSE)="弹道",$B$21,0))*(1+$BS73)</f>
        <v>289481.576880959</v>
      </c>
      <c r="N73" s="55">
        <f>((($AP73+$AQ73)/2*$AJ73+$AK73)*(1+$AR73)*(1+$AS73)+(($AU73+$AV73)/2*IF($G$1="鸣金",$AL73,$AJ73)+IF($G$1="鸣金",$AM73*1.5,0))*(1+$AW73)*(1+$AX73)+(($AY73+$AZ73)/2*IF($G$1="裂石",$AL73,$AJ73)+IF($G$1="裂石",$AM73*1.5,0))*(1+$BA73)*(1+$BB73)+(($BC73+$BD73)/2*IF($G$1="牵丝",$AL73,$AJ73)+IF($G$1="牵丝",$AM73*1.5,0))*(1+$BE73)*(1+$BF73)+(($BG73+$BH73)/2*IF($G$1="破竹",$AL73,$AJ73)+IF($G$1="破竹",$AM73*1.5,0))*(1+$BI73)*(1+$BJ73))*(1+$AN73)*$P73*(1+IF(VLOOKUP($Q73,武学奇术!$A:$ZZ,30,FALSE)="弹道",$B$21,0))*(1+$BS73)</f>
        <v>152608.984167102</v>
      </c>
      <c r="O73" s="55">
        <f>((($AP73*$AJ73+$AK73)*(1+$AR73)*(1+$AS73)+($AU73*IF($G$1="鸣金",$AL73,$AJ73)+IF($G$1="鸣金",$AM73*1.5,0))*(1+$AW73)*(1+$AX73)+($AY73*IF($G$1="裂石",$AL73,$AJ73)+IF($G$1="裂石",$AM73*1.5,0))*(1+$BA73)*(1+$BB73)+($BC73*IF($G$1="牵丝",$AL73,$AJ73)+IF($G$1="牵丝",$AM73*1.5,0))*(1+$BE73)*(1+$BF73)+($BG73*IF($G$1="破竹",$AL73,$AJ73)+IF($G$1="破竹",$AM73*1.5,0))*(1+$BI73)*(1+$BJ73))*(1+$AN73))*$P73*(1+IF(VLOOKUP($Q73,武学奇术!$A:$ZZ,30,FALSE)="弹道",$B$21,0))*(1+$BS73)</f>
        <v>90787.1706446046</v>
      </c>
      <c r="P73" s="56">
        <v>5</v>
      </c>
      <c r="Q73" s="57" t="s">
        <v>102</v>
      </c>
      <c r="R73" s="57" t="s">
        <v>116</v>
      </c>
      <c r="S73" s="57" t="s">
        <v>153</v>
      </c>
      <c r="T73" s="57" t="s">
        <v>92</v>
      </c>
      <c r="U73" s="57" t="s">
        <v>107</v>
      </c>
      <c r="V73" s="57" t="s">
        <v>86</v>
      </c>
      <c r="W73" s="57" t="s">
        <v>72</v>
      </c>
      <c r="X73" s="57" t="s">
        <v>72</v>
      </c>
      <c r="Y73" s="57" t="s">
        <v>72</v>
      </c>
      <c r="Z73" s="57" t="s">
        <v>72</v>
      </c>
      <c r="AA73" s="57" t="s">
        <v>72</v>
      </c>
      <c r="AB73" s="57" t="s">
        <v>96</v>
      </c>
      <c r="AC73" s="57" t="s">
        <v>72</v>
      </c>
      <c r="AD73" s="57" t="s">
        <v>72</v>
      </c>
      <c r="AE73" s="57" t="s">
        <v>72</v>
      </c>
      <c r="AF73" s="57" t="s">
        <v>72</v>
      </c>
      <c r="AG73" s="57" t="s">
        <v>72</v>
      </c>
      <c r="AH73" s="57" t="s">
        <v>87</v>
      </c>
      <c r="AI73" t="str">
        <f>VLOOKUP($Q73,武学奇术!$A:$ZZ,25,FALSE)</f>
        <v>伞</v>
      </c>
      <c r="AJ73" s="41">
        <f>VLOOKUP($Q73,武学奇术!$A:$ZZ,26,FALSE)</f>
        <v>1.174955</v>
      </c>
      <c r="AK73" s="42">
        <f>VLOOKUP($Q73,武学奇术!$A:$ZZ,27,FALSE)*(1+IF(OR($AI73=$F$4,$AI73=$F$5),$B$22,0))</f>
        <v>454.02</v>
      </c>
      <c r="AL73" s="41">
        <f>VLOOKUP($Q73,武学奇术!$A:$ZZ,28,FALSE)</f>
        <v>1.762375</v>
      </c>
      <c r="AM73" s="42">
        <f>VLOOKUP($Q73,武学奇术!$A:$ZZ,29,FALSE)*(1+IF(OR($AI73=$F$4,$AI73=$F$5),$B$22,0))</f>
        <v>247.94</v>
      </c>
      <c r="AN73" s="41" cm="1">
        <f t="array" ref="AN73">$G$3+IFERROR(VLOOKUP($AI73,$F$4:$G$7,2,FALSE),0)+VLOOKUP($Q73,武学奇术!$A:$ZZ,2,FALSE)+SUM(_xlfn.XLOOKUP($R73:$AH73,增益!$A:$A,增益!$B:$B,0))</f>
        <v>1.0541</v>
      </c>
      <c r="AO73" s="41" cm="1">
        <f t="array" ref="AO73">VLOOKUP($Q73,武学奇术!$A:$ZZ,5,FALSE)+SUM(_xlfn.XLOOKUP($R73:$AH73,增益!$A:$A,增益!$E:$E,0))</f>
        <v>0.075</v>
      </c>
      <c r="AP73" cm="1">
        <f t="array" ref="AP73">$D$10*(1+$AO73)+VLOOKUP($Q73,武学奇术!$A:$ZZ,3,FALSE)+SUM(_xlfn.XLOOKUP($R73:$AH73,增益!$A:$A,增益!$C:$C,0))-$I$2</f>
        <v>1974.055</v>
      </c>
      <c r="AQ73" cm="1">
        <f t="array" ref="AQ73">$E$10*(1+$AO73)+VLOOKUP($Q73,武学奇术!$A:$ZZ,4,FALSE)+SUM(_xlfn.XLOOKUP($R73:$AH73,增益!$A:$A,增益!$D:$D,0))-$I$2</f>
        <v>5941.45</v>
      </c>
      <c r="AR73" s="49" cm="1">
        <f t="array" ref="AR73">IF($F$10-$I$3+VLOOKUP($Q73,武学奇术!$A:$ZZ,6,FALSE)+SUM(_xlfn.XLOOKUP(R73:AH73,增益!$A:$A,增益!$F:$F,0))&gt;0,($F$10-$I$3+VLOOKUP($Q73,武学奇术!$A:$ZZ,6,FALSE)+SUM(_xlfn.XLOOKUP(R73:AH73,增益!$A:$A,增益!$F:$F,0)))/200,($F$10-$I$3+VLOOKUP($Q73,武学奇术!$A:$ZZ,6,FALSE)+SUM(_xlfn.XLOOKUP(R73:AH73,增益!$A:$A,增益!$F:$F,0)))/100)</f>
        <v>0.3675</v>
      </c>
      <c r="AS73" s="49" cm="1">
        <f t="array" ref="AS73">$G$10+VLOOKUP($Q73,武学奇术!$A:$ZZ,7,FALSE)+SUM(_xlfn.XLOOKUP(R73:AH73,增益!$A:$A,增益!$G:$G,0))</f>
        <v>0.1</v>
      </c>
      <c r="AT73" s="41" cm="1">
        <f t="array" ref="AT73">VLOOKUP($Q73,武学奇术!$A:$ZZ,8,FALSE)+SUM(_xlfn.XLOOKUP(R73:AH73,增益!$A:$A,增益!$H:$H,0))</f>
        <v>0</v>
      </c>
      <c r="AU73">
        <f t="shared" si="23"/>
        <v>0</v>
      </c>
      <c r="AV73">
        <f t="shared" si="24"/>
        <v>0</v>
      </c>
      <c r="AW73" s="49" cm="1">
        <f t="array" ref="AW73">IF($F$11-$I$4+VLOOKUP($Q73,武学奇术!$A:$ZZ,9,FALSE)+SUM(_xlfn.XLOOKUP(R73:AH73,增益!$A:$A,增益!$I:$I,0))&gt;0,($F$11-$I$4+VLOOKUP($Q73,武学奇术!$A:$ZZ,9,FALSE)+SUM(_xlfn.XLOOKUP(R73:AH73,增益!$A:$A,增益!$I:$I,0)))/200,($F$11-$I$4+VLOOKUP($Q73,武学奇术!$A:$ZZ,9,FALSE)+SUM(_xlfn.XLOOKUP(R73:AH73,增益!$A:$A,增益!$I:$I,0)))/100)</f>
        <v>-0.14</v>
      </c>
      <c r="AX73" s="49" cm="1">
        <f t="array" ref="AX73">$G$11+VLOOKUP($Q73,武学奇术!$A:$ZZ,10,FALSE)+SUM(_xlfn.XLOOKUP(R73:AH73,增益!$A:$A,增益!$J:$J,0))</f>
        <v>0</v>
      </c>
      <c r="AY73">
        <f t="shared" si="25"/>
        <v>0</v>
      </c>
      <c r="AZ73">
        <f t="shared" si="26"/>
        <v>0</v>
      </c>
      <c r="BA73" s="49" cm="1">
        <f t="array" ref="BA73">IF($F$12-$I$4+VLOOKUP($Q73,武学奇术!$A:$ZZ,11,FALSE)+SUM(_xlfn.XLOOKUP(R73:AH73,增益!$A:$A,增益!$K:$K,0))&gt;0,($F$12-$I$4+VLOOKUP($Q73,武学奇术!$A:$ZZ,11,FALSE)+SUM(_xlfn.XLOOKUP(R73:AH73,增益!$A:$A,增益!$K:$K,0)))/200,($F$12-$I$4+VLOOKUP($Q73,武学奇术!$A:$ZZ,11,FALSE)+SUM(_xlfn.XLOOKUP(R73:AH73,增益!$A:$A,增益!$K:$K,0)))/100)</f>
        <v>-0.14</v>
      </c>
      <c r="BB73" s="49" cm="1">
        <f t="array" ref="BB73">$G$12+VLOOKUP($Q73,武学奇术!$A:$ZZ,12,FALSE)+SUM(_xlfn.XLOOKUP(R73:AH73,增益!$A:$A,增益!$L:$L,0))</f>
        <v>0</v>
      </c>
      <c r="BC73">
        <f t="shared" si="27"/>
        <v>571.2</v>
      </c>
      <c r="BD73">
        <f t="shared" si="28"/>
        <v>1077.4</v>
      </c>
      <c r="BE73" s="49" cm="1">
        <f t="array" ref="BE73">IF($F$13-$I$4+VLOOKUP($Q73,武学奇术!$A:$ZZ,13,FALSE)+SUM(_xlfn.XLOOKUP(R73:AH73,增益!$A:$A,增益!$M:$M,0))&gt;0,($F$13-$I$4+VLOOKUP($Q73,武学奇术!$A:$ZZ,13,FALSE)+SUM(_xlfn.XLOOKUP(R73:AH73,增益!$A:$A,增益!$K:$K,0)))/200,($F$13-$I$4+VLOOKUP($Q73,武学奇术!$A:$ZZ,13,FALSE)+SUM(_xlfn.XLOOKUP(R73:AH73,增益!$A:$A,增益!$M:$M,0)))/100)</f>
        <v>0.08</v>
      </c>
      <c r="BF73" s="49" cm="1">
        <f t="array" ref="BF73">$G$13+VLOOKUP($Q73,武学奇术!$A:$ZZ,14,FALSE)+SUM(_xlfn.XLOOKUP(R73:AH73,增益!$A:$A,增益!$N:$N,0))</f>
        <v>0.25</v>
      </c>
      <c r="BG73">
        <f t="shared" si="29"/>
        <v>0</v>
      </c>
      <c r="BH73">
        <f t="shared" si="30"/>
        <v>0</v>
      </c>
      <c r="BI73" s="49" cm="1">
        <f t="array" ref="BI73">IF($F$14-$I$4+VLOOKUP($Q73,武学奇术!$A:$ZZ,15,FALSE)+SUM(_xlfn.XLOOKUP(R73:AH73,增益!$A:$A,增益!$O:$O,0))&gt;0,($F$14-$I$4+VLOOKUP($Q73,武学奇术!$A:$ZZ,15,FALSE)+SUM(_xlfn.XLOOKUP(R73:AH73,增益!$A:$A,增益!$O:$O,0)))/200,($F$14-$I$4+VLOOKUP($Q73,武学奇术!$A:$ZZ,15,FALSE)+SUM(_xlfn.XLOOKUP(R73:AH73,增益!$A:$A,增益!$O:$O,0)))/100)</f>
        <v>-0.14</v>
      </c>
      <c r="BJ73" s="49" cm="1">
        <f t="array" ref="BJ73">$G$14+VLOOKUP($Q73,武学奇术!$A:$ZZ,16,FALSE)+SUM(_xlfn.XLOOKUP(R73:AH73,增益!$A:$A,增益!$P:$P,0))</f>
        <v>0</v>
      </c>
      <c r="BK73" s="41">
        <f>MIN(IF(VLOOKUP($Q73,武学奇术!$A:$ZZ,23,FALSE)=1,100%,$B$8),100%)</f>
        <v>1</v>
      </c>
      <c r="BL73" s="41" cm="1">
        <f t="array" ref="BL73">IF(VLOOKUP($Q73,武学奇术!$A:$ZZ,23,FALSE)=1,100%,MIN(80%,$B$9+VLOOKUP($Q73,武学奇术!$A:$ZZ,17,FALSE)+SUM(_xlfn.XLOOKUP(R73:AH73,增益!$A:$A,增益!$Q:$Q,0)))+$B$11+SUM(_xlfn.XLOOKUP(R73:AH73,增益!$A:$A,增益!$U:$U,0)))*IF(VLOOKUP($Q73,武学奇术!$A:$ZZ,24,FALSE)=1,0,1)</f>
        <v>0.9045</v>
      </c>
      <c r="BM73" s="41" cm="1">
        <f t="array" ref="BM73">1+$B$13+VLOOKUP($Q73,武学奇术!$A:$ZZ,18,FALSE)+SUM(_xlfn.XLOOKUP(R73:AH73,增益!$A:$A,增益!$R:$R,0))</f>
        <v>1.96</v>
      </c>
      <c r="BN73" s="41" cm="1">
        <f t="array" ref="BN73">IF(VLOOKUP($Q73,武学奇术!$A:$ZZ,24,FALSE)=1,100%,MIN(40%,$B$10+VLOOKUP($Q73,武学奇术!$A:$ZZ,19,FALSE)+SUM(_xlfn.XLOOKUP(R73:AH73,增益!$A:$A,增益!$S:$S,0)))+$B$12+SUM(_xlfn.XLOOKUP(R73:AH73,增益!$A:$A,增益!$V:$V,0)))*IF(VLOOKUP($Q73,武学奇术!$A:$ZZ,23,FALSE)=1,0,1)</f>
        <v>0.0929</v>
      </c>
      <c r="BO73" s="41" cm="1">
        <f t="array" ref="BO73">1+$B$14+VLOOKUP($Q73,武学奇术!$A:$ZZ,20,FALSE)+SUM(_xlfn.XLOOKUP(R73:AH73,增益!$A:$A,增益!$T:$T,0))</f>
        <v>1.35</v>
      </c>
      <c r="BP73" s="41">
        <f>MIN((1-BN73)*BK73,BK73*BL73)</f>
        <v>0.9045</v>
      </c>
      <c r="BQ73" s="41">
        <f>1-BN73-BP73-BR73</f>
        <v>0.00260000000000005</v>
      </c>
      <c r="BR73" s="41">
        <f>IF(VLOOKUP($Q73,武学奇术!$A:$ZZ,22,FALSE)=1,0,(1-$BK73))*(1-$BN73)</f>
        <v>0</v>
      </c>
      <c r="BS73" s="41" cm="1">
        <f t="array" ref="BS73">SUM(_xlfn.XLOOKUP(R73:AH73,增益!$A:$A,增益!$W:$W,0))+$I$5</f>
        <v>0.11</v>
      </c>
    </row>
    <row r="74" spans="1:71">
      <c r="A74" s="4"/>
      <c r="B74" s="4"/>
      <c r="C74" s="4"/>
      <c r="D74"/>
      <c r="E74"/>
      <c r="K74" s="55">
        <f>($L74*$BP74+$M74*$BN74+$N74*$BQ74+$O74*$BR74)</f>
        <v>355414.968301298</v>
      </c>
      <c r="L74" s="55">
        <f>((($AP74+$AQ74)/2*$AJ74+$AK74)*(1+$AR74)*(1+$AS74)+(($AU74+$AV74)/2*IF($G$1="鸣金",$AL74,$AJ74)+IF($G$1="鸣金",$AM74*1.5,0))*(1+$AW74)*(1+$AX74)+(($AY74+$AZ74)/2*IF($G$1="裂石",$AL74,$AJ74)+IF($G$1="裂石",$AM74*1.5,0))*(1+$BA74)*(1+$BB74)+(($BC74+$BD74)/2*IF($G$1="牵丝",$AL74,$AJ74)+IF($G$1="牵丝",$AM74*1.5,0))*(1+$BE74)*(1+$BF74)+(($BG74+$BH74)/2*IF($G$1="破竹",$AL74,$AJ74)+IF($G$1="破竹",$AM74*1.5,0))*(1+$BI74)*(1+$BJ74))*(1+$AN74)*$BM74*$P74*(1+IF(VLOOKUP($Q74,武学奇术!$A:$ZZ,30,FALSE)="弹道",$B$21,0))*(1+$BS74)</f>
        <v>360606.413553283</v>
      </c>
      <c r="M74" s="55">
        <f>(($AQ74*$AJ74+$AK74)*(1+$AR74)*(1+$AS74)+($AV74*IF($G$1="鸣金",$AL74,$AJ74)+IF($G$1="鸣金",$AM74*1.5,0))*(1+$AW74)*(1+$AX74)+($AZ74*IF($G$1="裂石",$AL74,$AJ74)+IF($G$1="裂石",$AM74*1.5,0))*(1+$BA74)*(1+$BB74)+($BD74*IF($G$1="牵丝",$AL74,$AJ74)+IF($G$1="牵丝",$AM74*1.5,0))*(1+$BE74)*(1+$BF74)+($BH74*IF($G$1="破竹",$AL74,$AJ74)+IF($G$1="破竹",$AM74*1.5,0))*(1+$BI74)*(1+$BJ74))*(1+$AN74)*$BO74*$P74*(1+IF(VLOOKUP($Q74,武学奇术!$A:$ZZ,30,FALSE)="弹道",$B$21,0))*(1+$BS74)</f>
        <v>310249.993572434</v>
      </c>
      <c r="N74" s="55">
        <f>((($AP74+$AQ74)/2*$AJ74+$AK74)*(1+$AR74)*(1+$AS74)+(($AU74+$AV74)/2*IF($G$1="鸣金",$AL74,$AJ74)+IF($G$1="鸣金",$AM74*1.5,0))*(1+$AW74)*(1+$AX74)+(($AY74+$AZ74)/2*IF($G$1="裂石",$AL74,$AJ74)+IF($G$1="裂石",$AM74*1.5,0))*(1+$BA74)*(1+$BB74)+(($BC74+$BD74)/2*IF($G$1="牵丝",$AL74,$AJ74)+IF($G$1="牵丝",$AM74*1.5,0))*(1+$BE74)*(1+$BF74)+(($BG74+$BH74)/2*IF($G$1="破竹",$AL74,$AJ74)+IF($G$1="破竹",$AM74*1.5,0))*(1+$BI74)*(1+$BJ74))*(1+$AN74)*$P74*(1+IF(VLOOKUP($Q74,武学奇术!$A:$ZZ,30,FALSE)="弹道",$B$21,0))*(1+$BS74)</f>
        <v>163170.322874789</v>
      </c>
      <c r="O74" s="55">
        <f>((($AP74*$AJ74+$AK74)*(1+$AR74)*(1+$AS74)+($AU74*IF($G$1="鸣金",$AL74,$AJ74)+IF($G$1="鸣金",$AM74*1.5,0))*(1+$AW74)*(1+$AX74)+($AY74*IF($G$1="裂石",$AL74,$AJ74)+IF($G$1="裂石",$AM74*1.5,0))*(1+$BA74)*(1+$BB74)+($BC74*IF($G$1="牵丝",$AL74,$AJ74)+IF($G$1="牵丝",$AM74*1.5,0))*(1+$BE74)*(1+$BF74)+($BG74*IF($G$1="破竹",$AL74,$AJ74)+IF($G$1="破竹",$AM74*1.5,0))*(1+$BI74)*(1+$BJ74))*(1+$AN74))*$P74*(1+IF(VLOOKUP($Q74,武学奇术!$A:$ZZ,30,FALSE)="弹道",$B$21,0))*(1+$BS74)</f>
        <v>96525.835695923</v>
      </c>
      <c r="P74" s="56">
        <v>5</v>
      </c>
      <c r="Q74" s="57" t="s">
        <v>102</v>
      </c>
      <c r="R74" s="57" t="s">
        <v>116</v>
      </c>
      <c r="S74" s="57" t="s">
        <v>153</v>
      </c>
      <c r="T74" s="57" t="s">
        <v>92</v>
      </c>
      <c r="U74" s="57" t="s">
        <v>107</v>
      </c>
      <c r="V74" s="57" t="s">
        <v>86</v>
      </c>
      <c r="W74" s="57" t="s">
        <v>72</v>
      </c>
      <c r="X74" s="57" t="s">
        <v>72</v>
      </c>
      <c r="Y74" s="57" t="s">
        <v>112</v>
      </c>
      <c r="Z74" s="57" t="s">
        <v>72</v>
      </c>
      <c r="AA74" s="57" t="s">
        <v>72</v>
      </c>
      <c r="AB74" s="57" t="s">
        <v>96</v>
      </c>
      <c r="AC74" s="57" t="s">
        <v>72</v>
      </c>
      <c r="AD74" s="57" t="s">
        <v>72</v>
      </c>
      <c r="AE74" s="57" t="s">
        <v>72</v>
      </c>
      <c r="AF74" s="57" t="s">
        <v>72</v>
      </c>
      <c r="AG74" s="57" t="s">
        <v>72</v>
      </c>
      <c r="AH74" s="57" t="s">
        <v>87</v>
      </c>
      <c r="AI74" t="str">
        <f>VLOOKUP($Q74,武学奇术!$A:$ZZ,25,FALSE)</f>
        <v>伞</v>
      </c>
      <c r="AJ74" s="41">
        <f>VLOOKUP($Q74,武学奇术!$A:$ZZ,26,FALSE)</f>
        <v>1.174955</v>
      </c>
      <c r="AK74" s="42">
        <f>VLOOKUP($Q74,武学奇术!$A:$ZZ,27,FALSE)*(1+IF(OR($AI74=$F$4,$AI74=$F$5),$B$22,0))</f>
        <v>454.02</v>
      </c>
      <c r="AL74" s="41">
        <f>VLOOKUP($Q74,武学奇术!$A:$ZZ,28,FALSE)</f>
        <v>1.762375</v>
      </c>
      <c r="AM74" s="42">
        <f>VLOOKUP($Q74,武学奇术!$A:$ZZ,29,FALSE)*(1+IF(OR($AI74=$F$4,$AI74=$F$5),$B$22,0))</f>
        <v>247.94</v>
      </c>
      <c r="AN74" s="41" cm="1">
        <f t="array" ref="AN74">$G$3+IFERROR(VLOOKUP($AI74,$F$4:$G$7,2,FALSE),0)+VLOOKUP($Q74,武学奇术!$A:$ZZ,2,FALSE)+SUM(_xlfn.XLOOKUP($R74:$AH74,增益!$A:$A,增益!$B:$B,0))</f>
        <v>1.0541</v>
      </c>
      <c r="AO74" s="41" cm="1">
        <f t="array" ref="AO74">VLOOKUP($Q74,武学奇术!$A:$ZZ,5,FALSE)+SUM(_xlfn.XLOOKUP($R74:$AH74,增益!$A:$A,增益!$E:$E,0))</f>
        <v>0.075</v>
      </c>
      <c r="AP74" cm="1">
        <f t="array" ref="AP74">$D$10*(1+$AO74)+VLOOKUP($Q74,武学奇术!$A:$ZZ,3,FALSE)+SUM(_xlfn.XLOOKUP($R74:$AH74,增益!$A:$A,增益!$C:$C,0))-$I$2</f>
        <v>1974.055</v>
      </c>
      <c r="AQ74" cm="1">
        <f t="array" ref="AQ74">$E$10*(1+$AO74)+VLOOKUP($Q74,武学奇术!$A:$ZZ,4,FALSE)+SUM(_xlfn.XLOOKUP($R74:$AH74,增益!$A:$A,增益!$D:$D,0))-$I$2</f>
        <v>5941.45</v>
      </c>
      <c r="AR74" s="49" cm="1">
        <f t="array" ref="AR74">IF($F$10-$I$3+VLOOKUP($Q74,武学奇术!$A:$ZZ,6,FALSE)+SUM(_xlfn.XLOOKUP(R74:AH74,增益!$A:$A,增益!$F:$F,0))&gt;0,($F$10-$I$3+VLOOKUP($Q74,武学奇术!$A:$ZZ,6,FALSE)+SUM(_xlfn.XLOOKUP(R74:AH74,增益!$A:$A,增益!$F:$F,0)))/200,($F$10-$I$3+VLOOKUP($Q74,武学奇术!$A:$ZZ,6,FALSE)+SUM(_xlfn.XLOOKUP(R74:AH74,增益!$A:$A,增益!$F:$F,0)))/100)</f>
        <v>0.4925</v>
      </c>
      <c r="AS74" s="49" cm="1">
        <f t="array" ref="AS74">$G$10+VLOOKUP($Q74,武学奇术!$A:$ZZ,7,FALSE)+SUM(_xlfn.XLOOKUP(R74:AH74,增益!$A:$A,增益!$G:$G,0))</f>
        <v>0.1</v>
      </c>
      <c r="AT74" s="41" cm="1">
        <f t="array" ref="AT74">VLOOKUP($Q74,武学奇术!$A:$ZZ,8,FALSE)+SUM(_xlfn.XLOOKUP(R74:AH74,增益!$A:$A,增益!$H:$H,0))</f>
        <v>0</v>
      </c>
      <c r="AU74">
        <f>$D$11*(1+$AT74)</f>
        <v>0</v>
      </c>
      <c r="AV74">
        <f>$E$11*(1+$AT74)</f>
        <v>0</v>
      </c>
      <c r="AW74" s="49" cm="1">
        <f t="array" ref="AW74">IF($F$11-$I$4+VLOOKUP($Q74,武学奇术!$A:$ZZ,9,FALSE)+SUM(_xlfn.XLOOKUP(R74:AH74,增益!$A:$A,增益!$I:$I,0))&gt;0,($F$11-$I$4+VLOOKUP($Q74,武学奇术!$A:$ZZ,9,FALSE)+SUM(_xlfn.XLOOKUP(R74:AH74,增益!$A:$A,增益!$I:$I,0)))/200,($F$11-$I$4+VLOOKUP($Q74,武学奇术!$A:$ZZ,9,FALSE)+SUM(_xlfn.XLOOKUP(R74:AH74,增益!$A:$A,增益!$I:$I,0)))/100)</f>
        <v>-0.14</v>
      </c>
      <c r="AX74" s="49" cm="1">
        <f t="array" ref="AX74">$G$11+VLOOKUP($Q74,武学奇术!$A:$ZZ,10,FALSE)+SUM(_xlfn.XLOOKUP(R74:AH74,增益!$A:$A,增益!$J:$J,0))</f>
        <v>0</v>
      </c>
      <c r="AY74">
        <f>$D$12*(1+$AT74)</f>
        <v>0</v>
      </c>
      <c r="AZ74">
        <f>$E$12*(1+$AT74)</f>
        <v>0</v>
      </c>
      <c r="BA74" s="49" cm="1">
        <f t="array" ref="BA74">IF($F$12-$I$4+VLOOKUP($Q74,武学奇术!$A:$ZZ,11,FALSE)+SUM(_xlfn.XLOOKUP(R74:AH74,增益!$A:$A,增益!$K:$K,0))&gt;0,($F$12-$I$4+VLOOKUP($Q74,武学奇术!$A:$ZZ,11,FALSE)+SUM(_xlfn.XLOOKUP(R74:AH74,增益!$A:$A,增益!$K:$K,0)))/200,($F$12-$I$4+VLOOKUP($Q74,武学奇术!$A:$ZZ,11,FALSE)+SUM(_xlfn.XLOOKUP(R74:AH74,增益!$A:$A,增益!$K:$K,0)))/100)</f>
        <v>-0.14</v>
      </c>
      <c r="BB74" s="49" cm="1">
        <f t="array" ref="BB74">$G$12+VLOOKUP($Q74,武学奇术!$A:$ZZ,12,FALSE)+SUM(_xlfn.XLOOKUP(R74:AH74,增益!$A:$A,增益!$L:$L,0))</f>
        <v>0</v>
      </c>
      <c r="BC74">
        <f>$D$13*(1+$AT74)</f>
        <v>571.2</v>
      </c>
      <c r="BD74">
        <f>$E$13*(1+$AT74)</f>
        <v>1077.4</v>
      </c>
      <c r="BE74" s="49" cm="1">
        <f t="array" ref="BE74">IF($F$13-$I$4+VLOOKUP($Q74,武学奇术!$A:$ZZ,13,FALSE)+SUM(_xlfn.XLOOKUP(R74:AH74,增益!$A:$A,增益!$M:$M,0))&gt;0,($F$13-$I$4+VLOOKUP($Q74,武学奇术!$A:$ZZ,13,FALSE)+SUM(_xlfn.XLOOKUP(R74:AH74,增益!$A:$A,增益!$K:$K,0)))/200,($F$13-$I$4+VLOOKUP($Q74,武学奇术!$A:$ZZ,13,FALSE)+SUM(_xlfn.XLOOKUP(R74:AH74,增益!$A:$A,增益!$M:$M,0)))/100)</f>
        <v>0.08</v>
      </c>
      <c r="BF74" s="49" cm="1">
        <f t="array" ref="BF74">$G$13+VLOOKUP($Q74,武学奇术!$A:$ZZ,14,FALSE)+SUM(_xlfn.XLOOKUP(R74:AH74,增益!$A:$A,增益!$N:$N,0))</f>
        <v>0.25</v>
      </c>
      <c r="BG74">
        <f>$D$14*(1+$AT74)</f>
        <v>0</v>
      </c>
      <c r="BH74">
        <f>$E$14*(1+$AT74)</f>
        <v>0</v>
      </c>
      <c r="BI74" s="49" cm="1">
        <f t="array" ref="BI74">IF($F$14-$I$4+VLOOKUP($Q74,武学奇术!$A:$ZZ,15,FALSE)+SUM(_xlfn.XLOOKUP(R74:AH74,增益!$A:$A,增益!$O:$O,0))&gt;0,($F$14-$I$4+VLOOKUP($Q74,武学奇术!$A:$ZZ,15,FALSE)+SUM(_xlfn.XLOOKUP(R74:AH74,增益!$A:$A,增益!$O:$O,0)))/200,($F$14-$I$4+VLOOKUP($Q74,武学奇术!$A:$ZZ,15,FALSE)+SUM(_xlfn.XLOOKUP(R74:AH74,增益!$A:$A,增益!$O:$O,0)))/100)</f>
        <v>-0.14</v>
      </c>
      <c r="BJ74" s="49" cm="1">
        <f t="array" ref="BJ74">$G$14+VLOOKUP($Q74,武学奇术!$A:$ZZ,16,FALSE)+SUM(_xlfn.XLOOKUP(R74:AH74,增益!$A:$A,增益!$P:$P,0))</f>
        <v>0</v>
      </c>
      <c r="BK74" s="41">
        <f>MIN(IF(VLOOKUP($Q74,武学奇术!$A:$ZZ,23,FALSE)=1,100%,$B$8),100%)</f>
        <v>1</v>
      </c>
      <c r="BL74" s="41" cm="1">
        <f t="array" ref="BL74">IF(VLOOKUP($Q74,武学奇术!$A:$ZZ,23,FALSE)=1,100%,MIN(80%,$B$9+VLOOKUP($Q74,武学奇术!$A:$ZZ,17,FALSE)+SUM(_xlfn.XLOOKUP(R74:AH74,增益!$A:$A,增益!$Q:$Q,0)))+$B$11+SUM(_xlfn.XLOOKUP(R74:AH74,增益!$A:$A,增益!$U:$U,0)))*IF(VLOOKUP($Q74,武学奇术!$A:$ZZ,24,FALSE)=1,0,1)</f>
        <v>0.9045</v>
      </c>
      <c r="BM74" s="41" cm="1">
        <f t="array" ref="BM74">1+$B$13+VLOOKUP($Q74,武学奇术!$A:$ZZ,18,FALSE)+SUM(_xlfn.XLOOKUP(R74:AH74,增益!$A:$A,增益!$R:$R,0))</f>
        <v>2.21</v>
      </c>
      <c r="BN74" s="41" cm="1">
        <f t="array" ref="BN74">IF(VLOOKUP($Q74,武学奇术!$A:$ZZ,24,FALSE)=1,100%,MIN(40%,$B$10+VLOOKUP($Q74,武学奇术!$A:$ZZ,19,FALSE)+SUM(_xlfn.XLOOKUP(R74:AH74,增益!$A:$A,增益!$S:$S,0)))+$B$12+SUM(_xlfn.XLOOKUP(R74:AH74,增益!$A:$A,增益!$V:$V,0)))*IF(VLOOKUP($Q74,武学奇术!$A:$ZZ,23,FALSE)=1,0,1)</f>
        <v>0.0929</v>
      </c>
      <c r="BO74" s="41" cm="1">
        <f t="array" ref="BO74">1+$B$14+VLOOKUP($Q74,武学奇术!$A:$ZZ,20,FALSE)+SUM(_xlfn.XLOOKUP(R74:AH74,增益!$A:$A,增益!$T:$T,0))</f>
        <v>1.35</v>
      </c>
      <c r="BP74" s="41">
        <f>MIN((1-BN74)*BK74,BK74*BL74)</f>
        <v>0.9045</v>
      </c>
      <c r="BQ74" s="41">
        <f>1-BN74-BP74-BR74</f>
        <v>0.00260000000000005</v>
      </c>
      <c r="BR74" s="41">
        <f>IF(VLOOKUP($Q74,武学奇术!$A:$ZZ,22,FALSE)=1,0,(1-$BK74))*(1-$BN74)</f>
        <v>0</v>
      </c>
      <c r="BS74" s="41" cm="1">
        <f t="array" ref="BS74">SUM(_xlfn.XLOOKUP(R74:AH74,增益!$A:$A,增益!$W:$W,0))+$I$5</f>
        <v>0.11</v>
      </c>
    </row>
    <row r="75" spans="1:71">
      <c r="A75" s="4"/>
      <c r="B75" s="4"/>
      <c r="K75" s="55">
        <f>($L75*$BP75+$M75*$BN75+$N75*$BQ75+$O75*$BR75)</f>
        <v>112199.352157246</v>
      </c>
      <c r="L75" s="55">
        <f>((($AP75+$AQ75)/2*$AJ75+$AK75)*(1+$AR75)*(1+$AS75)+(($AU75+$AV75)/2*IF($G$1="鸣金",$AL75,$AJ75)+IF($G$1="鸣金",$AM75*1.5,0))*(1+$AW75)*(1+$AX75)+(($AY75+$AZ75)/2*IF($G$1="裂石",$AL75,$AJ75)+IF($G$1="裂石",$AM75*1.5,0))*(1+$BA75)*(1+$BB75)+(($BC75+$BD75)/2*IF($G$1="牵丝",$AL75,$AJ75)+IF($G$1="牵丝",$AM75*1.5,0))*(1+$BE75)*(1+$BF75)+(($BG75+$BH75)/2*IF($G$1="破竹",$AL75,$AJ75)+IF($G$1="破竹",$AM75*1.5,0))*(1+$BI75)*(1+$BJ75))*(1+$AN75)*$BM75*$P75*(1+IF(VLOOKUP($Q75,武学奇术!$A:$ZZ,30,FALSE)="弹道",$B$21,0))*(1+$BS75)</f>
        <v>112049.397152712</v>
      </c>
      <c r="M75" s="55">
        <f>(($AQ75*$AJ75+$AK75)*(1+$AR75)*(1+$AS75)+($AV75*IF($G$1="鸣金",$AL75,$AJ75)+IF($G$1="鸣金",$AM75*1.5,0))*(1+$AW75)*(1+$AX75)+($AZ75*IF($G$1="裂石",$AL75,$AJ75)+IF($G$1="裂石",$AM75*1.5,0))*(1+$BA75)*(1+$BB75)+($BD75*IF($G$1="牵丝",$AL75,$AJ75)+IF($G$1="牵丝",$AM75*1.5,0))*(1+$BE75)*(1+$BF75)+($BH75*IF($G$1="破竹",$AL75,$AJ75)+IF($G$1="破竹",$AM75*1.5,0))*(1+$BI75)*(1+$BJ75))*(1+$AN75)*$BO75*$P75*(1+IF(VLOOKUP($Q75,武学奇术!$A:$ZZ,30,FALSE)="弹道",$B$21,0))*(1+$BS75)</f>
        <v>115104.387558531</v>
      </c>
      <c r="N75" s="55">
        <f>((($AP75+$AQ75)/2*$AJ75+$AK75)*(1+$AR75)*(1+$AS75)+(($AU75+$AV75)/2*IF($G$1="鸣金",$AL75,$AJ75)+IF($G$1="鸣金",$AM75*1.5,0))*(1+$AW75)*(1+$AX75)+(($AY75+$AZ75)/2*IF($G$1="裂石",$AL75,$AJ75)+IF($G$1="裂石",$AM75*1.5,0))*(1+$BA75)*(1+$BB75)+(($BC75+$BD75)/2*IF($G$1="牵丝",$AL75,$AJ75)+IF($G$1="牵丝",$AM75*1.5,0))*(1+$BE75)*(1+$BF75)+(($BG75+$BH75)/2*IF($G$1="破竹",$AL75,$AJ75)+IF($G$1="破竹",$AM75*1.5,0))*(1+$BI75)*(1+$BJ75))*(1+$AN75)*$P75*(1+IF(VLOOKUP($Q75,武学奇术!$A:$ZZ,30,FALSE)="弹道",$B$21,0))*(1+$BS75)</f>
        <v>60567.2417041684</v>
      </c>
      <c r="O75" s="55">
        <f>((($AP75*$AJ75+$AK75)*(1+$AR75)*(1+$AS75)+($AU75*IF($G$1="鸣金",$AL75,$AJ75)+IF($G$1="鸣金",$AM75*1.5,0))*(1+$AW75)*(1+$AX75)+($AY75*IF($G$1="裂石",$AL75,$AJ75)+IF($G$1="裂石",$AM75*1.5,0))*(1+$BA75)*(1+$BB75)+($BC75*IF($G$1="牵丝",$AL75,$AJ75)+IF($G$1="牵丝",$AM75*1.5,0))*(1+$BE75)*(1+$BF75)+($BG75*IF($G$1="破竹",$AL75,$AJ75)+IF($G$1="破竹",$AM75*1.5,0))*(1+$BI75)*(1+$BJ75))*(1+$AN75))*$P75*(1+IF(VLOOKUP($Q75,武学奇术!$A:$ZZ,30,FALSE)="弹道",$B$21,0))*(1+$BS75)</f>
        <v>35871.9741057212</v>
      </c>
      <c r="P75" s="56">
        <v>1</v>
      </c>
      <c r="Q75" s="57" t="s">
        <v>126</v>
      </c>
      <c r="R75" s="57" t="s">
        <v>116</v>
      </c>
      <c r="S75" s="57" t="s">
        <v>153</v>
      </c>
      <c r="T75" s="57" t="s">
        <v>92</v>
      </c>
      <c r="U75" s="57" t="s">
        <v>107</v>
      </c>
      <c r="V75" s="57" t="s">
        <v>86</v>
      </c>
      <c r="W75" s="57" t="s">
        <v>158</v>
      </c>
      <c r="X75" s="57" t="s">
        <v>72</v>
      </c>
      <c r="Y75" s="57" t="s">
        <v>112</v>
      </c>
      <c r="Z75" s="57" t="s">
        <v>72</v>
      </c>
      <c r="AA75" s="57" t="s">
        <v>72</v>
      </c>
      <c r="AB75" s="57" t="s">
        <v>96</v>
      </c>
      <c r="AC75" s="57" t="s">
        <v>72</v>
      </c>
      <c r="AD75" s="57" t="s">
        <v>72</v>
      </c>
      <c r="AE75" s="57" t="s">
        <v>72</v>
      </c>
      <c r="AF75" s="57" t="s">
        <v>72</v>
      </c>
      <c r="AG75" s="57" t="s">
        <v>72</v>
      </c>
      <c r="AH75" s="57" t="s">
        <v>87</v>
      </c>
      <c r="AI75" t="str">
        <f>VLOOKUP($Q75,武学奇术!$A:$ZZ,25,FALSE)</f>
        <v>扇</v>
      </c>
      <c r="AJ75" s="41">
        <f>VLOOKUP($Q75,武学奇术!$A:$ZZ,26,FALSE)</f>
        <v>2.76138</v>
      </c>
      <c r="AK75" s="42">
        <f>VLOOKUP($Q75,武学奇术!$A:$ZZ,27,FALSE)*(1+IF(OR($AI75=$F$4,$AI75=$F$5),$B$22,0))</f>
        <v>1069.81</v>
      </c>
      <c r="AL75" s="41">
        <f>VLOOKUP($Q75,武学奇术!$A:$ZZ,28,FALSE)</f>
        <v>4.14207</v>
      </c>
      <c r="AM75" s="42">
        <f>VLOOKUP($Q75,武学奇术!$A:$ZZ,29,FALSE)*(1+IF(OR($AI75=$F$4,$AI75=$F$5),$B$22,0))</f>
        <v>582.61</v>
      </c>
      <c r="AN75" s="41" cm="1">
        <f t="array" ref="AN75">$G$3+IFERROR(VLOOKUP($AI75,$F$4:$G$7,2,FALSE),0)+VLOOKUP($Q75,武学奇术!$A:$ZZ,2,FALSE)+SUM(_xlfn.XLOOKUP($R75:$AH75,增益!$A:$A,增益!$B:$B,0))</f>
        <v>1.1689</v>
      </c>
      <c r="AO75" s="41" cm="1">
        <f t="array" ref="AO75">VLOOKUP($Q75,武学奇术!$A:$ZZ,5,FALSE)+SUM(_xlfn.XLOOKUP($R75:$AH75,增益!$A:$A,增益!$E:$E,0))</f>
        <v>0.075</v>
      </c>
      <c r="AP75" cm="1">
        <f t="array" ref="AP75">$D$10*(1+$AO75)+VLOOKUP($Q75,武学奇术!$A:$ZZ,3,FALSE)+SUM(_xlfn.XLOOKUP($R75:$AH75,增益!$A:$A,增益!$C:$C,0))-$I$2</f>
        <v>1974.055</v>
      </c>
      <c r="AQ75" cm="1">
        <f t="array" ref="AQ75">$E$10*(1+$AO75)+VLOOKUP($Q75,武学奇术!$A:$ZZ,4,FALSE)+SUM(_xlfn.XLOOKUP($R75:$AH75,增益!$A:$A,增益!$D:$D,0))-$I$2</f>
        <v>5941.45</v>
      </c>
      <c r="AR75" s="49" cm="1">
        <f t="array" ref="AR75">IF($F$10-$I$3+VLOOKUP($Q75,武学奇术!$A:$ZZ,6,FALSE)+SUM(_xlfn.XLOOKUP(R75:AH75,增益!$A:$A,增益!$F:$F,0))&gt;0,($F$10-$I$3+VLOOKUP($Q75,武学奇术!$A:$ZZ,6,FALSE)+SUM(_xlfn.XLOOKUP(R75:AH75,增益!$A:$A,增益!$F:$F,0)))/200,($F$10-$I$3+VLOOKUP($Q75,武学奇术!$A:$ZZ,6,FALSE)+SUM(_xlfn.XLOOKUP(R75:AH75,增益!$A:$A,增益!$F:$F,0)))/100)</f>
        <v>0.4675</v>
      </c>
      <c r="AS75" s="49" cm="1">
        <f t="array" ref="AS75">$G$10+VLOOKUP($Q75,武学奇术!$A:$ZZ,7,FALSE)+SUM(_xlfn.XLOOKUP(R75:AH75,增益!$A:$A,增益!$G:$G,0))</f>
        <v>0.1</v>
      </c>
      <c r="AT75" s="41" cm="1">
        <f t="array" ref="AT75">VLOOKUP($Q75,武学奇术!$A:$ZZ,8,FALSE)+SUM(_xlfn.XLOOKUP(R75:AH75,增益!$A:$A,增益!$H:$H,0))</f>
        <v>0</v>
      </c>
      <c r="AU75">
        <f>$D$11*(1+$AT75)</f>
        <v>0</v>
      </c>
      <c r="AV75">
        <f>$E$11*(1+$AT75)</f>
        <v>0</v>
      </c>
      <c r="AW75" s="49" cm="1">
        <f t="array" ref="AW75">IF($F$11-$I$4+VLOOKUP($Q75,武学奇术!$A:$ZZ,9,FALSE)+SUM(_xlfn.XLOOKUP(R75:AH75,增益!$A:$A,增益!$I:$I,0))&gt;0,($F$11-$I$4+VLOOKUP($Q75,武学奇术!$A:$ZZ,9,FALSE)+SUM(_xlfn.XLOOKUP(R75:AH75,增益!$A:$A,增益!$I:$I,0)))/200,($F$11-$I$4+VLOOKUP($Q75,武学奇术!$A:$ZZ,9,FALSE)+SUM(_xlfn.XLOOKUP(R75:AH75,增益!$A:$A,增益!$I:$I,0)))/100)</f>
        <v>-0.14</v>
      </c>
      <c r="AX75" s="49" cm="1">
        <f t="array" ref="AX75">$G$11+VLOOKUP($Q75,武学奇术!$A:$ZZ,10,FALSE)+SUM(_xlfn.XLOOKUP(R75:AH75,增益!$A:$A,增益!$J:$J,0))</f>
        <v>0</v>
      </c>
      <c r="AY75">
        <f>$D$12*(1+$AT75)</f>
        <v>0</v>
      </c>
      <c r="AZ75">
        <f>$E$12*(1+$AT75)</f>
        <v>0</v>
      </c>
      <c r="BA75" s="49" cm="1">
        <f t="array" ref="BA75">IF($F$12-$I$4+VLOOKUP($Q75,武学奇术!$A:$ZZ,11,FALSE)+SUM(_xlfn.XLOOKUP(R75:AH75,增益!$A:$A,增益!$K:$K,0))&gt;0,($F$12-$I$4+VLOOKUP($Q75,武学奇术!$A:$ZZ,11,FALSE)+SUM(_xlfn.XLOOKUP(R75:AH75,增益!$A:$A,增益!$K:$K,0)))/200,($F$12-$I$4+VLOOKUP($Q75,武学奇术!$A:$ZZ,11,FALSE)+SUM(_xlfn.XLOOKUP(R75:AH75,增益!$A:$A,增益!$K:$K,0)))/100)</f>
        <v>-0.14</v>
      </c>
      <c r="BB75" s="49" cm="1">
        <f t="array" ref="BB75">$G$12+VLOOKUP($Q75,武学奇术!$A:$ZZ,12,FALSE)+SUM(_xlfn.XLOOKUP(R75:AH75,增益!$A:$A,增益!$L:$L,0))</f>
        <v>0</v>
      </c>
      <c r="BC75">
        <f>$D$13*(1+$AT75)</f>
        <v>571.2</v>
      </c>
      <c r="BD75">
        <f>$E$13*(1+$AT75)</f>
        <v>1077.4</v>
      </c>
      <c r="BE75" s="49" cm="1">
        <f t="array" ref="BE75">IF($F$13-$I$4+VLOOKUP($Q75,武学奇术!$A:$ZZ,13,FALSE)+SUM(_xlfn.XLOOKUP(R75:AH75,增益!$A:$A,增益!$M:$M,0))&gt;0,($F$13-$I$4+VLOOKUP($Q75,武学奇术!$A:$ZZ,13,FALSE)+SUM(_xlfn.XLOOKUP(R75:AH75,增益!$A:$A,增益!$K:$K,0)))/200,($F$13-$I$4+VLOOKUP($Q75,武学奇术!$A:$ZZ,13,FALSE)+SUM(_xlfn.XLOOKUP(R75:AH75,增益!$A:$A,增益!$M:$M,0)))/100)</f>
        <v>0.08</v>
      </c>
      <c r="BF75" s="49" cm="1">
        <f t="array" ref="BF75">$G$13+VLOOKUP($Q75,武学奇术!$A:$ZZ,14,FALSE)+SUM(_xlfn.XLOOKUP(R75:AH75,增益!$A:$A,增益!$N:$N,0))</f>
        <v>0.25</v>
      </c>
      <c r="BG75">
        <f>$D$14*(1+$AT75)</f>
        <v>0</v>
      </c>
      <c r="BH75">
        <f>$E$14*(1+$AT75)</f>
        <v>0</v>
      </c>
      <c r="BI75" s="49" cm="1">
        <f t="array" ref="BI75">IF($F$14-$I$4+VLOOKUP($Q75,武学奇术!$A:$ZZ,15,FALSE)+SUM(_xlfn.XLOOKUP(R75:AH75,增益!$A:$A,增益!$O:$O,0))&gt;0,($F$14-$I$4+VLOOKUP($Q75,武学奇术!$A:$ZZ,15,FALSE)+SUM(_xlfn.XLOOKUP(R75:AH75,增益!$A:$A,增益!$O:$O,0)))/200,($F$14-$I$4+VLOOKUP($Q75,武学奇术!$A:$ZZ,15,FALSE)+SUM(_xlfn.XLOOKUP(R75:AH75,增益!$A:$A,增益!$O:$O,0)))/100)</f>
        <v>-0.14</v>
      </c>
      <c r="BJ75" s="49" cm="1">
        <f t="array" ref="BJ75">$G$14+VLOOKUP($Q75,武学奇术!$A:$ZZ,16,FALSE)+SUM(_xlfn.XLOOKUP(R75:AH75,增益!$A:$A,增益!$P:$P,0))</f>
        <v>0</v>
      </c>
      <c r="BK75" s="41">
        <f>MIN(IF(VLOOKUP($Q75,武学奇术!$A:$ZZ,23,FALSE)=1,100%,$B$8),100%)</f>
        <v>1</v>
      </c>
      <c r="BL75" s="41" cm="1">
        <f t="array" ref="BL75">IF(VLOOKUP($Q75,武学奇术!$A:$ZZ,23,FALSE)=1,100%,MIN(80%,$B$9+VLOOKUP($Q75,武学奇术!$A:$ZZ,17,FALSE)+SUM(_xlfn.XLOOKUP(R75:AH75,增益!$A:$A,增益!$Q:$Q,0)))+$B$11+SUM(_xlfn.XLOOKUP(R75:AH75,增益!$A:$A,增益!$U:$U,0)))*IF(VLOOKUP($Q75,武学奇术!$A:$ZZ,24,FALSE)=1,0,1)</f>
        <v>0.9045</v>
      </c>
      <c r="BM75" s="41" cm="1">
        <f t="array" ref="BM75">1+$B$13+VLOOKUP($Q75,武学奇术!$A:$ZZ,18,FALSE)+SUM(_xlfn.XLOOKUP(R75:AH75,增益!$A:$A,增益!$R:$R,0))</f>
        <v>1.85</v>
      </c>
      <c r="BN75" s="41" cm="1">
        <f t="array" ref="BN75">IF(VLOOKUP($Q75,武学奇术!$A:$ZZ,24,FALSE)=1,100%,MIN(40%,$B$10+VLOOKUP($Q75,武学奇术!$A:$ZZ,19,FALSE)+SUM(_xlfn.XLOOKUP(R75:AH75,增益!$A:$A,增益!$S:$S,0)))+$B$12+SUM(_xlfn.XLOOKUP(R75:AH75,增益!$A:$A,增益!$V:$V,0)))*IF(VLOOKUP($Q75,武学奇术!$A:$ZZ,23,FALSE)=1,0,1)</f>
        <v>0.0929</v>
      </c>
      <c r="BO75" s="41" cm="1">
        <f t="array" ref="BO75">1+$B$14+VLOOKUP($Q75,武学奇术!$A:$ZZ,20,FALSE)+SUM(_xlfn.XLOOKUP(R75:AH75,增益!$A:$A,增益!$T:$T,0))</f>
        <v>1.35</v>
      </c>
      <c r="BP75" s="41">
        <f>MIN((1-BN75)*BK75,BK75*BL75)</f>
        <v>0.9045</v>
      </c>
      <c r="BQ75" s="41">
        <f>1-BN75-BP75-BR75</f>
        <v>0.00260000000000005</v>
      </c>
      <c r="BR75" s="41">
        <f>IF(VLOOKUP($Q75,武学奇术!$A:$ZZ,22,FALSE)=1,0,(1-$BK75))*(1-$BN75)</f>
        <v>0</v>
      </c>
      <c r="BS75" s="41" cm="1">
        <f t="array" ref="BS75">SUM(_xlfn.XLOOKUP(R75:AH75,增益!$A:$A,增益!$W:$W,0))+$I$5</f>
        <v>0.11</v>
      </c>
    </row>
    <row r="76" spans="1:71">
      <c r="K76" s="55">
        <f>($L76*$BP76+$M76*$BN76+$N76*$BQ76+$O76*$BR76)</f>
        <v>105475.473109235</v>
      </c>
      <c r="L76" s="55">
        <f>((($AP76+$AQ76)/2*$AJ76+$AK76)*(1+$AR76)*(1+$AS76)+(($AU76+$AV76)/2*IF($G$1="鸣金",$AL76,$AJ76)+IF($G$1="鸣金",$AM76*1.5,0))*(1+$AW76)*(1+$AX76)+(($AY76+$AZ76)/2*IF($G$1="裂石",$AL76,$AJ76)+IF($G$1="裂石",$AM76*1.5,0))*(1+$BA76)*(1+$BB76)+(($BC76+$BD76)/2*IF($G$1="牵丝",$AL76,$AJ76)+IF($G$1="牵丝",$AM76*1.5,0))*(1+$BE76)*(1+$BF76)+(($BG76+$BH76)/2*IF($G$1="破竹",$AL76,$AJ76)+IF($G$1="破竹",$AM76*1.5,0))*(1+$BI76)*(1+$BJ76))*(1+$AN76)*$BM76*$P76*(1+IF(VLOOKUP($Q76,武学奇术!$A:$ZZ,30,FALSE)="弹道",$B$21,0))*(1+$BS76)</f>
        <v>106999.549596134</v>
      </c>
      <c r="M76" s="55">
        <f>(($AQ76*$AJ76+$AK76)*(1+$AR76)*(1+$AS76)+($AV76*IF($G$1="鸣金",$AL76,$AJ76)+IF($G$1="鸣金",$AM76*1.5,0))*(1+$AW76)*(1+$AX76)+($AZ76*IF($G$1="裂石",$AL76,$AJ76)+IF($G$1="裂石",$AM76*1.5,0))*(1+$BA76)*(1+$BB76)+($BD76*IF($G$1="牵丝",$AL76,$AJ76)+IF($G$1="牵丝",$AM76*1.5,0))*(1+$BE76)*(1+$BF76)+($BH76*IF($G$1="破竹",$AL76,$AJ76)+IF($G$1="破竹",$AM76*1.5,0))*(1+$BI76)*(1+$BJ76))*(1+$AN76)*$BO76*$P76*(1+IF(VLOOKUP($Q76,武学奇术!$A:$ZZ,30,FALSE)="弹道",$B$21,0))*(1+$BS76)</f>
        <v>92233.5702527201</v>
      </c>
      <c r="N76" s="55">
        <f>((($AP76+$AQ76)/2*$AJ76+$AK76)*(1+$AR76)*(1+$AS76)+(($AU76+$AV76)/2*IF($G$1="鸣金",$AL76,$AJ76)+IF($G$1="鸣金",$AM76*1.5,0))*(1+$AW76)*(1+$AX76)+(($AY76+$AZ76)/2*IF($G$1="裂石",$AL76,$AJ76)+IF($G$1="裂石",$AM76*1.5,0))*(1+$BA76)*(1+$BB76)+(($BC76+$BD76)/2*IF($G$1="牵丝",$AL76,$AJ76)+IF($G$1="牵丝",$AM76*1.5,0))*(1+$BE76)*(1+$BF76)+(($BG76+$BH76)/2*IF($G$1="破竹",$AL76,$AJ76)+IF($G$1="破竹",$AM76*1.5,0))*(1+$BI76)*(1+$BJ76))*(1+$AN76)*$P76*(1+IF(VLOOKUP($Q76,武学奇术!$A:$ZZ,30,FALSE)="弹道",$B$21,0))*(1+$BS76)</f>
        <v>48416.0857901058</v>
      </c>
      <c r="O76" s="55">
        <f>((($AP76*$AJ76+$AK76)*(1+$AR76)*(1+$AS76)+($AU76*IF($G$1="鸣金",$AL76,$AJ76)+IF($G$1="鸣金",$AM76*1.5,0))*(1+$AW76)*(1+$AX76)+($AY76*IF($G$1="裂石",$AL76,$AJ76)+IF($G$1="裂石",$AM76*1.5,0))*(1+$BA76)*(1+$BB76)+($BC76*IF($G$1="牵丝",$AL76,$AJ76)+IF($G$1="牵丝",$AM76*1.5,0))*(1+$BE76)*(1+$BF76)+($BG76*IF($G$1="破竹",$AL76,$AJ76)+IF($G$1="破竹",$AM76*1.5,0))*(1+$BI76)*(1+$BJ76))*(1+$AN76))*$P76*(1+IF(VLOOKUP($Q76,武学奇术!$A:$ZZ,30,FALSE)="弹道",$B$21,0))*(1+$BS76)</f>
        <v>28511.0084300485</v>
      </c>
      <c r="P76" s="56">
        <v>1</v>
      </c>
      <c r="Q76" s="57" t="s">
        <v>84</v>
      </c>
      <c r="R76" s="57" t="s">
        <v>116</v>
      </c>
      <c r="S76" s="57" t="s">
        <v>153</v>
      </c>
      <c r="T76" s="57" t="s">
        <v>92</v>
      </c>
      <c r="U76" s="57" t="s">
        <v>107</v>
      </c>
      <c r="V76" s="57" t="s">
        <v>86</v>
      </c>
      <c r="W76" s="57" t="s">
        <v>72</v>
      </c>
      <c r="X76" s="57" t="s">
        <v>72</v>
      </c>
      <c r="Y76" s="57" t="s">
        <v>112</v>
      </c>
      <c r="Z76" s="57" t="s">
        <v>72</v>
      </c>
      <c r="AA76" s="57" t="s">
        <v>72</v>
      </c>
      <c r="AB76" s="57" t="s">
        <v>72</v>
      </c>
      <c r="AC76" s="57" t="s">
        <v>72</v>
      </c>
      <c r="AD76" s="57" t="s">
        <v>72</v>
      </c>
      <c r="AE76" s="57" t="s">
        <v>72</v>
      </c>
      <c r="AF76" s="57" t="s">
        <v>72</v>
      </c>
      <c r="AG76" s="57" t="s">
        <v>72</v>
      </c>
      <c r="AH76" s="57" t="s">
        <v>87</v>
      </c>
      <c r="AI76" t="str">
        <f>VLOOKUP($Q76,武学奇术!$A:$ZZ,25,FALSE)</f>
        <v>伞</v>
      </c>
      <c r="AJ76" s="41">
        <f>VLOOKUP($Q76,武学奇术!$A:$ZZ,26,FALSE)</f>
        <v>2.3397</v>
      </c>
      <c r="AK76" s="42">
        <f>VLOOKUP($Q76,武学奇术!$A:$ZZ,27,FALSE)*(1+IF(OR($AI76=$F$4,$AI76=$F$5),$B$22,0))</f>
        <v>907.2</v>
      </c>
      <c r="AL76" s="41">
        <f>VLOOKUP($Q76,武学奇术!$A:$ZZ,28,FALSE)</f>
        <v>3.5095</v>
      </c>
      <c r="AM76" s="42">
        <f>VLOOKUP($Q76,武学奇术!$A:$ZZ,29,FALSE)*(1+IF(OR($AI76=$F$4,$AI76=$F$5),$B$22,0))</f>
        <v>494.2</v>
      </c>
      <c r="AN76" s="41" cm="1">
        <f t="array" ref="AN76">$G$3+IFERROR(VLOOKUP($AI76,$F$4:$G$7,2,FALSE),0)+VLOOKUP($Q76,武学奇术!$A:$ZZ,2,FALSE)+SUM(_xlfn.XLOOKUP($R76:$AH76,增益!$A:$A,增益!$B:$B,0))</f>
        <v>1.0541</v>
      </c>
      <c r="AO76" s="41" cm="1">
        <f t="array" ref="AO76">VLOOKUP($Q76,武学奇术!$A:$ZZ,5,FALSE)+SUM(_xlfn.XLOOKUP($R76:$AH76,增益!$A:$A,增益!$E:$E,0))</f>
        <v>0.075</v>
      </c>
      <c r="AP76" cm="1">
        <f t="array" ref="AP76">$D$10*(1+$AO76)+VLOOKUP($Q76,武学奇术!$A:$ZZ,3,FALSE)+SUM(_xlfn.XLOOKUP($R76:$AH76,增益!$A:$A,增益!$C:$C,0))-$I$2</f>
        <v>1974.055</v>
      </c>
      <c r="AQ76" cm="1">
        <f t="array" ref="AQ76">$E$10*(1+$AO76)+VLOOKUP($Q76,武学奇术!$A:$ZZ,4,FALSE)+SUM(_xlfn.XLOOKUP($R76:$AH76,增益!$A:$A,增益!$D:$D,0))-$I$2</f>
        <v>5941.45</v>
      </c>
      <c r="AR76" s="49" cm="1">
        <f t="array" ref="AR76">IF($F$10-$I$3+VLOOKUP($Q76,武学奇术!$A:$ZZ,6,FALSE)+SUM(_xlfn.XLOOKUP(R76:AH76,增益!$A:$A,增益!$F:$F,0))&gt;0,($F$10-$I$3+VLOOKUP($Q76,武学奇术!$A:$ZZ,6,FALSE)+SUM(_xlfn.XLOOKUP(R76:AH76,增益!$A:$A,增益!$F:$F,0)))/200,($F$10-$I$3+VLOOKUP($Q76,武学奇术!$A:$ZZ,6,FALSE)+SUM(_xlfn.XLOOKUP(R76:AH76,增益!$A:$A,增益!$F:$F,0)))/100)</f>
        <v>0.4925</v>
      </c>
      <c r="AS76" s="49" cm="1">
        <f t="array" ref="AS76">$G$10+VLOOKUP($Q76,武学奇术!$A:$ZZ,7,FALSE)+SUM(_xlfn.XLOOKUP(R76:AH76,增益!$A:$A,增益!$G:$G,0))</f>
        <v>0.1</v>
      </c>
      <c r="AT76" s="41" cm="1">
        <f t="array" ref="AT76">VLOOKUP($Q76,武学奇术!$A:$ZZ,8,FALSE)+SUM(_xlfn.XLOOKUP(R76:AH76,增益!$A:$A,增益!$H:$H,0))</f>
        <v>0</v>
      </c>
      <c r="AU76">
        <f>$D$11*(1+$AT76)</f>
        <v>0</v>
      </c>
      <c r="AV76">
        <f>$E$11*(1+$AT76)</f>
        <v>0</v>
      </c>
      <c r="AW76" s="49" cm="1">
        <f t="array" ref="AW76">IF($F$11-$I$4+VLOOKUP($Q76,武学奇术!$A:$ZZ,9,FALSE)+SUM(_xlfn.XLOOKUP(R76:AH76,增益!$A:$A,增益!$I:$I,0))&gt;0,($F$11-$I$4+VLOOKUP($Q76,武学奇术!$A:$ZZ,9,FALSE)+SUM(_xlfn.XLOOKUP(R76:AH76,增益!$A:$A,增益!$I:$I,0)))/200,($F$11-$I$4+VLOOKUP($Q76,武学奇术!$A:$ZZ,9,FALSE)+SUM(_xlfn.XLOOKUP(R76:AH76,增益!$A:$A,增益!$I:$I,0)))/100)</f>
        <v>-0.3</v>
      </c>
      <c r="AX76" s="49" cm="1">
        <f t="array" ref="AX76">$G$11+VLOOKUP($Q76,武学奇术!$A:$ZZ,10,FALSE)+SUM(_xlfn.XLOOKUP(R76:AH76,增益!$A:$A,增益!$J:$J,0))</f>
        <v>0</v>
      </c>
      <c r="AY76">
        <f>$D$12*(1+$AT76)</f>
        <v>0</v>
      </c>
      <c r="AZ76">
        <f>$E$12*(1+$AT76)</f>
        <v>0</v>
      </c>
      <c r="BA76" s="49" cm="1">
        <f t="array" ref="BA76">IF($F$12-$I$4+VLOOKUP($Q76,武学奇术!$A:$ZZ,11,FALSE)+SUM(_xlfn.XLOOKUP(R76:AH76,增益!$A:$A,增益!$K:$K,0))&gt;0,($F$12-$I$4+VLOOKUP($Q76,武学奇术!$A:$ZZ,11,FALSE)+SUM(_xlfn.XLOOKUP(R76:AH76,增益!$A:$A,增益!$K:$K,0)))/200,($F$12-$I$4+VLOOKUP($Q76,武学奇术!$A:$ZZ,11,FALSE)+SUM(_xlfn.XLOOKUP(R76:AH76,增益!$A:$A,增益!$K:$K,0)))/100)</f>
        <v>-0.3</v>
      </c>
      <c r="BB76" s="49" cm="1">
        <f t="array" ref="BB76">$G$12+VLOOKUP($Q76,武学奇术!$A:$ZZ,12,FALSE)+SUM(_xlfn.XLOOKUP(R76:AH76,增益!$A:$A,增益!$L:$L,0))</f>
        <v>0</v>
      </c>
      <c r="BC76">
        <f>$D$13*(1+$AT76)</f>
        <v>571.2</v>
      </c>
      <c r="BD76">
        <f>$E$13*(1+$AT76)</f>
        <v>1077.4</v>
      </c>
      <c r="BE76" s="49" cm="1">
        <f t="array" ref="BE76">IF($F$13-$I$4+VLOOKUP($Q76,武学奇术!$A:$ZZ,13,FALSE)+SUM(_xlfn.XLOOKUP(R76:AH76,增益!$A:$A,增益!$M:$M,0))&gt;0,($F$13-$I$4+VLOOKUP($Q76,武学奇术!$A:$ZZ,13,FALSE)+SUM(_xlfn.XLOOKUP(R76:AH76,增益!$A:$A,增益!$K:$K,0)))/200,($F$13-$I$4+VLOOKUP($Q76,武学奇术!$A:$ZZ,13,FALSE)+SUM(_xlfn.XLOOKUP(R76:AH76,增益!$A:$A,增益!$M:$M,0)))/100)</f>
        <v>0</v>
      </c>
      <c r="BF76" s="49" cm="1">
        <f t="array" ref="BF76">$G$13+VLOOKUP($Q76,武学奇术!$A:$ZZ,14,FALSE)+SUM(_xlfn.XLOOKUP(R76:AH76,增益!$A:$A,增益!$N:$N,0))</f>
        <v>0.25</v>
      </c>
      <c r="BG76">
        <f>$D$14*(1+$AT76)</f>
        <v>0</v>
      </c>
      <c r="BH76">
        <f>$E$14*(1+$AT76)</f>
        <v>0</v>
      </c>
      <c r="BI76" s="49" cm="1">
        <f t="array" ref="BI76">IF($F$14-$I$4+VLOOKUP($Q76,武学奇术!$A:$ZZ,15,FALSE)+SUM(_xlfn.XLOOKUP(R76:AH76,增益!$A:$A,增益!$O:$O,0))&gt;0,($F$14-$I$4+VLOOKUP($Q76,武学奇术!$A:$ZZ,15,FALSE)+SUM(_xlfn.XLOOKUP(R76:AH76,增益!$A:$A,增益!$O:$O,0)))/200,($F$14-$I$4+VLOOKUP($Q76,武学奇术!$A:$ZZ,15,FALSE)+SUM(_xlfn.XLOOKUP(R76:AH76,增益!$A:$A,增益!$O:$O,0)))/100)</f>
        <v>-0.3</v>
      </c>
      <c r="BJ76" s="49" cm="1">
        <f t="array" ref="BJ76">$G$14+VLOOKUP($Q76,武学奇术!$A:$ZZ,16,FALSE)+SUM(_xlfn.XLOOKUP(R76:AH76,增益!$A:$A,增益!$P:$P,0))</f>
        <v>0</v>
      </c>
      <c r="BK76" s="41">
        <f>MIN(IF(VLOOKUP($Q76,武学奇术!$A:$ZZ,23,FALSE)=1,100%,$B$8),100%)</f>
        <v>1</v>
      </c>
      <c r="BL76" s="41" cm="1">
        <f t="array" ref="BL76">IF(VLOOKUP($Q76,武学奇术!$A:$ZZ,23,FALSE)=1,100%,MIN(80%,$B$9+VLOOKUP($Q76,武学奇术!$A:$ZZ,17,FALSE)+SUM(_xlfn.XLOOKUP(R76:AH76,增益!$A:$A,增益!$Q:$Q,0)))+$B$11+SUM(_xlfn.XLOOKUP(R76:AH76,增益!$A:$A,增益!$U:$U,0)))*IF(VLOOKUP($Q76,武学奇术!$A:$ZZ,24,FALSE)=1,0,1)</f>
        <v>0.9045</v>
      </c>
      <c r="BM76" s="41" cm="1">
        <f t="array" ref="BM76">1+$B$13+VLOOKUP($Q76,武学奇术!$A:$ZZ,18,FALSE)+SUM(_xlfn.XLOOKUP(R76:AH76,增益!$A:$A,增益!$R:$R,0))</f>
        <v>2.21</v>
      </c>
      <c r="BN76" s="41" cm="1">
        <f t="array" ref="BN76">IF(VLOOKUP($Q76,武学奇术!$A:$ZZ,24,FALSE)=1,100%,MIN(40%,$B$10+VLOOKUP($Q76,武学奇术!$A:$ZZ,19,FALSE)+SUM(_xlfn.XLOOKUP(R76:AH76,增益!$A:$A,增益!$S:$S,0)))+$B$12+SUM(_xlfn.XLOOKUP(R76:AH76,增益!$A:$A,增益!$V:$V,0)))*IF(VLOOKUP($Q76,武学奇术!$A:$ZZ,23,FALSE)=1,0,1)</f>
        <v>0.0929</v>
      </c>
      <c r="BO76" s="41" cm="1">
        <f t="array" ref="BO76">1+$B$14+VLOOKUP($Q76,武学奇术!$A:$ZZ,20,FALSE)+SUM(_xlfn.XLOOKUP(R76:AH76,增益!$A:$A,增益!$T:$T,0))</f>
        <v>1.35</v>
      </c>
      <c r="BP76" s="41">
        <f>MIN((1-BN76)*BK76,BK76*BL76)</f>
        <v>0.9045</v>
      </c>
      <c r="BQ76" s="41">
        <f>1-BN76-BP76-BR76</f>
        <v>0.00260000000000005</v>
      </c>
      <c r="BR76" s="41">
        <f>IF(VLOOKUP($Q76,武学奇术!$A:$ZZ,22,FALSE)=1,0,(1-$BK76))*(1-$BN76)</f>
        <v>0</v>
      </c>
      <c r="BS76" s="41" cm="1">
        <f t="array" ref="BS76">SUM(_xlfn.XLOOKUP(R76:AH76,增益!$A:$A,增益!$W:$W,0))+$I$5</f>
        <v>0.11</v>
      </c>
    </row>
    <row r="77" spans="1:71">
      <c r="K77" s="55">
        <f>($L77*$BP77+$M77*$BN77+$N77*$BQ77+$O77*$BR77)</f>
        <v>0</v>
      </c>
      <c r="L77" s="55">
        <f>((($AP77+$AQ77)/2*$AJ77+$AK77)*(1+$AR77)*(1+$AS77)+(($AU77+$AV77)/2*IF($G$1="鸣金",$AL77,$AJ77)+IF($G$1="鸣金",$AM77*1.5,0))*(1+$AW77)*(1+$AX77)+(($AY77+$AZ77)/2*IF($G$1="裂石",$AL77,$AJ77)+IF($G$1="裂石",$AM77*1.5,0))*(1+$BA77)*(1+$BB77)+(($BC77+$BD77)/2*IF($G$1="牵丝",$AL77,$AJ77)+IF($G$1="牵丝",$AM77*1.5,0))*(1+$BE77)*(1+$BF77)+(($BG77+$BH77)/2*IF($G$1="破竹",$AL77,$AJ77)+IF($G$1="破竹",$AM77*1.5,0))*(1+$BI77)*(1+$BJ77))*(1+$AN77)*$BM77*$P77*(1+IF(VLOOKUP($Q77,武学奇术!$A:$ZZ,30,FALSE)="弹道",$B$21,0))*(1+$BS77)</f>
        <v>0</v>
      </c>
      <c r="M77" s="55">
        <f>(($AQ77*$AJ77+$AK77)*(1+$AR77)*(1+$AS77)+($AV77*IF($G$1="鸣金",$AL77,$AJ77)+IF($G$1="鸣金",$AM77*1.5,0))*(1+$AW77)*(1+$AX77)+($AZ77*IF($G$1="裂石",$AL77,$AJ77)+IF($G$1="裂石",$AM77*1.5,0))*(1+$BA77)*(1+$BB77)+($BD77*IF($G$1="牵丝",$AL77,$AJ77)+IF($G$1="牵丝",$AM77*1.5,0))*(1+$BE77)*(1+$BF77)+($BH77*IF($G$1="破竹",$AL77,$AJ77)+IF($G$1="破竹",$AM77*1.5,0))*(1+$BI77)*(1+$BJ77))*(1+$AN77)*$BO77*$P77*(1+IF(VLOOKUP($Q77,武学奇术!$A:$ZZ,30,FALSE)="弹道",$B$21,0))*(1+$BS77)</f>
        <v>0</v>
      </c>
      <c r="N77" s="55">
        <f>((($AP77+$AQ77)/2*$AJ77+$AK77)*(1+$AR77)*(1+$AS77)+(($AU77+$AV77)/2*IF($G$1="鸣金",$AL77,$AJ77)+IF($G$1="鸣金",$AM77*1.5,0))*(1+$AW77)*(1+$AX77)+(($AY77+$AZ77)/2*IF($G$1="裂石",$AL77,$AJ77)+IF($G$1="裂石",$AM77*1.5,0))*(1+$BA77)*(1+$BB77)+(($BC77+$BD77)/2*IF($G$1="牵丝",$AL77,$AJ77)+IF($G$1="牵丝",$AM77*1.5,0))*(1+$BE77)*(1+$BF77)+(($BG77+$BH77)/2*IF($G$1="破竹",$AL77,$AJ77)+IF($G$1="破竹",$AM77*1.5,0))*(1+$BI77)*(1+$BJ77))*(1+$AN77)*$P77*(1+IF(VLOOKUP($Q77,武学奇术!$A:$ZZ,30,FALSE)="弹道",$B$21,0))*(1+$BS77)</f>
        <v>0</v>
      </c>
      <c r="O77" s="55">
        <f>((($AP77*$AJ77+$AK77)*(1+$AR77)*(1+$AS77)+($AU77*IF($G$1="鸣金",$AL77,$AJ77)+IF($G$1="鸣金",$AM77*1.5,0))*(1+$AW77)*(1+$AX77)+($AY77*IF($G$1="裂石",$AL77,$AJ77)+IF($G$1="裂石",$AM77*1.5,0))*(1+$BA77)*(1+$BB77)+($BC77*IF($G$1="牵丝",$AL77,$AJ77)+IF($G$1="牵丝",$AM77*1.5,0))*(1+$BE77)*(1+$BF77)+($BG77*IF($G$1="破竹",$AL77,$AJ77)+IF($G$1="破竹",$AM77*1.5,0))*(1+$BI77)*(1+$BJ77))*(1+$AN77))*$P77*(1+IF(VLOOKUP($Q77,武学奇术!$A:$ZZ,30,FALSE)="弹道",$B$21,0))*(1+$BS77)</f>
        <v>0</v>
      </c>
      <c r="P77" s="56">
        <v>1</v>
      </c>
      <c r="Q77" s="57" t="s">
        <v>72</v>
      </c>
      <c r="R77" s="57" t="s">
        <v>72</v>
      </c>
      <c r="S77" s="57" t="s">
        <v>72</v>
      </c>
      <c r="T77" s="57" t="s">
        <v>72</v>
      </c>
      <c r="U77" s="57" t="s">
        <v>72</v>
      </c>
      <c r="V77" s="57" t="s">
        <v>72</v>
      </c>
      <c r="W77" s="57" t="s">
        <v>72</v>
      </c>
      <c r="X77" s="57" t="s">
        <v>72</v>
      </c>
      <c r="Y77" s="57" t="s">
        <v>72</v>
      </c>
      <c r="Z77" s="57" t="s">
        <v>72</v>
      </c>
      <c r="AA77" s="57" t="s">
        <v>72</v>
      </c>
      <c r="AB77" s="57" t="s">
        <v>72</v>
      </c>
      <c r="AC77" s="57" t="s">
        <v>72</v>
      </c>
      <c r="AD77" s="57" t="s">
        <v>72</v>
      </c>
      <c r="AE77" s="57" t="s">
        <v>72</v>
      </c>
      <c r="AF77" s="57" t="s">
        <v>72</v>
      </c>
      <c r="AG77" s="57" t="s">
        <v>72</v>
      </c>
      <c r="AH77" s="57" t="s">
        <v>87</v>
      </c>
      <c r="AI77" t="str">
        <f>VLOOKUP($Q77,武学奇术!$A:$ZZ,25,FALSE)</f>
        <v>心法</v>
      </c>
      <c r="AJ77" s="41">
        <f>VLOOKUP($Q77,武学奇术!$A:$ZZ,26,FALSE)</f>
        <v>0</v>
      </c>
      <c r="AK77" s="42">
        <f>VLOOKUP($Q77,武学奇术!$A:$ZZ,27,FALSE)*(1+IF(OR($AI77=$F$4,$AI77=$F$5),$B$22,0))</f>
        <v>0</v>
      </c>
      <c r="AL77" s="41">
        <f>VLOOKUP($Q77,武学奇术!$A:$ZZ,28,FALSE)</f>
        <v>0</v>
      </c>
      <c r="AM77" s="42">
        <f>VLOOKUP($Q77,武学奇术!$A:$ZZ,29,FALSE)*(1+IF(OR($AI77=$F$4,$AI77=$F$5),$B$22,0))</f>
        <v>0</v>
      </c>
      <c r="AN77" s="41" cm="1">
        <f t="array" ref="AN77">$G$3+IFERROR(VLOOKUP($AI77,$F$4:$G$7,2,FALSE),0)+VLOOKUP($Q77,武学奇术!$A:$ZZ,2,FALSE)+SUM(_xlfn.XLOOKUP($R77:$AH77,增益!$A:$A,增益!$B:$B,0))</f>
        <v>0.1837</v>
      </c>
      <c r="AO77" s="41" cm="1">
        <f t="array" ref="AO77">VLOOKUP($Q77,武学奇术!$A:$ZZ,5,FALSE)+SUM(_xlfn.XLOOKUP($R77:$AH77,增益!$A:$A,增益!$E:$E,0))</f>
        <v>0</v>
      </c>
      <c r="AP77" cm="1">
        <f t="array" ref="AP77">$D$10*(1+$AO77)+VLOOKUP($Q77,武学奇术!$A:$ZZ,3,FALSE)+SUM(_xlfn.XLOOKUP($R77:$AH77,增益!$A:$A,增益!$C:$C,0))-$I$2</f>
        <v>1797.4</v>
      </c>
      <c r="AQ77" cm="1">
        <f t="array" ref="AQ77">$E$10*(1+$AO77)+VLOOKUP($Q77,武学奇术!$A:$ZZ,4,FALSE)+SUM(_xlfn.XLOOKUP($R77:$AH77,增益!$A:$A,增益!$D:$D,0))-$I$2</f>
        <v>5488</v>
      </c>
      <c r="AR77" s="49" cm="1">
        <f t="array" ref="AR77">IF($F$10-$I$3+VLOOKUP($Q77,武学奇术!$A:$ZZ,6,FALSE)+SUM(_xlfn.XLOOKUP(R77:AH77,增益!$A:$A,增益!$F:$F,0))&gt;0,($F$10-$I$3+VLOOKUP($Q77,武学奇术!$A:$ZZ,6,FALSE)+SUM(_xlfn.XLOOKUP(R77:AH77,增益!$A:$A,增益!$F:$F,0)))/200,($F$10-$I$3+VLOOKUP($Q77,武学奇术!$A:$ZZ,6,FALSE)+SUM(_xlfn.XLOOKUP(R77:AH77,增益!$A:$A,增益!$F:$F,0)))/100)</f>
        <v>0.2925</v>
      </c>
      <c r="AS77" s="49" cm="1">
        <f t="array" ref="AS77">$G$10+VLOOKUP($Q77,武学奇术!$A:$ZZ,7,FALSE)+SUM(_xlfn.XLOOKUP(R77:AH77,增益!$A:$A,增益!$G:$G,0))</f>
        <v>0</v>
      </c>
      <c r="AT77" s="41" cm="1">
        <f t="array" ref="AT77">VLOOKUP($Q77,武学奇术!$A:$ZZ,8,FALSE)+SUM(_xlfn.XLOOKUP(R77:AH77,增益!$A:$A,增益!$H:$H,0))</f>
        <v>0</v>
      </c>
      <c r="AU77">
        <f>$D$11*(1+$AT77)</f>
        <v>0</v>
      </c>
      <c r="AV77">
        <f>$E$11*(1+$AT77)</f>
        <v>0</v>
      </c>
      <c r="AW77" s="49" cm="1">
        <f t="array" ref="AW77">IF($F$11-$I$4+VLOOKUP($Q77,武学奇术!$A:$ZZ,9,FALSE)+SUM(_xlfn.XLOOKUP(R77:AH77,增益!$A:$A,增益!$I:$I,0))&gt;0,($F$11-$I$4+VLOOKUP($Q77,武学奇术!$A:$ZZ,9,FALSE)+SUM(_xlfn.XLOOKUP(R77:AH77,增益!$A:$A,增益!$I:$I,0)))/200,($F$11-$I$4+VLOOKUP($Q77,武学奇术!$A:$ZZ,9,FALSE)+SUM(_xlfn.XLOOKUP(R77:AH77,增益!$A:$A,增益!$I:$I,0)))/100)</f>
        <v>-0.3</v>
      </c>
      <c r="AX77" s="49" cm="1">
        <f t="array" ref="AX77">$G$11+VLOOKUP($Q77,武学奇术!$A:$ZZ,10,FALSE)+SUM(_xlfn.XLOOKUP(R77:AH77,增益!$A:$A,增益!$J:$J,0))</f>
        <v>0</v>
      </c>
      <c r="AY77">
        <f>$D$12*(1+$AT77)</f>
        <v>0</v>
      </c>
      <c r="AZ77">
        <f>$E$12*(1+$AT77)</f>
        <v>0</v>
      </c>
      <c r="BA77" s="49" cm="1">
        <f t="array" ref="BA77">IF($F$12-$I$4+VLOOKUP($Q77,武学奇术!$A:$ZZ,11,FALSE)+SUM(_xlfn.XLOOKUP(R77:AH77,增益!$A:$A,增益!$K:$K,0))&gt;0,($F$12-$I$4+VLOOKUP($Q77,武学奇术!$A:$ZZ,11,FALSE)+SUM(_xlfn.XLOOKUP(R77:AH77,增益!$A:$A,增益!$K:$K,0)))/200,($F$12-$I$4+VLOOKUP($Q77,武学奇术!$A:$ZZ,11,FALSE)+SUM(_xlfn.XLOOKUP(R77:AH77,增益!$A:$A,增益!$K:$K,0)))/100)</f>
        <v>-0.3</v>
      </c>
      <c r="BB77" s="49" cm="1">
        <f t="array" ref="BB77">$G$12+VLOOKUP($Q77,武学奇术!$A:$ZZ,12,FALSE)+SUM(_xlfn.XLOOKUP(R77:AH77,增益!$A:$A,增益!$L:$L,0))</f>
        <v>0</v>
      </c>
      <c r="BC77">
        <f>$D$13*(1+$AT77)</f>
        <v>571.2</v>
      </c>
      <c r="BD77">
        <f>$E$13*(1+$AT77)</f>
        <v>1077.4</v>
      </c>
      <c r="BE77" s="49" cm="1">
        <f t="array" ref="BE77">IF($F$13-$I$4+VLOOKUP($Q77,武学奇术!$A:$ZZ,13,FALSE)+SUM(_xlfn.XLOOKUP(R77:AH77,增益!$A:$A,增益!$M:$M,0))&gt;0,($F$13-$I$4+VLOOKUP($Q77,武学奇术!$A:$ZZ,13,FALSE)+SUM(_xlfn.XLOOKUP(R77:AH77,增益!$A:$A,增益!$K:$K,0)))/200,($F$13-$I$4+VLOOKUP($Q77,武学奇术!$A:$ZZ,13,FALSE)+SUM(_xlfn.XLOOKUP(R77:AH77,增益!$A:$A,增益!$M:$M,0)))/100)</f>
        <v>0</v>
      </c>
      <c r="BF77" s="49" cm="1">
        <f t="array" ref="BF77">$G$13+VLOOKUP($Q77,武学奇术!$A:$ZZ,14,FALSE)+SUM(_xlfn.XLOOKUP(R77:AH77,增益!$A:$A,增益!$N:$N,0))</f>
        <v>0.15</v>
      </c>
      <c r="BG77">
        <f>$D$14*(1+$AT77)</f>
        <v>0</v>
      </c>
      <c r="BH77">
        <f>$E$14*(1+$AT77)</f>
        <v>0</v>
      </c>
      <c r="BI77" s="49" cm="1">
        <f t="array" ref="BI77">IF($F$14-$I$4+VLOOKUP($Q77,武学奇术!$A:$ZZ,15,FALSE)+SUM(_xlfn.XLOOKUP(R77:AH77,增益!$A:$A,增益!$O:$O,0))&gt;0,($F$14-$I$4+VLOOKUP($Q77,武学奇术!$A:$ZZ,15,FALSE)+SUM(_xlfn.XLOOKUP(R77:AH77,增益!$A:$A,增益!$O:$O,0)))/200,($F$14-$I$4+VLOOKUP($Q77,武学奇术!$A:$ZZ,15,FALSE)+SUM(_xlfn.XLOOKUP(R77:AH77,增益!$A:$A,增益!$O:$O,0)))/100)</f>
        <v>-0.3</v>
      </c>
      <c r="BJ77" s="49" cm="1">
        <f t="array" ref="BJ77">$G$14+VLOOKUP($Q77,武学奇术!$A:$ZZ,16,FALSE)+SUM(_xlfn.XLOOKUP(R77:AH77,增益!$A:$A,增益!$P:$P,0))</f>
        <v>0</v>
      </c>
      <c r="BK77" s="41">
        <f>MIN(IF(VLOOKUP($Q77,武学奇术!$A:$ZZ,23,FALSE)=1,100%,$B$8),100%)</f>
        <v>1</v>
      </c>
      <c r="BL77" s="41" cm="1">
        <f t="array" ref="BL77">IF(VLOOKUP($Q77,武学奇术!$A:$ZZ,23,FALSE)=1,100%,MIN(80%,$B$9+VLOOKUP($Q77,武学奇术!$A:$ZZ,17,FALSE)+SUM(_xlfn.XLOOKUP(R77:AH77,增益!$A:$A,增益!$Q:$Q,0)))+$B$11+SUM(_xlfn.XLOOKUP(R77:AH77,增益!$A:$A,增益!$U:$U,0)))*IF(VLOOKUP($Q77,武学奇术!$A:$ZZ,24,FALSE)=1,0,1)</f>
        <v>0.9045</v>
      </c>
      <c r="BM77" s="41" cm="1">
        <f t="array" ref="BM77">1+$B$13+VLOOKUP($Q77,武学奇术!$A:$ZZ,18,FALSE)+SUM(_xlfn.XLOOKUP(R77:AH77,增益!$A:$A,增益!$R:$R,0))</f>
        <v>1.5</v>
      </c>
      <c r="BN77" s="41" cm="1">
        <f t="array" ref="BN77">IF(VLOOKUP($Q77,武学奇术!$A:$ZZ,24,FALSE)=1,100%,MIN(40%,$B$10+VLOOKUP($Q77,武学奇术!$A:$ZZ,19,FALSE)+SUM(_xlfn.XLOOKUP(R77:AH77,增益!$A:$A,增益!$S:$S,0)))+$B$12+SUM(_xlfn.XLOOKUP(R77:AH77,增益!$A:$A,增益!$V:$V,0)))*IF(VLOOKUP($Q77,武学奇术!$A:$ZZ,23,FALSE)=1,0,1)</f>
        <v>0.0929</v>
      </c>
      <c r="BO77" s="41" cm="1">
        <f t="array" ref="BO77">1+$B$14+VLOOKUP($Q77,武学奇术!$A:$ZZ,20,FALSE)+SUM(_xlfn.XLOOKUP(R77:AH77,增益!$A:$A,增益!$T:$T,0))</f>
        <v>1.35</v>
      </c>
      <c r="BP77" s="41">
        <f>MIN((1-BN77)*BK77,BK77*BL77)</f>
        <v>0.9045</v>
      </c>
      <c r="BQ77" s="41">
        <f>1-BN77-BP77-BR77</f>
        <v>0.00260000000000005</v>
      </c>
      <c r="BR77" s="41">
        <f>IF(VLOOKUP($Q77,武学奇术!$A:$ZZ,22,FALSE)=1,0,(1-$BK77))*(1-$BN77)</f>
        <v>0</v>
      </c>
      <c r="BS77" s="41" cm="1">
        <f t="array" ref="BS77">SUM(_xlfn.XLOOKUP(R77:AH77,增益!$A:$A,增益!$W:$W,0))+$I$5</f>
        <v>0.11</v>
      </c>
    </row>
    <row r="78" spans="1:71">
      <c r="K78" s="55">
        <f>($L78*$BP78+$M78*$BN78+$N78*$BQ78+$O78*$BR78)</f>
        <v>69983.8783708651</v>
      </c>
      <c r="L78" s="55">
        <f>((($AP78+$AQ78)/2*$AJ78+$AK78)*(1+$AR78)*(1+$AS78)+(($AU78+$AV78)/2*IF($G$1="鸣金",$AL78,$AJ78)+IF($G$1="鸣金",$AM78*1.5,0))*(1+$AW78)*(1+$AX78)+(($AY78+$AZ78)/2*IF($G$1="裂石",$AL78,$AJ78)+IF($G$1="裂石",$AM78*1.5,0))*(1+$BA78)*(1+$BB78)+(($BC78+$BD78)/2*IF($G$1="牵丝",$AL78,$AJ78)+IF($G$1="牵丝",$AM78*1.5,0))*(1+$BE78)*(1+$BF78)+(($BG78+$BH78)/2*IF($G$1="破竹",$AL78,$AJ78)+IF($G$1="破竹",$AM78*1.5,0))*(1+$BI78)*(1+$BJ78))*(1+$AN78)*$BM78*$P78*(1+IF(VLOOKUP($Q78,武学奇术!$A:$ZZ,30,FALSE)="弹道",$B$21,0))*(1+$BS78)</f>
        <v>70284.5480461009</v>
      </c>
      <c r="M78" s="55">
        <f>(($AQ78*$AJ78+$AK78)*(1+$AR78)*(1+$AS78)+($AV78*IF($G$1="鸣金",$AL78,$AJ78)+IF($G$1="鸣金",$AM78*1.5,0))*(1+$AW78)*(1+$AX78)+($AZ78*IF($G$1="裂石",$AL78,$AJ78)+IF($G$1="裂石",$AM78*1.5,0))*(1+$BA78)*(1+$BB78)+($BD78*IF($G$1="牵丝",$AL78,$AJ78)+IF($G$1="牵丝",$AM78*1.5,0))*(1+$BE78)*(1+$BF78)+($BH78*IF($G$1="破竹",$AL78,$AJ78)+IF($G$1="破竹",$AM78*1.5,0))*(1+$BI78)*(1+$BJ78))*(1+$AN78)*$BO78*$P78*(1+IF(VLOOKUP($Q78,武学奇术!$A:$ZZ,30,FALSE)="弹道",$B$21,0))*(1+$BS78)</f>
        <v>68011.5183919899</v>
      </c>
      <c r="N78" s="55">
        <f>((($AP78+$AQ78)/2*$AJ78+$AK78)*(1+$AR78)*(1+$AS78)+(($AU78+$AV78)/2*IF($G$1="鸣金",$AL78,$AJ78)+IF($G$1="鸣金",$AM78*1.5,0))*(1+$AW78)*(1+$AX78)+(($AY78+$AZ78)/2*IF($G$1="裂石",$AL78,$AJ78)+IF($G$1="裂石",$AM78*1.5,0))*(1+$BA78)*(1+$BB78)+(($BC78+$BD78)/2*IF($G$1="牵丝",$AL78,$AJ78)+IF($G$1="牵丝",$AM78*1.5,0))*(1+$BE78)*(1+$BF78)+(($BG78+$BH78)/2*IF($G$1="破竹",$AL78,$AJ78)+IF($G$1="破竹",$AM78*1.5,0))*(1+$BI78)*(1+$BJ78))*(1+$AN78)*$P78*(1+IF(VLOOKUP($Q78,武学奇术!$A:$ZZ,30,FALSE)="弹道",$B$21,0))*(1+$BS78)</f>
        <v>35859.463288827</v>
      </c>
      <c r="O78" s="55">
        <f>((($AP78*$AJ78+$AK78)*(1+$AR78)*(1+$AS78)+($AU78*IF($G$1="鸣金",$AL78,$AJ78)+IF($G$1="鸣金",$AM78*1.5,0))*(1+$AW78)*(1+$AX78)+($AY78*IF($G$1="裂石",$AL78,$AJ78)+IF($G$1="裂石",$AM78*1.5,0))*(1+$BA78)*(1+$BB78)+($BC78*IF($G$1="牵丝",$AL78,$AJ78)+IF($G$1="牵丝",$AM78*1.5,0))*(1+$BE78)*(1+$BF78)+($BG78*IF($G$1="破竹",$AL78,$AJ78)+IF($G$1="破竹",$AM78*1.5,0))*(1+$BI78)*(1+$BJ78))*(1+$AN78))*$P78*(1+IF(VLOOKUP($Q78,武学奇术!$A:$ZZ,30,FALSE)="弹道",$B$21,0))*(1+$BS78)</f>
        <v>21340.0240650689</v>
      </c>
      <c r="P78" s="56">
        <v>1</v>
      </c>
      <c r="Q78" s="57" t="s">
        <v>84</v>
      </c>
      <c r="R78" s="57" t="s">
        <v>91</v>
      </c>
      <c r="S78" s="57" t="s">
        <v>153</v>
      </c>
      <c r="T78" s="57" t="s">
        <v>72</v>
      </c>
      <c r="U78" s="57" t="s">
        <v>72</v>
      </c>
      <c r="V78" s="57" t="s">
        <v>86</v>
      </c>
      <c r="W78" s="57" t="s">
        <v>72</v>
      </c>
      <c r="X78" s="57" t="s">
        <v>72</v>
      </c>
      <c r="Y78" s="57" t="s">
        <v>72</v>
      </c>
      <c r="Z78" s="57" t="s">
        <v>72</v>
      </c>
      <c r="AA78" s="57" t="s">
        <v>72</v>
      </c>
      <c r="AB78" s="57" t="s">
        <v>72</v>
      </c>
      <c r="AC78" s="57" t="s">
        <v>72</v>
      </c>
      <c r="AD78" s="57" t="s">
        <v>72</v>
      </c>
      <c r="AE78" s="57" t="s">
        <v>72</v>
      </c>
      <c r="AF78" s="57" t="s">
        <v>72</v>
      </c>
      <c r="AG78" s="57" t="s">
        <v>72</v>
      </c>
      <c r="AH78" s="57" t="s">
        <v>87</v>
      </c>
      <c r="AI78" t="str">
        <f>VLOOKUP($Q78,武学奇术!$A:$ZZ,25,FALSE)</f>
        <v>伞</v>
      </c>
      <c r="AJ78" s="41">
        <f>VLOOKUP($Q78,武学奇术!$A:$ZZ,26,FALSE)</f>
        <v>2.3397</v>
      </c>
      <c r="AK78" s="42">
        <f>VLOOKUP($Q78,武学奇术!$A:$ZZ,27,FALSE)*(1+IF(OR($AI78=$F$4,$AI78=$F$5),$B$22,0))</f>
        <v>907.2</v>
      </c>
      <c r="AL78" s="41">
        <f>VLOOKUP($Q78,武学奇术!$A:$ZZ,28,FALSE)</f>
        <v>3.5095</v>
      </c>
      <c r="AM78" s="42">
        <f>VLOOKUP($Q78,武学奇术!$A:$ZZ,29,FALSE)*(1+IF(OR($AI78=$F$4,$AI78=$F$5),$B$22,0))</f>
        <v>494.2</v>
      </c>
      <c r="AN78" s="41" cm="1">
        <f t="array" ref="AN78">$G$3+IFERROR(VLOOKUP($AI78,$F$4:$G$7,2,FALSE),0)+VLOOKUP($Q78,武学奇术!$A:$ZZ,2,FALSE)+SUM(_xlfn.XLOOKUP($R78:$AH78,增益!$A:$A,增益!$B:$B,0))</f>
        <v>0.7641</v>
      </c>
      <c r="AO78" s="41" cm="1">
        <f t="array" ref="AO78">VLOOKUP($Q78,武学奇术!$A:$ZZ,5,FALSE)+SUM(_xlfn.XLOOKUP($R78:$AH78,增益!$A:$A,增益!$E:$E,0))</f>
        <v>0</v>
      </c>
      <c r="AP78" cm="1">
        <f t="array" ref="AP78">$D$10*(1+$AO78)+VLOOKUP($Q78,武学奇术!$A:$ZZ,3,FALSE)+SUM(_xlfn.XLOOKUP($R78:$AH78,增益!$A:$A,增益!$C:$C,0))-$I$2</f>
        <v>1797.4</v>
      </c>
      <c r="AQ78" cm="1">
        <f t="array" ref="AQ78">$E$10*(1+$AO78)+VLOOKUP($Q78,武学奇术!$A:$ZZ,4,FALSE)+SUM(_xlfn.XLOOKUP($R78:$AH78,增益!$A:$A,增益!$D:$D,0))-$I$2</f>
        <v>5488</v>
      </c>
      <c r="AR78" s="49" cm="1">
        <f t="array" ref="AR78">IF($F$10-$I$3+VLOOKUP($Q78,武学奇术!$A:$ZZ,6,FALSE)+SUM(_xlfn.XLOOKUP(R78:AH78,增益!$A:$A,增益!$F:$F,0))&gt;0,($F$10-$I$3+VLOOKUP($Q78,武学奇术!$A:$ZZ,6,FALSE)+SUM(_xlfn.XLOOKUP(R78:AH78,增益!$A:$A,增益!$F:$F,0)))/200,($F$10-$I$3+VLOOKUP($Q78,武学奇术!$A:$ZZ,6,FALSE)+SUM(_xlfn.XLOOKUP(R78:AH78,增益!$A:$A,增益!$F:$F,0)))/100)</f>
        <v>0.3275</v>
      </c>
      <c r="AS78" s="49" cm="1">
        <f t="array" ref="AS78">$G$10+VLOOKUP($Q78,武学奇术!$A:$ZZ,7,FALSE)+SUM(_xlfn.XLOOKUP(R78:AH78,增益!$A:$A,增益!$G:$G,0))</f>
        <v>0.1</v>
      </c>
      <c r="AT78" s="41" cm="1">
        <f t="array" ref="AT78">VLOOKUP($Q78,武学奇术!$A:$ZZ,8,FALSE)+SUM(_xlfn.XLOOKUP(R78:AH78,增益!$A:$A,增益!$H:$H,0))</f>
        <v>0</v>
      </c>
      <c r="AU78">
        <f>$D$11*(1+$AT78)</f>
        <v>0</v>
      </c>
      <c r="AV78">
        <f>$E$11*(1+$AT78)</f>
        <v>0</v>
      </c>
      <c r="AW78" s="49" cm="1">
        <f t="array" ref="AW78">IF($F$11-$I$4+VLOOKUP($Q78,武学奇术!$A:$ZZ,9,FALSE)+SUM(_xlfn.XLOOKUP(R78:AH78,增益!$A:$A,增益!$I:$I,0))&gt;0,($F$11-$I$4+VLOOKUP($Q78,武学奇术!$A:$ZZ,9,FALSE)+SUM(_xlfn.XLOOKUP(R78:AH78,增益!$A:$A,增益!$I:$I,0)))/200,($F$11-$I$4+VLOOKUP($Q78,武学奇术!$A:$ZZ,9,FALSE)+SUM(_xlfn.XLOOKUP(R78:AH78,增益!$A:$A,增益!$I:$I,0)))/100)</f>
        <v>-0.3</v>
      </c>
      <c r="AX78" s="49" cm="1">
        <f t="array" ref="AX78">$G$11+VLOOKUP($Q78,武学奇术!$A:$ZZ,10,FALSE)+SUM(_xlfn.XLOOKUP(R78:AH78,增益!$A:$A,增益!$J:$J,0))</f>
        <v>0</v>
      </c>
      <c r="AY78">
        <f>$D$12*(1+$AT78)</f>
        <v>0</v>
      </c>
      <c r="AZ78">
        <f>$E$12*(1+$AT78)</f>
        <v>0</v>
      </c>
      <c r="BA78" s="49" cm="1">
        <f t="array" ref="BA78">IF($F$12-$I$4+VLOOKUP($Q78,武学奇术!$A:$ZZ,11,FALSE)+SUM(_xlfn.XLOOKUP(R78:AH78,增益!$A:$A,增益!$K:$K,0))&gt;0,($F$12-$I$4+VLOOKUP($Q78,武学奇术!$A:$ZZ,11,FALSE)+SUM(_xlfn.XLOOKUP(R78:AH78,增益!$A:$A,增益!$K:$K,0)))/200,($F$12-$I$4+VLOOKUP($Q78,武学奇术!$A:$ZZ,11,FALSE)+SUM(_xlfn.XLOOKUP(R78:AH78,增益!$A:$A,增益!$K:$K,0)))/100)</f>
        <v>-0.3</v>
      </c>
      <c r="BB78" s="49" cm="1">
        <f t="array" ref="BB78">$G$12+VLOOKUP($Q78,武学奇术!$A:$ZZ,12,FALSE)+SUM(_xlfn.XLOOKUP(R78:AH78,增益!$A:$A,增益!$L:$L,0))</f>
        <v>0</v>
      </c>
      <c r="BC78">
        <f>$D$13*(1+$AT78)</f>
        <v>571.2</v>
      </c>
      <c r="BD78">
        <f>$E$13*(1+$AT78)</f>
        <v>1077.4</v>
      </c>
      <c r="BE78" s="49" cm="1">
        <f t="array" ref="BE78">IF($F$13-$I$4+VLOOKUP($Q78,武学奇术!$A:$ZZ,13,FALSE)+SUM(_xlfn.XLOOKUP(R78:AH78,增益!$A:$A,增益!$M:$M,0))&gt;0,($F$13-$I$4+VLOOKUP($Q78,武学奇术!$A:$ZZ,13,FALSE)+SUM(_xlfn.XLOOKUP(R78:AH78,增益!$A:$A,增益!$K:$K,0)))/200,($F$13-$I$4+VLOOKUP($Q78,武学奇术!$A:$ZZ,13,FALSE)+SUM(_xlfn.XLOOKUP(R78:AH78,增益!$A:$A,增益!$M:$M,0)))/100)</f>
        <v>0</v>
      </c>
      <c r="BF78" s="49" cm="1">
        <f t="array" ref="BF78">$G$13+VLOOKUP($Q78,武学奇术!$A:$ZZ,14,FALSE)+SUM(_xlfn.XLOOKUP(R78:AH78,增益!$A:$A,增益!$N:$N,0))</f>
        <v>0.25</v>
      </c>
      <c r="BG78">
        <f>$D$14*(1+$AT78)</f>
        <v>0</v>
      </c>
      <c r="BH78">
        <f>$E$14*(1+$AT78)</f>
        <v>0</v>
      </c>
      <c r="BI78" s="49" cm="1">
        <f t="array" ref="BI78">IF($F$14-$I$4+VLOOKUP($Q78,武学奇术!$A:$ZZ,15,FALSE)+SUM(_xlfn.XLOOKUP(R78:AH78,增益!$A:$A,增益!$O:$O,0))&gt;0,($F$14-$I$4+VLOOKUP($Q78,武学奇术!$A:$ZZ,15,FALSE)+SUM(_xlfn.XLOOKUP(R78:AH78,增益!$A:$A,增益!$O:$O,0)))/200,($F$14-$I$4+VLOOKUP($Q78,武学奇术!$A:$ZZ,15,FALSE)+SUM(_xlfn.XLOOKUP(R78:AH78,增益!$A:$A,增益!$O:$O,0)))/100)</f>
        <v>-0.3</v>
      </c>
      <c r="BJ78" s="49" cm="1">
        <f t="array" ref="BJ78">$G$14+VLOOKUP($Q78,武学奇术!$A:$ZZ,16,FALSE)+SUM(_xlfn.XLOOKUP(R78:AH78,增益!$A:$A,增益!$P:$P,0))</f>
        <v>0</v>
      </c>
      <c r="BK78" s="41">
        <f>MIN(IF(VLOOKUP($Q78,武学奇术!$A:$ZZ,23,FALSE)=1,100%,$B$8),100%)</f>
        <v>1</v>
      </c>
      <c r="BL78" s="41" cm="1">
        <f t="array" ref="BL78">IF(VLOOKUP($Q78,武学奇术!$A:$ZZ,23,FALSE)=1,100%,MIN(80%,$B$9+VLOOKUP($Q78,武学奇术!$A:$ZZ,17,FALSE)+SUM(_xlfn.XLOOKUP(R78:AH78,增益!$A:$A,增益!$Q:$Q,0)))+$B$11+SUM(_xlfn.XLOOKUP(R78:AH78,增益!$A:$A,增益!$U:$U,0)))*IF(VLOOKUP($Q78,武学奇术!$A:$ZZ,24,FALSE)=1,0,1)</f>
        <v>0.9045</v>
      </c>
      <c r="BM78" s="41" cm="1">
        <f t="array" ref="BM78">1+$B$13+VLOOKUP($Q78,武学奇术!$A:$ZZ,18,FALSE)+SUM(_xlfn.XLOOKUP(R78:AH78,增益!$A:$A,增益!$R:$R,0))</f>
        <v>1.96</v>
      </c>
      <c r="BN78" s="41" cm="1">
        <f t="array" ref="BN78">IF(VLOOKUP($Q78,武学奇术!$A:$ZZ,24,FALSE)=1,100%,MIN(40%,$B$10+VLOOKUP($Q78,武学奇术!$A:$ZZ,19,FALSE)+SUM(_xlfn.XLOOKUP(R78:AH78,增益!$A:$A,增益!$S:$S,0)))+$B$12+SUM(_xlfn.XLOOKUP(R78:AH78,增益!$A:$A,增益!$V:$V,0)))*IF(VLOOKUP($Q78,武学奇术!$A:$ZZ,23,FALSE)=1,0,1)</f>
        <v>0.0929</v>
      </c>
      <c r="BO78" s="41" cm="1">
        <f t="array" ref="BO78">1+$B$14+VLOOKUP($Q78,武学奇术!$A:$ZZ,20,FALSE)+SUM(_xlfn.XLOOKUP(R78:AH78,增益!$A:$A,增益!$T:$T,0))</f>
        <v>1.35</v>
      </c>
      <c r="BP78" s="41">
        <f>MIN((1-BN78)*BK78,BK78*BL78)</f>
        <v>0.9045</v>
      </c>
      <c r="BQ78" s="41">
        <f>1-BN78-BP78-BR78</f>
        <v>0.00260000000000005</v>
      </c>
      <c r="BR78" s="41">
        <f>IF(VLOOKUP($Q78,武学奇术!$A:$ZZ,22,FALSE)=1,0,(1-$BK78))*(1-$BN78)</f>
        <v>0</v>
      </c>
      <c r="BS78" s="41" cm="1">
        <f t="array" ref="BS78">SUM(_xlfn.XLOOKUP(R78:AH78,增益!$A:$A,增益!$W:$W,0))+$I$5</f>
        <v>0.11</v>
      </c>
    </row>
    <row r="79" spans="1:71">
      <c r="A79" s="4"/>
      <c r="B79" s="4"/>
      <c r="K79" s="55">
        <f>($L79*$BP79+$M79*$BN79+$N79*$BQ79+$O79*$BR79)</f>
        <v>13708.7292080042</v>
      </c>
      <c r="L79" s="55">
        <f>((($AP79+$AQ79)/2*$AJ79+$AK79)*(1+$AR79)*(1+$AS79)+(($AU79+$AV79)/2*IF($G$1="鸣金",$AL79,$AJ79)+IF($G$1="鸣金",$AM79*1.5,0))*(1+$AW79)*(1+$AX79)+(($AY79+$AZ79)/2*IF($G$1="裂石",$AL79,$AJ79)+IF($G$1="裂石",$AM79*1.5,0))*(1+$BA79)*(1+$BB79)+(($BC79+$BD79)/2*IF($G$1="牵丝",$AL79,$AJ79)+IF($G$1="牵丝",$AM79*1.5,0))*(1+$BE79)*(1+$BF79)+(($BG79+$BH79)/2*IF($G$1="破竹",$AL79,$AJ79)+IF($G$1="破竹",$AM79*1.5,0))*(1+$BI79)*(1+$BJ79))*(1+$AN79)*$BM79*$P79*(1+IF(VLOOKUP($Q79,武学奇术!$A:$ZZ,30,FALSE)="弹道",$B$21,0))*(1+$BS79)</f>
        <v>13489.72649666</v>
      </c>
      <c r="M79" s="55">
        <f>(($AQ79*$AJ79+$AK79)*(1+$AR79)*(1+$AS79)+($AV79*IF($G$1="鸣金",$AL79,$AJ79)+IF($G$1="鸣金",$AM79*1.5,0))*(1+$AW79)*(1+$AX79)+($AZ79*IF($G$1="裂石",$AL79,$AJ79)+IF($G$1="裂石",$AM79*1.5,0))*(1+$BA79)*(1+$BB79)+($BD79*IF($G$1="牵丝",$AL79,$AJ79)+IF($G$1="牵丝",$AM79*1.5,0))*(1+$BE79)*(1+$BF79)+($BH79*IF($G$1="破竹",$AL79,$AJ79)+IF($G$1="破竹",$AM79*1.5,0))*(1+$BI79)*(1+$BJ79))*(1+$AN79)*$BO79*$P79*(1+IF(VLOOKUP($Q79,武学奇术!$A:$ZZ,30,FALSE)="弹道",$B$21,0))*(1+$BS79)</f>
        <v>15988.705987278</v>
      </c>
      <c r="N79" s="55">
        <f>((($AP79+$AQ79)/2*$AJ79+$AK79)*(1+$AR79)*(1+$AS79)+(($AU79+$AV79)/2*IF($G$1="鸣金",$AL79,$AJ79)+IF($G$1="鸣金",$AM79*1.5,0))*(1+$AW79)*(1+$AX79)+(($AY79+$AZ79)/2*IF($G$1="裂石",$AL79,$AJ79)+IF($G$1="裂石",$AM79*1.5,0))*(1+$BA79)*(1+$BB79)+(($BC79+$BD79)/2*IF($G$1="牵丝",$AL79,$AJ79)+IF($G$1="牵丝",$AM79*1.5,0))*(1+$BE79)*(1+$BF79)+(($BG79+$BH79)/2*IF($G$1="破竹",$AL79,$AJ79)+IF($G$1="破竹",$AM79*1.5,0))*(1+$BI79)*(1+$BJ79))*(1+$AN79)*$P79*(1+IF(VLOOKUP($Q79,武学奇术!$A:$ZZ,30,FALSE)="弹道",$B$21,0))*(1+$BS79)</f>
        <v>8431.07906041251</v>
      </c>
      <c r="O79" s="55">
        <f>((($AP79*$AJ79+$AK79)*(1+$AR79)*(1+$AS79)+($AU79*IF($G$1="鸣金",$AL79,$AJ79)+IF($G$1="鸣金",$AM79*1.5,0))*(1+$AW79)*(1+$AX79)+($AY79*IF($G$1="裂石",$AL79,$AJ79)+IF($G$1="裂石",$AM79*1.5,0))*(1+$BA79)*(1+$BB79)+($BC79*IF($G$1="牵丝",$AL79,$AJ79)+IF($G$1="牵丝",$AM79*1.5,0))*(1+$BE79)*(1+$BF79)+($BG79*IF($G$1="破竹",$AL79,$AJ79)+IF($G$1="破竹",$AM79*1.5,0))*(1+$BI79)*(1+$BJ79))*(1+$AN79))*$P79*(1+IF(VLOOKUP($Q79,武学奇术!$A:$ZZ,30,FALSE)="弹道",$B$21,0))*(1+$BS79)</f>
        <v>5018.67220432278</v>
      </c>
      <c r="P79" s="56">
        <v>1</v>
      </c>
      <c r="Q79" s="57" t="s">
        <v>99</v>
      </c>
      <c r="R79" s="57" t="s">
        <v>95</v>
      </c>
      <c r="S79" s="57" t="s">
        <v>153</v>
      </c>
      <c r="T79" s="57" t="s">
        <v>72</v>
      </c>
      <c r="U79" s="57" t="s">
        <v>72</v>
      </c>
      <c r="V79" s="57" t="s">
        <v>72</v>
      </c>
      <c r="W79" s="57" t="s">
        <v>72</v>
      </c>
      <c r="X79" s="57" t="s">
        <v>72</v>
      </c>
      <c r="Y79" s="57" t="s">
        <v>72</v>
      </c>
      <c r="Z79" s="57" t="s">
        <v>72</v>
      </c>
      <c r="AA79" s="57" t="s">
        <v>72</v>
      </c>
      <c r="AB79" s="57" t="s">
        <v>72</v>
      </c>
      <c r="AC79" s="57" t="s">
        <v>72</v>
      </c>
      <c r="AD79" s="57" t="s">
        <v>72</v>
      </c>
      <c r="AE79" s="57" t="s">
        <v>72</v>
      </c>
      <c r="AF79" s="57" t="s">
        <v>72</v>
      </c>
      <c r="AG79" s="57" t="s">
        <v>72</v>
      </c>
      <c r="AH79" s="57" t="s">
        <v>87</v>
      </c>
      <c r="AI79" t="str">
        <f>VLOOKUP($Q79,武学奇术!$A:$ZZ,25,FALSE)</f>
        <v>伞</v>
      </c>
      <c r="AJ79" s="41">
        <f>VLOOKUP($Q79,武学奇术!$A:$ZZ,26,FALSE)</f>
        <v>0.54</v>
      </c>
      <c r="AK79" s="42">
        <f>VLOOKUP($Q79,武学奇术!$A:$ZZ,27,FALSE)*(1+IF(OR($AI79=$F$4,$AI79=$F$5),$B$22,0))</f>
        <v>207.2</v>
      </c>
      <c r="AL79" s="41">
        <f>VLOOKUP($Q79,武学奇术!$A:$ZZ,28,FALSE)</f>
        <v>0.81</v>
      </c>
      <c r="AM79" s="42">
        <f>VLOOKUP($Q79,武学奇术!$A:$ZZ,29,FALSE)*(1+IF(OR($AI79=$F$4,$AI79=$F$5),$B$22,0))</f>
        <v>114.1</v>
      </c>
      <c r="AN79" s="41" cm="1">
        <f t="array" ref="AN79">$G$3+IFERROR(VLOOKUP($AI79,$F$4:$G$7,2,FALSE),0)+VLOOKUP($Q79,武学奇术!$A:$ZZ,2,FALSE)+SUM(_xlfn.XLOOKUP($R79:$AH79,增益!$A:$A,增益!$B:$B,0))</f>
        <v>0.3741</v>
      </c>
      <c r="AO79" s="41" cm="1">
        <f t="array" ref="AO79">VLOOKUP($Q79,武学奇术!$A:$ZZ,5,FALSE)+SUM(_xlfn.XLOOKUP($R79:$AH79,增益!$A:$A,增益!$E:$E,0))</f>
        <v>0</v>
      </c>
      <c r="AP79" cm="1">
        <f t="array" ref="AP79">$D$10*(1+$AO79)+VLOOKUP($Q79,武学奇术!$A:$ZZ,3,FALSE)+SUM(_xlfn.XLOOKUP($R79:$AH79,增益!$A:$A,增益!$C:$C,0))-$I$2</f>
        <v>1797.4</v>
      </c>
      <c r="AQ79" cm="1">
        <f t="array" ref="AQ79">$E$10*(1+$AO79)+VLOOKUP($Q79,武学奇术!$A:$ZZ,4,FALSE)+SUM(_xlfn.XLOOKUP($R79:$AH79,增益!$A:$A,增益!$D:$D,0))-$I$2</f>
        <v>5488</v>
      </c>
      <c r="AR79" s="49" cm="1">
        <f t="array" ref="AR79">IF($F$10-$I$3+VLOOKUP($Q79,武学奇术!$A:$ZZ,6,FALSE)+SUM(_xlfn.XLOOKUP(R79:AH79,增益!$A:$A,增益!$F:$F,0))&gt;0,($F$10-$I$3+VLOOKUP($Q79,武学奇术!$A:$ZZ,6,FALSE)+SUM(_xlfn.XLOOKUP(R79:AH79,增益!$A:$A,增益!$F:$F,0)))/200,($F$10-$I$3+VLOOKUP($Q79,武学奇术!$A:$ZZ,6,FALSE)+SUM(_xlfn.XLOOKUP(R79:AH79,增益!$A:$A,增益!$F:$F,0)))/100)</f>
        <v>0.3125</v>
      </c>
      <c r="AS79" s="49" cm="1">
        <f t="array" ref="AS79">$G$10+VLOOKUP($Q79,武学奇术!$A:$ZZ,7,FALSE)+SUM(_xlfn.XLOOKUP(R79:AH79,增益!$A:$A,增益!$G:$G,0))</f>
        <v>0.1</v>
      </c>
      <c r="AT79" s="41" cm="1">
        <f t="array" ref="AT79">VLOOKUP($Q79,武学奇术!$A:$ZZ,8,FALSE)+SUM(_xlfn.XLOOKUP(R79:AH79,增益!$A:$A,增益!$H:$H,0))</f>
        <v>0</v>
      </c>
      <c r="AU79">
        <f>$D$11*(1+$AT79)</f>
        <v>0</v>
      </c>
      <c r="AV79">
        <f>$E$11*(1+$AT79)</f>
        <v>0</v>
      </c>
      <c r="AW79" s="49" cm="1">
        <f t="array" ref="AW79">IF($F$11-$I$4+VLOOKUP($Q79,武学奇术!$A:$ZZ,9,FALSE)+SUM(_xlfn.XLOOKUP(R79:AH79,增益!$A:$A,增益!$I:$I,0))&gt;0,($F$11-$I$4+VLOOKUP($Q79,武学奇术!$A:$ZZ,9,FALSE)+SUM(_xlfn.XLOOKUP(R79:AH79,增益!$A:$A,增益!$I:$I,0)))/200,($F$11-$I$4+VLOOKUP($Q79,武学奇术!$A:$ZZ,9,FALSE)+SUM(_xlfn.XLOOKUP(R79:AH79,增益!$A:$A,增益!$I:$I,0)))/100)</f>
        <v>-0.3</v>
      </c>
      <c r="AX79" s="49" cm="1">
        <f t="array" ref="AX79">$G$11+VLOOKUP($Q79,武学奇术!$A:$ZZ,10,FALSE)+SUM(_xlfn.XLOOKUP(R79:AH79,增益!$A:$A,增益!$J:$J,0))</f>
        <v>0</v>
      </c>
      <c r="AY79">
        <f>$D$12*(1+$AT79)</f>
        <v>0</v>
      </c>
      <c r="AZ79">
        <f>$E$12*(1+$AT79)</f>
        <v>0</v>
      </c>
      <c r="BA79" s="49" cm="1">
        <f t="array" ref="BA79">IF($F$12-$I$4+VLOOKUP($Q79,武学奇术!$A:$ZZ,11,FALSE)+SUM(_xlfn.XLOOKUP(R79:AH79,增益!$A:$A,增益!$K:$K,0))&gt;0,($F$12-$I$4+VLOOKUP($Q79,武学奇术!$A:$ZZ,11,FALSE)+SUM(_xlfn.XLOOKUP(R79:AH79,增益!$A:$A,增益!$K:$K,0)))/200,($F$12-$I$4+VLOOKUP($Q79,武学奇术!$A:$ZZ,11,FALSE)+SUM(_xlfn.XLOOKUP(R79:AH79,增益!$A:$A,增益!$K:$K,0)))/100)</f>
        <v>-0.3</v>
      </c>
      <c r="BB79" s="49" cm="1">
        <f t="array" ref="BB79">$G$12+VLOOKUP($Q79,武学奇术!$A:$ZZ,12,FALSE)+SUM(_xlfn.XLOOKUP(R79:AH79,增益!$A:$A,增益!$L:$L,0))</f>
        <v>0</v>
      </c>
      <c r="BC79">
        <f>$D$13*(1+$AT79)</f>
        <v>571.2</v>
      </c>
      <c r="BD79">
        <f>$E$13*(1+$AT79)</f>
        <v>1077.4</v>
      </c>
      <c r="BE79" s="49" cm="1">
        <f t="array" ref="BE79">IF($F$13-$I$4+VLOOKUP($Q79,武学奇术!$A:$ZZ,13,FALSE)+SUM(_xlfn.XLOOKUP(R79:AH79,增益!$A:$A,增益!$M:$M,0))&gt;0,($F$13-$I$4+VLOOKUP($Q79,武学奇术!$A:$ZZ,13,FALSE)+SUM(_xlfn.XLOOKUP(R79:AH79,增益!$A:$A,增益!$K:$K,0)))/200,($F$13-$I$4+VLOOKUP($Q79,武学奇术!$A:$ZZ,13,FALSE)+SUM(_xlfn.XLOOKUP(R79:AH79,增益!$A:$A,增益!$M:$M,0)))/100)</f>
        <v>0</v>
      </c>
      <c r="BF79" s="49" cm="1">
        <f t="array" ref="BF79">$G$13+VLOOKUP($Q79,武学奇术!$A:$ZZ,14,FALSE)+SUM(_xlfn.XLOOKUP(R79:AH79,增益!$A:$A,增益!$N:$N,0))</f>
        <v>0.25</v>
      </c>
      <c r="BG79">
        <f>$D$14*(1+$AT79)</f>
        <v>0</v>
      </c>
      <c r="BH79">
        <f>$E$14*(1+$AT79)</f>
        <v>0</v>
      </c>
      <c r="BI79" s="49" cm="1">
        <f t="array" ref="BI79">IF($F$14-$I$4+VLOOKUP($Q79,武学奇术!$A:$ZZ,15,FALSE)+SUM(_xlfn.XLOOKUP(R79:AH79,增益!$A:$A,增益!$O:$O,0))&gt;0,($F$14-$I$4+VLOOKUP($Q79,武学奇术!$A:$ZZ,15,FALSE)+SUM(_xlfn.XLOOKUP(R79:AH79,增益!$A:$A,增益!$O:$O,0)))/200,($F$14-$I$4+VLOOKUP($Q79,武学奇术!$A:$ZZ,15,FALSE)+SUM(_xlfn.XLOOKUP(R79:AH79,增益!$A:$A,增益!$O:$O,0)))/100)</f>
        <v>-0.3</v>
      </c>
      <c r="BJ79" s="49" cm="1">
        <f t="array" ref="BJ79">$G$14+VLOOKUP($Q79,武学奇术!$A:$ZZ,16,FALSE)+SUM(_xlfn.XLOOKUP(R79:AH79,增益!$A:$A,增益!$P:$P,0))</f>
        <v>0</v>
      </c>
      <c r="BK79" s="41">
        <f>MIN(IF(VLOOKUP($Q79,武学奇术!$A:$ZZ,23,FALSE)=1,100%,$B$8),100%)</f>
        <v>1</v>
      </c>
      <c r="BL79" s="41" cm="1">
        <f t="array" ref="BL79">IF(VLOOKUP($Q79,武学奇术!$A:$ZZ,23,FALSE)=1,100%,MIN(80%,$B$9+VLOOKUP($Q79,武学奇术!$A:$ZZ,17,FALSE)+SUM(_xlfn.XLOOKUP(R79:AH79,增益!$A:$A,增益!$Q:$Q,0)))+$B$11+SUM(_xlfn.XLOOKUP(R79:AH79,增益!$A:$A,增益!$U:$U,0)))*IF(VLOOKUP($Q79,武学奇术!$A:$ZZ,24,FALSE)=1,0,1)</f>
        <v>0.9045</v>
      </c>
      <c r="BM79" s="41" cm="1">
        <f t="array" ref="BM79">1+$B$13+VLOOKUP($Q79,武学奇术!$A:$ZZ,18,FALSE)+SUM(_xlfn.XLOOKUP(R79:AH79,增益!$A:$A,增益!$R:$R,0))</f>
        <v>1.6</v>
      </c>
      <c r="BN79" s="41" cm="1">
        <f t="array" ref="BN79">IF(VLOOKUP($Q79,武学奇术!$A:$ZZ,24,FALSE)=1,100%,MIN(40%,$B$10+VLOOKUP($Q79,武学奇术!$A:$ZZ,19,FALSE)+SUM(_xlfn.XLOOKUP(R79:AH79,增益!$A:$A,增益!$S:$S,0)))+$B$12+SUM(_xlfn.XLOOKUP(R79:AH79,增益!$A:$A,增益!$V:$V,0)))*IF(VLOOKUP($Q79,武学奇术!$A:$ZZ,23,FALSE)=1,0,1)</f>
        <v>0.0929</v>
      </c>
      <c r="BO79" s="41" cm="1">
        <f t="array" ref="BO79">1+$B$14+VLOOKUP($Q79,武学奇术!$A:$ZZ,20,FALSE)+SUM(_xlfn.XLOOKUP(R79:AH79,增益!$A:$A,增益!$T:$T,0))</f>
        <v>1.35</v>
      </c>
      <c r="BP79" s="41">
        <f>MIN((1-BN79)*BK79,BK79*BL79)</f>
        <v>0.9045</v>
      </c>
      <c r="BQ79" s="41">
        <f>1-BN79-BP79-BR79</f>
        <v>0.00260000000000005</v>
      </c>
      <c r="BR79" s="41">
        <f>IF(VLOOKUP($Q79,武学奇术!$A:$ZZ,22,FALSE)=1,0,(1-$BK79))*(1-$BN79)</f>
        <v>0</v>
      </c>
      <c r="BS79" s="41" cm="1">
        <f t="array" ref="BS79">SUM(_xlfn.XLOOKUP(R79:AH79,增益!$A:$A,增益!$W:$W,0))+$I$5</f>
        <v>0.11</v>
      </c>
    </row>
    <row r="80" spans="1:71">
      <c r="A80" s="4"/>
      <c r="B80" s="4"/>
      <c r="K80" s="55">
        <f>($L80*$BP80+$M80*$BN80+$N80*$BQ80+$O80*$BR80)</f>
        <v>26757.5403229789</v>
      </c>
      <c r="L80" s="55">
        <f>((($AP80+$AQ80)/2*$AJ80+$AK80)*(1+$AR80)*(1+$AS80)+(($AU80+$AV80)/2*IF($G$1="鸣金",$AL80,$AJ80)+IF($G$1="鸣金",$AM80*1.5,0))*(1+$AW80)*(1+$AX80)+(($AY80+$AZ80)/2*IF($G$1="裂石",$AL80,$AJ80)+IF($G$1="裂石",$AM80*1.5,0))*(1+$BA80)*(1+$BB80)+(($BC80+$BD80)/2*IF($G$1="牵丝",$AL80,$AJ80)+IF($G$1="牵丝",$AM80*1.5,0))*(1+$BE80)*(1+$BF80)+(($BG80+$BH80)/2*IF($G$1="破竹",$AL80,$AJ80)+IF($G$1="破竹",$AM80*1.5,0))*(1+$BI80)*(1+$BJ80))*(1+$AN80)*$BM80*$P80*(1+IF(VLOOKUP($Q80,武学奇术!$A:$ZZ,30,FALSE)="弹道",$B$21,0))*(1+$BS80)</f>
        <v>26871.7749685484</v>
      </c>
      <c r="M80" s="55">
        <f>(($AQ80*$AJ80+$AK80)*(1+$AR80)*(1+$AS80)+($AV80*IF($G$1="鸣金",$AL80,$AJ80)+IF($G$1="鸣金",$AM80*1.5,0))*(1+$AW80)*(1+$AX80)+($AZ80*IF($G$1="裂石",$AL80,$AJ80)+IF($G$1="裂石",$AM80*1.5,0))*(1+$BA80)*(1+$BB80)+($BD80*IF($G$1="牵丝",$AL80,$AJ80)+IF($G$1="牵丝",$AM80*1.5,0))*(1+$BE80)*(1+$BF80)+($BH80*IF($G$1="破竹",$AL80,$AJ80)+IF($G$1="破竹",$AM80*1.5,0))*(1+$BI80)*(1+$BJ80))*(1+$AN80)*$BO80*$P80*(1+IF(VLOOKUP($Q80,武学奇术!$A:$ZZ,30,FALSE)="弹道",$B$21,0))*(1+$BS80)</f>
        <v>26010.4804286954</v>
      </c>
      <c r="N80" s="55">
        <f>((($AP80+$AQ80)/2*$AJ80+$AK80)*(1+$AR80)*(1+$AS80)+(($AU80+$AV80)/2*IF($G$1="鸣金",$AL80,$AJ80)+IF($G$1="鸣金",$AM80*1.5,0))*(1+$AW80)*(1+$AX80)+(($AY80+$AZ80)/2*IF($G$1="裂石",$AL80,$AJ80)+IF($G$1="裂石",$AM80*1.5,0))*(1+$BA80)*(1+$BB80)+(($BC80+$BD80)/2*IF($G$1="牵丝",$AL80,$AJ80)+IF($G$1="牵丝",$AM80*1.5,0))*(1+$BE80)*(1+$BF80)+(($BG80+$BH80)/2*IF($G$1="破竹",$AL80,$AJ80)+IF($G$1="破竹",$AM80*1.5,0))*(1+$BI80)*(1+$BJ80))*(1+$AN80)*$P80*(1+IF(VLOOKUP($Q80,武学奇术!$A:$ZZ,30,FALSE)="弹道",$B$21,0))*(1+$BS80)</f>
        <v>13710.0892696675</v>
      </c>
      <c r="O80" s="55">
        <f>((($AP80*$AJ80+$AK80)*(1+$AR80)*(1+$AS80)+($AU80*IF($G$1="鸣金",$AL80,$AJ80)+IF($G$1="鸣金",$AM80*1.5,0))*(1+$AW80)*(1+$AX80)+($AY80*IF($G$1="裂石",$AL80,$AJ80)+IF($G$1="裂石",$AM80*1.5,0))*(1+$BA80)*(1+$BB80)+($BC80*IF($G$1="牵丝",$AL80,$AJ80)+IF($G$1="牵丝",$AM80*1.5,0))*(1+$BE80)*(1+$BF80)+($BG80*IF($G$1="破竹",$AL80,$AJ80)+IF($G$1="破竹",$AM80*1.5,0))*(1+$BI80)*(1+$BJ80))*(1+$AN80))*$P80*(1+IF(VLOOKUP($Q80,武学奇术!$A:$ZZ,30,FALSE)="弹道",$B$21,0))*(1+$BS80)</f>
        <v>8153.15599956074</v>
      </c>
      <c r="P80" s="56">
        <v>0.5</v>
      </c>
      <c r="Q80" s="57" t="s">
        <v>102</v>
      </c>
      <c r="R80" s="57" t="s">
        <v>95</v>
      </c>
      <c r="S80" s="57" t="s">
        <v>153</v>
      </c>
      <c r="T80" s="57" t="s">
        <v>92</v>
      </c>
      <c r="U80" s="57" t="s">
        <v>72</v>
      </c>
      <c r="V80" s="57" t="s">
        <v>86</v>
      </c>
      <c r="W80" s="57" t="s">
        <v>72</v>
      </c>
      <c r="X80" s="57" t="s">
        <v>72</v>
      </c>
      <c r="Y80" s="57" t="s">
        <v>72</v>
      </c>
      <c r="Z80" s="57" t="s">
        <v>72</v>
      </c>
      <c r="AA80" s="57" t="s">
        <v>72</v>
      </c>
      <c r="AB80" s="57" t="s">
        <v>72</v>
      </c>
      <c r="AC80" s="57" t="s">
        <v>72</v>
      </c>
      <c r="AD80" s="57" t="s">
        <v>72</v>
      </c>
      <c r="AE80" s="57" t="s">
        <v>72</v>
      </c>
      <c r="AF80" s="57" t="s">
        <v>72</v>
      </c>
      <c r="AG80" s="57" t="s">
        <v>72</v>
      </c>
      <c r="AH80" s="57" t="s">
        <v>87</v>
      </c>
      <c r="AI80" t="str">
        <f>VLOOKUP($Q80,武学奇术!$A:$ZZ,25,FALSE)</f>
        <v>伞</v>
      </c>
      <c r="AJ80" s="41">
        <f>VLOOKUP($Q80,武学奇术!$A:$ZZ,26,FALSE)</f>
        <v>1.174955</v>
      </c>
      <c r="AK80" s="42">
        <f>VLOOKUP($Q80,武学奇术!$A:$ZZ,27,FALSE)*(1+IF(OR($AI80=$F$4,$AI80=$F$5),$B$22,0))</f>
        <v>454.02</v>
      </c>
      <c r="AL80" s="41">
        <f>VLOOKUP($Q80,武学奇术!$A:$ZZ,28,FALSE)</f>
        <v>1.762375</v>
      </c>
      <c r="AM80" s="42">
        <f>VLOOKUP($Q80,武学奇术!$A:$ZZ,29,FALSE)*(1+IF(OR($AI80=$F$4,$AI80=$F$5),$B$22,0))</f>
        <v>247.94</v>
      </c>
      <c r="AN80" s="41" cm="1">
        <f t="array" ref="AN80">$G$3+IFERROR(VLOOKUP($AI80,$F$4:$G$7,2,FALSE),0)+VLOOKUP($Q80,武学奇术!$A:$ZZ,2,FALSE)+SUM(_xlfn.XLOOKUP($R80:$AH80,增益!$A:$A,增益!$B:$B,0))</f>
        <v>1.0241</v>
      </c>
      <c r="AO80" s="41" cm="1">
        <f t="array" ref="AO80">VLOOKUP($Q80,武学奇术!$A:$ZZ,5,FALSE)+SUM(_xlfn.XLOOKUP($R80:$AH80,增益!$A:$A,增益!$E:$E,0))</f>
        <v>0</v>
      </c>
      <c r="AP80" cm="1">
        <f t="array" ref="AP80">$D$10*(1+$AO80)+VLOOKUP($Q80,武学奇术!$A:$ZZ,3,FALSE)+SUM(_xlfn.XLOOKUP($R80:$AH80,增益!$A:$A,增益!$C:$C,0))-$I$2</f>
        <v>1797.4</v>
      </c>
      <c r="AQ80" cm="1">
        <f t="array" ref="AQ80">$E$10*(1+$AO80)+VLOOKUP($Q80,武学奇术!$A:$ZZ,4,FALSE)+SUM(_xlfn.XLOOKUP($R80:$AH80,增益!$A:$A,增益!$D:$D,0))-$I$2</f>
        <v>5488</v>
      </c>
      <c r="AR80" s="49" cm="1">
        <f t="array" ref="AR80">IF($F$10-$I$3+VLOOKUP($Q80,武学奇术!$A:$ZZ,6,FALSE)+SUM(_xlfn.XLOOKUP(R80:AH80,增益!$A:$A,增益!$F:$F,0))&gt;0,($F$10-$I$3+VLOOKUP($Q80,武学奇术!$A:$ZZ,6,FALSE)+SUM(_xlfn.XLOOKUP(R80:AH80,增益!$A:$A,增益!$F:$F,0)))/200,($F$10-$I$3+VLOOKUP($Q80,武学奇术!$A:$ZZ,6,FALSE)+SUM(_xlfn.XLOOKUP(R80:AH80,增益!$A:$A,增益!$F:$F,0)))/100)</f>
        <v>0.3375</v>
      </c>
      <c r="AS80" s="49" cm="1">
        <f t="array" ref="AS80">$G$10+VLOOKUP($Q80,武学奇术!$A:$ZZ,7,FALSE)+SUM(_xlfn.XLOOKUP(R80:AH80,增益!$A:$A,增益!$G:$G,0))</f>
        <v>0.1</v>
      </c>
      <c r="AT80" s="41" cm="1">
        <f t="array" ref="AT80">VLOOKUP($Q80,武学奇术!$A:$ZZ,8,FALSE)+SUM(_xlfn.XLOOKUP(R80:AH80,增益!$A:$A,增益!$H:$H,0))</f>
        <v>0</v>
      </c>
      <c r="AU80">
        <f>$D$11*(1+$AT80)</f>
        <v>0</v>
      </c>
      <c r="AV80">
        <f>$E$11*(1+$AT80)</f>
        <v>0</v>
      </c>
      <c r="AW80" s="49" cm="1">
        <f t="array" ref="AW80">IF($F$11-$I$4+VLOOKUP($Q80,武学奇术!$A:$ZZ,9,FALSE)+SUM(_xlfn.XLOOKUP(R80:AH80,增益!$A:$A,增益!$I:$I,0))&gt;0,($F$11-$I$4+VLOOKUP($Q80,武学奇术!$A:$ZZ,9,FALSE)+SUM(_xlfn.XLOOKUP(R80:AH80,增益!$A:$A,增益!$I:$I,0)))/200,($F$11-$I$4+VLOOKUP($Q80,武学奇术!$A:$ZZ,9,FALSE)+SUM(_xlfn.XLOOKUP(R80:AH80,增益!$A:$A,增益!$I:$I,0)))/100)</f>
        <v>-0.3</v>
      </c>
      <c r="AX80" s="49" cm="1">
        <f t="array" ref="AX80">$G$11+VLOOKUP($Q80,武学奇术!$A:$ZZ,10,FALSE)+SUM(_xlfn.XLOOKUP(R80:AH80,增益!$A:$A,增益!$J:$J,0))</f>
        <v>0</v>
      </c>
      <c r="AY80">
        <f>$D$12*(1+$AT80)</f>
        <v>0</v>
      </c>
      <c r="AZ80">
        <f>$E$12*(1+$AT80)</f>
        <v>0</v>
      </c>
      <c r="BA80" s="49" cm="1">
        <f t="array" ref="BA80">IF($F$12-$I$4+VLOOKUP($Q80,武学奇术!$A:$ZZ,11,FALSE)+SUM(_xlfn.XLOOKUP(R80:AH80,增益!$A:$A,增益!$K:$K,0))&gt;0,($F$12-$I$4+VLOOKUP($Q80,武学奇术!$A:$ZZ,11,FALSE)+SUM(_xlfn.XLOOKUP(R80:AH80,增益!$A:$A,增益!$K:$K,0)))/200,($F$12-$I$4+VLOOKUP($Q80,武学奇术!$A:$ZZ,11,FALSE)+SUM(_xlfn.XLOOKUP(R80:AH80,增益!$A:$A,增益!$K:$K,0)))/100)</f>
        <v>-0.3</v>
      </c>
      <c r="BB80" s="49" cm="1">
        <f t="array" ref="BB80">$G$12+VLOOKUP($Q80,武学奇术!$A:$ZZ,12,FALSE)+SUM(_xlfn.XLOOKUP(R80:AH80,增益!$A:$A,增益!$L:$L,0))</f>
        <v>0</v>
      </c>
      <c r="BC80">
        <f>$D$13*(1+$AT80)</f>
        <v>571.2</v>
      </c>
      <c r="BD80">
        <f>$E$13*(1+$AT80)</f>
        <v>1077.4</v>
      </c>
      <c r="BE80" s="49" cm="1">
        <f t="array" ref="BE80">IF($F$13-$I$4+VLOOKUP($Q80,武学奇术!$A:$ZZ,13,FALSE)+SUM(_xlfn.XLOOKUP(R80:AH80,增益!$A:$A,增益!$M:$M,0))&gt;0,($F$13-$I$4+VLOOKUP($Q80,武学奇术!$A:$ZZ,13,FALSE)+SUM(_xlfn.XLOOKUP(R80:AH80,增益!$A:$A,增益!$K:$K,0)))/200,($F$13-$I$4+VLOOKUP($Q80,武学奇术!$A:$ZZ,13,FALSE)+SUM(_xlfn.XLOOKUP(R80:AH80,增益!$A:$A,增益!$M:$M,0)))/100)</f>
        <v>0</v>
      </c>
      <c r="BF80" s="49" cm="1">
        <f t="array" ref="BF80">$G$13+VLOOKUP($Q80,武学奇术!$A:$ZZ,14,FALSE)+SUM(_xlfn.XLOOKUP(R80:AH80,增益!$A:$A,增益!$N:$N,0))</f>
        <v>0.25</v>
      </c>
      <c r="BG80">
        <f>$D$14*(1+$AT80)</f>
        <v>0</v>
      </c>
      <c r="BH80">
        <f>$E$14*(1+$AT80)</f>
        <v>0</v>
      </c>
      <c r="BI80" s="49" cm="1">
        <f t="array" ref="BI80">IF($F$14-$I$4+VLOOKUP($Q80,武学奇术!$A:$ZZ,15,FALSE)+SUM(_xlfn.XLOOKUP(R80:AH80,增益!$A:$A,增益!$O:$O,0))&gt;0,($F$14-$I$4+VLOOKUP($Q80,武学奇术!$A:$ZZ,15,FALSE)+SUM(_xlfn.XLOOKUP(R80:AH80,增益!$A:$A,增益!$O:$O,0)))/200,($F$14-$I$4+VLOOKUP($Q80,武学奇术!$A:$ZZ,15,FALSE)+SUM(_xlfn.XLOOKUP(R80:AH80,增益!$A:$A,增益!$O:$O,0)))/100)</f>
        <v>-0.3</v>
      </c>
      <c r="BJ80" s="49" cm="1">
        <f t="array" ref="BJ80">$G$14+VLOOKUP($Q80,武学奇术!$A:$ZZ,16,FALSE)+SUM(_xlfn.XLOOKUP(R80:AH80,增益!$A:$A,增益!$P:$P,0))</f>
        <v>0</v>
      </c>
      <c r="BK80" s="41">
        <f>MIN(IF(VLOOKUP($Q80,武学奇术!$A:$ZZ,23,FALSE)=1,100%,$B$8),100%)</f>
        <v>1</v>
      </c>
      <c r="BL80" s="41" cm="1">
        <f t="array" ref="BL80">IF(VLOOKUP($Q80,武学奇术!$A:$ZZ,23,FALSE)=1,100%,MIN(80%,$B$9+VLOOKUP($Q80,武学奇术!$A:$ZZ,17,FALSE)+SUM(_xlfn.XLOOKUP(R80:AH80,增益!$A:$A,增益!$Q:$Q,0)))+$B$11+SUM(_xlfn.XLOOKUP(R80:AH80,增益!$A:$A,增益!$U:$U,0)))*IF(VLOOKUP($Q80,武学奇术!$A:$ZZ,24,FALSE)=1,0,1)</f>
        <v>0.9045</v>
      </c>
      <c r="BM80" s="41" cm="1">
        <f t="array" ref="BM80">1+$B$13+VLOOKUP($Q80,武学奇术!$A:$ZZ,18,FALSE)+SUM(_xlfn.XLOOKUP(R80:AH80,增益!$A:$A,增益!$R:$R,0))</f>
        <v>1.96</v>
      </c>
      <c r="BN80" s="41" cm="1">
        <f t="array" ref="BN80">IF(VLOOKUP($Q80,武学奇术!$A:$ZZ,24,FALSE)=1,100%,MIN(40%,$B$10+VLOOKUP($Q80,武学奇术!$A:$ZZ,19,FALSE)+SUM(_xlfn.XLOOKUP(R80:AH80,增益!$A:$A,增益!$S:$S,0)))+$B$12+SUM(_xlfn.XLOOKUP(R80:AH80,增益!$A:$A,增益!$V:$V,0)))*IF(VLOOKUP($Q80,武学奇术!$A:$ZZ,23,FALSE)=1,0,1)</f>
        <v>0.0929</v>
      </c>
      <c r="BO80" s="41" cm="1">
        <f t="array" ref="BO80">1+$B$14+VLOOKUP($Q80,武学奇术!$A:$ZZ,20,FALSE)+SUM(_xlfn.XLOOKUP(R80:AH80,增益!$A:$A,增益!$T:$T,0))</f>
        <v>1.35</v>
      </c>
      <c r="BP80" s="41">
        <f>MIN((1-BN80)*BK80,BK80*BL80)</f>
        <v>0.9045</v>
      </c>
      <c r="BQ80" s="41">
        <f>1-BN80-BP80-BR80</f>
        <v>0.00260000000000005</v>
      </c>
      <c r="BR80" s="41">
        <f>IF(VLOOKUP($Q80,武学奇术!$A:$ZZ,22,FALSE)=1,0,(1-$BK80))*(1-$BN80)</f>
        <v>0</v>
      </c>
      <c r="BS80" s="41" cm="1">
        <f t="array" ref="BS80">SUM(_xlfn.XLOOKUP(R80:AH80,增益!$A:$A,增益!$W:$W,0))+$I$5</f>
        <v>0.11</v>
      </c>
    </row>
    <row r="81" spans="1:71">
      <c r="A81" s="4"/>
      <c r="B81" s="109"/>
      <c r="K81" s="55">
        <f>($L81*$BP81+$M81*$BN81+$N81*$BQ81+$O81*$BR81)</f>
        <v>81125.0925248935</v>
      </c>
      <c r="L81" s="55">
        <f>((($AP81+$AQ81)/2*$AJ81+$AK81)*(1+$AR81)*(1+$AS81)+(($AU81+$AV81)/2*IF($G$1="鸣金",$AL81,$AJ81)+IF($G$1="鸣金",$AM81*1.5,0))*(1+$AW81)*(1+$AX81)+(($AY81+$AZ81)/2*IF($G$1="裂石",$AL81,$AJ81)+IF($G$1="裂石",$AM81*1.5,0))*(1+$BA81)*(1+$BB81)+(($BC81+$BD81)/2*IF($G$1="牵丝",$AL81,$AJ81)+IF($G$1="牵丝",$AM81*1.5,0))*(1+$BE81)*(1+$BF81)+(($BG81+$BH81)/2*IF($G$1="破竹",$AL81,$AJ81)+IF($G$1="破竹",$AM81*1.5,0))*(1+$BI81)*(1+$BJ81))*(1+$AN81)*$BM81*$P81*(1+IF(VLOOKUP($Q81,武学奇术!$A:$ZZ,30,FALSE)="弹道",$B$21,0))*(1+$BS81)</f>
        <v>81469.8913944622</v>
      </c>
      <c r="M81" s="55">
        <f>(($AQ81*$AJ81+$AK81)*(1+$AR81)*(1+$AS81)+($AV81*IF($G$1="鸣金",$AL81,$AJ81)+IF($G$1="鸣金",$AM81*1.5,0))*(1+$AW81)*(1+$AX81)+($AZ81*IF($G$1="裂石",$AL81,$AJ81)+IF($G$1="裂石",$AM81*1.5,0))*(1+$BA81)*(1+$BB81)+($BD81*IF($G$1="牵丝",$AL81,$AJ81)+IF($G$1="牵丝",$AM81*1.5,0))*(1+$BE81)*(1+$BF81)+($BH81*IF($G$1="破竹",$AL81,$AJ81)+IF($G$1="破竹",$AM81*1.5,0))*(1+$BI81)*(1+$BJ81))*(1+$AN81)*$BO81*$P81*(1+IF(VLOOKUP($Q81,武学奇术!$A:$ZZ,30,FALSE)="弹道",$B$21,0))*(1+$BS81)</f>
        <v>78875.1717297253</v>
      </c>
      <c r="N81" s="55">
        <f>((($AP81+$AQ81)/2*$AJ81+$AK81)*(1+$AR81)*(1+$AS81)+(($AU81+$AV81)/2*IF($G$1="鸣金",$AL81,$AJ81)+IF($G$1="鸣金",$AM81*1.5,0))*(1+$AW81)*(1+$AX81)+(($AY81+$AZ81)/2*IF($G$1="裂石",$AL81,$AJ81)+IF($G$1="裂石",$AM81*1.5,0))*(1+$BA81)*(1+$BB81)+(($BC81+$BD81)/2*IF($G$1="牵丝",$AL81,$AJ81)+IF($G$1="牵丝",$AM81*1.5,0))*(1+$BE81)*(1+$BF81)+(($BG81+$BH81)/2*IF($G$1="破竹",$AL81,$AJ81)+IF($G$1="破竹",$AM81*1.5,0))*(1+$BI81)*(1+$BJ81))*(1+$AN81)*$P81*(1+IF(VLOOKUP($Q81,武学奇术!$A:$ZZ,30,FALSE)="弹道",$B$21,0))*(1+$BS81)</f>
        <v>41566.2711196236</v>
      </c>
      <c r="O81" s="55">
        <f>((($AP81*$AJ81+$AK81)*(1+$AR81)*(1+$AS81)+($AU81*IF($G$1="鸣金",$AL81,$AJ81)+IF($G$1="鸣金",$AM81*1.5,0))*(1+$AW81)*(1+$AX81)+($AY81*IF($G$1="裂石",$AL81,$AJ81)+IF($G$1="裂石",$AM81*1.5,0))*(1+$BA81)*(1+$BB81)+($BC81*IF($G$1="牵丝",$AL81,$AJ81)+IF($G$1="牵丝",$AM81*1.5,0))*(1+$BE81)*(1+$BF81)+($BG81*IF($G$1="破竹",$AL81,$AJ81)+IF($G$1="破竹",$AM81*1.5,0))*(1+$BI81)*(1+$BJ81))*(1+$AN81))*$P81*(1+IF(VLOOKUP($Q81,武学奇术!$A:$ZZ,30,FALSE)="弹道",$B$21,0))*(1+$BS81)</f>
        <v>24706.4891061173</v>
      </c>
      <c r="P81" s="56">
        <v>1.5</v>
      </c>
      <c r="Q81" s="57" t="s">
        <v>102</v>
      </c>
      <c r="R81" s="57" t="s">
        <v>103</v>
      </c>
      <c r="S81" s="57" t="s">
        <v>153</v>
      </c>
      <c r="T81" s="57" t="s">
        <v>92</v>
      </c>
      <c r="U81" s="57" t="s">
        <v>72</v>
      </c>
      <c r="V81" s="57" t="s">
        <v>86</v>
      </c>
      <c r="W81" s="57" t="s">
        <v>72</v>
      </c>
      <c r="X81" s="57" t="s">
        <v>72</v>
      </c>
      <c r="Y81" s="57" t="s">
        <v>72</v>
      </c>
      <c r="Z81" s="57" t="s">
        <v>72</v>
      </c>
      <c r="AA81" s="57" t="s">
        <v>72</v>
      </c>
      <c r="AB81" s="57" t="s">
        <v>72</v>
      </c>
      <c r="AC81" s="57" t="s">
        <v>72</v>
      </c>
      <c r="AD81" s="57" t="s">
        <v>72</v>
      </c>
      <c r="AE81" s="57" t="s">
        <v>72</v>
      </c>
      <c r="AF81" s="57" t="s">
        <v>72</v>
      </c>
      <c r="AG81" s="57" t="s">
        <v>72</v>
      </c>
      <c r="AH81" s="57" t="s">
        <v>87</v>
      </c>
      <c r="AI81" t="str">
        <f>VLOOKUP($Q81,武学奇术!$A:$ZZ,25,FALSE)</f>
        <v>伞</v>
      </c>
      <c r="AJ81" s="41">
        <f>VLOOKUP($Q81,武学奇术!$A:$ZZ,26,FALSE)</f>
        <v>1.174955</v>
      </c>
      <c r="AK81" s="42">
        <f>VLOOKUP($Q81,武学奇术!$A:$ZZ,27,FALSE)*(1+IF(OR($AI81=$F$4,$AI81=$F$5),$B$22,0))</f>
        <v>454.02</v>
      </c>
      <c r="AL81" s="41">
        <f>VLOOKUP($Q81,武学奇术!$A:$ZZ,28,FALSE)</f>
        <v>1.762375</v>
      </c>
      <c r="AM81" s="42">
        <f>VLOOKUP($Q81,武学奇术!$A:$ZZ,29,FALSE)*(1+IF(OR($AI81=$F$4,$AI81=$F$5),$B$22,0))</f>
        <v>247.94</v>
      </c>
      <c r="AN81" s="41" cm="1">
        <f t="array" ref="AN81">$G$3+IFERROR(VLOOKUP($AI81,$F$4:$G$7,2,FALSE),0)+VLOOKUP($Q81,武学奇术!$A:$ZZ,2,FALSE)+SUM(_xlfn.XLOOKUP($R81:$AH81,增益!$A:$A,增益!$B:$B,0))</f>
        <v>1.0341</v>
      </c>
      <c r="AO81" s="41" cm="1">
        <f t="array" ref="AO81">VLOOKUP($Q81,武学奇术!$A:$ZZ,5,FALSE)+SUM(_xlfn.XLOOKUP($R81:$AH81,增益!$A:$A,增益!$E:$E,0))</f>
        <v>0</v>
      </c>
      <c r="AP81" cm="1">
        <f t="array" ref="AP81">$D$10*(1+$AO81)+VLOOKUP($Q81,武学奇术!$A:$ZZ,3,FALSE)+SUM(_xlfn.XLOOKUP($R81:$AH81,增益!$A:$A,增益!$C:$C,0))-$I$2</f>
        <v>1797.4</v>
      </c>
      <c r="AQ81" cm="1">
        <f t="array" ref="AQ81">$E$10*(1+$AO81)+VLOOKUP($Q81,武学奇术!$A:$ZZ,4,FALSE)+SUM(_xlfn.XLOOKUP($R81:$AH81,增益!$A:$A,增益!$D:$D,0))-$I$2</f>
        <v>5488</v>
      </c>
      <c r="AR81" s="49" cm="1">
        <f t="array" ref="AR81">IF($F$10-$I$3+VLOOKUP($Q81,武学奇术!$A:$ZZ,6,FALSE)+SUM(_xlfn.XLOOKUP(R81:AH81,增益!$A:$A,增益!$F:$F,0))&gt;0,($F$10-$I$3+VLOOKUP($Q81,武学奇术!$A:$ZZ,6,FALSE)+SUM(_xlfn.XLOOKUP(R81:AH81,增益!$A:$A,增益!$F:$F,0)))/200,($F$10-$I$3+VLOOKUP($Q81,武学奇术!$A:$ZZ,6,FALSE)+SUM(_xlfn.XLOOKUP(R81:AH81,增益!$A:$A,增益!$F:$F,0)))/100)</f>
        <v>0.3475</v>
      </c>
      <c r="AS81" s="49" cm="1">
        <f t="array" ref="AS81">$G$10+VLOOKUP($Q81,武学奇术!$A:$ZZ,7,FALSE)+SUM(_xlfn.XLOOKUP(R81:AH81,增益!$A:$A,增益!$G:$G,0))</f>
        <v>0.1</v>
      </c>
      <c r="AT81" s="41" cm="1">
        <f t="array" ref="AT81">VLOOKUP($Q81,武学奇术!$A:$ZZ,8,FALSE)+SUM(_xlfn.XLOOKUP(R81:AH81,增益!$A:$A,增益!$H:$H,0))</f>
        <v>0</v>
      </c>
      <c r="AU81">
        <f>$D$11*(1+$AT81)</f>
        <v>0</v>
      </c>
      <c r="AV81">
        <f>$E$11*(1+$AT81)</f>
        <v>0</v>
      </c>
      <c r="AW81" s="49" cm="1">
        <f t="array" ref="AW81">IF($F$11-$I$4+VLOOKUP($Q81,武学奇术!$A:$ZZ,9,FALSE)+SUM(_xlfn.XLOOKUP(R81:AH81,增益!$A:$A,增益!$I:$I,0))&gt;0,($F$11-$I$4+VLOOKUP($Q81,武学奇术!$A:$ZZ,9,FALSE)+SUM(_xlfn.XLOOKUP(R81:AH81,增益!$A:$A,增益!$I:$I,0)))/200,($F$11-$I$4+VLOOKUP($Q81,武学奇术!$A:$ZZ,9,FALSE)+SUM(_xlfn.XLOOKUP(R81:AH81,增益!$A:$A,增益!$I:$I,0)))/100)</f>
        <v>-0.3</v>
      </c>
      <c r="AX81" s="49" cm="1">
        <f t="array" ref="AX81">$G$11+VLOOKUP($Q81,武学奇术!$A:$ZZ,10,FALSE)+SUM(_xlfn.XLOOKUP(R81:AH81,增益!$A:$A,增益!$J:$J,0))</f>
        <v>0</v>
      </c>
      <c r="AY81">
        <f>$D$12*(1+$AT81)</f>
        <v>0</v>
      </c>
      <c r="AZ81">
        <f>$E$12*(1+$AT81)</f>
        <v>0</v>
      </c>
      <c r="BA81" s="49" cm="1">
        <f t="array" ref="BA81">IF($F$12-$I$4+VLOOKUP($Q81,武学奇术!$A:$ZZ,11,FALSE)+SUM(_xlfn.XLOOKUP(R81:AH81,增益!$A:$A,增益!$K:$K,0))&gt;0,($F$12-$I$4+VLOOKUP($Q81,武学奇术!$A:$ZZ,11,FALSE)+SUM(_xlfn.XLOOKUP(R81:AH81,增益!$A:$A,增益!$K:$K,0)))/200,($F$12-$I$4+VLOOKUP($Q81,武学奇术!$A:$ZZ,11,FALSE)+SUM(_xlfn.XLOOKUP(R81:AH81,增益!$A:$A,增益!$K:$K,0)))/100)</f>
        <v>-0.3</v>
      </c>
      <c r="BB81" s="49" cm="1">
        <f t="array" ref="BB81">$G$12+VLOOKUP($Q81,武学奇术!$A:$ZZ,12,FALSE)+SUM(_xlfn.XLOOKUP(R81:AH81,增益!$A:$A,增益!$L:$L,0))</f>
        <v>0</v>
      </c>
      <c r="BC81">
        <f>$D$13*(1+$AT81)</f>
        <v>571.2</v>
      </c>
      <c r="BD81">
        <f>$E$13*(1+$AT81)</f>
        <v>1077.4</v>
      </c>
      <c r="BE81" s="49" cm="1">
        <f t="array" ref="BE81">IF($F$13-$I$4+VLOOKUP($Q81,武学奇术!$A:$ZZ,13,FALSE)+SUM(_xlfn.XLOOKUP(R81:AH81,增益!$A:$A,增益!$M:$M,0))&gt;0,($F$13-$I$4+VLOOKUP($Q81,武学奇术!$A:$ZZ,13,FALSE)+SUM(_xlfn.XLOOKUP(R81:AH81,增益!$A:$A,增益!$K:$K,0)))/200,($F$13-$I$4+VLOOKUP($Q81,武学奇术!$A:$ZZ,13,FALSE)+SUM(_xlfn.XLOOKUP(R81:AH81,增益!$A:$A,增益!$M:$M,0)))/100)</f>
        <v>0</v>
      </c>
      <c r="BF81" s="49" cm="1">
        <f t="array" ref="BF81">$G$13+VLOOKUP($Q81,武学奇术!$A:$ZZ,14,FALSE)+SUM(_xlfn.XLOOKUP(R81:AH81,增益!$A:$A,增益!$N:$N,0))</f>
        <v>0.25</v>
      </c>
      <c r="BG81">
        <f>$D$14*(1+$AT81)</f>
        <v>0</v>
      </c>
      <c r="BH81">
        <f>$E$14*(1+$AT81)</f>
        <v>0</v>
      </c>
      <c r="BI81" s="49" cm="1">
        <f t="array" ref="BI81">IF($F$14-$I$4+VLOOKUP($Q81,武学奇术!$A:$ZZ,15,FALSE)+SUM(_xlfn.XLOOKUP(R81:AH81,增益!$A:$A,增益!$O:$O,0))&gt;0,($F$14-$I$4+VLOOKUP($Q81,武学奇术!$A:$ZZ,15,FALSE)+SUM(_xlfn.XLOOKUP(R81:AH81,增益!$A:$A,增益!$O:$O,0)))/200,($F$14-$I$4+VLOOKUP($Q81,武学奇术!$A:$ZZ,15,FALSE)+SUM(_xlfn.XLOOKUP(R81:AH81,增益!$A:$A,增益!$O:$O,0)))/100)</f>
        <v>-0.3</v>
      </c>
      <c r="BJ81" s="49" cm="1">
        <f t="array" ref="BJ81">$G$14+VLOOKUP($Q81,武学奇术!$A:$ZZ,16,FALSE)+SUM(_xlfn.XLOOKUP(R81:AH81,增益!$A:$A,增益!$P:$P,0))</f>
        <v>0</v>
      </c>
      <c r="BK81" s="41">
        <f>MIN(IF(VLOOKUP($Q81,武学奇术!$A:$ZZ,23,FALSE)=1,100%,$B$8),100%)</f>
        <v>1</v>
      </c>
      <c r="BL81" s="41" cm="1">
        <f t="array" ref="BL81">IF(VLOOKUP($Q81,武学奇术!$A:$ZZ,23,FALSE)=1,100%,MIN(80%,$B$9+VLOOKUP($Q81,武学奇术!$A:$ZZ,17,FALSE)+SUM(_xlfn.XLOOKUP(R81:AH81,增益!$A:$A,增益!$Q:$Q,0)))+$B$11+SUM(_xlfn.XLOOKUP(R81:AH81,增益!$A:$A,增益!$U:$U,0)))*IF(VLOOKUP($Q81,武学奇术!$A:$ZZ,24,FALSE)=1,0,1)</f>
        <v>0.9045</v>
      </c>
      <c r="BM81" s="41" cm="1">
        <f t="array" ref="BM81">1+$B$13+VLOOKUP($Q81,武学奇术!$A:$ZZ,18,FALSE)+SUM(_xlfn.XLOOKUP(R81:AH81,增益!$A:$A,增益!$R:$R,0))</f>
        <v>1.96</v>
      </c>
      <c r="BN81" s="41" cm="1">
        <f t="array" ref="BN81">IF(VLOOKUP($Q81,武学奇术!$A:$ZZ,24,FALSE)=1,100%,MIN(40%,$B$10+VLOOKUP($Q81,武学奇术!$A:$ZZ,19,FALSE)+SUM(_xlfn.XLOOKUP(R81:AH81,增益!$A:$A,增益!$S:$S,0)))+$B$12+SUM(_xlfn.XLOOKUP(R81:AH81,增益!$A:$A,增益!$V:$V,0)))*IF(VLOOKUP($Q81,武学奇术!$A:$ZZ,23,FALSE)=1,0,1)</f>
        <v>0.0929</v>
      </c>
      <c r="BO81" s="41" cm="1">
        <f t="array" ref="BO81">1+$B$14+VLOOKUP($Q81,武学奇术!$A:$ZZ,20,FALSE)+SUM(_xlfn.XLOOKUP(R81:AH81,增益!$A:$A,增益!$T:$T,0))</f>
        <v>1.35</v>
      </c>
      <c r="BP81" s="41">
        <f>MIN((1-BN81)*BK81,BK81*BL81)</f>
        <v>0.9045</v>
      </c>
      <c r="BQ81" s="41">
        <f>1-BN81-BP81-BR81</f>
        <v>0.00260000000000005</v>
      </c>
      <c r="BR81" s="41">
        <f>IF(VLOOKUP($Q81,武学奇术!$A:$ZZ,22,FALSE)=1,0,(1-$BK81))*(1-$BN81)</f>
        <v>0</v>
      </c>
      <c r="BS81" s="41" cm="1">
        <f t="array" ref="BS81">SUM(_xlfn.XLOOKUP(R81:AH81,增益!$A:$A,增益!$W:$W,0))+$I$5</f>
        <v>0.11</v>
      </c>
    </row>
    <row r="82" spans="1:71">
      <c r="A82" s="4"/>
      <c r="B82" s="109"/>
      <c r="K82" s="55">
        <f>($L82*$BP82+$M82*$BN82+$N82*$BQ82+$O82*$BR82)</f>
        <v>231571.139951517</v>
      </c>
      <c r="L82" s="55">
        <f>((($AP82+$AQ82)/2*$AJ82+$AK82)*(1+$AR82)*(1+$AS82)+(($AU82+$AV82)/2*IF($G$1="鸣金",$AL82,$AJ82)+IF($G$1="鸣金",$AM82*1.5,0))*(1+$AW82)*(1+$AX82)+(($AY82+$AZ82)/2*IF($G$1="裂石",$AL82,$AJ82)+IF($G$1="裂石",$AM82*1.5,0))*(1+$BA82)*(1+$BB82)+(($BC82+$BD82)/2*IF($G$1="牵丝",$AL82,$AJ82)+IF($G$1="牵丝",$AM82*1.5,0))*(1+$BE82)*(1+$BF82)+(($BG82+$BH82)/2*IF($G$1="破竹",$AL82,$AJ82)+IF($G$1="破竹",$AM82*1.5,0))*(1+$BI82)*(1+$BJ82))*(1+$AN82)*$BM82*$P82*(1+IF(VLOOKUP($Q82,武学奇术!$A:$ZZ,30,FALSE)="弹道",$B$21,0))*(1+$BS82)</f>
        <v>232523.16718204</v>
      </c>
      <c r="M82" s="55">
        <f>(($AQ82*$AJ82+$AK82)*(1+$AR82)*(1+$AS82)+($AV82*IF($G$1="鸣金",$AL82,$AJ82)+IF($G$1="鸣金",$AM82*1.5,0))*(1+$AW82)*(1+$AX82)+($AZ82*IF($G$1="裂石",$AL82,$AJ82)+IF($G$1="裂石",$AM82*1.5,0))*(1+$BA82)*(1+$BB82)+($BD82*IF($G$1="牵丝",$AL82,$AJ82)+IF($G$1="牵丝",$AM82*1.5,0))*(1+$BE82)*(1+$BF82)+($BH82*IF($G$1="破竹",$AL82,$AJ82)+IF($G$1="破竹",$AM82*1.5,0))*(1+$BI82)*(1+$BJ82))*(1+$AN82)*$BO82*$P82*(1+IF(VLOOKUP($Q82,武学奇术!$A:$ZZ,30,FALSE)="弹道",$B$21,0))*(1+$BS82)</f>
        <v>225462.714058547</v>
      </c>
      <c r="N82" s="55">
        <f>((($AP82+$AQ82)/2*$AJ82+$AK82)*(1+$AR82)*(1+$AS82)+(($AU82+$AV82)/2*IF($G$1="鸣金",$AL82,$AJ82)+IF($G$1="鸣金",$AM82*1.5,0))*(1+$AW82)*(1+$AX82)+(($AY82+$AZ82)/2*IF($G$1="裂石",$AL82,$AJ82)+IF($G$1="裂石",$AM82*1.5,0))*(1+$BA82)*(1+$BB82)+(($BC82+$BD82)/2*IF($G$1="牵丝",$AL82,$AJ82)+IF($G$1="牵丝",$AM82*1.5,0))*(1+$BE82)*(1+$BF82)+(($BG82+$BH82)/2*IF($G$1="破竹",$AL82,$AJ82)+IF($G$1="破竹",$AM82*1.5,0))*(1+$BI82)*(1+$BJ82))*(1+$AN82)*$P82*(1+IF(VLOOKUP($Q82,武学奇术!$A:$ZZ,30,FALSE)="弹道",$B$21,0))*(1+$BS82)</f>
        <v>118634.268970429</v>
      </c>
      <c r="O82" s="55">
        <f>((($AP82*$AJ82+$AK82)*(1+$AR82)*(1+$AS82)+($AU82*IF($G$1="鸣金",$AL82,$AJ82)+IF($G$1="鸣金",$AM82*1.5,0))*(1+$AW82)*(1+$AX82)+($AY82*IF($G$1="裂石",$AL82,$AJ82)+IF($G$1="裂石",$AM82*1.5,0))*(1+$BA82)*(1+$BB82)+($BC82*IF($G$1="牵丝",$AL82,$AJ82)+IF($G$1="牵丝",$AM82*1.5,0))*(1+$BE82)*(1+$BF82)+($BG82*IF($G$1="破竹",$AL82,$AJ82)+IF($G$1="破竹",$AM82*1.5,0))*(1+$BI82)*(1+$BJ82))*(1+$AN82))*$P82*(1+IF(VLOOKUP($Q82,武学奇术!$A:$ZZ,30,FALSE)="弹道",$B$21,0))*(1+$BS82)</f>
        <v>70259.1201197116</v>
      </c>
      <c r="P82" s="56">
        <v>4</v>
      </c>
      <c r="Q82" s="57" t="s">
        <v>102</v>
      </c>
      <c r="R82" s="57" t="s">
        <v>110</v>
      </c>
      <c r="S82" s="57" t="s">
        <v>153</v>
      </c>
      <c r="T82" s="57" t="s">
        <v>92</v>
      </c>
      <c r="U82" s="57" t="s">
        <v>107</v>
      </c>
      <c r="V82" s="57" t="s">
        <v>86</v>
      </c>
      <c r="W82" s="57" t="s">
        <v>72</v>
      </c>
      <c r="X82" s="57" t="s">
        <v>72</v>
      </c>
      <c r="Y82" s="57" t="s">
        <v>72</v>
      </c>
      <c r="Z82" s="57" t="s">
        <v>72</v>
      </c>
      <c r="AA82" s="57" t="s">
        <v>72</v>
      </c>
      <c r="AB82" s="57" t="s">
        <v>72</v>
      </c>
      <c r="AC82" s="57" t="s">
        <v>72</v>
      </c>
      <c r="AD82" s="57" t="s">
        <v>72</v>
      </c>
      <c r="AE82" s="57" t="s">
        <v>72</v>
      </c>
      <c r="AF82" s="57" t="s">
        <v>72</v>
      </c>
      <c r="AG82" s="57" t="s">
        <v>72</v>
      </c>
      <c r="AH82" s="57" t="s">
        <v>87</v>
      </c>
      <c r="AI82" t="str">
        <f>VLOOKUP($Q82,武学奇术!$A:$ZZ,25,FALSE)</f>
        <v>伞</v>
      </c>
      <c r="AJ82" s="41">
        <f>VLOOKUP($Q82,武学奇术!$A:$ZZ,26,FALSE)</f>
        <v>1.174955</v>
      </c>
      <c r="AK82" s="42">
        <f>VLOOKUP($Q82,武学奇术!$A:$ZZ,27,FALSE)*(1+IF(OR($AI82=$F$4,$AI82=$F$5),$B$22,0))</f>
        <v>454.02</v>
      </c>
      <c r="AL82" s="41">
        <f>VLOOKUP($Q82,武学奇术!$A:$ZZ,28,FALSE)</f>
        <v>1.762375</v>
      </c>
      <c r="AM82" s="42">
        <f>VLOOKUP($Q82,武学奇术!$A:$ZZ,29,FALSE)*(1+IF(OR($AI82=$F$4,$AI82=$F$5),$B$22,0))</f>
        <v>247.94</v>
      </c>
      <c r="AN82" s="41" cm="1">
        <f t="array" ref="AN82">$G$3+IFERROR(VLOOKUP($AI82,$F$4:$G$7,2,FALSE),0)+VLOOKUP($Q82,武学奇术!$A:$ZZ,2,FALSE)+SUM(_xlfn.XLOOKUP($R82:$AH82,增益!$A:$A,增益!$B:$B,0))</f>
        <v>1.0441</v>
      </c>
      <c r="AO82" s="41" cm="1">
        <f t="array" ref="AO82">VLOOKUP($Q82,武学奇术!$A:$ZZ,5,FALSE)+SUM(_xlfn.XLOOKUP($R82:$AH82,增益!$A:$A,增益!$E:$E,0))</f>
        <v>0.075</v>
      </c>
      <c r="AP82" cm="1">
        <f t="array" ref="AP82">$D$10*(1+$AO82)+VLOOKUP($Q82,武学奇术!$A:$ZZ,3,FALSE)+SUM(_xlfn.XLOOKUP($R82:$AH82,增益!$A:$A,增益!$C:$C,0))-$I$2</f>
        <v>1974.055</v>
      </c>
      <c r="AQ82" cm="1">
        <f t="array" ref="AQ82">$E$10*(1+$AO82)+VLOOKUP($Q82,武学奇术!$A:$ZZ,4,FALSE)+SUM(_xlfn.XLOOKUP($R82:$AH82,增益!$A:$A,增益!$D:$D,0))-$I$2</f>
        <v>5941.45</v>
      </c>
      <c r="AR82" s="49" cm="1">
        <f t="array" ref="AR82">IF($F$10-$I$3+VLOOKUP($Q82,武学奇术!$A:$ZZ,6,FALSE)+SUM(_xlfn.XLOOKUP(R82:AH82,增益!$A:$A,增益!$F:$F,0))&gt;0,($F$10-$I$3+VLOOKUP($Q82,武学奇术!$A:$ZZ,6,FALSE)+SUM(_xlfn.XLOOKUP(R82:AH82,增益!$A:$A,增益!$F:$F,0)))/200,($F$10-$I$3+VLOOKUP($Q82,武学奇术!$A:$ZZ,6,FALSE)+SUM(_xlfn.XLOOKUP(R82:AH82,增益!$A:$A,增益!$F:$F,0)))/100)</f>
        <v>0.3575</v>
      </c>
      <c r="AS82" s="49" cm="1">
        <f t="array" ref="AS82">$G$10+VLOOKUP($Q82,武学奇术!$A:$ZZ,7,FALSE)+SUM(_xlfn.XLOOKUP(R82:AH82,增益!$A:$A,增益!$G:$G,0))</f>
        <v>0.1</v>
      </c>
      <c r="AT82" s="41" cm="1">
        <f t="array" ref="AT82">VLOOKUP($Q82,武学奇术!$A:$ZZ,8,FALSE)+SUM(_xlfn.XLOOKUP(R82:AH82,增益!$A:$A,增益!$H:$H,0))</f>
        <v>0</v>
      </c>
      <c r="AU82">
        <f>$D$11*(1+$AT82)</f>
        <v>0</v>
      </c>
      <c r="AV82">
        <f>$E$11*(1+$AT82)</f>
        <v>0</v>
      </c>
      <c r="AW82" s="49" cm="1">
        <f t="array" ref="AW82">IF($F$11-$I$4+VLOOKUP($Q82,武学奇术!$A:$ZZ,9,FALSE)+SUM(_xlfn.XLOOKUP(R82:AH82,增益!$A:$A,增益!$I:$I,0))&gt;0,($F$11-$I$4+VLOOKUP($Q82,武学奇术!$A:$ZZ,9,FALSE)+SUM(_xlfn.XLOOKUP(R82:AH82,增益!$A:$A,增益!$I:$I,0)))/200,($F$11-$I$4+VLOOKUP($Q82,武学奇术!$A:$ZZ,9,FALSE)+SUM(_xlfn.XLOOKUP(R82:AH82,增益!$A:$A,增益!$I:$I,0)))/100)</f>
        <v>-0.3</v>
      </c>
      <c r="AX82" s="49" cm="1">
        <f t="array" ref="AX82">$G$11+VLOOKUP($Q82,武学奇术!$A:$ZZ,10,FALSE)+SUM(_xlfn.XLOOKUP(R82:AH82,增益!$A:$A,增益!$J:$J,0))</f>
        <v>0</v>
      </c>
      <c r="AY82">
        <f>$D$12*(1+$AT82)</f>
        <v>0</v>
      </c>
      <c r="AZ82">
        <f>$E$12*(1+$AT82)</f>
        <v>0</v>
      </c>
      <c r="BA82" s="49" cm="1">
        <f t="array" ref="BA82">IF($F$12-$I$4+VLOOKUP($Q82,武学奇术!$A:$ZZ,11,FALSE)+SUM(_xlfn.XLOOKUP(R82:AH82,增益!$A:$A,增益!$K:$K,0))&gt;0,($F$12-$I$4+VLOOKUP($Q82,武学奇术!$A:$ZZ,11,FALSE)+SUM(_xlfn.XLOOKUP(R82:AH82,增益!$A:$A,增益!$K:$K,0)))/200,($F$12-$I$4+VLOOKUP($Q82,武学奇术!$A:$ZZ,11,FALSE)+SUM(_xlfn.XLOOKUP(R82:AH82,增益!$A:$A,增益!$K:$K,0)))/100)</f>
        <v>-0.3</v>
      </c>
      <c r="BB82" s="49" cm="1">
        <f t="array" ref="BB82">$G$12+VLOOKUP($Q82,武学奇术!$A:$ZZ,12,FALSE)+SUM(_xlfn.XLOOKUP(R82:AH82,增益!$A:$A,增益!$L:$L,0))</f>
        <v>0</v>
      </c>
      <c r="BC82">
        <f>$D$13*(1+$AT82)</f>
        <v>571.2</v>
      </c>
      <c r="BD82">
        <f>$E$13*(1+$AT82)</f>
        <v>1077.4</v>
      </c>
      <c r="BE82" s="49" cm="1">
        <f t="array" ref="BE82">IF($F$13-$I$4+VLOOKUP($Q82,武学奇术!$A:$ZZ,13,FALSE)+SUM(_xlfn.XLOOKUP(R82:AH82,增益!$A:$A,增益!$M:$M,0))&gt;0,($F$13-$I$4+VLOOKUP($Q82,武学奇术!$A:$ZZ,13,FALSE)+SUM(_xlfn.XLOOKUP(R82:AH82,增益!$A:$A,增益!$K:$K,0)))/200,($F$13-$I$4+VLOOKUP($Q82,武学奇术!$A:$ZZ,13,FALSE)+SUM(_xlfn.XLOOKUP(R82:AH82,增益!$A:$A,增益!$M:$M,0)))/100)</f>
        <v>0</v>
      </c>
      <c r="BF82" s="49" cm="1">
        <f t="array" ref="BF82">$G$13+VLOOKUP($Q82,武学奇术!$A:$ZZ,14,FALSE)+SUM(_xlfn.XLOOKUP(R82:AH82,增益!$A:$A,增益!$N:$N,0))</f>
        <v>0.25</v>
      </c>
      <c r="BG82">
        <f>$D$14*(1+$AT82)</f>
        <v>0</v>
      </c>
      <c r="BH82">
        <f>$E$14*(1+$AT82)</f>
        <v>0</v>
      </c>
      <c r="BI82" s="49" cm="1">
        <f t="array" ref="BI82">IF($F$14-$I$4+VLOOKUP($Q82,武学奇术!$A:$ZZ,15,FALSE)+SUM(_xlfn.XLOOKUP(R82:AH82,增益!$A:$A,增益!$O:$O,0))&gt;0,($F$14-$I$4+VLOOKUP($Q82,武学奇术!$A:$ZZ,15,FALSE)+SUM(_xlfn.XLOOKUP(R82:AH82,增益!$A:$A,增益!$O:$O,0)))/200,($F$14-$I$4+VLOOKUP($Q82,武学奇术!$A:$ZZ,15,FALSE)+SUM(_xlfn.XLOOKUP(R82:AH82,增益!$A:$A,增益!$O:$O,0)))/100)</f>
        <v>-0.3</v>
      </c>
      <c r="BJ82" s="49" cm="1">
        <f t="array" ref="BJ82">$G$14+VLOOKUP($Q82,武学奇术!$A:$ZZ,16,FALSE)+SUM(_xlfn.XLOOKUP(R82:AH82,增益!$A:$A,增益!$P:$P,0))</f>
        <v>0</v>
      </c>
      <c r="BK82" s="41">
        <f>MIN(IF(VLOOKUP($Q82,武学奇术!$A:$ZZ,23,FALSE)=1,100%,$B$8),100%)</f>
        <v>1</v>
      </c>
      <c r="BL82" s="41" cm="1">
        <f t="array" ref="BL82">IF(VLOOKUP($Q82,武学奇术!$A:$ZZ,23,FALSE)=1,100%,MIN(80%,$B$9+VLOOKUP($Q82,武学奇术!$A:$ZZ,17,FALSE)+SUM(_xlfn.XLOOKUP(R82:AH82,增益!$A:$A,增益!$Q:$Q,0)))+$B$11+SUM(_xlfn.XLOOKUP(R82:AH82,增益!$A:$A,增益!$U:$U,0)))*IF(VLOOKUP($Q82,武学奇术!$A:$ZZ,24,FALSE)=1,0,1)</f>
        <v>0.9045</v>
      </c>
      <c r="BM82" s="41" cm="1">
        <f t="array" ref="BM82">1+$B$13+VLOOKUP($Q82,武学奇术!$A:$ZZ,18,FALSE)+SUM(_xlfn.XLOOKUP(R82:AH82,增益!$A:$A,增益!$R:$R,0))</f>
        <v>1.96</v>
      </c>
      <c r="BN82" s="41" cm="1">
        <f t="array" ref="BN82">IF(VLOOKUP($Q82,武学奇术!$A:$ZZ,24,FALSE)=1,100%,MIN(40%,$B$10+VLOOKUP($Q82,武学奇术!$A:$ZZ,19,FALSE)+SUM(_xlfn.XLOOKUP(R82:AH82,增益!$A:$A,增益!$S:$S,0)))+$B$12+SUM(_xlfn.XLOOKUP(R82:AH82,增益!$A:$A,增益!$V:$V,0)))*IF(VLOOKUP($Q82,武学奇术!$A:$ZZ,23,FALSE)=1,0,1)</f>
        <v>0.0929</v>
      </c>
      <c r="BO82" s="41" cm="1">
        <f t="array" ref="BO82">1+$B$14+VLOOKUP($Q82,武学奇术!$A:$ZZ,20,FALSE)+SUM(_xlfn.XLOOKUP(R82:AH82,增益!$A:$A,增益!$T:$T,0))</f>
        <v>1.35</v>
      </c>
      <c r="BP82" s="41">
        <f>MIN((1-BN82)*BK82,BK82*BL82)</f>
        <v>0.9045</v>
      </c>
      <c r="BQ82" s="41">
        <f>1-BN82-BP82-BR82</f>
        <v>0.00260000000000005</v>
      </c>
      <c r="BR82" s="41">
        <f>IF(VLOOKUP($Q82,武学奇术!$A:$ZZ,22,FALSE)=1,0,(1-$BK82))*(1-$BN82)</f>
        <v>0</v>
      </c>
      <c r="BS82" s="41" cm="1">
        <f t="array" ref="BS82">SUM(_xlfn.XLOOKUP(R82:AH82,增益!$A:$A,增益!$W:$W,0))+$I$5</f>
        <v>0.11</v>
      </c>
    </row>
    <row r="83" spans="1:71">
      <c r="A83" s="4"/>
      <c r="B83" s="4"/>
      <c r="K83" s="55">
        <f>($L83*$BP83+$M83*$BN83+$N83*$BQ83+$O83*$BR83)</f>
        <v>234027.548404394</v>
      </c>
      <c r="L83" s="55">
        <f>((($AP83+$AQ83)/2*$AJ83+$AK83)*(1+$AR83)*(1+$AS83)+(($AU83+$AV83)/2*IF($G$1="鸣金",$AL83,$AJ83)+IF($G$1="鸣金",$AM83*1.5,0))*(1+$AW83)*(1+$AX83)+(($AY83+$AZ83)/2*IF($G$1="裂石",$AL83,$AJ83)+IF($G$1="裂石",$AM83*1.5,0))*(1+$BA83)*(1+$BB83)+(($BC83+$BD83)/2*IF($G$1="牵丝",$AL83,$AJ83)+IF($G$1="牵丝",$AM83*1.5,0))*(1+$BE83)*(1+$BF83)+(($BG83+$BH83)/2*IF($G$1="破竹",$AL83,$AJ83)+IF($G$1="破竹",$AM83*1.5,0))*(1+$BI83)*(1+$BJ83))*(1+$AN83)*$BM83*$P83*(1+IF(VLOOKUP($Q83,武学奇术!$A:$ZZ,30,FALSE)="弹道",$B$21,0))*(1+$BS83)</f>
        <v>234985.51473776</v>
      </c>
      <c r="M83" s="55">
        <f>(($AQ83*$AJ83+$AK83)*(1+$AR83)*(1+$AS83)+($AV83*IF($G$1="鸣金",$AL83,$AJ83)+IF($G$1="鸣金",$AM83*1.5,0))*(1+$AW83)*(1+$AX83)+($AZ83*IF($G$1="裂石",$AL83,$AJ83)+IF($G$1="裂石",$AM83*1.5,0))*(1+$BA83)*(1+$BB83)+($BD83*IF($G$1="牵丝",$AL83,$AJ83)+IF($G$1="牵丝",$AM83*1.5,0))*(1+$BE83)*(1+$BF83)+($BH83*IF($G$1="破竹",$AL83,$AJ83)+IF($G$1="破竹",$AM83*1.5,0))*(1+$BI83)*(1+$BJ83))*(1+$AN83)*$BO83*$P83*(1+IF(VLOOKUP($Q83,武学奇术!$A:$ZZ,30,FALSE)="弹道",$B$21,0))*(1+$BS83)</f>
        <v>227894.88531062</v>
      </c>
      <c r="N83" s="55">
        <f>((($AP83+$AQ83)/2*$AJ83+$AK83)*(1+$AR83)*(1+$AS83)+(($AU83+$AV83)/2*IF($G$1="鸣金",$AL83,$AJ83)+IF($G$1="鸣金",$AM83*1.5,0))*(1+$AW83)*(1+$AX83)+(($AY83+$AZ83)/2*IF($G$1="裂石",$AL83,$AJ83)+IF($G$1="裂石",$AM83*1.5,0))*(1+$BA83)*(1+$BB83)+(($BC83+$BD83)/2*IF($G$1="牵丝",$AL83,$AJ83)+IF($G$1="牵丝",$AM83*1.5,0))*(1+$BE83)*(1+$BF83)+(($BG83+$BH83)/2*IF($G$1="破竹",$AL83,$AJ83)+IF($G$1="破竹",$AM83*1.5,0))*(1+$BI83)*(1+$BJ83))*(1+$AN83)*$P83*(1+IF(VLOOKUP($Q83,武学奇术!$A:$ZZ,30,FALSE)="弹道",$B$21,0))*(1+$BS83)</f>
        <v>119890.568743755</v>
      </c>
      <c r="O83" s="55">
        <f>((($AP83*$AJ83+$AK83)*(1+$AR83)*(1+$AS83)+($AU83*IF($G$1="鸣金",$AL83,$AJ83)+IF($G$1="鸣金",$AM83*1.5,0))*(1+$AW83)*(1+$AX83)+($AY83*IF($G$1="裂石",$AL83,$AJ83)+IF($G$1="裂石",$AM83*1.5,0))*(1+$BA83)*(1+$BB83)+($BC83*IF($G$1="牵丝",$AL83,$AJ83)+IF($G$1="牵丝",$AM83*1.5,0))*(1+$BE83)*(1+$BF83)+($BG83*IF($G$1="破竹",$AL83,$AJ83)+IF($G$1="破竹",$AM83*1.5,0))*(1+$BI83)*(1+$BJ83))*(1+$AN83))*$P83*(1+IF(VLOOKUP($Q83,武学奇术!$A:$ZZ,30,FALSE)="弹道",$B$21,0))*(1+$BS83)</f>
        <v>70970.1113314952</v>
      </c>
      <c r="P83" s="56">
        <v>4</v>
      </c>
      <c r="Q83" s="57" t="s">
        <v>102</v>
      </c>
      <c r="R83" s="57" t="s">
        <v>116</v>
      </c>
      <c r="S83" s="57" t="s">
        <v>153</v>
      </c>
      <c r="T83" s="57" t="s">
        <v>92</v>
      </c>
      <c r="U83" s="57" t="s">
        <v>107</v>
      </c>
      <c r="V83" s="57" t="s">
        <v>86</v>
      </c>
      <c r="W83" s="57" t="s">
        <v>72</v>
      </c>
      <c r="X83" s="57" t="s">
        <v>72</v>
      </c>
      <c r="Y83" s="57" t="s">
        <v>72</v>
      </c>
      <c r="Z83" s="57" t="s">
        <v>72</v>
      </c>
      <c r="AA83" s="57" t="s">
        <v>72</v>
      </c>
      <c r="AB83" s="57" t="s">
        <v>72</v>
      </c>
      <c r="AC83" s="57" t="s">
        <v>72</v>
      </c>
      <c r="AD83" s="57" t="s">
        <v>72</v>
      </c>
      <c r="AE83" s="57" t="s">
        <v>72</v>
      </c>
      <c r="AF83" s="57" t="s">
        <v>72</v>
      </c>
      <c r="AG83" s="57" t="s">
        <v>72</v>
      </c>
      <c r="AH83" s="57" t="s">
        <v>87</v>
      </c>
      <c r="AI83" t="str">
        <f>VLOOKUP($Q83,武学奇术!$A:$ZZ,25,FALSE)</f>
        <v>伞</v>
      </c>
      <c r="AJ83" s="41">
        <f>VLOOKUP($Q83,武学奇术!$A:$ZZ,26,FALSE)</f>
        <v>1.174955</v>
      </c>
      <c r="AK83" s="42">
        <f>VLOOKUP($Q83,武学奇术!$A:$ZZ,27,FALSE)*(1+IF(OR($AI83=$F$4,$AI83=$F$5),$B$22,0))</f>
        <v>454.02</v>
      </c>
      <c r="AL83" s="41">
        <f>VLOOKUP($Q83,武学奇术!$A:$ZZ,28,FALSE)</f>
        <v>1.762375</v>
      </c>
      <c r="AM83" s="42">
        <f>VLOOKUP($Q83,武学奇术!$A:$ZZ,29,FALSE)*(1+IF(OR($AI83=$F$4,$AI83=$F$5),$B$22,0))</f>
        <v>247.94</v>
      </c>
      <c r="AN83" s="41" cm="1">
        <f t="array" ref="AN83">$G$3+IFERROR(VLOOKUP($AI83,$F$4:$G$7,2,FALSE),0)+VLOOKUP($Q83,武学奇术!$A:$ZZ,2,FALSE)+SUM(_xlfn.XLOOKUP($R83:$AH83,增益!$A:$A,增益!$B:$B,0))</f>
        <v>1.0541</v>
      </c>
      <c r="AO83" s="41" cm="1">
        <f t="array" ref="AO83">VLOOKUP($Q83,武学奇术!$A:$ZZ,5,FALSE)+SUM(_xlfn.XLOOKUP($R83:$AH83,增益!$A:$A,增益!$E:$E,0))</f>
        <v>0.075</v>
      </c>
      <c r="AP83" cm="1">
        <f t="array" ref="AP83">$D$10*(1+$AO83)+VLOOKUP($Q83,武学奇术!$A:$ZZ,3,FALSE)+SUM(_xlfn.XLOOKUP($R83:$AH83,增益!$A:$A,增益!$C:$C,0))-$I$2</f>
        <v>1974.055</v>
      </c>
      <c r="AQ83" cm="1">
        <f t="array" ref="AQ83">$E$10*(1+$AO83)+VLOOKUP($Q83,武学奇术!$A:$ZZ,4,FALSE)+SUM(_xlfn.XLOOKUP($R83:$AH83,增益!$A:$A,增益!$D:$D,0))-$I$2</f>
        <v>5941.45</v>
      </c>
      <c r="AR83" s="49" cm="1">
        <f t="array" ref="AR83">IF($F$10-$I$3+VLOOKUP($Q83,武学奇术!$A:$ZZ,6,FALSE)+SUM(_xlfn.XLOOKUP(R83:AH83,增益!$A:$A,增益!$F:$F,0))&gt;0,($F$10-$I$3+VLOOKUP($Q83,武学奇术!$A:$ZZ,6,FALSE)+SUM(_xlfn.XLOOKUP(R83:AH83,增益!$A:$A,增益!$F:$F,0)))/200,($F$10-$I$3+VLOOKUP($Q83,武学奇术!$A:$ZZ,6,FALSE)+SUM(_xlfn.XLOOKUP(R83:AH83,增益!$A:$A,增益!$F:$F,0)))/100)</f>
        <v>0.3675</v>
      </c>
      <c r="AS83" s="49" cm="1">
        <f t="array" ref="AS83">$G$10+VLOOKUP($Q83,武学奇术!$A:$ZZ,7,FALSE)+SUM(_xlfn.XLOOKUP(R83:AH83,增益!$A:$A,增益!$G:$G,0))</f>
        <v>0.1</v>
      </c>
      <c r="AT83" s="41" cm="1">
        <f t="array" ref="AT83">VLOOKUP($Q83,武学奇术!$A:$ZZ,8,FALSE)+SUM(_xlfn.XLOOKUP(R83:AH83,增益!$A:$A,增益!$H:$H,0))</f>
        <v>0</v>
      </c>
      <c r="AU83">
        <f>$D$11*(1+$AT83)</f>
        <v>0</v>
      </c>
      <c r="AV83">
        <f>$E$11*(1+$AT83)</f>
        <v>0</v>
      </c>
      <c r="AW83" s="49" cm="1">
        <f t="array" ref="AW83">IF($F$11-$I$4+VLOOKUP($Q83,武学奇术!$A:$ZZ,9,FALSE)+SUM(_xlfn.XLOOKUP(R83:AH83,增益!$A:$A,增益!$I:$I,0))&gt;0,($F$11-$I$4+VLOOKUP($Q83,武学奇术!$A:$ZZ,9,FALSE)+SUM(_xlfn.XLOOKUP(R83:AH83,增益!$A:$A,增益!$I:$I,0)))/200,($F$11-$I$4+VLOOKUP($Q83,武学奇术!$A:$ZZ,9,FALSE)+SUM(_xlfn.XLOOKUP(R83:AH83,增益!$A:$A,增益!$I:$I,0)))/100)</f>
        <v>-0.3</v>
      </c>
      <c r="AX83" s="49" cm="1">
        <f t="array" ref="AX83">$G$11+VLOOKUP($Q83,武学奇术!$A:$ZZ,10,FALSE)+SUM(_xlfn.XLOOKUP(R83:AH83,增益!$A:$A,增益!$J:$J,0))</f>
        <v>0</v>
      </c>
      <c r="AY83">
        <f>$D$12*(1+$AT83)</f>
        <v>0</v>
      </c>
      <c r="AZ83">
        <f>$E$12*(1+$AT83)</f>
        <v>0</v>
      </c>
      <c r="BA83" s="49" cm="1">
        <f t="array" ref="BA83">IF($F$12-$I$4+VLOOKUP($Q83,武学奇术!$A:$ZZ,11,FALSE)+SUM(_xlfn.XLOOKUP(R83:AH83,增益!$A:$A,增益!$K:$K,0))&gt;0,($F$12-$I$4+VLOOKUP($Q83,武学奇术!$A:$ZZ,11,FALSE)+SUM(_xlfn.XLOOKUP(R83:AH83,增益!$A:$A,增益!$K:$K,0)))/200,($F$12-$I$4+VLOOKUP($Q83,武学奇术!$A:$ZZ,11,FALSE)+SUM(_xlfn.XLOOKUP(R83:AH83,增益!$A:$A,增益!$K:$K,0)))/100)</f>
        <v>-0.3</v>
      </c>
      <c r="BB83" s="49" cm="1">
        <f t="array" ref="BB83">$G$12+VLOOKUP($Q83,武学奇术!$A:$ZZ,12,FALSE)+SUM(_xlfn.XLOOKUP(R83:AH83,增益!$A:$A,增益!$L:$L,0))</f>
        <v>0</v>
      </c>
      <c r="BC83">
        <f>$D$13*(1+$AT83)</f>
        <v>571.2</v>
      </c>
      <c r="BD83">
        <f>$E$13*(1+$AT83)</f>
        <v>1077.4</v>
      </c>
      <c r="BE83" s="49" cm="1">
        <f t="array" ref="BE83">IF($F$13-$I$4+VLOOKUP($Q83,武学奇术!$A:$ZZ,13,FALSE)+SUM(_xlfn.XLOOKUP(R83:AH83,增益!$A:$A,增益!$M:$M,0))&gt;0,($F$13-$I$4+VLOOKUP($Q83,武学奇术!$A:$ZZ,13,FALSE)+SUM(_xlfn.XLOOKUP(R83:AH83,增益!$A:$A,增益!$K:$K,0)))/200,($F$13-$I$4+VLOOKUP($Q83,武学奇术!$A:$ZZ,13,FALSE)+SUM(_xlfn.XLOOKUP(R83:AH83,增益!$A:$A,增益!$M:$M,0)))/100)</f>
        <v>0</v>
      </c>
      <c r="BF83" s="49" cm="1">
        <f t="array" ref="BF83">$G$13+VLOOKUP($Q83,武学奇术!$A:$ZZ,14,FALSE)+SUM(_xlfn.XLOOKUP(R83:AH83,增益!$A:$A,增益!$N:$N,0))</f>
        <v>0.25</v>
      </c>
      <c r="BG83">
        <f>$D$14*(1+$AT83)</f>
        <v>0</v>
      </c>
      <c r="BH83">
        <f>$E$14*(1+$AT83)</f>
        <v>0</v>
      </c>
      <c r="BI83" s="49" cm="1">
        <f t="array" ref="BI83">IF($F$14-$I$4+VLOOKUP($Q83,武学奇术!$A:$ZZ,15,FALSE)+SUM(_xlfn.XLOOKUP(R83:AH83,增益!$A:$A,增益!$O:$O,0))&gt;0,($F$14-$I$4+VLOOKUP($Q83,武学奇术!$A:$ZZ,15,FALSE)+SUM(_xlfn.XLOOKUP(R83:AH83,增益!$A:$A,增益!$O:$O,0)))/200,($F$14-$I$4+VLOOKUP($Q83,武学奇术!$A:$ZZ,15,FALSE)+SUM(_xlfn.XLOOKUP(R83:AH83,增益!$A:$A,增益!$O:$O,0)))/100)</f>
        <v>-0.3</v>
      </c>
      <c r="BJ83" s="49" cm="1">
        <f t="array" ref="BJ83">$G$14+VLOOKUP($Q83,武学奇术!$A:$ZZ,16,FALSE)+SUM(_xlfn.XLOOKUP(R83:AH83,增益!$A:$A,增益!$P:$P,0))</f>
        <v>0</v>
      </c>
      <c r="BK83" s="41">
        <f>MIN(IF(VLOOKUP($Q83,武学奇术!$A:$ZZ,23,FALSE)=1,100%,$B$8),100%)</f>
        <v>1</v>
      </c>
      <c r="BL83" s="41" cm="1">
        <f t="array" ref="BL83">IF(VLOOKUP($Q83,武学奇术!$A:$ZZ,23,FALSE)=1,100%,MIN(80%,$B$9+VLOOKUP($Q83,武学奇术!$A:$ZZ,17,FALSE)+SUM(_xlfn.XLOOKUP(R83:AH83,增益!$A:$A,增益!$Q:$Q,0)))+$B$11+SUM(_xlfn.XLOOKUP(R83:AH83,增益!$A:$A,增益!$U:$U,0)))*IF(VLOOKUP($Q83,武学奇术!$A:$ZZ,24,FALSE)=1,0,1)</f>
        <v>0.9045</v>
      </c>
      <c r="BM83" s="41" cm="1">
        <f t="array" ref="BM83">1+$B$13+VLOOKUP($Q83,武学奇术!$A:$ZZ,18,FALSE)+SUM(_xlfn.XLOOKUP(R83:AH83,增益!$A:$A,增益!$R:$R,0))</f>
        <v>1.96</v>
      </c>
      <c r="BN83" s="41" cm="1">
        <f t="array" ref="BN83">IF(VLOOKUP($Q83,武学奇术!$A:$ZZ,24,FALSE)=1,100%,MIN(40%,$B$10+VLOOKUP($Q83,武学奇术!$A:$ZZ,19,FALSE)+SUM(_xlfn.XLOOKUP(R83:AH83,增益!$A:$A,增益!$S:$S,0)))+$B$12+SUM(_xlfn.XLOOKUP(R83:AH83,增益!$A:$A,增益!$V:$V,0)))*IF(VLOOKUP($Q83,武学奇术!$A:$ZZ,23,FALSE)=1,0,1)</f>
        <v>0.0929</v>
      </c>
      <c r="BO83" s="41" cm="1">
        <f t="array" ref="BO83">1+$B$14+VLOOKUP($Q83,武学奇术!$A:$ZZ,20,FALSE)+SUM(_xlfn.XLOOKUP(R83:AH83,增益!$A:$A,增益!$T:$T,0))</f>
        <v>1.35</v>
      </c>
      <c r="BP83" s="41">
        <f>MIN((1-BN83)*BK83,BK83*BL83)</f>
        <v>0.9045</v>
      </c>
      <c r="BQ83" s="41">
        <f>1-BN83-BP83-BR83</f>
        <v>0.00260000000000005</v>
      </c>
      <c r="BR83" s="41">
        <f>IF(VLOOKUP($Q83,武学奇术!$A:$ZZ,22,FALSE)=1,0,(1-$BK83))*(1-$BN83)</f>
        <v>0</v>
      </c>
      <c r="BS83" s="41" cm="1">
        <f t="array" ref="BS83">SUM(_xlfn.XLOOKUP(R83:AH83,增益!$A:$A,增益!$W:$W,0))+$I$5</f>
        <v>0.11</v>
      </c>
    </row>
    <row r="84" spans="1:71">
      <c r="A84" s="4"/>
      <c r="B84" s="4"/>
      <c r="K84" s="55">
        <f>($L84*$BP84+$M84*$BN84+$N84*$BQ84+$O84*$BR84)</f>
        <v>77451.6670736691</v>
      </c>
      <c r="L84" s="55">
        <f>((($AP84+$AQ84)/2*$AJ84+$AK84)*(1+$AR84)*(1+$AS84)+(($AU84+$AV84)/2*IF($G$1="鸣金",$AL84,$AJ84)+IF($G$1="鸣金",$AM84*1.5,0))*(1+$AW84)*(1+$AX84)+(($AY84+$AZ84)/2*IF($G$1="裂石",$AL84,$AJ84)+IF($G$1="裂石",$AM84*1.5,0))*(1+$BA84)*(1+$BB84)+(($BC84+$BD84)/2*IF($G$1="牵丝",$AL84,$AJ84)+IF($G$1="牵丝",$AM84*1.5,0))*(1+$BE84)*(1+$BF84)+(($BG84+$BH84)/2*IF($G$1="破竹",$AL84,$AJ84)+IF($G$1="破竹",$AM84*1.5,0))*(1+$BI84)*(1+$BJ84))*(1+$AN84)*$BM84*$P84*(1+IF(VLOOKUP($Q84,武学奇术!$A:$ZZ,30,FALSE)="弹道",$B$21,0))*(1+$BS84)</f>
        <v>76210.5218188603</v>
      </c>
      <c r="M84" s="55">
        <f>(($AQ84*$AJ84+$AK84)*(1+$AR84)*(1+$AS84)+($AV84*IF($G$1="鸣金",$AL84,$AJ84)+IF($G$1="鸣金",$AM84*1.5,0))*(1+$AW84)*(1+$AX84)+($AZ84*IF($G$1="裂石",$AL84,$AJ84)+IF($G$1="裂石",$AM84*1.5,0))*(1+$BA84)*(1+$BB84)+($BD84*IF($G$1="牵丝",$AL84,$AJ84)+IF($G$1="牵丝",$AM84*1.5,0))*(1+$BE84)*(1+$BF84)+($BH84*IF($G$1="破竹",$AL84,$AJ84)+IF($G$1="破竹",$AM84*1.5,0))*(1+$BI84)*(1+$BJ84))*(1+$AN84)*$BO84*$P84*(1+IF(VLOOKUP($Q84,武学奇术!$A:$ZZ,30,FALSE)="弹道",$B$21,0))*(1+$BS84)</f>
        <v>90370.3766475167</v>
      </c>
      <c r="N84" s="55">
        <f>((($AP84+$AQ84)/2*$AJ84+$AK84)*(1+$AR84)*(1+$AS84)+(($AU84+$AV84)/2*IF($G$1="鸣金",$AL84,$AJ84)+IF($G$1="鸣金",$AM84*1.5,0))*(1+$AW84)*(1+$AX84)+(($AY84+$AZ84)/2*IF($G$1="裂石",$AL84,$AJ84)+IF($G$1="裂石",$AM84*1.5,0))*(1+$BA84)*(1+$BB84)+(($BC84+$BD84)/2*IF($G$1="牵丝",$AL84,$AJ84)+IF($G$1="牵丝",$AM84*1.5,0))*(1+$BE84)*(1+$BF84)+(($BG84+$BH84)/2*IF($G$1="破竹",$AL84,$AJ84)+IF($G$1="破竹",$AM84*1.5,0))*(1+$BI84)*(1+$BJ84))*(1+$AN84)*$P84*(1+IF(VLOOKUP($Q84,武学奇术!$A:$ZZ,30,FALSE)="弹道",$B$21,0))*(1+$BS84)</f>
        <v>47631.5761367877</v>
      </c>
      <c r="O84" s="55">
        <f>((($AP84*$AJ84+$AK84)*(1+$AR84)*(1+$AS84)+($AU84*IF($G$1="鸣金",$AL84,$AJ84)+IF($G$1="鸣金",$AM84*1.5,0))*(1+$AW84)*(1+$AX84)+($AY84*IF($G$1="裂石",$AL84,$AJ84)+IF($G$1="裂石",$AM84*1.5,0))*(1+$BA84)*(1+$BB84)+($BC84*IF($G$1="牵丝",$AL84,$AJ84)+IF($G$1="牵丝",$AM84*1.5,0))*(1+$BE84)*(1+$BF84)+($BG84*IF($G$1="破竹",$AL84,$AJ84)+IF($G$1="破竹",$AM84*1.5,0))*(1+$BI84)*(1+$BJ84))*(1+$AN84))*$P84*(1+IF(VLOOKUP($Q84,武学奇术!$A:$ZZ,30,FALSE)="弹道",$B$21,0))*(1+$BS84)</f>
        <v>28322.1325346742</v>
      </c>
      <c r="P84" s="56">
        <v>1</v>
      </c>
      <c r="Q84" s="57" t="s">
        <v>126</v>
      </c>
      <c r="R84" s="57" t="s">
        <v>116</v>
      </c>
      <c r="S84" s="57" t="s">
        <v>153</v>
      </c>
      <c r="T84" s="57" t="s">
        <v>92</v>
      </c>
      <c r="U84" s="57" t="s">
        <v>72</v>
      </c>
      <c r="V84" s="57" t="s">
        <v>86</v>
      </c>
      <c r="W84" s="57" t="s">
        <v>72</v>
      </c>
      <c r="X84" s="57" t="s">
        <v>72</v>
      </c>
      <c r="Y84" s="57" t="s">
        <v>72</v>
      </c>
      <c r="Z84" s="57" t="s">
        <v>72</v>
      </c>
      <c r="AA84" s="57" t="s">
        <v>72</v>
      </c>
      <c r="AB84" s="57" t="s">
        <v>72</v>
      </c>
      <c r="AC84" s="57" t="s">
        <v>72</v>
      </c>
      <c r="AD84" s="57" t="s">
        <v>72</v>
      </c>
      <c r="AE84" s="57" t="s">
        <v>72</v>
      </c>
      <c r="AF84" s="57" t="s">
        <v>72</v>
      </c>
      <c r="AG84" s="57" t="s">
        <v>72</v>
      </c>
      <c r="AH84" s="57" t="s">
        <v>87</v>
      </c>
      <c r="AI84" t="str">
        <f>VLOOKUP($Q84,武学奇术!$A:$ZZ,25,FALSE)</f>
        <v>扇</v>
      </c>
      <c r="AJ84" s="41">
        <f>VLOOKUP($Q84,武学奇术!$A:$ZZ,26,FALSE)</f>
        <v>2.76138</v>
      </c>
      <c r="AK84" s="42">
        <f>VLOOKUP($Q84,武学奇术!$A:$ZZ,27,FALSE)*(1+IF(OR($AI84=$F$4,$AI84=$F$5),$B$22,0))</f>
        <v>1069.81</v>
      </c>
      <c r="AL84" s="41">
        <f>VLOOKUP($Q84,武学奇术!$A:$ZZ,28,FALSE)</f>
        <v>4.14207</v>
      </c>
      <c r="AM84" s="42">
        <f>VLOOKUP($Q84,武学奇术!$A:$ZZ,29,FALSE)*(1+IF(OR($AI84=$F$4,$AI84=$F$5),$B$22,0))</f>
        <v>582.61</v>
      </c>
      <c r="AN84" s="41" cm="1">
        <f t="array" ref="AN84">$G$3+IFERROR(VLOOKUP($AI84,$F$4:$G$7,2,FALSE),0)+VLOOKUP($Q84,武学奇术!$A:$ZZ,2,FALSE)+SUM(_xlfn.XLOOKUP($R84:$AH84,增益!$A:$A,增益!$B:$B,0))</f>
        <v>0.9689</v>
      </c>
      <c r="AO84" s="41" cm="1">
        <f t="array" ref="AO84">VLOOKUP($Q84,武学奇术!$A:$ZZ,5,FALSE)+SUM(_xlfn.XLOOKUP($R84:$AH84,增益!$A:$A,增益!$E:$E,0))</f>
        <v>0</v>
      </c>
      <c r="AP84" cm="1">
        <f t="array" ref="AP84">$D$10*(1+$AO84)+VLOOKUP($Q84,武学奇术!$A:$ZZ,3,FALSE)+SUM(_xlfn.XLOOKUP($R84:$AH84,增益!$A:$A,增益!$C:$C,0))-$I$2</f>
        <v>1797.4</v>
      </c>
      <c r="AQ84" cm="1">
        <f t="array" ref="AQ84">$E$10*(1+$AO84)+VLOOKUP($Q84,武学奇术!$A:$ZZ,4,FALSE)+SUM(_xlfn.XLOOKUP($R84:$AH84,增益!$A:$A,增益!$D:$D,0))-$I$2</f>
        <v>5488</v>
      </c>
      <c r="AR84" s="49" cm="1">
        <f t="array" ref="AR84">IF($F$10-$I$3+VLOOKUP($Q84,武学奇术!$A:$ZZ,6,FALSE)+SUM(_xlfn.XLOOKUP(R84:AH84,增益!$A:$A,增益!$F:$F,0))&gt;0,($F$10-$I$3+VLOOKUP($Q84,武学奇术!$A:$ZZ,6,FALSE)+SUM(_xlfn.XLOOKUP(R84:AH84,增益!$A:$A,增益!$F:$F,0)))/200,($F$10-$I$3+VLOOKUP($Q84,武学奇术!$A:$ZZ,6,FALSE)+SUM(_xlfn.XLOOKUP(R84:AH84,增益!$A:$A,增益!$F:$F,0)))/100)</f>
        <v>0.3425</v>
      </c>
      <c r="AS84" s="49" cm="1">
        <f t="array" ref="AS84">$G$10+VLOOKUP($Q84,武学奇术!$A:$ZZ,7,FALSE)+SUM(_xlfn.XLOOKUP(R84:AH84,增益!$A:$A,增益!$G:$G,0))</f>
        <v>0.1</v>
      </c>
      <c r="AT84" s="41" cm="1">
        <f t="array" ref="AT84">VLOOKUP($Q84,武学奇术!$A:$ZZ,8,FALSE)+SUM(_xlfn.XLOOKUP(R84:AH84,增益!$A:$A,增益!$H:$H,0))</f>
        <v>0</v>
      </c>
      <c r="AU84">
        <f>$D$11*(1+$AT84)</f>
        <v>0</v>
      </c>
      <c r="AV84">
        <f>$E$11*(1+$AT84)</f>
        <v>0</v>
      </c>
      <c r="AW84" s="49" cm="1">
        <f t="array" ref="AW84">IF($F$11-$I$4+VLOOKUP($Q84,武学奇术!$A:$ZZ,9,FALSE)+SUM(_xlfn.XLOOKUP(R84:AH84,增益!$A:$A,增益!$I:$I,0))&gt;0,($F$11-$I$4+VLOOKUP($Q84,武学奇术!$A:$ZZ,9,FALSE)+SUM(_xlfn.XLOOKUP(R84:AH84,增益!$A:$A,增益!$I:$I,0)))/200,($F$11-$I$4+VLOOKUP($Q84,武学奇术!$A:$ZZ,9,FALSE)+SUM(_xlfn.XLOOKUP(R84:AH84,增益!$A:$A,增益!$I:$I,0)))/100)</f>
        <v>-0.3</v>
      </c>
      <c r="AX84" s="49" cm="1">
        <f t="array" ref="AX84">$G$11+VLOOKUP($Q84,武学奇术!$A:$ZZ,10,FALSE)+SUM(_xlfn.XLOOKUP(R84:AH84,增益!$A:$A,增益!$J:$J,0))</f>
        <v>0</v>
      </c>
      <c r="AY84">
        <f>$D$12*(1+$AT84)</f>
        <v>0</v>
      </c>
      <c r="AZ84">
        <f>$E$12*(1+$AT84)</f>
        <v>0</v>
      </c>
      <c r="BA84" s="49" cm="1">
        <f t="array" ref="BA84">IF($F$12-$I$4+VLOOKUP($Q84,武学奇术!$A:$ZZ,11,FALSE)+SUM(_xlfn.XLOOKUP(R84:AH84,增益!$A:$A,增益!$K:$K,0))&gt;0,($F$12-$I$4+VLOOKUP($Q84,武学奇术!$A:$ZZ,11,FALSE)+SUM(_xlfn.XLOOKUP(R84:AH84,增益!$A:$A,增益!$K:$K,0)))/200,($F$12-$I$4+VLOOKUP($Q84,武学奇术!$A:$ZZ,11,FALSE)+SUM(_xlfn.XLOOKUP(R84:AH84,增益!$A:$A,增益!$K:$K,0)))/100)</f>
        <v>-0.3</v>
      </c>
      <c r="BB84" s="49" cm="1">
        <f t="array" ref="BB84">$G$12+VLOOKUP($Q84,武学奇术!$A:$ZZ,12,FALSE)+SUM(_xlfn.XLOOKUP(R84:AH84,增益!$A:$A,增益!$L:$L,0))</f>
        <v>0</v>
      </c>
      <c r="BC84">
        <f>$D$13*(1+$AT84)</f>
        <v>571.2</v>
      </c>
      <c r="BD84">
        <f>$E$13*(1+$AT84)</f>
        <v>1077.4</v>
      </c>
      <c r="BE84" s="49" cm="1">
        <f t="array" ref="BE84">IF($F$13-$I$4+VLOOKUP($Q84,武学奇术!$A:$ZZ,13,FALSE)+SUM(_xlfn.XLOOKUP(R84:AH84,增益!$A:$A,增益!$M:$M,0))&gt;0,($F$13-$I$4+VLOOKUP($Q84,武学奇术!$A:$ZZ,13,FALSE)+SUM(_xlfn.XLOOKUP(R84:AH84,增益!$A:$A,增益!$K:$K,0)))/200,($F$13-$I$4+VLOOKUP($Q84,武学奇术!$A:$ZZ,13,FALSE)+SUM(_xlfn.XLOOKUP(R84:AH84,增益!$A:$A,增益!$M:$M,0)))/100)</f>
        <v>0</v>
      </c>
      <c r="BF84" s="49" cm="1">
        <f t="array" ref="BF84">$G$13+VLOOKUP($Q84,武学奇术!$A:$ZZ,14,FALSE)+SUM(_xlfn.XLOOKUP(R84:AH84,增益!$A:$A,增益!$N:$N,0))</f>
        <v>0.25</v>
      </c>
      <c r="BG84">
        <f>$D$14*(1+$AT84)</f>
        <v>0</v>
      </c>
      <c r="BH84">
        <f>$E$14*(1+$AT84)</f>
        <v>0</v>
      </c>
      <c r="BI84" s="49" cm="1">
        <f t="array" ref="BI84">IF($F$14-$I$4+VLOOKUP($Q84,武学奇术!$A:$ZZ,15,FALSE)+SUM(_xlfn.XLOOKUP(R84:AH84,增益!$A:$A,增益!$O:$O,0))&gt;0,($F$14-$I$4+VLOOKUP($Q84,武学奇术!$A:$ZZ,15,FALSE)+SUM(_xlfn.XLOOKUP(R84:AH84,增益!$A:$A,增益!$O:$O,0)))/200,($F$14-$I$4+VLOOKUP($Q84,武学奇术!$A:$ZZ,15,FALSE)+SUM(_xlfn.XLOOKUP(R84:AH84,增益!$A:$A,增益!$O:$O,0)))/100)</f>
        <v>-0.3</v>
      </c>
      <c r="BJ84" s="49" cm="1">
        <f t="array" ref="BJ84">$G$14+VLOOKUP($Q84,武学奇术!$A:$ZZ,16,FALSE)+SUM(_xlfn.XLOOKUP(R84:AH84,增益!$A:$A,增益!$P:$P,0))</f>
        <v>0</v>
      </c>
      <c r="BK84" s="41">
        <f>MIN(IF(VLOOKUP($Q84,武学奇术!$A:$ZZ,23,FALSE)=1,100%,$B$8),100%)</f>
        <v>1</v>
      </c>
      <c r="BL84" s="41" cm="1">
        <f t="array" ref="BL84">IF(VLOOKUP($Q84,武学奇术!$A:$ZZ,23,FALSE)=1,100%,MIN(80%,$B$9+VLOOKUP($Q84,武学奇术!$A:$ZZ,17,FALSE)+SUM(_xlfn.XLOOKUP(R84:AH84,增益!$A:$A,增益!$Q:$Q,0)))+$B$11+SUM(_xlfn.XLOOKUP(R84:AH84,增益!$A:$A,增益!$U:$U,0)))*IF(VLOOKUP($Q84,武学奇术!$A:$ZZ,24,FALSE)=1,0,1)</f>
        <v>0.9045</v>
      </c>
      <c r="BM84" s="41" cm="1">
        <f t="array" ref="BM84">1+$B$13+VLOOKUP($Q84,武学奇术!$A:$ZZ,18,FALSE)+SUM(_xlfn.XLOOKUP(R84:AH84,增益!$A:$A,增益!$R:$R,0))</f>
        <v>1.6</v>
      </c>
      <c r="BN84" s="41" cm="1">
        <f t="array" ref="BN84">IF(VLOOKUP($Q84,武学奇术!$A:$ZZ,24,FALSE)=1,100%,MIN(40%,$B$10+VLOOKUP($Q84,武学奇术!$A:$ZZ,19,FALSE)+SUM(_xlfn.XLOOKUP(R84:AH84,增益!$A:$A,增益!$S:$S,0)))+$B$12+SUM(_xlfn.XLOOKUP(R84:AH84,增益!$A:$A,增益!$V:$V,0)))*IF(VLOOKUP($Q84,武学奇术!$A:$ZZ,23,FALSE)=1,0,1)</f>
        <v>0.0929</v>
      </c>
      <c r="BO84" s="41" cm="1">
        <f t="array" ref="BO84">1+$B$14+VLOOKUP($Q84,武学奇术!$A:$ZZ,20,FALSE)+SUM(_xlfn.XLOOKUP(R84:AH84,增益!$A:$A,增益!$T:$T,0))</f>
        <v>1.35</v>
      </c>
      <c r="BP84" s="41">
        <f>MIN((1-BN84)*BK84,BK84*BL84)</f>
        <v>0.9045</v>
      </c>
      <c r="BQ84" s="41">
        <f>1-BN84-BP84-BR84</f>
        <v>0.00260000000000005</v>
      </c>
      <c r="BR84" s="41">
        <f>IF(VLOOKUP($Q84,武学奇术!$A:$ZZ,22,FALSE)=1,0,(1-$BK84))*(1-$BN84)</f>
        <v>0</v>
      </c>
      <c r="BS84" s="41" cm="1">
        <f t="array" ref="BS84">SUM(_xlfn.XLOOKUP(R84:AH84,增益!$A:$A,增益!$W:$W,0))+$I$5</f>
        <v>0.11</v>
      </c>
    </row>
    <row r="85" spans="1:71">
      <c r="A85" s="4"/>
      <c r="B85" s="4"/>
      <c r="K85" s="55">
        <f>($L85*$BP85+$M85*$BN85+$N85*$BQ85+$O85*$BR85)</f>
        <v>75694.9439919264</v>
      </c>
      <c r="L85" s="55">
        <f>((($AP85+$AQ85)/2*$AJ85+$AK85)*(1+$AR85)*(1+$AS85)+(($AU85+$AV85)/2*IF($G$1="鸣金",$AL85,$AJ85)+IF($G$1="鸣金",$AM85*1.5,0))*(1+$AW85)*(1+$AX85)+(($AY85+$AZ85)/2*IF($G$1="裂石",$AL85,$AJ85)+IF($G$1="裂石",$AM85*1.5,0))*(1+$BA85)*(1+$BB85)+(($BC85+$BD85)/2*IF($G$1="牵丝",$AL85,$AJ85)+IF($G$1="牵丝",$AM85*1.5,0))*(1+$BE85)*(1+$BF85)+(($BG85+$BH85)/2*IF($G$1="破竹",$AL85,$AJ85)+IF($G$1="破竹",$AM85*1.5,0))*(1+$BI85)*(1+$BJ85))*(1+$AN85)*$BM85*$P85*(1+IF(VLOOKUP($Q85,武学奇术!$A:$ZZ,30,FALSE)="弹道",$B$21,0))*(1+$BS85)</f>
        <v>74263.053794597</v>
      </c>
      <c r="M85" s="55">
        <f>(($AQ85*$AJ85+$AK85)*(1+$AR85)*(1+$AS85)+($AV85*IF($G$1="鸣金",$AL85,$AJ85)+IF($G$1="鸣金",$AM85*1.5,0))*(1+$AW85)*(1+$AX85)+($AZ85*IF($G$1="裂石",$AL85,$AJ85)+IF($G$1="裂石",$AM85*1.5,0))*(1+$BA85)*(1+$BB85)+($BD85*IF($G$1="牵丝",$AL85,$AJ85)+IF($G$1="牵丝",$AM85*1.5,0))*(1+$BE85)*(1+$BF85)+($BH85*IF($G$1="破竹",$AL85,$AJ85)+IF($G$1="破竹",$AM85*1.5,0))*(1+$BI85)*(1+$BJ85))*(1+$AN85)*$BO85*$P85*(1+IF(VLOOKUP($Q85,武学奇术!$A:$ZZ,30,FALSE)="弹道",$B$21,0))*(1+$BS85)</f>
        <v>90455.6983024456</v>
      </c>
      <c r="N85" s="55">
        <f>((($AP85+$AQ85)/2*$AJ85+$AK85)*(1+$AR85)*(1+$AS85)+(($AU85+$AV85)/2*IF($G$1="鸣金",$AL85,$AJ85)+IF($G$1="鸣金",$AM85*1.5,0))*(1+$AW85)*(1+$AX85)+(($AY85+$AZ85)/2*IF($G$1="裂石",$AL85,$AJ85)+IF($G$1="裂石",$AM85*1.5,0))*(1+$BA85)*(1+$BB85)+(($BC85+$BD85)/2*IF($G$1="牵丝",$AL85,$AJ85)+IF($G$1="牵丝",$AM85*1.5,0))*(1+$BE85)*(1+$BF85)+(($BG85+$BH85)/2*IF($G$1="破竹",$AL85,$AJ85)+IF($G$1="破竹",$AM85*1.5,0))*(1+$BI85)*(1+$BJ85))*(1+$AN85)*$P85*(1+IF(VLOOKUP($Q85,武学奇术!$A:$ZZ,30,FALSE)="弹道",$B$21,0))*(1+$BS85)</f>
        <v>46414.4086216231</v>
      </c>
      <c r="O85" s="55">
        <f>((($AP85*$AJ85+$AK85)*(1+$AR85)*(1+$AS85)+($AU85*IF($G$1="鸣金",$AL85,$AJ85)+IF($G$1="鸣金",$AM85*1.5,0))*(1+$AW85)*(1+$AX85)+($AY85*IF($G$1="裂石",$AL85,$AJ85)+IF($G$1="裂石",$AM85*1.5,0))*(1+$BA85)*(1+$BB85)+($BC85*IF($G$1="牵丝",$AL85,$AJ85)+IF($G$1="牵丝",$AM85*1.5,0))*(1+$BE85)*(1+$BF85)+($BG85*IF($G$1="破竹",$AL85,$AJ85)+IF($G$1="破竹",$AM85*1.5,0))*(1+$BI85)*(1+$BJ85))*(1+$AN85))*$P85*(1+IF(VLOOKUP($Q85,武学奇术!$A:$ZZ,30,FALSE)="弹道",$B$21,0))*(1+$BS85)</f>
        <v>25824.5962784717</v>
      </c>
      <c r="P85" s="56">
        <v>1</v>
      </c>
      <c r="Q85" s="57" t="s">
        <v>147</v>
      </c>
      <c r="R85" s="57" t="s">
        <v>116</v>
      </c>
      <c r="S85" s="57" t="s">
        <v>153</v>
      </c>
      <c r="T85" s="57" t="s">
        <v>72</v>
      </c>
      <c r="U85" s="57" t="s">
        <v>107</v>
      </c>
      <c r="V85" s="57" t="s">
        <v>72</v>
      </c>
      <c r="W85" s="57" t="s">
        <v>72</v>
      </c>
      <c r="X85" s="57" t="s">
        <v>72</v>
      </c>
      <c r="Y85" s="57" t="s">
        <v>72</v>
      </c>
      <c r="Z85" s="57" t="s">
        <v>72</v>
      </c>
      <c r="AA85" s="57" t="s">
        <v>72</v>
      </c>
      <c r="AB85" s="57" t="s">
        <v>72</v>
      </c>
      <c r="AC85" s="57" t="s">
        <v>72</v>
      </c>
      <c r="AD85" s="57" t="s">
        <v>72</v>
      </c>
      <c r="AE85" s="57" t="s">
        <v>72</v>
      </c>
      <c r="AF85" s="57" t="s">
        <v>72</v>
      </c>
      <c r="AG85" s="57" t="s">
        <v>72</v>
      </c>
      <c r="AH85" s="57" t="s">
        <v>87</v>
      </c>
      <c r="AI85" t="str">
        <f>VLOOKUP($Q85,武学奇术!$A:$ZZ,25,FALSE)</f>
        <v>单体奇术</v>
      </c>
      <c r="AJ85" s="41">
        <f>VLOOKUP($Q85,武学奇术!$A:$ZZ,26,FALSE)</f>
        <v>3.9855</v>
      </c>
      <c r="AK85" s="42">
        <f>VLOOKUP($Q85,武学奇术!$A:$ZZ,27,FALSE)*(1+IF(OR($AI85=$F$4,$AI85=$F$5),$B$22,0))</f>
        <v>749</v>
      </c>
      <c r="AL85" s="41">
        <f>VLOOKUP($Q85,武学奇术!$A:$ZZ,28,FALSE)</f>
        <v>5.97825</v>
      </c>
      <c r="AM85" s="42">
        <f>VLOOKUP($Q85,武学奇术!$A:$ZZ,29,FALSE)*(1+IF(OR($AI85=$F$4,$AI85=$F$5),$B$22,0))</f>
        <v>0</v>
      </c>
      <c r="AN85" s="41" cm="1">
        <f t="array" ref="AN85">$G$3+IFERROR(VLOOKUP($AI85,$F$4:$G$7,2,FALSE),0)+VLOOKUP($Q85,武学奇术!$A:$ZZ,2,FALSE)+SUM(_xlfn.XLOOKUP($R85:$AH85,增益!$A:$A,增益!$B:$B,0))</f>
        <v>0.5015</v>
      </c>
      <c r="AO85" s="41" cm="1">
        <f t="array" ref="AO85">VLOOKUP($Q85,武学奇术!$A:$ZZ,5,FALSE)+SUM(_xlfn.XLOOKUP($R85:$AH85,增益!$A:$A,增益!$E:$E,0))</f>
        <v>0.075</v>
      </c>
      <c r="AP85" cm="1">
        <f t="array" ref="AP85">$D$10*(1+$AO85)+VLOOKUP($Q85,武学奇术!$A:$ZZ,3,FALSE)+SUM(_xlfn.XLOOKUP($R85:$AH85,增益!$A:$A,增益!$C:$C,0))-$I$2</f>
        <v>1974.055</v>
      </c>
      <c r="AQ85" cm="1">
        <f t="array" ref="AQ85">$E$10*(1+$AO85)+VLOOKUP($Q85,武学奇术!$A:$ZZ,4,FALSE)+SUM(_xlfn.XLOOKUP($R85:$AH85,增益!$A:$A,增益!$D:$D,0))-$I$2</f>
        <v>5941.45</v>
      </c>
      <c r="AR85" s="49" cm="1">
        <f t="array" ref="AR85">IF($F$10-$I$3+VLOOKUP($Q85,武学奇术!$A:$ZZ,6,FALSE)+SUM(_xlfn.XLOOKUP(R85:AH85,增益!$A:$A,增益!$F:$F,0))&gt;0,($F$10-$I$3+VLOOKUP($Q85,武学奇术!$A:$ZZ,6,FALSE)+SUM(_xlfn.XLOOKUP(R85:AH85,增益!$A:$A,增益!$F:$F,0)))/200,($F$10-$I$3+VLOOKUP($Q85,武学奇术!$A:$ZZ,6,FALSE)+SUM(_xlfn.XLOOKUP(R85:AH85,增益!$A:$A,增益!$F:$F,0)))/100)</f>
        <v>0.3425</v>
      </c>
      <c r="AS85" s="49" cm="1">
        <f t="array" ref="AS85">$G$10+VLOOKUP($Q85,武学奇术!$A:$ZZ,7,FALSE)+SUM(_xlfn.XLOOKUP(R85:AH85,增益!$A:$A,增益!$G:$G,0))</f>
        <v>0</v>
      </c>
      <c r="AT85" s="41" cm="1">
        <f t="array" ref="AT85">VLOOKUP($Q85,武学奇术!$A:$ZZ,8,FALSE)+SUM(_xlfn.XLOOKUP(R85:AH85,增益!$A:$A,增益!$H:$H,0))</f>
        <v>0</v>
      </c>
      <c r="AU85">
        <f>$D$11*(1+$AT85)</f>
        <v>0</v>
      </c>
      <c r="AV85">
        <f>$E$11*(1+$AT85)</f>
        <v>0</v>
      </c>
      <c r="AW85" s="49" cm="1">
        <f t="array" ref="AW85">IF($F$11-$I$4+VLOOKUP($Q85,武学奇术!$A:$ZZ,9,FALSE)+SUM(_xlfn.XLOOKUP(R85:AH85,增益!$A:$A,增益!$I:$I,0))&gt;0,($F$11-$I$4+VLOOKUP($Q85,武学奇术!$A:$ZZ,9,FALSE)+SUM(_xlfn.XLOOKUP(R85:AH85,增益!$A:$A,增益!$I:$I,0)))/200,($F$11-$I$4+VLOOKUP($Q85,武学奇术!$A:$ZZ,9,FALSE)+SUM(_xlfn.XLOOKUP(R85:AH85,增益!$A:$A,增益!$I:$I,0)))/100)</f>
        <v>-0.3</v>
      </c>
      <c r="AX85" s="49" cm="1">
        <f t="array" ref="AX85">$G$11+VLOOKUP($Q85,武学奇术!$A:$ZZ,10,FALSE)+SUM(_xlfn.XLOOKUP(R85:AH85,增益!$A:$A,增益!$J:$J,0))</f>
        <v>0</v>
      </c>
      <c r="AY85">
        <f>$D$12*(1+$AT85)</f>
        <v>0</v>
      </c>
      <c r="AZ85">
        <f>$E$12*(1+$AT85)</f>
        <v>0</v>
      </c>
      <c r="BA85" s="49" cm="1">
        <f t="array" ref="BA85">IF($F$12-$I$4+VLOOKUP($Q85,武学奇术!$A:$ZZ,11,FALSE)+SUM(_xlfn.XLOOKUP(R85:AH85,增益!$A:$A,增益!$K:$K,0))&gt;0,($F$12-$I$4+VLOOKUP($Q85,武学奇术!$A:$ZZ,11,FALSE)+SUM(_xlfn.XLOOKUP(R85:AH85,增益!$A:$A,增益!$K:$K,0)))/200,($F$12-$I$4+VLOOKUP($Q85,武学奇术!$A:$ZZ,11,FALSE)+SUM(_xlfn.XLOOKUP(R85:AH85,增益!$A:$A,增益!$K:$K,0)))/100)</f>
        <v>-0.3</v>
      </c>
      <c r="BB85" s="49" cm="1">
        <f t="array" ref="BB85">$G$12+VLOOKUP($Q85,武学奇术!$A:$ZZ,12,FALSE)+SUM(_xlfn.XLOOKUP(R85:AH85,增益!$A:$A,增益!$L:$L,0))</f>
        <v>0</v>
      </c>
      <c r="BC85">
        <f>$D$13*(1+$AT85)</f>
        <v>571.2</v>
      </c>
      <c r="BD85">
        <f>$E$13*(1+$AT85)</f>
        <v>1077.4</v>
      </c>
      <c r="BE85" s="49" cm="1">
        <f t="array" ref="BE85">IF($F$13-$I$4+VLOOKUP($Q85,武学奇术!$A:$ZZ,13,FALSE)+SUM(_xlfn.XLOOKUP(R85:AH85,增益!$A:$A,增益!$M:$M,0))&gt;0,($F$13-$I$4+VLOOKUP($Q85,武学奇术!$A:$ZZ,13,FALSE)+SUM(_xlfn.XLOOKUP(R85:AH85,增益!$A:$A,增益!$K:$K,0)))/200,($F$13-$I$4+VLOOKUP($Q85,武学奇术!$A:$ZZ,13,FALSE)+SUM(_xlfn.XLOOKUP(R85:AH85,增益!$A:$A,增益!$M:$M,0)))/100)</f>
        <v>0</v>
      </c>
      <c r="BF85" s="49" cm="1">
        <f t="array" ref="BF85">$G$13+VLOOKUP($Q85,武学奇术!$A:$ZZ,14,FALSE)+SUM(_xlfn.XLOOKUP(R85:AH85,增益!$A:$A,增益!$N:$N,0))</f>
        <v>0.15</v>
      </c>
      <c r="BG85">
        <f>$D$14*(1+$AT85)</f>
        <v>0</v>
      </c>
      <c r="BH85">
        <f>$E$14*(1+$AT85)</f>
        <v>0</v>
      </c>
      <c r="BI85" s="49" cm="1">
        <f t="array" ref="BI85">IF($F$14-$I$4+VLOOKUP($Q85,武学奇术!$A:$ZZ,15,FALSE)+SUM(_xlfn.XLOOKUP(R85:AH85,增益!$A:$A,增益!$O:$O,0))&gt;0,($F$14-$I$4+VLOOKUP($Q85,武学奇术!$A:$ZZ,15,FALSE)+SUM(_xlfn.XLOOKUP(R85:AH85,增益!$A:$A,增益!$O:$O,0)))/200,($F$14-$I$4+VLOOKUP($Q85,武学奇术!$A:$ZZ,15,FALSE)+SUM(_xlfn.XLOOKUP(R85:AH85,增益!$A:$A,增益!$O:$O,0)))/100)</f>
        <v>-0.3</v>
      </c>
      <c r="BJ85" s="49" cm="1">
        <f t="array" ref="BJ85">$G$14+VLOOKUP($Q85,武学奇术!$A:$ZZ,16,FALSE)+SUM(_xlfn.XLOOKUP(R85:AH85,增益!$A:$A,增益!$P:$P,0))</f>
        <v>0</v>
      </c>
      <c r="BK85" s="41">
        <f>MIN(IF(VLOOKUP($Q85,武学奇术!$A:$ZZ,23,FALSE)=1,100%,$B$8),100%)</f>
        <v>1</v>
      </c>
      <c r="BL85" s="41" cm="1">
        <f t="array" ref="BL85">IF(VLOOKUP($Q85,武学奇术!$A:$ZZ,23,FALSE)=1,100%,MIN(80%,$B$9+VLOOKUP($Q85,武学奇术!$A:$ZZ,17,FALSE)+SUM(_xlfn.XLOOKUP(R85:AH85,增益!$A:$A,增益!$Q:$Q,0)))+$B$11+SUM(_xlfn.XLOOKUP(R85:AH85,增益!$A:$A,增益!$U:$U,0)))*IF(VLOOKUP($Q85,武学奇术!$A:$ZZ,24,FALSE)=1,0,1)</f>
        <v>0.9045</v>
      </c>
      <c r="BM85" s="41" cm="1">
        <f t="array" ref="BM85">1+$B$13+VLOOKUP($Q85,武学奇术!$A:$ZZ,18,FALSE)+SUM(_xlfn.XLOOKUP(R85:AH85,增益!$A:$A,增益!$R:$R,0))</f>
        <v>1.6</v>
      </c>
      <c r="BN85" s="41" cm="1">
        <f t="array" ref="BN85">IF(VLOOKUP($Q85,武学奇术!$A:$ZZ,24,FALSE)=1,100%,MIN(40%,$B$10+VLOOKUP($Q85,武学奇术!$A:$ZZ,19,FALSE)+SUM(_xlfn.XLOOKUP(R85:AH85,增益!$A:$A,增益!$S:$S,0)))+$B$12+SUM(_xlfn.XLOOKUP(R85:AH85,增益!$A:$A,增益!$V:$V,0)))*IF(VLOOKUP($Q85,武学奇术!$A:$ZZ,23,FALSE)=1,0,1)</f>
        <v>0.0929</v>
      </c>
      <c r="BO85" s="41" cm="1">
        <f t="array" ref="BO85">1+$B$14+VLOOKUP($Q85,武学奇术!$A:$ZZ,20,FALSE)+SUM(_xlfn.XLOOKUP(R85:AH85,增益!$A:$A,增益!$T:$T,0))</f>
        <v>1.35</v>
      </c>
      <c r="BP85" s="41">
        <f>MIN((1-BN85)*BK85,BK85*BL85)</f>
        <v>0.9045</v>
      </c>
      <c r="BQ85" s="41">
        <f>1-BN85-BP85-BR85</f>
        <v>0.00260000000000005</v>
      </c>
      <c r="BR85" s="41">
        <f>IF(VLOOKUP($Q85,武学奇术!$A:$ZZ,22,FALSE)=1,0,(1-$BK85))*(1-$BN85)</f>
        <v>0</v>
      </c>
      <c r="BS85" s="41" cm="1">
        <f t="array" ref="BS85">SUM(_xlfn.XLOOKUP(R85:AH85,增益!$A:$A,增益!$W:$W,0))+$I$5</f>
        <v>0.11</v>
      </c>
    </row>
    <row r="86" spans="1:71">
      <c r="K86" s="55">
        <f>($L86*$BP86+$M86*$BN86+$N86*$BQ86+$O86*$BR86)</f>
        <v>62725.1870102005</v>
      </c>
      <c r="L86" s="55">
        <f>((($AP86+$AQ86)/2*$AJ86+$AK86)*(1+$AR86)*(1+$AS86)+(($AU86+$AV86)/2*IF($G$1="鸣金",$AL86,$AJ86)+IF($G$1="鸣金",$AM86*1.5,0))*(1+$AW86)*(1+$AX86)+(($AY86+$AZ86)/2*IF($G$1="裂石",$AL86,$AJ86)+IF($G$1="裂石",$AM86*1.5,0))*(1+$BA86)*(1+$BB86)+(($BC86+$BD86)/2*IF($G$1="牵丝",$AL86,$AJ86)+IF($G$1="牵丝",$AM86*1.5,0))*(1+$BE86)*(1+$BF86)+(($BG86+$BH86)/2*IF($G$1="破竹",$AL86,$AJ86)+IF($G$1="破竹",$AM86*1.5,0))*(1+$BI86)*(1+$BJ86))*(1+$AN86)*$BM86*$P86*(1+IF(VLOOKUP($Q86,武学奇术!$A:$ZZ,30,FALSE)="弹道",$B$21,0))*(1+$BS86)</f>
        <v>61538.0390043035</v>
      </c>
      <c r="M86" s="55">
        <f>(($AQ86*$AJ86+$AK86)*(1+$AR86)*(1+$AS86)+($AV86*IF($G$1="鸣金",$AL86,$AJ86)+IF($G$1="鸣金",$AM86*1.5,0))*(1+$AW86)*(1+$AX86)+($AZ86*IF($G$1="裂石",$AL86,$AJ86)+IF($G$1="裂石",$AM86*1.5,0))*(1+$BA86)*(1+$BB86)+($BD86*IF($G$1="牵丝",$AL86,$AJ86)+IF($G$1="牵丝",$AM86*1.5,0))*(1+$BE86)*(1+$BF86)+($BH86*IF($G$1="破竹",$AL86,$AJ86)+IF($G$1="破竹",$AM86*1.5,0))*(1+$BI86)*(1+$BJ86))*(1+$AN86)*$BO86*$P86*(1+IF(VLOOKUP($Q86,武学奇术!$A:$ZZ,30,FALSE)="弹道",$B$21,0))*(1+$BS86)</f>
        <v>74962.6632661574</v>
      </c>
      <c r="N86" s="55">
        <f>((($AP86+$AQ86)/2*$AJ86+$AK86)*(1+$AR86)*(1+$AS86)+(($AU86+$AV86)/2*IF($G$1="鸣金",$AL86,$AJ86)+IF($G$1="鸣金",$AM86*1.5,0))*(1+$AW86)*(1+$AX86)+(($AY86+$AZ86)/2*IF($G$1="裂石",$AL86,$AJ86)+IF($G$1="裂石",$AM86*1.5,0))*(1+$BA86)*(1+$BB86)+(($BC86+$BD86)/2*IF($G$1="牵丝",$AL86,$AJ86)+IF($G$1="牵丝",$AM86*1.5,0))*(1+$BE86)*(1+$BF86)+(($BG86+$BH86)/2*IF($G$1="破竹",$AL86,$AJ86)+IF($G$1="破竹",$AM86*1.5,0))*(1+$BI86)*(1+$BJ86))*(1+$AN86)*$P86*(1+IF(VLOOKUP($Q86,武学奇术!$A:$ZZ,30,FALSE)="弹道",$B$21,0))*(1+$BS86)</f>
        <v>38461.2743776897</v>
      </c>
      <c r="O86" s="55">
        <f>((($AP86*$AJ86+$AK86)*(1+$AR86)*(1+$AS86)+($AU86*IF($G$1="鸣金",$AL86,$AJ86)+IF($G$1="鸣金",$AM86*1.5,0))*(1+$AW86)*(1+$AX86)+($AY86*IF($G$1="裂石",$AL86,$AJ86)+IF($G$1="裂石",$AM86*1.5,0))*(1+$BA86)*(1+$BB86)+($BC86*IF($G$1="牵丝",$AL86,$AJ86)+IF($G$1="牵丝",$AM86*1.5,0))*(1+$BE86)*(1+$BF86)+($BG86*IF($G$1="破竹",$AL86,$AJ86)+IF($G$1="破竹",$AM86*1.5,0))*(1+$BI86)*(1+$BJ86))*(1+$AN86))*$P86*(1+IF(VLOOKUP($Q86,武学奇术!$A:$ZZ,30,FALSE)="弹道",$B$21,0))*(1+$BS86)</f>
        <v>21394.6500397072</v>
      </c>
      <c r="P86" s="56">
        <v>12</v>
      </c>
      <c r="Q86" s="57" t="s">
        <v>148</v>
      </c>
      <c r="R86" s="57" t="s">
        <v>116</v>
      </c>
      <c r="S86" s="57" t="s">
        <v>153</v>
      </c>
      <c r="T86" s="57" t="s">
        <v>72</v>
      </c>
      <c r="U86" s="57" t="s">
        <v>107</v>
      </c>
      <c r="V86" s="57" t="s">
        <v>72</v>
      </c>
      <c r="W86" s="57" t="s">
        <v>72</v>
      </c>
      <c r="X86" s="57" t="s">
        <v>72</v>
      </c>
      <c r="Y86" s="57" t="s">
        <v>72</v>
      </c>
      <c r="Z86" s="57" t="s">
        <v>72</v>
      </c>
      <c r="AA86" s="57" t="s">
        <v>72</v>
      </c>
      <c r="AB86" s="57" t="s">
        <v>72</v>
      </c>
      <c r="AC86" s="57" t="s">
        <v>72</v>
      </c>
      <c r="AD86" s="57" t="s">
        <v>72</v>
      </c>
      <c r="AE86" s="57" t="s">
        <v>150</v>
      </c>
      <c r="AF86" s="57" t="s">
        <v>72</v>
      </c>
      <c r="AG86" s="57" t="s">
        <v>72</v>
      </c>
      <c r="AH86" s="57" t="s">
        <v>87</v>
      </c>
      <c r="AI86" t="str">
        <f>VLOOKUP($Q86,武学奇术!$A:$ZZ,25,FALSE)</f>
        <v>单体奇术</v>
      </c>
      <c r="AJ86" s="41">
        <f>VLOOKUP($Q86,武学奇术!$A:$ZZ,26,FALSE)</f>
        <v>0.236</v>
      </c>
      <c r="AK86" s="42">
        <f>VLOOKUP($Q86,武学奇术!$A:$ZZ,27,FALSE)*(1+IF(OR($AI86=$F$4,$AI86=$F$5),$B$22,0))</f>
        <v>44</v>
      </c>
      <c r="AL86" s="41">
        <f>VLOOKUP($Q86,武学奇术!$A:$ZZ,28,FALSE)</f>
        <v>0.354</v>
      </c>
      <c r="AM86" s="42">
        <f>VLOOKUP($Q86,武学奇术!$A:$ZZ,29,FALSE)*(1+IF(OR($AI86=$F$4,$AI86=$F$5),$B$22,0))</f>
        <v>0</v>
      </c>
      <c r="AN86" s="41" cm="1">
        <f t="array" ref="AN86">$G$3+IFERROR(VLOOKUP($AI86,$F$4:$G$7,2,FALSE),0)+VLOOKUP($Q86,武学奇术!$A:$ZZ,2,FALSE)+SUM(_xlfn.XLOOKUP($R86:$AH86,增益!$A:$A,增益!$B:$B,0))</f>
        <v>0.7515</v>
      </c>
      <c r="AO86" s="41" cm="1">
        <f t="array" ref="AO86">VLOOKUP($Q86,武学奇术!$A:$ZZ,5,FALSE)+SUM(_xlfn.XLOOKUP($R86:$AH86,增益!$A:$A,增益!$E:$E,0))</f>
        <v>0.075</v>
      </c>
      <c r="AP86" cm="1">
        <f t="array" ref="AP86">$D$10*(1+$AO86)+VLOOKUP($Q86,武学奇术!$A:$ZZ,3,FALSE)+SUM(_xlfn.XLOOKUP($R86:$AH86,增益!$A:$A,增益!$C:$C,0))-$I$2</f>
        <v>1974.055</v>
      </c>
      <c r="AQ86" cm="1">
        <f t="array" ref="AQ86">$E$10*(1+$AO86)+VLOOKUP($Q86,武学奇术!$A:$ZZ,4,FALSE)+SUM(_xlfn.XLOOKUP($R86:$AH86,增益!$A:$A,增益!$D:$D,0))-$I$2</f>
        <v>5941.45</v>
      </c>
      <c r="AR86" s="49" cm="1">
        <f t="array" ref="AR86">IF($F$10-$I$3+VLOOKUP($Q86,武学奇术!$A:$ZZ,6,FALSE)+SUM(_xlfn.XLOOKUP(R86:AH86,增益!$A:$A,增益!$F:$F,0))&gt;0,($F$10-$I$3+VLOOKUP($Q86,武学奇术!$A:$ZZ,6,FALSE)+SUM(_xlfn.XLOOKUP(R86:AH86,增益!$A:$A,增益!$F:$F,0)))/200,($F$10-$I$3+VLOOKUP($Q86,武学奇术!$A:$ZZ,6,FALSE)+SUM(_xlfn.XLOOKUP(R86:AH86,增益!$A:$A,增益!$F:$F,0)))/100)</f>
        <v>0.3425</v>
      </c>
      <c r="AS86" s="49" cm="1">
        <f t="array" ref="AS86">$G$10+VLOOKUP($Q86,武学奇术!$A:$ZZ,7,FALSE)+SUM(_xlfn.XLOOKUP(R86:AH86,增益!$A:$A,增益!$G:$G,0))</f>
        <v>0</v>
      </c>
      <c r="AT86" s="41" cm="1">
        <f t="array" ref="AT86">VLOOKUP($Q86,武学奇术!$A:$ZZ,8,FALSE)+SUM(_xlfn.XLOOKUP(R86:AH86,增益!$A:$A,增益!$H:$H,0))</f>
        <v>0</v>
      </c>
      <c r="AU86">
        <f>$D$11*(1+$AT86)</f>
        <v>0</v>
      </c>
      <c r="AV86">
        <f>$E$11*(1+$AT86)</f>
        <v>0</v>
      </c>
      <c r="AW86" s="49" cm="1">
        <f t="array" ref="AW86">IF($F$11-$I$4+VLOOKUP($Q86,武学奇术!$A:$ZZ,9,FALSE)+SUM(_xlfn.XLOOKUP(R86:AH86,增益!$A:$A,增益!$I:$I,0))&gt;0,($F$11-$I$4+VLOOKUP($Q86,武学奇术!$A:$ZZ,9,FALSE)+SUM(_xlfn.XLOOKUP(R86:AH86,增益!$A:$A,增益!$I:$I,0)))/200,($F$11-$I$4+VLOOKUP($Q86,武学奇术!$A:$ZZ,9,FALSE)+SUM(_xlfn.XLOOKUP(R86:AH86,增益!$A:$A,增益!$I:$I,0)))/100)</f>
        <v>-0.3</v>
      </c>
      <c r="AX86" s="49" cm="1">
        <f t="array" ref="AX86">$G$11+VLOOKUP($Q86,武学奇术!$A:$ZZ,10,FALSE)+SUM(_xlfn.XLOOKUP(R86:AH86,增益!$A:$A,增益!$J:$J,0))</f>
        <v>0</v>
      </c>
      <c r="AY86">
        <f>$D$12*(1+$AT86)</f>
        <v>0</v>
      </c>
      <c r="AZ86">
        <f>$E$12*(1+$AT86)</f>
        <v>0</v>
      </c>
      <c r="BA86" s="49" cm="1">
        <f t="array" ref="BA86">IF($F$12-$I$4+VLOOKUP($Q86,武学奇术!$A:$ZZ,11,FALSE)+SUM(_xlfn.XLOOKUP(R86:AH86,增益!$A:$A,增益!$K:$K,0))&gt;0,($F$12-$I$4+VLOOKUP($Q86,武学奇术!$A:$ZZ,11,FALSE)+SUM(_xlfn.XLOOKUP(R86:AH86,增益!$A:$A,增益!$K:$K,0)))/200,($F$12-$I$4+VLOOKUP($Q86,武学奇术!$A:$ZZ,11,FALSE)+SUM(_xlfn.XLOOKUP(R86:AH86,增益!$A:$A,增益!$K:$K,0)))/100)</f>
        <v>-0.3</v>
      </c>
      <c r="BB86" s="49" cm="1">
        <f t="array" ref="BB86">$G$12+VLOOKUP($Q86,武学奇术!$A:$ZZ,12,FALSE)+SUM(_xlfn.XLOOKUP(R86:AH86,增益!$A:$A,增益!$L:$L,0))</f>
        <v>0</v>
      </c>
      <c r="BC86">
        <f>$D$13*(1+$AT86)</f>
        <v>571.2</v>
      </c>
      <c r="BD86">
        <f>$E$13*(1+$AT86)</f>
        <v>1077.4</v>
      </c>
      <c r="BE86" s="49" cm="1">
        <f t="array" ref="BE86">IF($F$13-$I$4+VLOOKUP($Q86,武学奇术!$A:$ZZ,13,FALSE)+SUM(_xlfn.XLOOKUP(R86:AH86,增益!$A:$A,增益!$M:$M,0))&gt;0,($F$13-$I$4+VLOOKUP($Q86,武学奇术!$A:$ZZ,13,FALSE)+SUM(_xlfn.XLOOKUP(R86:AH86,增益!$A:$A,增益!$K:$K,0)))/200,($F$13-$I$4+VLOOKUP($Q86,武学奇术!$A:$ZZ,13,FALSE)+SUM(_xlfn.XLOOKUP(R86:AH86,增益!$A:$A,增益!$M:$M,0)))/100)</f>
        <v>0</v>
      </c>
      <c r="BF86" s="49" cm="1">
        <f t="array" ref="BF86">$G$13+VLOOKUP($Q86,武学奇术!$A:$ZZ,14,FALSE)+SUM(_xlfn.XLOOKUP(R86:AH86,增益!$A:$A,增益!$N:$N,0))</f>
        <v>0.15</v>
      </c>
      <c r="BG86">
        <f>$D$14*(1+$AT86)</f>
        <v>0</v>
      </c>
      <c r="BH86">
        <f>$E$14*(1+$AT86)</f>
        <v>0</v>
      </c>
      <c r="BI86" s="49" cm="1">
        <f t="array" ref="BI86">IF($F$14-$I$4+VLOOKUP($Q86,武学奇术!$A:$ZZ,15,FALSE)+SUM(_xlfn.XLOOKUP(R86:AH86,增益!$A:$A,增益!$O:$O,0))&gt;0,($F$14-$I$4+VLOOKUP($Q86,武学奇术!$A:$ZZ,15,FALSE)+SUM(_xlfn.XLOOKUP(R86:AH86,增益!$A:$A,增益!$O:$O,0)))/200,($F$14-$I$4+VLOOKUP($Q86,武学奇术!$A:$ZZ,15,FALSE)+SUM(_xlfn.XLOOKUP(R86:AH86,增益!$A:$A,增益!$O:$O,0)))/100)</f>
        <v>-0.3</v>
      </c>
      <c r="BJ86" s="49" cm="1">
        <f t="array" ref="BJ86">$G$14+VLOOKUP($Q86,武学奇术!$A:$ZZ,16,FALSE)+SUM(_xlfn.XLOOKUP(R86:AH86,增益!$A:$A,增益!$P:$P,0))</f>
        <v>0</v>
      </c>
      <c r="BK86" s="41">
        <f>MIN(IF(VLOOKUP($Q86,武学奇术!$A:$ZZ,23,FALSE)=1,100%,$B$8),100%)</f>
        <v>1</v>
      </c>
      <c r="BL86" s="41" cm="1">
        <f t="array" ref="BL86">IF(VLOOKUP($Q86,武学奇术!$A:$ZZ,23,FALSE)=1,100%,MIN(80%,$B$9+VLOOKUP($Q86,武学奇术!$A:$ZZ,17,FALSE)+SUM(_xlfn.XLOOKUP(R86:AH86,增益!$A:$A,增益!$Q:$Q,0)))+$B$11+SUM(_xlfn.XLOOKUP(R86:AH86,增益!$A:$A,增益!$U:$U,0)))*IF(VLOOKUP($Q86,武学奇术!$A:$ZZ,24,FALSE)=1,0,1)</f>
        <v>0.9045</v>
      </c>
      <c r="BM86" s="41" cm="1">
        <f t="array" ref="BM86">1+$B$13+VLOOKUP($Q86,武学奇术!$A:$ZZ,18,FALSE)+SUM(_xlfn.XLOOKUP(R86:AH86,增益!$A:$A,增益!$R:$R,0))</f>
        <v>1.6</v>
      </c>
      <c r="BN86" s="41" cm="1">
        <f t="array" ref="BN86">IF(VLOOKUP($Q86,武学奇术!$A:$ZZ,24,FALSE)=1,100%,MIN(40%,$B$10+VLOOKUP($Q86,武学奇术!$A:$ZZ,19,FALSE)+SUM(_xlfn.XLOOKUP(R86:AH86,增益!$A:$A,增益!$S:$S,0)))+$B$12+SUM(_xlfn.XLOOKUP(R86:AH86,增益!$A:$A,增益!$V:$V,0)))*IF(VLOOKUP($Q86,武学奇术!$A:$ZZ,23,FALSE)=1,0,1)</f>
        <v>0.0929</v>
      </c>
      <c r="BO86" s="41" cm="1">
        <f t="array" ref="BO86">1+$B$14+VLOOKUP($Q86,武学奇术!$A:$ZZ,20,FALSE)+SUM(_xlfn.XLOOKUP(R86:AH86,增益!$A:$A,增益!$T:$T,0))</f>
        <v>1.35</v>
      </c>
      <c r="BP86" s="41">
        <f>MIN((1-BN86)*BK86,BK86*BL86)</f>
        <v>0.9045</v>
      </c>
      <c r="BQ86" s="41">
        <f>1-BN86-BP86-BR86</f>
        <v>0.00260000000000005</v>
      </c>
      <c r="BR86" s="41">
        <f>IF(VLOOKUP($Q86,武学奇术!$A:$ZZ,22,FALSE)=1,0,(1-$BK86))*(1-$BN86)</f>
        <v>0</v>
      </c>
      <c r="BS86" s="41" cm="1">
        <f t="array" ref="BS86">SUM(_xlfn.XLOOKUP(R86:AH86,增益!$A:$A,增益!$W:$W,0))+$I$5</f>
        <v>0.11</v>
      </c>
    </row>
    <row r="87" spans="1:71">
      <c r="K87" s="55">
        <f>($L87*$BP87+$M87*$BN87+$N87*$BQ87+$O87*$BR87)</f>
        <v>84553.5374163959</v>
      </c>
      <c r="L87" s="55">
        <f>((($AP87+$AQ87)/2*$AJ87+$AK87)*(1+$AR87)*(1+$AS87)+(($AU87+$AV87)/2*IF($G$1="鸣金",$AL87,$AJ87)+IF($G$1="鸣金",$AM87*1.5,0))*(1+$AW87)*(1+$AX87)+(($AY87+$AZ87)/2*IF($G$1="裂石",$AL87,$AJ87)+IF($G$1="裂石",$AM87*1.5,0))*(1+$BA87)*(1+$BB87)+(($BC87+$BD87)/2*IF($G$1="牵丝",$AL87,$AJ87)+IF($G$1="牵丝",$AM87*1.5,0))*(1+$BE87)*(1+$BF87)+(($BG87+$BH87)/2*IF($G$1="破竹",$AL87,$AJ87)+IF($G$1="破竹",$AM87*1.5,0))*(1+$BI87)*(1+$BJ87))*(1+$AN87)*$BM87*$P87*(1+IF(VLOOKUP($Q87,武学奇术!$A:$ZZ,30,FALSE)="弹道",$B$21,0))*(1+$BS87)</f>
        <v>84233.3136936152</v>
      </c>
      <c r="M87" s="55">
        <f>(($AQ87*$AJ87+$AK87)*(1+$AR87)*(1+$AS87)+($AV87*IF($G$1="鸣金",$AL87,$AJ87)+IF($G$1="鸣金",$AM87*1.5,0))*(1+$AW87)*(1+$AX87)+($AZ87*IF($G$1="裂石",$AL87,$AJ87)+IF($G$1="裂石",$AM87*1.5,0))*(1+$BA87)*(1+$BB87)+($BD87*IF($G$1="牵丝",$AL87,$AJ87)+IF($G$1="牵丝",$AM87*1.5,0))*(1+$BE87)*(1+$BF87)+($BH87*IF($G$1="破竹",$AL87,$AJ87)+IF($G$1="破竹",$AM87*1.5,0))*(1+$BI87)*(1+$BJ87))*(1+$AN87)*$BO87*$P87*(1+IF(VLOOKUP($Q87,武学奇术!$A:$ZZ,30,FALSE)="弹道",$B$21,0))*(1+$BS87)</f>
        <v>88763.4362340233</v>
      </c>
      <c r="N87" s="55">
        <f>((($AP87+$AQ87)/2*$AJ87+$AK87)*(1+$AR87)*(1+$AS87)+(($AU87+$AV87)/2*IF($G$1="鸣金",$AL87,$AJ87)+IF($G$1="鸣金",$AM87*1.5,0))*(1+$AW87)*(1+$AX87)+(($AY87+$AZ87)/2*IF($G$1="裂石",$AL87,$AJ87)+IF($G$1="裂石",$AM87*1.5,0))*(1+$BA87)*(1+$BB87)+(($BC87+$BD87)/2*IF($G$1="牵丝",$AL87,$AJ87)+IF($G$1="牵丝",$AM87*1.5,0))*(1+$BE87)*(1+$BF87)+(($BG87+$BH87)/2*IF($G$1="破竹",$AL87,$AJ87)+IF($G$1="破竹",$AM87*1.5,0))*(1+$BI87)*(1+$BJ87))*(1+$AN87)*$P87*(1+IF(VLOOKUP($Q87,武学奇术!$A:$ZZ,30,FALSE)="弹道",$B$21,0))*(1+$BS87)</f>
        <v>45531.5209154677</v>
      </c>
      <c r="O87" s="55">
        <f>((($AP87*$AJ87+$AK87)*(1+$AR87)*(1+$AS87)+($AU87*IF($G$1="鸣金",$AL87,$AJ87)+IF($G$1="鸣金",$AM87*1.5,0))*(1+$AW87)*(1+$AX87)+($AY87*IF($G$1="裂石",$AL87,$AJ87)+IF($G$1="裂石",$AM87*1.5,0))*(1+$BA87)*(1+$BB87)+($BC87*IF($G$1="牵丝",$AL87,$AJ87)+IF($G$1="牵丝",$AM87*1.5,0))*(1+$BE87)*(1+$BF87)+($BG87*IF($G$1="破竹",$AL87,$AJ87)+IF($G$1="破竹",$AM87*1.5,0))*(1+$BI87)*(1+$BJ87))*(1+$AN87))*$P87*(1+IF(VLOOKUP($Q87,武学奇术!$A:$ZZ,30,FALSE)="弹道",$B$21,0))*(1+$BS87)</f>
        <v>25312.3483242514</v>
      </c>
      <c r="P87" s="56">
        <v>12</v>
      </c>
      <c r="Q87" s="57" t="s">
        <v>148</v>
      </c>
      <c r="R87" s="57" t="s">
        <v>116</v>
      </c>
      <c r="S87" s="57" t="s">
        <v>153</v>
      </c>
      <c r="T87" s="57" t="s">
        <v>72</v>
      </c>
      <c r="U87" s="57" t="s">
        <v>107</v>
      </c>
      <c r="V87" s="57" t="s">
        <v>72</v>
      </c>
      <c r="W87" s="57" t="s">
        <v>72</v>
      </c>
      <c r="X87" s="57" t="s">
        <v>72</v>
      </c>
      <c r="Y87" s="57" t="s">
        <v>112</v>
      </c>
      <c r="Z87" s="57" t="s">
        <v>113</v>
      </c>
      <c r="AA87" s="57" t="s">
        <v>72</v>
      </c>
      <c r="AB87" s="57" t="s">
        <v>96</v>
      </c>
      <c r="AC87" s="57" t="s">
        <v>72</v>
      </c>
      <c r="AD87" s="57" t="s">
        <v>72</v>
      </c>
      <c r="AE87" s="57" t="s">
        <v>150</v>
      </c>
      <c r="AF87" s="57" t="s">
        <v>72</v>
      </c>
      <c r="AG87" s="57" t="s">
        <v>72</v>
      </c>
      <c r="AH87" s="57" t="s">
        <v>87</v>
      </c>
      <c r="AI87" t="str">
        <f>VLOOKUP($Q87,武学奇术!$A:$ZZ,25,FALSE)</f>
        <v>单体奇术</v>
      </c>
      <c r="AJ87" s="41">
        <f>VLOOKUP($Q87,武学奇术!$A:$ZZ,26,FALSE)</f>
        <v>0.236</v>
      </c>
      <c r="AK87" s="42">
        <f>VLOOKUP($Q87,武学奇术!$A:$ZZ,27,FALSE)*(1+IF(OR($AI87=$F$4,$AI87=$F$5),$B$22,0))</f>
        <v>44</v>
      </c>
      <c r="AL87" s="41">
        <f>VLOOKUP($Q87,武学奇术!$A:$ZZ,28,FALSE)</f>
        <v>0.354</v>
      </c>
      <c r="AM87" s="42">
        <f>VLOOKUP($Q87,武学奇术!$A:$ZZ,29,FALSE)*(1+IF(OR($AI87=$F$4,$AI87=$F$5),$B$22,0))</f>
        <v>0</v>
      </c>
      <c r="AN87" s="41" cm="1">
        <f t="array" ref="AN87">$G$3+IFERROR(VLOOKUP($AI87,$F$4:$G$7,2,FALSE),0)+VLOOKUP($Q87,武学奇术!$A:$ZZ,2,FALSE)+SUM(_xlfn.XLOOKUP($R87:$AH87,增益!$A:$A,增益!$B:$B,0))</f>
        <v>0.9015</v>
      </c>
      <c r="AO87" s="41" cm="1">
        <f t="array" ref="AO87">VLOOKUP($Q87,武学奇术!$A:$ZZ,5,FALSE)+SUM(_xlfn.XLOOKUP($R87:$AH87,增益!$A:$A,增益!$E:$E,0))</f>
        <v>0.075</v>
      </c>
      <c r="AP87" cm="1">
        <f t="array" ref="AP87">$D$10*(1+$AO87)+VLOOKUP($Q87,武学奇术!$A:$ZZ,3,FALSE)+SUM(_xlfn.XLOOKUP($R87:$AH87,增益!$A:$A,增益!$C:$C,0))-$I$2</f>
        <v>1974.055</v>
      </c>
      <c r="AQ87" cm="1">
        <f t="array" ref="AQ87">$E$10*(1+$AO87)+VLOOKUP($Q87,武学奇术!$A:$ZZ,4,FALSE)+SUM(_xlfn.XLOOKUP($R87:$AH87,增益!$A:$A,增益!$D:$D,0))-$I$2</f>
        <v>5941.45</v>
      </c>
      <c r="AR87" s="49" cm="1">
        <f t="array" ref="AR87">IF($F$10-$I$3+VLOOKUP($Q87,武学奇术!$A:$ZZ,6,FALSE)+SUM(_xlfn.XLOOKUP(R87:AH87,增益!$A:$A,增益!$F:$F,0))&gt;0,($F$10-$I$3+VLOOKUP($Q87,武学奇术!$A:$ZZ,6,FALSE)+SUM(_xlfn.XLOOKUP(R87:AH87,增益!$A:$A,增益!$F:$F,0)))/200,($F$10-$I$3+VLOOKUP($Q87,武学奇术!$A:$ZZ,6,FALSE)+SUM(_xlfn.XLOOKUP(R87:AH87,增益!$A:$A,增益!$F:$F,0)))/100)</f>
        <v>0.4675</v>
      </c>
      <c r="AS87" s="49" cm="1">
        <f t="array" ref="AS87">$G$10+VLOOKUP($Q87,武学奇术!$A:$ZZ,7,FALSE)+SUM(_xlfn.XLOOKUP(R87:AH87,增益!$A:$A,增益!$G:$G,0))</f>
        <v>0</v>
      </c>
      <c r="AT87" s="41" cm="1">
        <f t="array" ref="AT87">VLOOKUP($Q87,武学奇术!$A:$ZZ,8,FALSE)+SUM(_xlfn.XLOOKUP(R87:AH87,增益!$A:$A,增益!$H:$H,0))</f>
        <v>0</v>
      </c>
      <c r="AU87">
        <f>$D$11*(1+$AT87)</f>
        <v>0</v>
      </c>
      <c r="AV87">
        <f>$E$11*(1+$AT87)</f>
        <v>0</v>
      </c>
      <c r="AW87" s="49" cm="1">
        <f t="array" ref="AW87">IF($F$11-$I$4+VLOOKUP($Q87,武学奇术!$A:$ZZ,9,FALSE)+SUM(_xlfn.XLOOKUP(R87:AH87,增益!$A:$A,增益!$I:$I,0))&gt;0,($F$11-$I$4+VLOOKUP($Q87,武学奇术!$A:$ZZ,9,FALSE)+SUM(_xlfn.XLOOKUP(R87:AH87,增益!$A:$A,增益!$I:$I,0)))/200,($F$11-$I$4+VLOOKUP($Q87,武学奇术!$A:$ZZ,9,FALSE)+SUM(_xlfn.XLOOKUP(R87:AH87,增益!$A:$A,增益!$I:$I,0)))/100)</f>
        <v>-0.14</v>
      </c>
      <c r="AX87" s="49" cm="1">
        <f t="array" ref="AX87">$G$11+VLOOKUP($Q87,武学奇术!$A:$ZZ,10,FALSE)+SUM(_xlfn.XLOOKUP(R87:AH87,增益!$A:$A,增益!$J:$J,0))</f>
        <v>0</v>
      </c>
      <c r="AY87">
        <f>$D$12*(1+$AT87)</f>
        <v>0</v>
      </c>
      <c r="AZ87">
        <f>$E$12*(1+$AT87)</f>
        <v>0</v>
      </c>
      <c r="BA87" s="49" cm="1">
        <f t="array" ref="BA87">IF($F$12-$I$4+VLOOKUP($Q87,武学奇术!$A:$ZZ,11,FALSE)+SUM(_xlfn.XLOOKUP(R87:AH87,增益!$A:$A,增益!$K:$K,0))&gt;0,($F$12-$I$4+VLOOKUP($Q87,武学奇术!$A:$ZZ,11,FALSE)+SUM(_xlfn.XLOOKUP(R87:AH87,增益!$A:$A,增益!$K:$K,0)))/200,($F$12-$I$4+VLOOKUP($Q87,武学奇术!$A:$ZZ,11,FALSE)+SUM(_xlfn.XLOOKUP(R87:AH87,增益!$A:$A,增益!$K:$K,0)))/100)</f>
        <v>-0.14</v>
      </c>
      <c r="BB87" s="49" cm="1">
        <f t="array" ref="BB87">$G$12+VLOOKUP($Q87,武学奇术!$A:$ZZ,12,FALSE)+SUM(_xlfn.XLOOKUP(R87:AH87,增益!$A:$A,增益!$L:$L,0))</f>
        <v>0</v>
      </c>
      <c r="BC87">
        <f>$D$13*(1+$AT87)</f>
        <v>571.2</v>
      </c>
      <c r="BD87">
        <f>$E$13*(1+$AT87)</f>
        <v>1077.4</v>
      </c>
      <c r="BE87" s="49" cm="1">
        <f t="array" ref="BE87">IF($F$13-$I$4+VLOOKUP($Q87,武学奇术!$A:$ZZ,13,FALSE)+SUM(_xlfn.XLOOKUP(R87:AH87,增益!$A:$A,增益!$M:$M,0))&gt;0,($F$13-$I$4+VLOOKUP($Q87,武学奇术!$A:$ZZ,13,FALSE)+SUM(_xlfn.XLOOKUP(R87:AH87,增益!$A:$A,增益!$K:$K,0)))/200,($F$13-$I$4+VLOOKUP($Q87,武学奇术!$A:$ZZ,13,FALSE)+SUM(_xlfn.XLOOKUP(R87:AH87,增益!$A:$A,增益!$M:$M,0)))/100)</f>
        <v>0.08</v>
      </c>
      <c r="BF87" s="49" cm="1">
        <f t="array" ref="BF87">$G$13+VLOOKUP($Q87,武学奇术!$A:$ZZ,14,FALSE)+SUM(_xlfn.XLOOKUP(R87:AH87,增益!$A:$A,增益!$N:$N,0))</f>
        <v>0.15</v>
      </c>
      <c r="BG87">
        <f>$D$14*(1+$AT87)</f>
        <v>0</v>
      </c>
      <c r="BH87">
        <f>$E$14*(1+$AT87)</f>
        <v>0</v>
      </c>
      <c r="BI87" s="49" cm="1">
        <f t="array" ref="BI87">IF($F$14-$I$4+VLOOKUP($Q87,武学奇术!$A:$ZZ,15,FALSE)+SUM(_xlfn.XLOOKUP(R87:AH87,增益!$A:$A,增益!$O:$O,0))&gt;0,($F$14-$I$4+VLOOKUP($Q87,武学奇术!$A:$ZZ,15,FALSE)+SUM(_xlfn.XLOOKUP(R87:AH87,增益!$A:$A,增益!$O:$O,0)))/200,($F$14-$I$4+VLOOKUP($Q87,武学奇术!$A:$ZZ,15,FALSE)+SUM(_xlfn.XLOOKUP(R87:AH87,增益!$A:$A,增益!$O:$O,0)))/100)</f>
        <v>-0.14</v>
      </c>
      <c r="BJ87" s="49" cm="1">
        <f t="array" ref="BJ87">$G$14+VLOOKUP($Q87,武学奇术!$A:$ZZ,16,FALSE)+SUM(_xlfn.XLOOKUP(R87:AH87,增益!$A:$A,增益!$P:$P,0))</f>
        <v>0</v>
      </c>
      <c r="BK87" s="41">
        <f>MIN(IF(VLOOKUP($Q87,武学奇术!$A:$ZZ,23,FALSE)=1,100%,$B$8),100%)</f>
        <v>1</v>
      </c>
      <c r="BL87" s="41" cm="1">
        <f t="array" ref="BL87">IF(VLOOKUP($Q87,武学奇术!$A:$ZZ,23,FALSE)=1,100%,MIN(80%,$B$9+VLOOKUP($Q87,武学奇术!$A:$ZZ,17,FALSE)+SUM(_xlfn.XLOOKUP(R87:AH87,增益!$A:$A,增益!$Q:$Q,0)))+$B$11+SUM(_xlfn.XLOOKUP(R87:AH87,增益!$A:$A,增益!$U:$U,0)))*IF(VLOOKUP($Q87,武学奇术!$A:$ZZ,24,FALSE)=1,0,1)</f>
        <v>0.9045</v>
      </c>
      <c r="BM87" s="41" cm="1">
        <f t="array" ref="BM87">1+$B$13+VLOOKUP($Q87,武学奇术!$A:$ZZ,18,FALSE)+SUM(_xlfn.XLOOKUP(R87:AH87,增益!$A:$A,增益!$R:$R,0))</f>
        <v>1.85</v>
      </c>
      <c r="BN87" s="41" cm="1">
        <f t="array" ref="BN87">IF(VLOOKUP($Q87,武学奇术!$A:$ZZ,24,FALSE)=1,100%,MIN(40%,$B$10+VLOOKUP($Q87,武学奇术!$A:$ZZ,19,FALSE)+SUM(_xlfn.XLOOKUP(R87:AH87,增益!$A:$A,增益!$S:$S,0)))+$B$12+SUM(_xlfn.XLOOKUP(R87:AH87,增益!$A:$A,增益!$V:$V,0)))*IF(VLOOKUP($Q87,武学奇术!$A:$ZZ,23,FALSE)=1,0,1)</f>
        <v>0.0929</v>
      </c>
      <c r="BO87" s="41" cm="1">
        <f t="array" ref="BO87">1+$B$14+VLOOKUP($Q87,武学奇术!$A:$ZZ,20,FALSE)+SUM(_xlfn.XLOOKUP(R87:AH87,增益!$A:$A,增益!$T:$T,0))</f>
        <v>1.35</v>
      </c>
      <c r="BP87" s="41">
        <f>MIN((1-BN87)*BK87,BK87*BL87)</f>
        <v>0.9045</v>
      </c>
      <c r="BQ87" s="41">
        <f>1-BN87-BP87-BR87</f>
        <v>0.00260000000000005</v>
      </c>
      <c r="BR87" s="41">
        <f>IF(VLOOKUP($Q87,武学奇术!$A:$ZZ,22,FALSE)=1,0,(1-$BK87))*(1-$BN87)</f>
        <v>0</v>
      </c>
      <c r="BS87" s="41" cm="1">
        <f t="array" ref="BS87">SUM(_xlfn.XLOOKUP(R87:AH87,增益!$A:$A,增益!$W:$W,0))+$I$5</f>
        <v>0.11</v>
      </c>
    </row>
    <row r="88" spans="1:71">
      <c r="K88" s="55">
        <f>($L88*$BP88+$M88*$BN88+$N88*$BQ88+$O88*$BR88)</f>
        <v>17132.5167504687</v>
      </c>
      <c r="L88" s="55">
        <f>((($AP88+$AQ88)/2*$AJ88+$AK88)*(1+$AR88)*(1+$AS88)+(($AU88+$AV88)/2*IF($G$1="鸣金",$AL88,$AJ88)+IF($G$1="鸣金",$AM88*1.5,0))*(1+$AW88)*(1+$AX88)+(($AY88+$AZ88)/2*IF($G$1="裂石",$AL88,$AJ88)+IF($G$1="裂石",$AM88*1.5,0))*(1+$BA88)*(1+$BB88)+(($BC88+$BD88)/2*IF($G$1="牵丝",$AL88,$AJ88)+IF($G$1="牵丝",$AM88*1.5,0))*(1+$BE88)*(1+$BF88)+(($BG88+$BH88)/2*IF($G$1="破竹",$AL88,$AJ88)+IF($G$1="破竹",$AM88*1.5,0))*(1+$BI88)*(1+$BJ88))*(1+$AN88)*$BM88*$P88*(1+IF(VLOOKUP($Q88,武学奇术!$A:$ZZ,30,FALSE)="弹道",$B$21,0))*(1+$BS88)</f>
        <v>16860.108805464</v>
      </c>
      <c r="M88" s="55">
        <f>(($AQ88*$AJ88+$AK88)*(1+$AR88)*(1+$AS88)+($AV88*IF($G$1="鸣金",$AL88,$AJ88)+IF($G$1="鸣金",$AM88*1.5,0))*(1+$AW88)*(1+$AX88)+($AZ88*IF($G$1="裂石",$AL88,$AJ88)+IF($G$1="裂石",$AM88*1.5,0))*(1+$BA88)*(1+$BB88)+($BD88*IF($G$1="牵丝",$AL88,$AJ88)+IF($G$1="牵丝",$AM88*1.5,0))*(1+$BE88)*(1+$BF88)+($BH88*IF($G$1="破竹",$AL88,$AJ88)+IF($G$1="破竹",$AM88*1.5,0))*(1+$BI88)*(1+$BJ88))*(1+$AN88)*$BO88*$P88*(1+IF(VLOOKUP($Q88,武学奇术!$A:$ZZ,30,FALSE)="弹道",$B$21,0))*(1+$BS88)</f>
        <v>19969.3289463693</v>
      </c>
      <c r="N88" s="55">
        <f>((($AP88+$AQ88)/2*$AJ88+$AK88)*(1+$AR88)*(1+$AS88)+(($AU88+$AV88)/2*IF($G$1="鸣金",$AL88,$AJ88)+IF($G$1="鸣金",$AM88*1.5,0))*(1+$AW88)*(1+$AX88)+(($AY88+$AZ88)/2*IF($G$1="裂石",$AL88,$AJ88)+IF($G$1="裂石",$AM88*1.5,0))*(1+$BA88)*(1+$BB88)+(($BC88+$BD88)/2*IF($G$1="牵丝",$AL88,$AJ88)+IF($G$1="牵丝",$AM88*1.5,0))*(1+$BE88)*(1+$BF88)+(($BG88+$BH88)/2*IF($G$1="破竹",$AL88,$AJ88)+IF($G$1="破竹",$AM88*1.5,0))*(1+$BI88)*(1+$BJ88))*(1+$AN88)*$P88*(1+IF(VLOOKUP($Q88,武学奇术!$A:$ZZ,30,FALSE)="弹道",$B$21,0))*(1+$BS88)</f>
        <v>10537.568003415</v>
      </c>
      <c r="O88" s="55">
        <f>((($AP88*$AJ88+$AK88)*(1+$AR88)*(1+$AS88)+($AU88*IF($G$1="鸣金",$AL88,$AJ88)+IF($G$1="鸣金",$AM88*1.5,0))*(1+$AW88)*(1+$AX88)+($AY88*IF($G$1="裂石",$AL88,$AJ88)+IF($G$1="裂石",$AM88*1.5,0))*(1+$BA88)*(1+$BB88)+($BC88*IF($G$1="牵丝",$AL88,$AJ88)+IF($G$1="牵丝",$AM88*1.5,0))*(1+$BE88)*(1+$BF88)+($BG88*IF($G$1="破竹",$AL88,$AJ88)+IF($G$1="破竹",$AM88*1.5,0))*(1+$BI88)*(1+$BJ88))*(1+$AN88))*$P88*(1+IF(VLOOKUP($Q88,武学奇术!$A:$ZZ,30,FALSE)="弹道",$B$21,0))*(1+$BS88)</f>
        <v>6283.04049100081</v>
      </c>
      <c r="P88" s="56">
        <v>1</v>
      </c>
      <c r="Q88" s="57" t="s">
        <v>146</v>
      </c>
      <c r="R88" s="57" t="s">
        <v>116</v>
      </c>
      <c r="S88" s="57" t="s">
        <v>153</v>
      </c>
      <c r="T88" s="57" t="s">
        <v>72</v>
      </c>
      <c r="U88" s="57" t="s">
        <v>107</v>
      </c>
      <c r="V88" s="57" t="s">
        <v>72</v>
      </c>
      <c r="W88" s="57" t="s">
        <v>72</v>
      </c>
      <c r="X88" s="57" t="s">
        <v>72</v>
      </c>
      <c r="Y88" s="57" t="s">
        <v>72</v>
      </c>
      <c r="Z88" s="57" t="s">
        <v>72</v>
      </c>
      <c r="AA88" s="57" t="s">
        <v>72</v>
      </c>
      <c r="AB88" s="57" t="s">
        <v>96</v>
      </c>
      <c r="AC88" s="57" t="s">
        <v>72</v>
      </c>
      <c r="AD88" s="57" t="s">
        <v>72</v>
      </c>
      <c r="AE88" s="57" t="s">
        <v>72</v>
      </c>
      <c r="AF88" s="57" t="s">
        <v>72</v>
      </c>
      <c r="AG88" s="57" t="s">
        <v>72</v>
      </c>
      <c r="AH88" s="57" t="s">
        <v>87</v>
      </c>
      <c r="AI88" t="str">
        <f>VLOOKUP($Q88,武学奇术!$A:$ZZ,25,FALSE)</f>
        <v>扇</v>
      </c>
      <c r="AJ88" s="41">
        <f>VLOOKUP($Q88,武学奇术!$A:$ZZ,26,FALSE)</f>
        <v>0.9271</v>
      </c>
      <c r="AK88" s="42">
        <f>VLOOKUP($Q88,武学奇术!$A:$ZZ,27,FALSE)*(1+IF(OR($AI88=$F$4,$AI88=$F$5),$B$22,0))</f>
        <v>359.8</v>
      </c>
      <c r="AL88" s="41">
        <f>VLOOKUP($Q88,武学奇术!$A:$ZZ,28,FALSE)</f>
        <v>1.3907</v>
      </c>
      <c r="AM88" s="42">
        <f>VLOOKUP($Q88,武学奇术!$A:$ZZ,29,FALSE)*(1+IF(OR($AI88=$F$4,$AI88=$F$5),$B$22,0))</f>
        <v>196</v>
      </c>
      <c r="AN88" s="41" cm="1">
        <f t="array" ref="AN88">$G$3+IFERROR(VLOOKUP($AI88,$F$4:$G$7,2,FALSE),0)+VLOOKUP($Q88,武学奇术!$A:$ZZ,2,FALSE)+SUM(_xlfn.XLOOKUP($R88:$AH88,增益!$A:$A,增益!$B:$B,0))</f>
        <v>0.3189</v>
      </c>
      <c r="AO88" s="41" cm="1">
        <f t="array" ref="AO88">VLOOKUP($Q88,武学奇术!$A:$ZZ,5,FALSE)+SUM(_xlfn.XLOOKUP($R88:$AH88,增益!$A:$A,增益!$E:$E,0))</f>
        <v>0.075</v>
      </c>
      <c r="AP88" cm="1">
        <f t="array" ref="AP88">$D$10*(1+$AO88)+VLOOKUP($Q88,武学奇术!$A:$ZZ,3,FALSE)+SUM(_xlfn.XLOOKUP($R88:$AH88,增益!$A:$A,增益!$C:$C,0))-$I$2</f>
        <v>1974.055</v>
      </c>
      <c r="AQ88" cm="1">
        <f t="array" ref="AQ88">$E$10*(1+$AO88)+VLOOKUP($Q88,武学奇术!$A:$ZZ,4,FALSE)+SUM(_xlfn.XLOOKUP($R88:$AH88,增益!$A:$A,增益!$D:$D,0))-$I$2</f>
        <v>5941.45</v>
      </c>
      <c r="AR88" s="49" cm="1">
        <f t="array" ref="AR88">IF($F$10-$I$3+VLOOKUP($Q88,武学奇术!$A:$ZZ,6,FALSE)+SUM(_xlfn.XLOOKUP(R88:AH88,增益!$A:$A,增益!$F:$F,0))&gt;0,($F$10-$I$3+VLOOKUP($Q88,武学奇术!$A:$ZZ,6,FALSE)+SUM(_xlfn.XLOOKUP(R88:AH88,增益!$A:$A,增益!$F:$F,0)))/200,($F$10-$I$3+VLOOKUP($Q88,武学奇术!$A:$ZZ,6,FALSE)+SUM(_xlfn.XLOOKUP(R88:AH88,增益!$A:$A,增益!$F:$F,0)))/100)</f>
        <v>0.3425</v>
      </c>
      <c r="AS88" s="49" cm="1">
        <f t="array" ref="AS88">$G$10+VLOOKUP($Q88,武学奇术!$A:$ZZ,7,FALSE)+SUM(_xlfn.XLOOKUP(R88:AH88,增益!$A:$A,增益!$G:$G,0))</f>
        <v>0</v>
      </c>
      <c r="AT88" s="41" cm="1">
        <f t="array" ref="AT88">VLOOKUP($Q88,武学奇术!$A:$ZZ,8,FALSE)+SUM(_xlfn.XLOOKUP(R88:AH88,增益!$A:$A,增益!$H:$H,0))</f>
        <v>0</v>
      </c>
      <c r="AU88">
        <f>$D$11*(1+$AT88)</f>
        <v>0</v>
      </c>
      <c r="AV88">
        <f>$E$11*(1+$AT88)</f>
        <v>0</v>
      </c>
      <c r="AW88" s="49" cm="1">
        <f t="array" ref="AW88">IF($F$11-$I$4+VLOOKUP($Q88,武学奇术!$A:$ZZ,9,FALSE)+SUM(_xlfn.XLOOKUP(R88:AH88,增益!$A:$A,增益!$I:$I,0))&gt;0,($F$11-$I$4+VLOOKUP($Q88,武学奇术!$A:$ZZ,9,FALSE)+SUM(_xlfn.XLOOKUP(R88:AH88,增益!$A:$A,增益!$I:$I,0)))/200,($F$11-$I$4+VLOOKUP($Q88,武学奇术!$A:$ZZ,9,FALSE)+SUM(_xlfn.XLOOKUP(R88:AH88,增益!$A:$A,增益!$I:$I,0)))/100)</f>
        <v>-0.14</v>
      </c>
      <c r="AX88" s="49" cm="1">
        <f t="array" ref="AX88">$G$11+VLOOKUP($Q88,武学奇术!$A:$ZZ,10,FALSE)+SUM(_xlfn.XLOOKUP(R88:AH88,增益!$A:$A,增益!$J:$J,0))</f>
        <v>0</v>
      </c>
      <c r="AY88">
        <f>$D$12*(1+$AT88)</f>
        <v>0</v>
      </c>
      <c r="AZ88">
        <f>$E$12*(1+$AT88)</f>
        <v>0</v>
      </c>
      <c r="BA88" s="49" cm="1">
        <f t="array" ref="BA88">IF($F$12-$I$4+VLOOKUP($Q88,武学奇术!$A:$ZZ,11,FALSE)+SUM(_xlfn.XLOOKUP(R88:AH88,增益!$A:$A,增益!$K:$K,0))&gt;0,($F$12-$I$4+VLOOKUP($Q88,武学奇术!$A:$ZZ,11,FALSE)+SUM(_xlfn.XLOOKUP(R88:AH88,增益!$A:$A,增益!$K:$K,0)))/200,($F$12-$I$4+VLOOKUP($Q88,武学奇术!$A:$ZZ,11,FALSE)+SUM(_xlfn.XLOOKUP(R88:AH88,增益!$A:$A,增益!$K:$K,0)))/100)</f>
        <v>-0.14</v>
      </c>
      <c r="BB88" s="49" cm="1">
        <f t="array" ref="BB88">$G$12+VLOOKUP($Q88,武学奇术!$A:$ZZ,12,FALSE)+SUM(_xlfn.XLOOKUP(R88:AH88,增益!$A:$A,增益!$L:$L,0))</f>
        <v>0</v>
      </c>
      <c r="BC88">
        <f>$D$13*(1+$AT88)</f>
        <v>571.2</v>
      </c>
      <c r="BD88">
        <f>$E$13*(1+$AT88)</f>
        <v>1077.4</v>
      </c>
      <c r="BE88" s="49" cm="1">
        <f t="array" ref="BE88">IF($F$13-$I$4+VLOOKUP($Q88,武学奇术!$A:$ZZ,13,FALSE)+SUM(_xlfn.XLOOKUP(R88:AH88,增益!$A:$A,增益!$M:$M,0))&gt;0,($F$13-$I$4+VLOOKUP($Q88,武学奇术!$A:$ZZ,13,FALSE)+SUM(_xlfn.XLOOKUP(R88:AH88,增益!$A:$A,增益!$K:$K,0)))/200,($F$13-$I$4+VLOOKUP($Q88,武学奇术!$A:$ZZ,13,FALSE)+SUM(_xlfn.XLOOKUP(R88:AH88,增益!$A:$A,增益!$M:$M,0)))/100)</f>
        <v>0.08</v>
      </c>
      <c r="BF88" s="49" cm="1">
        <f t="array" ref="BF88">$G$13+VLOOKUP($Q88,武学奇术!$A:$ZZ,14,FALSE)+SUM(_xlfn.XLOOKUP(R88:AH88,增益!$A:$A,增益!$N:$N,0))</f>
        <v>0.15</v>
      </c>
      <c r="BG88">
        <f>$D$14*(1+$AT88)</f>
        <v>0</v>
      </c>
      <c r="BH88">
        <f>$E$14*(1+$AT88)</f>
        <v>0</v>
      </c>
      <c r="BI88" s="49" cm="1">
        <f t="array" ref="BI88">IF($F$14-$I$4+VLOOKUP($Q88,武学奇术!$A:$ZZ,15,FALSE)+SUM(_xlfn.XLOOKUP(R88:AH88,增益!$A:$A,增益!$O:$O,0))&gt;0,($F$14-$I$4+VLOOKUP($Q88,武学奇术!$A:$ZZ,15,FALSE)+SUM(_xlfn.XLOOKUP(R88:AH88,增益!$A:$A,增益!$O:$O,0)))/200,($F$14-$I$4+VLOOKUP($Q88,武学奇术!$A:$ZZ,15,FALSE)+SUM(_xlfn.XLOOKUP(R88:AH88,增益!$A:$A,增益!$O:$O,0)))/100)</f>
        <v>-0.14</v>
      </c>
      <c r="BJ88" s="49" cm="1">
        <f t="array" ref="BJ88">$G$14+VLOOKUP($Q88,武学奇术!$A:$ZZ,16,FALSE)+SUM(_xlfn.XLOOKUP(R88:AH88,增益!$A:$A,增益!$P:$P,0))</f>
        <v>0</v>
      </c>
      <c r="BK88" s="41">
        <f>MIN(IF(VLOOKUP($Q88,武学奇术!$A:$ZZ,23,FALSE)=1,100%,$B$8),100%)</f>
        <v>1</v>
      </c>
      <c r="BL88" s="41" cm="1">
        <f t="array" ref="BL88">IF(VLOOKUP($Q88,武学奇术!$A:$ZZ,23,FALSE)=1,100%,MIN(80%,$B$9+VLOOKUP($Q88,武学奇术!$A:$ZZ,17,FALSE)+SUM(_xlfn.XLOOKUP(R88:AH88,增益!$A:$A,增益!$Q:$Q,0)))+$B$11+SUM(_xlfn.XLOOKUP(R88:AH88,增益!$A:$A,增益!$U:$U,0)))*IF(VLOOKUP($Q88,武学奇术!$A:$ZZ,24,FALSE)=1,0,1)</f>
        <v>0.9045</v>
      </c>
      <c r="BM88" s="41" cm="1">
        <f t="array" ref="BM88">1+$B$13+VLOOKUP($Q88,武学奇术!$A:$ZZ,18,FALSE)+SUM(_xlfn.XLOOKUP(R88:AH88,增益!$A:$A,增益!$R:$R,0))</f>
        <v>1.6</v>
      </c>
      <c r="BN88" s="41" cm="1">
        <f t="array" ref="BN88">IF(VLOOKUP($Q88,武学奇术!$A:$ZZ,24,FALSE)=1,100%,MIN(40%,$B$10+VLOOKUP($Q88,武学奇术!$A:$ZZ,19,FALSE)+SUM(_xlfn.XLOOKUP(R88:AH88,增益!$A:$A,增益!$S:$S,0)))+$B$12+SUM(_xlfn.XLOOKUP(R88:AH88,增益!$A:$A,增益!$V:$V,0)))*IF(VLOOKUP($Q88,武学奇术!$A:$ZZ,23,FALSE)=1,0,1)</f>
        <v>0.0929</v>
      </c>
      <c r="BO88" s="41" cm="1">
        <f t="array" ref="BO88">1+$B$14+VLOOKUP($Q88,武学奇术!$A:$ZZ,20,FALSE)+SUM(_xlfn.XLOOKUP(R88:AH88,增益!$A:$A,增益!$T:$T,0))</f>
        <v>1.35</v>
      </c>
      <c r="BP88" s="41">
        <f>MIN((1-BN88)*BK88,BK88*BL88)</f>
        <v>0.9045</v>
      </c>
      <c r="BQ88" s="41">
        <f>1-BN88-BP88-BR88</f>
        <v>0.00260000000000005</v>
      </c>
      <c r="BR88" s="41">
        <f>IF(VLOOKUP($Q88,武学奇术!$A:$ZZ,22,FALSE)=1,0,(1-$BK88))*(1-$BN88)</f>
        <v>0</v>
      </c>
      <c r="BS88" s="41" cm="1">
        <f t="array" ref="BS88">SUM(_xlfn.XLOOKUP(R88:AH88,增益!$A:$A,增益!$W:$W,0))+$I$5</f>
        <v>0.11</v>
      </c>
    </row>
    <row r="89" spans="1:71">
      <c r="A89" s="4"/>
      <c r="B89" s="4"/>
      <c r="K89" s="55">
        <f>($L89*$BP89+$M89*$BN89+$N89*$BQ89+$O89*$BR89)</f>
        <v>72382.6708404411</v>
      </c>
      <c r="L89" s="55">
        <f>((($AP89+$AQ89)/2*$AJ89+$AK89)*(1+$AR89)*(1+$AS89)+(($AU89+$AV89)/2*IF($G$1="鸣金",$AL89,$AJ89)+IF($G$1="鸣金",$AM89*1.5,0))*(1+$AW89)*(1+$AX89)+(($AY89+$AZ89)/2*IF($G$1="裂石",$AL89,$AJ89)+IF($G$1="裂石",$AM89*1.5,0))*(1+$BA89)*(1+$BB89)+(($BC89+$BD89)/2*IF($G$1="牵丝",$AL89,$AJ89)+IF($G$1="牵丝",$AM89*1.5,0))*(1+$BE89)*(1+$BF89)+(($BG89+$BH89)/2*IF($G$1="破竹",$AL89,$AJ89)+IF($G$1="破竹",$AM89*1.5,0))*(1+$BI89)*(1+$BJ89))*(1+$AN89)*$BM89*$P89*(1+IF(VLOOKUP($Q89,武学奇术!$A:$ZZ,30,FALSE)="弹道",$B$21,0))*(1+$BS89)</f>
        <v>72693.2364891869</v>
      </c>
      <c r="M89" s="55">
        <f>(($AQ89*$AJ89+$AK89)*(1+$AR89)*(1+$AS89)+($AV89*IF($G$1="鸣金",$AL89,$AJ89)+IF($G$1="鸣金",$AM89*1.5,0))*(1+$AW89)*(1+$AX89)+($AZ89*IF($G$1="裂石",$AL89,$AJ89)+IF($G$1="裂石",$AM89*1.5,0))*(1+$BA89)*(1+$BB89)+($BD89*IF($G$1="牵丝",$AL89,$AJ89)+IF($G$1="牵丝",$AM89*1.5,0))*(1+$BE89)*(1+$BF89)+($BH89*IF($G$1="破竹",$AL89,$AJ89)+IF($G$1="破竹",$AM89*1.5,0))*(1+$BI89)*(1+$BJ89))*(1+$AN89)*$BO89*$P89*(1+IF(VLOOKUP($Q89,武学奇术!$A:$ZZ,30,FALSE)="弹道",$B$21,0))*(1+$BS89)</f>
        <v>70346.7021793909</v>
      </c>
      <c r="N89" s="55">
        <f>((($AP89+$AQ89)/2*$AJ89+$AK89)*(1+$AR89)*(1+$AS89)+(($AU89+$AV89)/2*IF($G$1="鸣金",$AL89,$AJ89)+IF($G$1="鸣金",$AM89*1.5,0))*(1+$AW89)*(1+$AX89)+(($AY89+$AZ89)/2*IF($G$1="裂石",$AL89,$AJ89)+IF($G$1="裂石",$AM89*1.5,0))*(1+$BA89)*(1+$BB89)+(($BC89+$BD89)/2*IF($G$1="牵丝",$AL89,$AJ89)+IF($G$1="牵丝",$AM89*1.5,0))*(1+$BE89)*(1+$BF89)+(($BG89+$BH89)/2*IF($G$1="破竹",$AL89,$AJ89)+IF($G$1="破竹",$AM89*1.5,0))*(1+$BI89)*(1+$BJ89))*(1+$AN89)*$P89*(1+IF(VLOOKUP($Q89,武学奇术!$A:$ZZ,30,FALSE)="弹道",$B$21,0))*(1+$BS89)</f>
        <v>37088.3859638709</v>
      </c>
      <c r="O89" s="55">
        <f>((($AP89*$AJ89+$AK89)*(1+$AR89)*(1+$AS89)+($AU89*IF($G$1="鸣金",$AL89,$AJ89)+IF($G$1="鸣金",$AM89*1.5,0))*(1+$AW89)*(1+$AX89)+($AY89*IF($G$1="裂石",$AL89,$AJ89)+IF($G$1="裂石",$AM89*1.5,0))*(1+$BA89)*(1+$BB89)+($BC89*IF($G$1="牵丝",$AL89,$AJ89)+IF($G$1="牵丝",$AM89*1.5,0))*(1+$BE89)*(1+$BF89)+($BG89*IF($G$1="破竹",$AL89,$AJ89)+IF($G$1="破竹",$AM89*1.5,0))*(1+$BI89)*(1+$BJ89))*(1+$AN89))*$P89*(1+IF(VLOOKUP($Q89,武学奇术!$A:$ZZ,30,FALSE)="弹道",$B$21,0))*(1+$BS89)</f>
        <v>22068.1036467114</v>
      </c>
      <c r="P89" s="56">
        <v>1</v>
      </c>
      <c r="Q89" s="57" t="s">
        <v>84</v>
      </c>
      <c r="R89" s="57" t="s">
        <v>116</v>
      </c>
      <c r="S89" s="57" t="s">
        <v>153</v>
      </c>
      <c r="T89" s="57" t="s">
        <v>92</v>
      </c>
      <c r="U89" s="57" t="s">
        <v>107</v>
      </c>
      <c r="V89" s="57" t="s">
        <v>72</v>
      </c>
      <c r="W89" s="57" t="s">
        <v>72</v>
      </c>
      <c r="X89" s="57" t="s">
        <v>72</v>
      </c>
      <c r="Y89" s="57" t="s">
        <v>72</v>
      </c>
      <c r="Z89" s="57" t="s">
        <v>72</v>
      </c>
      <c r="AA89" s="57" t="s">
        <v>72</v>
      </c>
      <c r="AB89" s="57" t="s">
        <v>96</v>
      </c>
      <c r="AC89" s="57" t="s">
        <v>72</v>
      </c>
      <c r="AD89" s="57" t="s">
        <v>72</v>
      </c>
      <c r="AE89" s="57" t="s">
        <v>72</v>
      </c>
      <c r="AF89" s="57" t="s">
        <v>72</v>
      </c>
      <c r="AG89" s="57" t="s">
        <v>72</v>
      </c>
      <c r="AH89" s="57" t="s">
        <v>87</v>
      </c>
      <c r="AI89" t="str">
        <f>VLOOKUP($Q89,武学奇术!$A:$ZZ,25,FALSE)</f>
        <v>伞</v>
      </c>
      <c r="AJ89" s="41">
        <f>VLOOKUP($Q89,武学奇术!$A:$ZZ,26,FALSE)</f>
        <v>2.3397</v>
      </c>
      <c r="AK89" s="42">
        <f>VLOOKUP($Q89,武学奇术!$A:$ZZ,27,FALSE)*(1+IF(OR($AI89=$F$4,$AI89=$F$5),$B$22,0))</f>
        <v>907.2</v>
      </c>
      <c r="AL89" s="41">
        <f>VLOOKUP($Q89,武学奇术!$A:$ZZ,28,FALSE)</f>
        <v>3.5095</v>
      </c>
      <c r="AM89" s="42">
        <f>VLOOKUP($Q89,武学奇术!$A:$ZZ,29,FALSE)*(1+IF(OR($AI89=$F$4,$AI89=$F$5),$B$22,0))</f>
        <v>494.2</v>
      </c>
      <c r="AN89" s="41" cm="1">
        <f t="array" ref="AN89">$G$3+IFERROR(VLOOKUP($AI89,$F$4:$G$7,2,FALSE),0)+VLOOKUP($Q89,武学奇术!$A:$ZZ,2,FALSE)+SUM(_xlfn.XLOOKUP($R89:$AH89,增益!$A:$A,增益!$B:$B,0))</f>
        <v>0.6541</v>
      </c>
      <c r="AO89" s="41" cm="1">
        <f t="array" ref="AO89">VLOOKUP($Q89,武学奇术!$A:$ZZ,5,FALSE)+SUM(_xlfn.XLOOKUP($R89:$AH89,增益!$A:$A,增益!$E:$E,0))</f>
        <v>0.075</v>
      </c>
      <c r="AP89" cm="1">
        <f t="array" ref="AP89">$D$10*(1+$AO89)+VLOOKUP($Q89,武学奇术!$A:$ZZ,3,FALSE)+SUM(_xlfn.XLOOKUP($R89:$AH89,增益!$A:$A,增益!$C:$C,0))-$I$2</f>
        <v>1974.055</v>
      </c>
      <c r="AQ89" cm="1">
        <f t="array" ref="AQ89">$E$10*(1+$AO89)+VLOOKUP($Q89,武学奇术!$A:$ZZ,4,FALSE)+SUM(_xlfn.XLOOKUP($R89:$AH89,增益!$A:$A,增益!$D:$D,0))-$I$2</f>
        <v>5941.45</v>
      </c>
      <c r="AR89" s="49" cm="1">
        <f t="array" ref="AR89">IF($F$10-$I$3+VLOOKUP($Q89,武学奇术!$A:$ZZ,6,FALSE)+SUM(_xlfn.XLOOKUP(R89:AH89,增益!$A:$A,增益!$F:$F,0))&gt;0,($F$10-$I$3+VLOOKUP($Q89,武学奇术!$A:$ZZ,6,FALSE)+SUM(_xlfn.XLOOKUP(R89:AH89,增益!$A:$A,增益!$F:$F,0)))/200,($F$10-$I$3+VLOOKUP($Q89,武学奇术!$A:$ZZ,6,FALSE)+SUM(_xlfn.XLOOKUP(R89:AH89,增益!$A:$A,增益!$F:$F,0)))/100)</f>
        <v>0.3675</v>
      </c>
      <c r="AS89" s="49" cm="1">
        <f t="array" ref="AS89">$G$10+VLOOKUP($Q89,武学奇术!$A:$ZZ,7,FALSE)+SUM(_xlfn.XLOOKUP(R89:AH89,增益!$A:$A,增益!$G:$G,0))</f>
        <v>0.1</v>
      </c>
      <c r="AT89" s="41" cm="1">
        <f t="array" ref="AT89">VLOOKUP($Q89,武学奇术!$A:$ZZ,8,FALSE)+SUM(_xlfn.XLOOKUP(R89:AH89,增益!$A:$A,增益!$H:$H,0))</f>
        <v>0</v>
      </c>
      <c r="AU89">
        <f>$D$11*(1+$AT89)</f>
        <v>0</v>
      </c>
      <c r="AV89">
        <f>$E$11*(1+$AT89)</f>
        <v>0</v>
      </c>
      <c r="AW89" s="49" cm="1">
        <f t="array" ref="AW89">IF($F$11-$I$4+VLOOKUP($Q89,武学奇术!$A:$ZZ,9,FALSE)+SUM(_xlfn.XLOOKUP(R89:AH89,增益!$A:$A,增益!$I:$I,0))&gt;0,($F$11-$I$4+VLOOKUP($Q89,武学奇术!$A:$ZZ,9,FALSE)+SUM(_xlfn.XLOOKUP(R89:AH89,增益!$A:$A,增益!$I:$I,0)))/200,($F$11-$I$4+VLOOKUP($Q89,武学奇术!$A:$ZZ,9,FALSE)+SUM(_xlfn.XLOOKUP(R89:AH89,增益!$A:$A,增益!$I:$I,0)))/100)</f>
        <v>-0.14</v>
      </c>
      <c r="AX89" s="49" cm="1">
        <f t="array" ref="AX89">$G$11+VLOOKUP($Q89,武学奇术!$A:$ZZ,10,FALSE)+SUM(_xlfn.XLOOKUP(R89:AH89,增益!$A:$A,增益!$J:$J,0))</f>
        <v>0</v>
      </c>
      <c r="AY89">
        <f>$D$12*(1+$AT89)</f>
        <v>0</v>
      </c>
      <c r="AZ89">
        <f>$E$12*(1+$AT89)</f>
        <v>0</v>
      </c>
      <c r="BA89" s="49" cm="1">
        <f t="array" ref="BA89">IF($F$12-$I$4+VLOOKUP($Q89,武学奇术!$A:$ZZ,11,FALSE)+SUM(_xlfn.XLOOKUP(R89:AH89,增益!$A:$A,增益!$K:$K,0))&gt;0,($F$12-$I$4+VLOOKUP($Q89,武学奇术!$A:$ZZ,11,FALSE)+SUM(_xlfn.XLOOKUP(R89:AH89,增益!$A:$A,增益!$K:$K,0)))/200,($F$12-$I$4+VLOOKUP($Q89,武学奇术!$A:$ZZ,11,FALSE)+SUM(_xlfn.XLOOKUP(R89:AH89,增益!$A:$A,增益!$K:$K,0)))/100)</f>
        <v>-0.14</v>
      </c>
      <c r="BB89" s="49" cm="1">
        <f t="array" ref="BB89">$G$12+VLOOKUP($Q89,武学奇术!$A:$ZZ,12,FALSE)+SUM(_xlfn.XLOOKUP(R89:AH89,增益!$A:$A,增益!$L:$L,0))</f>
        <v>0</v>
      </c>
      <c r="BC89">
        <f>$D$13*(1+$AT89)</f>
        <v>571.2</v>
      </c>
      <c r="BD89">
        <f>$E$13*(1+$AT89)</f>
        <v>1077.4</v>
      </c>
      <c r="BE89" s="49" cm="1">
        <f t="array" ref="BE89">IF($F$13-$I$4+VLOOKUP($Q89,武学奇术!$A:$ZZ,13,FALSE)+SUM(_xlfn.XLOOKUP(R89:AH89,增益!$A:$A,增益!$M:$M,0))&gt;0,($F$13-$I$4+VLOOKUP($Q89,武学奇术!$A:$ZZ,13,FALSE)+SUM(_xlfn.XLOOKUP(R89:AH89,增益!$A:$A,增益!$K:$K,0)))/200,($F$13-$I$4+VLOOKUP($Q89,武学奇术!$A:$ZZ,13,FALSE)+SUM(_xlfn.XLOOKUP(R89:AH89,增益!$A:$A,增益!$M:$M,0)))/100)</f>
        <v>0.08</v>
      </c>
      <c r="BF89" s="49" cm="1">
        <f t="array" ref="BF89">$G$13+VLOOKUP($Q89,武学奇术!$A:$ZZ,14,FALSE)+SUM(_xlfn.XLOOKUP(R89:AH89,增益!$A:$A,增益!$N:$N,0))</f>
        <v>0.25</v>
      </c>
      <c r="BG89">
        <f>$D$14*(1+$AT89)</f>
        <v>0</v>
      </c>
      <c r="BH89">
        <f>$E$14*(1+$AT89)</f>
        <v>0</v>
      </c>
      <c r="BI89" s="49" cm="1">
        <f t="array" ref="BI89">IF($F$14-$I$4+VLOOKUP($Q89,武学奇术!$A:$ZZ,15,FALSE)+SUM(_xlfn.XLOOKUP(R89:AH89,增益!$A:$A,增益!$O:$O,0))&gt;0,($F$14-$I$4+VLOOKUP($Q89,武学奇术!$A:$ZZ,15,FALSE)+SUM(_xlfn.XLOOKUP(R89:AH89,增益!$A:$A,增益!$O:$O,0)))/200,($F$14-$I$4+VLOOKUP($Q89,武学奇术!$A:$ZZ,15,FALSE)+SUM(_xlfn.XLOOKUP(R89:AH89,增益!$A:$A,增益!$O:$O,0)))/100)</f>
        <v>-0.14</v>
      </c>
      <c r="BJ89" s="49" cm="1">
        <f t="array" ref="BJ89">$G$14+VLOOKUP($Q89,武学奇术!$A:$ZZ,16,FALSE)+SUM(_xlfn.XLOOKUP(R89:AH89,增益!$A:$A,增益!$P:$P,0))</f>
        <v>0</v>
      </c>
      <c r="BK89" s="41">
        <f>MIN(IF(VLOOKUP($Q89,武学奇术!$A:$ZZ,23,FALSE)=1,100%,$B$8),100%)</f>
        <v>1</v>
      </c>
      <c r="BL89" s="41" cm="1">
        <f t="array" ref="BL89">IF(VLOOKUP($Q89,武学奇术!$A:$ZZ,23,FALSE)=1,100%,MIN(80%,$B$9+VLOOKUP($Q89,武学奇术!$A:$ZZ,17,FALSE)+SUM(_xlfn.XLOOKUP(R89:AH89,增益!$A:$A,增益!$Q:$Q,0)))+$B$11+SUM(_xlfn.XLOOKUP(R89:AH89,增益!$A:$A,增益!$U:$U,0)))*IF(VLOOKUP($Q89,武学奇术!$A:$ZZ,24,FALSE)=1,0,1)</f>
        <v>0.9045</v>
      </c>
      <c r="BM89" s="41" cm="1">
        <f t="array" ref="BM89">1+$B$13+VLOOKUP($Q89,武学奇术!$A:$ZZ,18,FALSE)+SUM(_xlfn.XLOOKUP(R89:AH89,增益!$A:$A,增益!$R:$R,0))</f>
        <v>1.96</v>
      </c>
      <c r="BN89" s="41" cm="1">
        <f t="array" ref="BN89">IF(VLOOKUP($Q89,武学奇术!$A:$ZZ,24,FALSE)=1,100%,MIN(40%,$B$10+VLOOKUP($Q89,武学奇术!$A:$ZZ,19,FALSE)+SUM(_xlfn.XLOOKUP(R89:AH89,增益!$A:$A,增益!$S:$S,0)))+$B$12+SUM(_xlfn.XLOOKUP(R89:AH89,增益!$A:$A,增益!$V:$V,0)))*IF(VLOOKUP($Q89,武学奇术!$A:$ZZ,23,FALSE)=1,0,1)</f>
        <v>0.0929</v>
      </c>
      <c r="BO89" s="41" cm="1">
        <f t="array" ref="BO89">1+$B$14+VLOOKUP($Q89,武学奇术!$A:$ZZ,20,FALSE)+SUM(_xlfn.XLOOKUP(R89:AH89,增益!$A:$A,增益!$T:$T,0))</f>
        <v>1.35</v>
      </c>
      <c r="BP89" s="41">
        <f>MIN((1-BN89)*BK89,BK89*BL89)</f>
        <v>0.9045</v>
      </c>
      <c r="BQ89" s="41">
        <f>1-BN89-BP89-BR89</f>
        <v>0.00260000000000005</v>
      </c>
      <c r="BR89" s="41">
        <f>IF(VLOOKUP($Q89,武学奇术!$A:$ZZ,22,FALSE)=1,0,(1-$BK89))*(1-$BN89)</f>
        <v>0</v>
      </c>
      <c r="BS89" s="41" cm="1">
        <f t="array" ref="BS89">SUM(_xlfn.XLOOKUP(R89:AH89,增益!$A:$A,增益!$W:$W,0))+$I$5</f>
        <v>0.11</v>
      </c>
    </row>
    <row r="90" spans="1:71">
      <c r="A90" s="4"/>
      <c r="B90" s="4"/>
      <c r="K90" s="55">
        <f>($L90*$BP90+$M90*$BN90+$N90*$BQ90+$O90*$BR90)</f>
        <v>36677.8149707334</v>
      </c>
      <c r="L90" s="55">
        <f>((($AP90+$AQ90)/2*$AJ90+$AK90)*(1+$AR90)*(1+$AS90)+(($AU90+$AV90)/2*IF($G$1="鸣金",$AL90,$AJ90)+IF($G$1="鸣金",$AM90*1.5,0))*(1+$AW90)*(1+$AX90)+(($AY90+$AZ90)/2*IF($G$1="裂石",$AL90,$AJ90)+IF($G$1="裂石",$AM90*1.5,0))*(1+$BA90)*(1+$BB90)+(($BC90+$BD90)/2*IF($G$1="牵丝",$AL90,$AJ90)+IF($G$1="牵丝",$AM90*1.5,0))*(1+$BE90)*(1+$BF90)+(($BG90+$BH90)/2*IF($G$1="破竹",$AL90,$AJ90)+IF($G$1="破竹",$AM90*1.5,0))*(1+$BI90)*(1+$BJ90))*(1+$AN90)*$BM90*$P90*(1+IF(VLOOKUP($Q90,武学奇术!$A:$ZZ,30,FALSE)="弹道",$B$21,0))*(1+$BS90)</f>
        <v>36093.117142614</v>
      </c>
      <c r="M90" s="55">
        <f>(($AQ90*$AJ90+$AK90)*(1+$AR90)*(1+$AS90)+($AV90*IF($G$1="鸣金",$AL90,$AJ90)+IF($G$1="鸣金",$AM90*1.5,0))*(1+$AW90)*(1+$AX90)+($AZ90*IF($G$1="裂石",$AL90,$AJ90)+IF($G$1="裂石",$AM90*1.5,0))*(1+$BA90)*(1+$BB90)+($BD90*IF($G$1="牵丝",$AL90,$AJ90)+IF($G$1="牵丝",$AM90*1.5,0))*(1+$BE90)*(1+$BF90)+($BH90*IF($G$1="破竹",$AL90,$AJ90)+IF($G$1="破竹",$AM90*1.5,0))*(1+$BI90)*(1+$BJ90))*(1+$AN90)*$BO90*$P90*(1+IF(VLOOKUP($Q90,武学奇术!$A:$ZZ,30,FALSE)="弹道",$B$21,0))*(1+$BS90)</f>
        <v>42765.761032102</v>
      </c>
      <c r="N90" s="55">
        <f>((($AP90+$AQ90)/2*$AJ90+$AK90)*(1+$AR90)*(1+$AS90)+(($AU90+$AV90)/2*IF($G$1="鸣金",$AL90,$AJ90)+IF($G$1="鸣金",$AM90*1.5,0))*(1+$AW90)*(1+$AX90)+(($AY90+$AZ90)/2*IF($G$1="裂石",$AL90,$AJ90)+IF($G$1="裂石",$AM90*1.5,0))*(1+$BA90)*(1+$BB90)+(($BC90+$BD90)/2*IF($G$1="牵丝",$AL90,$AJ90)+IF($G$1="牵丝",$AM90*1.5,0))*(1+$BE90)*(1+$BF90)+(($BG90+$BH90)/2*IF($G$1="破竹",$AL90,$AJ90)+IF($G$1="破竹",$AM90*1.5,0))*(1+$BI90)*(1+$BJ90))*(1+$AN90)*$P90*(1+IF(VLOOKUP($Q90,武学奇术!$A:$ZZ,30,FALSE)="弹道",$B$21,0))*(1+$BS90)</f>
        <v>22558.1982141338</v>
      </c>
      <c r="O90" s="55">
        <f>((($AP90*$AJ90+$AK90)*(1+$AR90)*(1+$AS90)+($AU90*IF($G$1="鸣金",$AL90,$AJ90)+IF($G$1="鸣金",$AM90*1.5,0))*(1+$AW90)*(1+$AX90)+($AY90*IF($G$1="裂石",$AL90,$AJ90)+IF($G$1="裂石",$AM90*1.5,0))*(1+$BA90)*(1+$BB90)+($BC90*IF($G$1="牵丝",$AL90,$AJ90)+IF($G$1="牵丝",$AM90*1.5,0))*(1+$BE90)*(1+$BF90)+($BG90*IF($G$1="破竹",$AL90,$AJ90)+IF($G$1="破竹",$AM90*1.5,0))*(1+$BI90)*(1+$BJ90))*(1+$AN90))*$P90*(1+IF(VLOOKUP($Q90,武学奇术!$A:$ZZ,30,FALSE)="弹道",$B$21,0))*(1+$BS90)</f>
        <v>13438.0549230068</v>
      </c>
      <c r="P90" s="56">
        <v>1</v>
      </c>
      <c r="Q90" s="57" t="s">
        <v>94</v>
      </c>
      <c r="R90" s="57" t="s">
        <v>116</v>
      </c>
      <c r="S90" s="57" t="s">
        <v>153</v>
      </c>
      <c r="T90" s="57" t="s">
        <v>72</v>
      </c>
      <c r="U90" s="57" t="s">
        <v>107</v>
      </c>
      <c r="V90" s="57" t="s">
        <v>72</v>
      </c>
      <c r="W90" s="57" t="s">
        <v>72</v>
      </c>
      <c r="X90" s="57" t="s">
        <v>72</v>
      </c>
      <c r="Y90" s="57" t="s">
        <v>72</v>
      </c>
      <c r="Z90" s="57" t="s">
        <v>72</v>
      </c>
      <c r="AA90" s="57" t="s">
        <v>72</v>
      </c>
      <c r="AB90" s="57" t="s">
        <v>96</v>
      </c>
      <c r="AC90" s="57" t="s">
        <v>72</v>
      </c>
      <c r="AD90" s="57" t="s">
        <v>72</v>
      </c>
      <c r="AE90" s="57" t="s">
        <v>72</v>
      </c>
      <c r="AF90" s="57" t="s">
        <v>72</v>
      </c>
      <c r="AG90" s="57" t="s">
        <v>72</v>
      </c>
      <c r="AH90" s="57" t="s">
        <v>87</v>
      </c>
      <c r="AI90" t="str">
        <f>VLOOKUP($Q90,武学奇术!$A:$ZZ,25,FALSE)</f>
        <v>伞</v>
      </c>
      <c r="AJ90" s="41">
        <f>VLOOKUP($Q90,武学奇术!$A:$ZZ,26,FALSE)</f>
        <v>1.7001</v>
      </c>
      <c r="AK90" s="42">
        <f>VLOOKUP($Q90,武学奇术!$A:$ZZ,27,FALSE)*(1+IF(OR($AI90=$F$4,$AI90=$F$5),$B$22,0))</f>
        <v>659.4</v>
      </c>
      <c r="AL90" s="41">
        <f>VLOOKUP($Q90,武学奇术!$A:$ZZ,28,FALSE)</f>
        <v>2.5502</v>
      </c>
      <c r="AM90" s="42">
        <f>VLOOKUP($Q90,武学奇术!$A:$ZZ,29,FALSE)*(1+IF(OR($AI90=$F$4,$AI90=$F$5),$B$22,0))</f>
        <v>358.4</v>
      </c>
      <c r="AN90" s="41" cm="1">
        <f t="array" ref="AN90">$G$3+IFERROR(VLOOKUP($AI90,$F$4:$G$7,2,FALSE),0)+VLOOKUP($Q90,武学奇术!$A:$ZZ,2,FALSE)+SUM(_xlfn.XLOOKUP($R90:$AH90,增益!$A:$A,增益!$B:$B,0))</f>
        <v>0.4041</v>
      </c>
      <c r="AO90" s="41" cm="1">
        <f t="array" ref="AO90">VLOOKUP($Q90,武学奇术!$A:$ZZ,5,FALSE)+SUM(_xlfn.XLOOKUP($R90:$AH90,增益!$A:$A,增益!$E:$E,0))</f>
        <v>0.075</v>
      </c>
      <c r="AP90" cm="1">
        <f t="array" ref="AP90">$D$10*(1+$AO90)+VLOOKUP($Q90,武学奇术!$A:$ZZ,3,FALSE)+SUM(_xlfn.XLOOKUP($R90:$AH90,增益!$A:$A,增益!$C:$C,0))-$I$2</f>
        <v>1974.055</v>
      </c>
      <c r="AQ90" cm="1">
        <f t="array" ref="AQ90">$E$10*(1+$AO90)+VLOOKUP($Q90,武学奇术!$A:$ZZ,4,FALSE)+SUM(_xlfn.XLOOKUP($R90:$AH90,增益!$A:$A,增益!$D:$D,0))-$I$2</f>
        <v>5941.45</v>
      </c>
      <c r="AR90" s="49" cm="1">
        <f t="array" ref="AR90">IF($F$10-$I$3+VLOOKUP($Q90,武学奇术!$A:$ZZ,6,FALSE)+SUM(_xlfn.XLOOKUP(R90:AH90,增益!$A:$A,增益!$F:$F,0))&gt;0,($F$10-$I$3+VLOOKUP($Q90,武学奇术!$A:$ZZ,6,FALSE)+SUM(_xlfn.XLOOKUP(R90:AH90,增益!$A:$A,增益!$F:$F,0)))/200,($F$10-$I$3+VLOOKUP($Q90,武学奇术!$A:$ZZ,6,FALSE)+SUM(_xlfn.XLOOKUP(R90:AH90,增益!$A:$A,增益!$F:$F,0)))/100)</f>
        <v>0.3425</v>
      </c>
      <c r="AS90" s="49" cm="1">
        <f t="array" ref="AS90">$G$10+VLOOKUP($Q90,武学奇术!$A:$ZZ,7,FALSE)+SUM(_xlfn.XLOOKUP(R90:AH90,增益!$A:$A,增益!$G:$G,0))</f>
        <v>0.1</v>
      </c>
      <c r="AT90" s="41" cm="1">
        <f t="array" ref="AT90">VLOOKUP($Q90,武学奇术!$A:$ZZ,8,FALSE)+SUM(_xlfn.XLOOKUP(R90:AH90,增益!$A:$A,增益!$H:$H,0))</f>
        <v>0</v>
      </c>
      <c r="AU90">
        <f>$D$11*(1+$AT90)</f>
        <v>0</v>
      </c>
      <c r="AV90">
        <f>$E$11*(1+$AT90)</f>
        <v>0</v>
      </c>
      <c r="AW90" s="49" cm="1">
        <f t="array" ref="AW90">IF($F$11-$I$4+VLOOKUP($Q90,武学奇术!$A:$ZZ,9,FALSE)+SUM(_xlfn.XLOOKUP(R90:AH90,增益!$A:$A,增益!$I:$I,0))&gt;0,($F$11-$I$4+VLOOKUP($Q90,武学奇术!$A:$ZZ,9,FALSE)+SUM(_xlfn.XLOOKUP(R90:AH90,增益!$A:$A,增益!$I:$I,0)))/200,($F$11-$I$4+VLOOKUP($Q90,武学奇术!$A:$ZZ,9,FALSE)+SUM(_xlfn.XLOOKUP(R90:AH90,增益!$A:$A,增益!$I:$I,0)))/100)</f>
        <v>-0.14</v>
      </c>
      <c r="AX90" s="49" cm="1">
        <f t="array" ref="AX90">$G$11+VLOOKUP($Q90,武学奇术!$A:$ZZ,10,FALSE)+SUM(_xlfn.XLOOKUP(R90:AH90,增益!$A:$A,增益!$J:$J,0))</f>
        <v>0</v>
      </c>
      <c r="AY90">
        <f>$D$12*(1+$AT90)</f>
        <v>0</v>
      </c>
      <c r="AZ90">
        <f>$E$12*(1+$AT90)</f>
        <v>0</v>
      </c>
      <c r="BA90" s="49" cm="1">
        <f t="array" ref="BA90">IF($F$12-$I$4+VLOOKUP($Q90,武学奇术!$A:$ZZ,11,FALSE)+SUM(_xlfn.XLOOKUP(R90:AH90,增益!$A:$A,增益!$K:$K,0))&gt;0,($F$12-$I$4+VLOOKUP($Q90,武学奇术!$A:$ZZ,11,FALSE)+SUM(_xlfn.XLOOKUP(R90:AH90,增益!$A:$A,增益!$K:$K,0)))/200,($F$12-$I$4+VLOOKUP($Q90,武学奇术!$A:$ZZ,11,FALSE)+SUM(_xlfn.XLOOKUP(R90:AH90,增益!$A:$A,增益!$K:$K,0)))/100)</f>
        <v>-0.14</v>
      </c>
      <c r="BB90" s="49" cm="1">
        <f t="array" ref="BB90">$G$12+VLOOKUP($Q90,武学奇术!$A:$ZZ,12,FALSE)+SUM(_xlfn.XLOOKUP(R90:AH90,增益!$A:$A,增益!$L:$L,0))</f>
        <v>0</v>
      </c>
      <c r="BC90">
        <f>$D$13*(1+$AT90)</f>
        <v>571.2</v>
      </c>
      <c r="BD90">
        <f>$E$13*(1+$AT90)</f>
        <v>1077.4</v>
      </c>
      <c r="BE90" s="49" cm="1">
        <f t="array" ref="BE90">IF($F$13-$I$4+VLOOKUP($Q90,武学奇术!$A:$ZZ,13,FALSE)+SUM(_xlfn.XLOOKUP(R90:AH90,增益!$A:$A,增益!$M:$M,0))&gt;0,($F$13-$I$4+VLOOKUP($Q90,武学奇术!$A:$ZZ,13,FALSE)+SUM(_xlfn.XLOOKUP(R90:AH90,增益!$A:$A,增益!$K:$K,0)))/200,($F$13-$I$4+VLOOKUP($Q90,武学奇术!$A:$ZZ,13,FALSE)+SUM(_xlfn.XLOOKUP(R90:AH90,增益!$A:$A,增益!$M:$M,0)))/100)</f>
        <v>0.08</v>
      </c>
      <c r="BF90" s="49" cm="1">
        <f t="array" ref="BF90">$G$13+VLOOKUP($Q90,武学奇术!$A:$ZZ,14,FALSE)+SUM(_xlfn.XLOOKUP(R90:AH90,增益!$A:$A,增益!$N:$N,0))</f>
        <v>0.25</v>
      </c>
      <c r="BG90">
        <f>$D$14*(1+$AT90)</f>
        <v>0</v>
      </c>
      <c r="BH90">
        <f>$E$14*(1+$AT90)</f>
        <v>0</v>
      </c>
      <c r="BI90" s="49" cm="1">
        <f t="array" ref="BI90">IF($F$14-$I$4+VLOOKUP($Q90,武学奇术!$A:$ZZ,15,FALSE)+SUM(_xlfn.XLOOKUP(R90:AH90,增益!$A:$A,增益!$O:$O,0))&gt;0,($F$14-$I$4+VLOOKUP($Q90,武学奇术!$A:$ZZ,15,FALSE)+SUM(_xlfn.XLOOKUP(R90:AH90,增益!$A:$A,增益!$O:$O,0)))/200,($F$14-$I$4+VLOOKUP($Q90,武学奇术!$A:$ZZ,15,FALSE)+SUM(_xlfn.XLOOKUP(R90:AH90,增益!$A:$A,增益!$O:$O,0)))/100)</f>
        <v>-0.14</v>
      </c>
      <c r="BJ90" s="49" cm="1">
        <f t="array" ref="BJ90">$G$14+VLOOKUP($Q90,武学奇术!$A:$ZZ,16,FALSE)+SUM(_xlfn.XLOOKUP(R90:AH90,增益!$A:$A,增益!$P:$P,0))</f>
        <v>0</v>
      </c>
      <c r="BK90" s="41">
        <f>MIN(IF(VLOOKUP($Q90,武学奇术!$A:$ZZ,23,FALSE)=1,100%,$B$8),100%)</f>
        <v>1</v>
      </c>
      <c r="BL90" s="41" cm="1">
        <f t="array" ref="BL90">IF(VLOOKUP($Q90,武学奇术!$A:$ZZ,23,FALSE)=1,100%,MIN(80%,$B$9+VLOOKUP($Q90,武学奇术!$A:$ZZ,17,FALSE)+SUM(_xlfn.XLOOKUP(R90:AH90,增益!$A:$A,增益!$Q:$Q,0)))+$B$11+SUM(_xlfn.XLOOKUP(R90:AH90,增益!$A:$A,增益!$U:$U,0)))*IF(VLOOKUP($Q90,武学奇术!$A:$ZZ,24,FALSE)=1,0,1)</f>
        <v>0.9045</v>
      </c>
      <c r="BM90" s="41" cm="1">
        <f t="array" ref="BM90">1+$B$13+VLOOKUP($Q90,武学奇术!$A:$ZZ,18,FALSE)+SUM(_xlfn.XLOOKUP(R90:AH90,增益!$A:$A,增益!$R:$R,0))</f>
        <v>1.6</v>
      </c>
      <c r="BN90" s="41" cm="1">
        <f t="array" ref="BN90">IF(VLOOKUP($Q90,武学奇术!$A:$ZZ,24,FALSE)=1,100%,MIN(40%,$B$10+VLOOKUP($Q90,武学奇术!$A:$ZZ,19,FALSE)+SUM(_xlfn.XLOOKUP(R90:AH90,增益!$A:$A,增益!$S:$S,0)))+$B$12+SUM(_xlfn.XLOOKUP(R90:AH90,增益!$A:$A,增益!$V:$V,0)))*IF(VLOOKUP($Q90,武学奇术!$A:$ZZ,23,FALSE)=1,0,1)</f>
        <v>0.0929</v>
      </c>
      <c r="BO90" s="41" cm="1">
        <f t="array" ref="BO90">1+$B$14+VLOOKUP($Q90,武学奇术!$A:$ZZ,20,FALSE)+SUM(_xlfn.XLOOKUP(R90:AH90,增益!$A:$A,增益!$T:$T,0))</f>
        <v>1.35</v>
      </c>
      <c r="BP90" s="41">
        <f>MIN((1-BN90)*BK90,BK90*BL90)</f>
        <v>0.9045</v>
      </c>
      <c r="BQ90" s="41">
        <f>1-BN90-BP90-BR90</f>
        <v>0.00260000000000005</v>
      </c>
      <c r="BR90" s="41">
        <f>IF(VLOOKUP($Q90,武学奇术!$A:$ZZ,22,FALSE)=1,0,(1-$BK90))*(1-$BN90)</f>
        <v>0</v>
      </c>
      <c r="BS90" s="41" cm="1">
        <f t="array" ref="BS90">SUM(_xlfn.XLOOKUP(R90:AH90,增益!$A:$A,增益!$W:$W,0))+$I$5</f>
        <v>0.11</v>
      </c>
    </row>
    <row r="91" spans="1:71">
      <c r="A91" s="4"/>
      <c r="B91" s="109"/>
      <c r="K91" s="55">
        <f>($L91*$BP91+$M91*$BN91+$N91*$BQ91+$O91*$BR91)</f>
        <v>20740.6550219646</v>
      </c>
      <c r="L91" s="55">
        <f>((($AP91+$AQ91)/2*$AJ91+$AK91)*(1+$AR91)*(1+$AS91)+(($AU91+$AV91)/2*IF($G$1="鸣金",$AL91,$AJ91)+IF($G$1="鸣金",$AM91*1.5,0))*(1+$AW91)*(1+$AX91)+(($AY91+$AZ91)/2*IF($G$1="裂石",$AL91,$AJ91)+IF($G$1="裂石",$AM91*1.5,0))*(1+$BA91)*(1+$BB91)+(($BC91+$BD91)/2*IF($G$1="牵丝",$AL91,$AJ91)+IF($G$1="牵丝",$AM91*1.5,0))*(1+$BE91)*(1+$BF91)+(($BG91+$BH91)/2*IF($G$1="破竹",$AL91,$AJ91)+IF($G$1="破竹",$AM91*1.5,0))*(1+$BI91)*(1+$BJ91))*(1+$AN91)*$BM91*$P91*(1+IF(VLOOKUP($Q91,武学奇术!$A:$ZZ,30,FALSE)="弹道",$B$21,0))*(1+$BS91)</f>
        <v>20712.5980445899</v>
      </c>
      <c r="M91" s="55">
        <f>(($AQ91*$AJ91+$AK91)*(1+$AR91)*(1+$AS91)+($AV91*IF($G$1="鸣金",$AL91,$AJ91)+IF($G$1="鸣金",$AM91*1.5,0))*(1+$AW91)*(1+$AX91)+($AZ91*IF($G$1="裂石",$AL91,$AJ91)+IF($G$1="裂石",$AM91*1.5,0))*(1+$BA91)*(1+$BB91)+($BD91*IF($G$1="牵丝",$AL91,$AJ91)+IF($G$1="牵丝",$AM91*1.5,0))*(1+$BE91)*(1+$BF91)+($BH91*IF($G$1="破竹",$AL91,$AJ91)+IF($G$1="破竹",$AM91*1.5,0))*(1+$BI91)*(1+$BJ91))*(1+$AN91)*$BO91*$P91*(1+IF(VLOOKUP($Q91,武学奇术!$A:$ZZ,30,FALSE)="弹道",$B$21,0))*(1+$BS91)</f>
        <v>21280.9525659984</v>
      </c>
      <c r="N91" s="55">
        <f>((($AP91+$AQ91)/2*$AJ91+$AK91)*(1+$AR91)*(1+$AS91)+(($AU91+$AV91)/2*IF($G$1="鸣金",$AL91,$AJ91)+IF($G$1="鸣金",$AM91*1.5,0))*(1+$AW91)*(1+$AX91)+(($AY91+$AZ91)/2*IF($G$1="裂石",$AL91,$AJ91)+IF($G$1="裂石",$AM91*1.5,0))*(1+$BA91)*(1+$BB91)+(($BC91+$BD91)/2*IF($G$1="牵丝",$AL91,$AJ91)+IF($G$1="牵丝",$AM91*1.5,0))*(1+$BE91)*(1+$BF91)+(($BG91+$BH91)/2*IF($G$1="破竹",$AL91,$AJ91)+IF($G$1="破竹",$AM91*1.5,0))*(1+$BI91)*(1+$BJ91))*(1+$AN91)*$P91*(1+IF(VLOOKUP($Q91,武学奇术!$A:$ZZ,30,FALSE)="弹道",$B$21,0))*(1+$BS91)</f>
        <v>11195.9989430215</v>
      </c>
      <c r="O91" s="55">
        <f>((($AP91*$AJ91+$AK91)*(1+$AR91)*(1+$AS91)+($AU91*IF($G$1="鸣金",$AL91,$AJ91)+IF($G$1="鸣金",$AM91*1.5,0))*(1+$AW91)*(1+$AX91)+($AY91*IF($G$1="裂石",$AL91,$AJ91)+IF($G$1="裂石",$AM91*1.5,0))*(1+$BA91)*(1+$BB91)+($BC91*IF($G$1="牵丝",$AL91,$AJ91)+IF($G$1="牵丝",$AM91*1.5,0))*(1+$BE91)*(1+$BF91)+($BG91*IF($G$1="破竹",$AL91,$AJ91)+IF($G$1="破竹",$AM91*1.5,0))*(1+$BI91)*(1+$BJ91))*(1+$AN91))*$P91*(1+IF(VLOOKUP($Q91,武学奇术!$A:$ZZ,30,FALSE)="弹道",$B$21,0))*(1+$BS91)</f>
        <v>6628.32931863691</v>
      </c>
      <c r="P91" s="56">
        <v>1</v>
      </c>
      <c r="Q91" s="57" t="s">
        <v>99</v>
      </c>
      <c r="R91" s="57" t="s">
        <v>116</v>
      </c>
      <c r="S91" s="57" t="s">
        <v>153</v>
      </c>
      <c r="T91" s="57" t="s">
        <v>72</v>
      </c>
      <c r="U91" s="57" t="s">
        <v>107</v>
      </c>
      <c r="V91" s="57" t="s">
        <v>72</v>
      </c>
      <c r="W91" s="57" t="s">
        <v>72</v>
      </c>
      <c r="X91" s="57" t="s">
        <v>72</v>
      </c>
      <c r="Y91" s="57" t="s">
        <v>112</v>
      </c>
      <c r="Z91" s="57" t="s">
        <v>113</v>
      </c>
      <c r="AA91" s="57" t="s">
        <v>72</v>
      </c>
      <c r="AB91" s="57" t="s">
        <v>96</v>
      </c>
      <c r="AC91" s="57" t="s">
        <v>72</v>
      </c>
      <c r="AD91" s="57" t="s">
        <v>72</v>
      </c>
      <c r="AE91" s="57" t="s">
        <v>72</v>
      </c>
      <c r="AF91" s="57" t="s">
        <v>72</v>
      </c>
      <c r="AG91" s="57" t="s">
        <v>72</v>
      </c>
      <c r="AH91" s="57" t="s">
        <v>87</v>
      </c>
      <c r="AI91" t="str">
        <f>VLOOKUP($Q91,武学奇术!$A:$ZZ,25,FALSE)</f>
        <v>伞</v>
      </c>
      <c r="AJ91" s="41">
        <f>VLOOKUP($Q91,武学奇术!$A:$ZZ,26,FALSE)</f>
        <v>0.54</v>
      </c>
      <c r="AK91" s="42">
        <f>VLOOKUP($Q91,武学奇术!$A:$ZZ,27,FALSE)*(1+IF(OR($AI91=$F$4,$AI91=$F$5),$B$22,0))</f>
        <v>207.2</v>
      </c>
      <c r="AL91" s="41">
        <f>VLOOKUP($Q91,武学奇术!$A:$ZZ,28,FALSE)</f>
        <v>0.81</v>
      </c>
      <c r="AM91" s="42">
        <f>VLOOKUP($Q91,武学奇术!$A:$ZZ,29,FALSE)*(1+IF(OR($AI91=$F$4,$AI91=$F$5),$B$22,0))</f>
        <v>114.1</v>
      </c>
      <c r="AN91" s="41" cm="1">
        <f t="array" ref="AN91">$G$3+IFERROR(VLOOKUP($AI91,$F$4:$G$7,2,FALSE),0)+VLOOKUP($Q91,武学奇术!$A:$ZZ,2,FALSE)+SUM(_xlfn.XLOOKUP($R91:$AH91,增益!$A:$A,增益!$B:$B,0))</f>
        <v>0.5541</v>
      </c>
      <c r="AO91" s="41" cm="1">
        <f t="array" ref="AO91">VLOOKUP($Q91,武学奇术!$A:$ZZ,5,FALSE)+SUM(_xlfn.XLOOKUP($R91:$AH91,增益!$A:$A,增益!$E:$E,0))</f>
        <v>0.075</v>
      </c>
      <c r="AP91" cm="1">
        <f t="array" ref="AP91">$D$10*(1+$AO91)+VLOOKUP($Q91,武学奇术!$A:$ZZ,3,FALSE)+SUM(_xlfn.XLOOKUP($R91:$AH91,增益!$A:$A,增益!$C:$C,0))-$I$2</f>
        <v>1974.055</v>
      </c>
      <c r="AQ91" cm="1">
        <f t="array" ref="AQ91">$E$10*(1+$AO91)+VLOOKUP($Q91,武学奇术!$A:$ZZ,4,FALSE)+SUM(_xlfn.XLOOKUP($R91:$AH91,增益!$A:$A,增益!$D:$D,0))-$I$2</f>
        <v>5941.45</v>
      </c>
      <c r="AR91" s="49" cm="1">
        <f t="array" ref="AR91">IF($F$10-$I$3+VLOOKUP($Q91,武学奇术!$A:$ZZ,6,FALSE)+SUM(_xlfn.XLOOKUP(R91:AH91,增益!$A:$A,增益!$F:$F,0))&gt;0,($F$10-$I$3+VLOOKUP($Q91,武学奇术!$A:$ZZ,6,FALSE)+SUM(_xlfn.XLOOKUP(R91:AH91,增益!$A:$A,增益!$F:$F,0)))/200,($F$10-$I$3+VLOOKUP($Q91,武学奇术!$A:$ZZ,6,FALSE)+SUM(_xlfn.XLOOKUP(R91:AH91,增益!$A:$A,增益!$F:$F,0)))/100)</f>
        <v>0.4675</v>
      </c>
      <c r="AS91" s="49" cm="1">
        <f t="array" ref="AS91">$G$10+VLOOKUP($Q91,武学奇术!$A:$ZZ,7,FALSE)+SUM(_xlfn.XLOOKUP(R91:AH91,增益!$A:$A,增益!$G:$G,0))</f>
        <v>0.1</v>
      </c>
      <c r="AT91" s="41" cm="1">
        <f t="array" ref="AT91">VLOOKUP($Q91,武学奇术!$A:$ZZ,8,FALSE)+SUM(_xlfn.XLOOKUP(R91:AH91,增益!$A:$A,增益!$H:$H,0))</f>
        <v>0</v>
      </c>
      <c r="AU91">
        <f>$D$11*(1+$AT91)</f>
        <v>0</v>
      </c>
      <c r="AV91">
        <f>$E$11*(1+$AT91)</f>
        <v>0</v>
      </c>
      <c r="AW91" s="49" cm="1">
        <f t="array" ref="AW91">IF($F$11-$I$4+VLOOKUP($Q91,武学奇术!$A:$ZZ,9,FALSE)+SUM(_xlfn.XLOOKUP(R91:AH91,增益!$A:$A,增益!$I:$I,0))&gt;0,($F$11-$I$4+VLOOKUP($Q91,武学奇术!$A:$ZZ,9,FALSE)+SUM(_xlfn.XLOOKUP(R91:AH91,增益!$A:$A,增益!$I:$I,0)))/200,($F$11-$I$4+VLOOKUP($Q91,武学奇术!$A:$ZZ,9,FALSE)+SUM(_xlfn.XLOOKUP(R91:AH91,增益!$A:$A,增益!$I:$I,0)))/100)</f>
        <v>-0.14</v>
      </c>
      <c r="AX91" s="49" cm="1">
        <f t="array" ref="AX91">$G$11+VLOOKUP($Q91,武学奇术!$A:$ZZ,10,FALSE)+SUM(_xlfn.XLOOKUP(R91:AH91,增益!$A:$A,增益!$J:$J,0))</f>
        <v>0</v>
      </c>
      <c r="AY91">
        <f>$D$12*(1+$AT91)</f>
        <v>0</v>
      </c>
      <c r="AZ91">
        <f>$E$12*(1+$AT91)</f>
        <v>0</v>
      </c>
      <c r="BA91" s="49" cm="1">
        <f t="array" ref="BA91">IF($F$12-$I$4+VLOOKUP($Q91,武学奇术!$A:$ZZ,11,FALSE)+SUM(_xlfn.XLOOKUP(R91:AH91,增益!$A:$A,增益!$K:$K,0))&gt;0,($F$12-$I$4+VLOOKUP($Q91,武学奇术!$A:$ZZ,11,FALSE)+SUM(_xlfn.XLOOKUP(R91:AH91,增益!$A:$A,增益!$K:$K,0)))/200,($F$12-$I$4+VLOOKUP($Q91,武学奇术!$A:$ZZ,11,FALSE)+SUM(_xlfn.XLOOKUP(R91:AH91,增益!$A:$A,增益!$K:$K,0)))/100)</f>
        <v>-0.14</v>
      </c>
      <c r="BB91" s="49" cm="1">
        <f t="array" ref="BB91">$G$12+VLOOKUP($Q91,武学奇术!$A:$ZZ,12,FALSE)+SUM(_xlfn.XLOOKUP(R91:AH91,增益!$A:$A,增益!$L:$L,0))</f>
        <v>0</v>
      </c>
      <c r="BC91">
        <f>$D$13*(1+$AT91)</f>
        <v>571.2</v>
      </c>
      <c r="BD91">
        <f>$E$13*(1+$AT91)</f>
        <v>1077.4</v>
      </c>
      <c r="BE91" s="49" cm="1">
        <f t="array" ref="BE91">IF($F$13-$I$4+VLOOKUP($Q91,武学奇术!$A:$ZZ,13,FALSE)+SUM(_xlfn.XLOOKUP(R91:AH91,增益!$A:$A,增益!$M:$M,0))&gt;0,($F$13-$I$4+VLOOKUP($Q91,武学奇术!$A:$ZZ,13,FALSE)+SUM(_xlfn.XLOOKUP(R91:AH91,增益!$A:$A,增益!$K:$K,0)))/200,($F$13-$I$4+VLOOKUP($Q91,武学奇术!$A:$ZZ,13,FALSE)+SUM(_xlfn.XLOOKUP(R91:AH91,增益!$A:$A,增益!$M:$M,0)))/100)</f>
        <v>0.08</v>
      </c>
      <c r="BF91" s="49" cm="1">
        <f t="array" ref="BF91">$G$13+VLOOKUP($Q91,武学奇术!$A:$ZZ,14,FALSE)+SUM(_xlfn.XLOOKUP(R91:AH91,增益!$A:$A,增益!$N:$N,0))</f>
        <v>0.25</v>
      </c>
      <c r="BG91">
        <f>$D$14*(1+$AT91)</f>
        <v>0</v>
      </c>
      <c r="BH91">
        <f>$E$14*(1+$AT91)</f>
        <v>0</v>
      </c>
      <c r="BI91" s="49" cm="1">
        <f t="array" ref="BI91">IF($F$14-$I$4+VLOOKUP($Q91,武学奇术!$A:$ZZ,15,FALSE)+SUM(_xlfn.XLOOKUP(R91:AH91,增益!$A:$A,增益!$O:$O,0))&gt;0,($F$14-$I$4+VLOOKUP($Q91,武学奇术!$A:$ZZ,15,FALSE)+SUM(_xlfn.XLOOKUP(R91:AH91,增益!$A:$A,增益!$O:$O,0)))/200,($F$14-$I$4+VLOOKUP($Q91,武学奇术!$A:$ZZ,15,FALSE)+SUM(_xlfn.XLOOKUP(R91:AH91,增益!$A:$A,增益!$O:$O,0)))/100)</f>
        <v>-0.14</v>
      </c>
      <c r="BJ91" s="49" cm="1">
        <f t="array" ref="BJ91">$G$14+VLOOKUP($Q91,武学奇术!$A:$ZZ,16,FALSE)+SUM(_xlfn.XLOOKUP(R91:AH91,增益!$A:$A,增益!$P:$P,0))</f>
        <v>0</v>
      </c>
      <c r="BK91" s="41">
        <f>MIN(IF(VLOOKUP($Q91,武学奇术!$A:$ZZ,23,FALSE)=1,100%,$B$8),100%)</f>
        <v>1</v>
      </c>
      <c r="BL91" s="41" cm="1">
        <f t="array" ref="BL91">IF(VLOOKUP($Q91,武学奇术!$A:$ZZ,23,FALSE)=1,100%,MIN(80%,$B$9+VLOOKUP($Q91,武学奇术!$A:$ZZ,17,FALSE)+SUM(_xlfn.XLOOKUP(R91:AH91,增益!$A:$A,增益!$Q:$Q,0)))+$B$11+SUM(_xlfn.XLOOKUP(R91:AH91,增益!$A:$A,增益!$U:$U,0)))*IF(VLOOKUP($Q91,武学奇术!$A:$ZZ,24,FALSE)=1,0,1)</f>
        <v>0.9045</v>
      </c>
      <c r="BM91" s="41" cm="1">
        <f t="array" ref="BM91">1+$B$13+VLOOKUP($Q91,武学奇术!$A:$ZZ,18,FALSE)+SUM(_xlfn.XLOOKUP(R91:AH91,增益!$A:$A,增益!$R:$R,0))</f>
        <v>1.85</v>
      </c>
      <c r="BN91" s="41" cm="1">
        <f t="array" ref="BN91">IF(VLOOKUP($Q91,武学奇术!$A:$ZZ,24,FALSE)=1,100%,MIN(40%,$B$10+VLOOKUP($Q91,武学奇术!$A:$ZZ,19,FALSE)+SUM(_xlfn.XLOOKUP(R91:AH91,增益!$A:$A,增益!$S:$S,0)))+$B$12+SUM(_xlfn.XLOOKUP(R91:AH91,增益!$A:$A,增益!$V:$V,0)))*IF(VLOOKUP($Q91,武学奇术!$A:$ZZ,23,FALSE)=1,0,1)</f>
        <v>0.0929</v>
      </c>
      <c r="BO91" s="41" cm="1">
        <f t="array" ref="BO91">1+$B$14+VLOOKUP($Q91,武学奇术!$A:$ZZ,20,FALSE)+SUM(_xlfn.XLOOKUP(R91:AH91,增益!$A:$A,增益!$T:$T,0))</f>
        <v>1.35</v>
      </c>
      <c r="BP91" s="41">
        <f>MIN((1-BN91)*BK91,BK91*BL91)</f>
        <v>0.9045</v>
      </c>
      <c r="BQ91" s="41">
        <f>1-BN91-BP91-BR91</f>
        <v>0.00260000000000005</v>
      </c>
      <c r="BR91" s="41">
        <f>IF(VLOOKUP($Q91,武学奇术!$A:$ZZ,22,FALSE)=1,0,(1-$BK91))*(1-$BN91)</f>
        <v>0</v>
      </c>
      <c r="BS91" s="41" cm="1">
        <f t="array" ref="BS91">SUM(_xlfn.XLOOKUP(R91:AH91,增益!$A:$A,增益!$W:$W,0))+$I$5</f>
        <v>0.11</v>
      </c>
    </row>
    <row r="92" spans="1:71">
      <c r="A92" s="4"/>
      <c r="B92" s="109"/>
      <c r="K92" s="55">
        <f>($L92*$BP92+$M92*$BN92+$N92*$BQ92+$O92*$BR92)</f>
        <v>762738.066922634</v>
      </c>
      <c r="L92" s="55">
        <f>((($AP92+$AQ92)/2*$AJ92+$AK92)*(1+$AR92)*(1+$AS92)+(($AU92+$AV92)/2*IF($G$1="鸣金",$AL92,$AJ92)+IF($G$1="鸣金",$AM92*1.5,0))*(1+$AW92)*(1+$AX92)+(($AY92+$AZ92)/2*IF($G$1="裂石",$AL92,$AJ92)+IF($G$1="裂石",$AM92*1.5,0))*(1+$BA92)*(1+$BB92)+(($BC92+$BD92)/2*IF($G$1="牵丝",$AL92,$AJ92)+IF($G$1="牵丝",$AM92*1.5,0))*(1+$BE92)*(1+$BF92)+(($BG92+$BH92)/2*IF($G$1="破竹",$AL92,$AJ92)+IF($G$1="破竹",$AM92*1.5,0))*(1+$BI92)*(1+$BJ92))*(1+$AN92)*$BM92*$P92*(1+IF(VLOOKUP($Q92,武学奇术!$A:$ZZ,30,FALSE)="弹道",$B$21,0))*(1+$BS92)</f>
        <v>773879.164707455</v>
      </c>
      <c r="M92" s="55">
        <f>(($AQ92*$AJ92+$AK92)*(1+$AR92)*(1+$AS92)+($AV92*IF($G$1="鸣金",$AL92,$AJ92)+IF($G$1="鸣金",$AM92*1.5,0))*(1+$AW92)*(1+$AX92)+($AZ92*IF($G$1="裂石",$AL92,$AJ92)+IF($G$1="裂石",$AM92*1.5,0))*(1+$BA92)*(1+$BB92)+($BD92*IF($G$1="牵丝",$AL92,$AJ92)+IF($G$1="牵丝",$AM92*1.5,0))*(1+$BE92)*(1+$BF92)+($BH92*IF($G$1="破竹",$AL92,$AJ92)+IF($G$1="破竹",$AM92*1.5,0))*(1+$BI92)*(1+$BJ92))*(1+$AN92)*$BO92*$P92*(1+IF(VLOOKUP($Q92,武学奇术!$A:$ZZ,30,FALSE)="弹道",$B$21,0))*(1+$BS92)</f>
        <v>665811.801599728</v>
      </c>
      <c r="N92" s="55">
        <f>((($AP92+$AQ92)/2*$AJ92+$AK92)*(1+$AR92)*(1+$AS92)+(($AU92+$AV92)/2*IF($G$1="鸣金",$AL92,$AJ92)+IF($G$1="鸣金",$AM92*1.5,0))*(1+$AW92)*(1+$AX92)+(($AY92+$AZ92)/2*IF($G$1="裂石",$AL92,$AJ92)+IF($G$1="裂石",$AM92*1.5,0))*(1+$BA92)*(1+$BB92)+(($BC92+$BD92)/2*IF($G$1="牵丝",$AL92,$AJ92)+IF($G$1="牵丝",$AM92*1.5,0))*(1+$BE92)*(1+$BF92)+(($BG92+$BH92)/2*IF($G$1="破竹",$AL92,$AJ92)+IF($G$1="破竹",$AM92*1.5,0))*(1+$BI92)*(1+$BJ92))*(1+$AN92)*$P92*(1+IF(VLOOKUP($Q92,武学奇术!$A:$ZZ,30,FALSE)="弹道",$B$21,0))*(1+$BS92)</f>
        <v>350171.56774093</v>
      </c>
      <c r="O92" s="55">
        <f>((($AP92*$AJ92+$AK92)*(1+$AR92)*(1+$AS92)+($AU92*IF($G$1="鸣金",$AL92,$AJ92)+IF($G$1="鸣金",$AM92*1.5,0))*(1+$AW92)*(1+$AX92)+($AY92*IF($G$1="裂石",$AL92,$AJ92)+IF($G$1="裂石",$AM92*1.5,0))*(1+$BA92)*(1+$BB92)+($BC92*IF($G$1="牵丝",$AL92,$AJ92)+IF($G$1="牵丝",$AM92*1.5,0))*(1+$BE92)*(1+$BF92)+($BG92*IF($G$1="破竹",$AL92,$AJ92)+IF($G$1="破竹",$AM92*1.5,0))*(1+$BI92)*(1+$BJ92))*(1+$AN92))*$P92*(1+IF(VLOOKUP($Q92,武学奇术!$A:$ZZ,30,FALSE)="弹道",$B$21,0))*(1+$BS92)</f>
        <v>207149.20837095</v>
      </c>
      <c r="P92" s="56">
        <v>10</v>
      </c>
      <c r="Q92" s="57" t="s">
        <v>102</v>
      </c>
      <c r="R92" s="57" t="s">
        <v>116</v>
      </c>
      <c r="S92" s="57" t="s">
        <v>153</v>
      </c>
      <c r="T92" s="57" t="s">
        <v>92</v>
      </c>
      <c r="U92" s="57" t="s">
        <v>107</v>
      </c>
      <c r="V92" s="57" t="s">
        <v>86</v>
      </c>
      <c r="W92" s="57" t="s">
        <v>72</v>
      </c>
      <c r="X92" s="57" t="s">
        <v>72</v>
      </c>
      <c r="Y92" s="57" t="s">
        <v>112</v>
      </c>
      <c r="Z92" s="57" t="s">
        <v>113</v>
      </c>
      <c r="AA92" s="57" t="s">
        <v>72</v>
      </c>
      <c r="AB92" s="57" t="s">
        <v>96</v>
      </c>
      <c r="AC92" s="57" t="s">
        <v>72</v>
      </c>
      <c r="AD92" s="57" t="s">
        <v>72</v>
      </c>
      <c r="AE92" s="57" t="s">
        <v>72</v>
      </c>
      <c r="AF92" s="57" t="s">
        <v>72</v>
      </c>
      <c r="AG92" s="57" t="s">
        <v>72</v>
      </c>
      <c r="AH92" s="57" t="s">
        <v>87</v>
      </c>
      <c r="AI92" t="str">
        <f>VLOOKUP($Q92,武学奇术!$A:$ZZ,25,FALSE)</f>
        <v>伞</v>
      </c>
      <c r="AJ92" s="41">
        <f>VLOOKUP($Q92,武学奇术!$A:$ZZ,26,FALSE)</f>
        <v>1.174955</v>
      </c>
      <c r="AK92" s="42">
        <f>VLOOKUP($Q92,武学奇术!$A:$ZZ,27,FALSE)*(1+IF(OR($AI92=$F$4,$AI92=$F$5),$B$22,0))</f>
        <v>454.02</v>
      </c>
      <c r="AL92" s="41">
        <f>VLOOKUP($Q92,武学奇术!$A:$ZZ,28,FALSE)</f>
        <v>1.762375</v>
      </c>
      <c r="AM92" s="42">
        <f>VLOOKUP($Q92,武学奇术!$A:$ZZ,29,FALSE)*(1+IF(OR($AI92=$F$4,$AI92=$F$5),$B$22,0))</f>
        <v>247.94</v>
      </c>
      <c r="AN92" s="41" cm="1">
        <f t="array" ref="AN92">$G$3+IFERROR(VLOOKUP($AI92,$F$4:$G$7,2,FALSE),0)+VLOOKUP($Q92,武学奇术!$A:$ZZ,2,FALSE)+SUM(_xlfn.XLOOKUP($R92:$AH92,增益!$A:$A,增益!$B:$B,0))</f>
        <v>1.2041</v>
      </c>
      <c r="AO92" s="41" cm="1">
        <f t="array" ref="AO92">VLOOKUP($Q92,武学奇术!$A:$ZZ,5,FALSE)+SUM(_xlfn.XLOOKUP($R92:$AH92,增益!$A:$A,增益!$E:$E,0))</f>
        <v>0.075</v>
      </c>
      <c r="AP92" cm="1">
        <f t="array" ref="AP92">$D$10*(1+$AO92)+VLOOKUP($Q92,武学奇术!$A:$ZZ,3,FALSE)+SUM(_xlfn.XLOOKUP($R92:$AH92,增益!$A:$A,增益!$C:$C,0))-$I$2</f>
        <v>1974.055</v>
      </c>
      <c r="AQ92" cm="1">
        <f t="array" ref="AQ92">$E$10*(1+$AO92)+VLOOKUP($Q92,武学奇术!$A:$ZZ,4,FALSE)+SUM(_xlfn.XLOOKUP($R92:$AH92,增益!$A:$A,增益!$D:$D,0))-$I$2</f>
        <v>5941.45</v>
      </c>
      <c r="AR92" s="49" cm="1">
        <f t="array" ref="AR92">IF($F$10-$I$3+VLOOKUP($Q92,武学奇术!$A:$ZZ,6,FALSE)+SUM(_xlfn.XLOOKUP(R92:AH92,增益!$A:$A,增益!$F:$F,0))&gt;0,($F$10-$I$3+VLOOKUP($Q92,武学奇术!$A:$ZZ,6,FALSE)+SUM(_xlfn.XLOOKUP(R92:AH92,增益!$A:$A,增益!$F:$F,0)))/200,($F$10-$I$3+VLOOKUP($Q92,武学奇术!$A:$ZZ,6,FALSE)+SUM(_xlfn.XLOOKUP(R92:AH92,增益!$A:$A,增益!$F:$F,0)))/100)</f>
        <v>0.4925</v>
      </c>
      <c r="AS92" s="49" cm="1">
        <f t="array" ref="AS92">$G$10+VLOOKUP($Q92,武学奇术!$A:$ZZ,7,FALSE)+SUM(_xlfn.XLOOKUP(R92:AH92,增益!$A:$A,增益!$G:$G,0))</f>
        <v>0.1</v>
      </c>
      <c r="AT92" s="41" cm="1">
        <f t="array" ref="AT92">VLOOKUP($Q92,武学奇术!$A:$ZZ,8,FALSE)+SUM(_xlfn.XLOOKUP(R92:AH92,增益!$A:$A,增益!$H:$H,0))</f>
        <v>0</v>
      </c>
      <c r="AU92">
        <f>$D$11*(1+$AT92)</f>
        <v>0</v>
      </c>
      <c r="AV92">
        <f>$E$11*(1+$AT92)</f>
        <v>0</v>
      </c>
      <c r="AW92" s="49" cm="1">
        <f t="array" ref="AW92">IF($F$11-$I$4+VLOOKUP($Q92,武学奇术!$A:$ZZ,9,FALSE)+SUM(_xlfn.XLOOKUP(R92:AH92,增益!$A:$A,增益!$I:$I,0))&gt;0,($F$11-$I$4+VLOOKUP($Q92,武学奇术!$A:$ZZ,9,FALSE)+SUM(_xlfn.XLOOKUP(R92:AH92,增益!$A:$A,增益!$I:$I,0)))/200,($F$11-$I$4+VLOOKUP($Q92,武学奇术!$A:$ZZ,9,FALSE)+SUM(_xlfn.XLOOKUP(R92:AH92,增益!$A:$A,增益!$I:$I,0)))/100)</f>
        <v>-0.14</v>
      </c>
      <c r="AX92" s="49" cm="1">
        <f t="array" ref="AX92">$G$11+VLOOKUP($Q92,武学奇术!$A:$ZZ,10,FALSE)+SUM(_xlfn.XLOOKUP(R92:AH92,增益!$A:$A,增益!$J:$J,0))</f>
        <v>0</v>
      </c>
      <c r="AY92">
        <f>$D$12*(1+$AT92)</f>
        <v>0</v>
      </c>
      <c r="AZ92">
        <f>$E$12*(1+$AT92)</f>
        <v>0</v>
      </c>
      <c r="BA92" s="49" cm="1">
        <f t="array" ref="BA92">IF($F$12-$I$4+VLOOKUP($Q92,武学奇术!$A:$ZZ,11,FALSE)+SUM(_xlfn.XLOOKUP(R92:AH92,增益!$A:$A,增益!$K:$K,0))&gt;0,($F$12-$I$4+VLOOKUP($Q92,武学奇术!$A:$ZZ,11,FALSE)+SUM(_xlfn.XLOOKUP(R92:AH92,增益!$A:$A,增益!$K:$K,0)))/200,($F$12-$I$4+VLOOKUP($Q92,武学奇术!$A:$ZZ,11,FALSE)+SUM(_xlfn.XLOOKUP(R92:AH92,增益!$A:$A,增益!$K:$K,0)))/100)</f>
        <v>-0.14</v>
      </c>
      <c r="BB92" s="49" cm="1">
        <f t="array" ref="BB92">$G$12+VLOOKUP($Q92,武学奇术!$A:$ZZ,12,FALSE)+SUM(_xlfn.XLOOKUP(R92:AH92,增益!$A:$A,增益!$L:$L,0))</f>
        <v>0</v>
      </c>
      <c r="BC92">
        <f>$D$13*(1+$AT92)</f>
        <v>571.2</v>
      </c>
      <c r="BD92">
        <f>$E$13*(1+$AT92)</f>
        <v>1077.4</v>
      </c>
      <c r="BE92" s="49" cm="1">
        <f t="array" ref="BE92">IF($F$13-$I$4+VLOOKUP($Q92,武学奇术!$A:$ZZ,13,FALSE)+SUM(_xlfn.XLOOKUP(R92:AH92,增益!$A:$A,增益!$M:$M,0))&gt;0,($F$13-$I$4+VLOOKUP($Q92,武学奇术!$A:$ZZ,13,FALSE)+SUM(_xlfn.XLOOKUP(R92:AH92,增益!$A:$A,增益!$K:$K,0)))/200,($F$13-$I$4+VLOOKUP($Q92,武学奇术!$A:$ZZ,13,FALSE)+SUM(_xlfn.XLOOKUP(R92:AH92,增益!$A:$A,增益!$M:$M,0)))/100)</f>
        <v>0.08</v>
      </c>
      <c r="BF92" s="49" cm="1">
        <f t="array" ref="BF92">$G$13+VLOOKUP($Q92,武学奇术!$A:$ZZ,14,FALSE)+SUM(_xlfn.XLOOKUP(R92:AH92,增益!$A:$A,增益!$N:$N,0))</f>
        <v>0.25</v>
      </c>
      <c r="BG92">
        <f>$D$14*(1+$AT92)</f>
        <v>0</v>
      </c>
      <c r="BH92">
        <f>$E$14*(1+$AT92)</f>
        <v>0</v>
      </c>
      <c r="BI92" s="49" cm="1">
        <f t="array" ref="BI92">IF($F$14-$I$4+VLOOKUP($Q92,武学奇术!$A:$ZZ,15,FALSE)+SUM(_xlfn.XLOOKUP(R92:AH92,增益!$A:$A,增益!$O:$O,0))&gt;0,($F$14-$I$4+VLOOKUP($Q92,武学奇术!$A:$ZZ,15,FALSE)+SUM(_xlfn.XLOOKUP(R92:AH92,增益!$A:$A,增益!$O:$O,0)))/200,($F$14-$I$4+VLOOKUP($Q92,武学奇术!$A:$ZZ,15,FALSE)+SUM(_xlfn.XLOOKUP(R92:AH92,增益!$A:$A,增益!$O:$O,0)))/100)</f>
        <v>-0.14</v>
      </c>
      <c r="BJ92" s="49" cm="1">
        <f t="array" ref="BJ92">$G$14+VLOOKUP($Q92,武学奇术!$A:$ZZ,16,FALSE)+SUM(_xlfn.XLOOKUP(R92:AH92,增益!$A:$A,增益!$P:$P,0))</f>
        <v>0</v>
      </c>
      <c r="BK92" s="41">
        <f>MIN(IF(VLOOKUP($Q92,武学奇术!$A:$ZZ,23,FALSE)=1,100%,$B$8),100%)</f>
        <v>1</v>
      </c>
      <c r="BL92" s="41" cm="1">
        <f t="array" ref="BL92">IF(VLOOKUP($Q92,武学奇术!$A:$ZZ,23,FALSE)=1,100%,MIN(80%,$B$9+VLOOKUP($Q92,武学奇术!$A:$ZZ,17,FALSE)+SUM(_xlfn.XLOOKUP(R92:AH92,增益!$A:$A,增益!$Q:$Q,0)))+$B$11+SUM(_xlfn.XLOOKUP(R92:AH92,增益!$A:$A,增益!$U:$U,0)))*IF(VLOOKUP($Q92,武学奇术!$A:$ZZ,24,FALSE)=1,0,1)</f>
        <v>0.9045</v>
      </c>
      <c r="BM92" s="41" cm="1">
        <f t="array" ref="BM92">1+$B$13+VLOOKUP($Q92,武学奇术!$A:$ZZ,18,FALSE)+SUM(_xlfn.XLOOKUP(R92:AH92,增益!$A:$A,增益!$R:$R,0))</f>
        <v>2.21</v>
      </c>
      <c r="BN92" s="41" cm="1">
        <f t="array" ref="BN92">IF(VLOOKUP($Q92,武学奇术!$A:$ZZ,24,FALSE)=1,100%,MIN(40%,$B$10+VLOOKUP($Q92,武学奇术!$A:$ZZ,19,FALSE)+SUM(_xlfn.XLOOKUP(R92:AH92,增益!$A:$A,增益!$S:$S,0)))+$B$12+SUM(_xlfn.XLOOKUP(R92:AH92,增益!$A:$A,增益!$V:$V,0)))*IF(VLOOKUP($Q92,武学奇术!$A:$ZZ,23,FALSE)=1,0,1)</f>
        <v>0.0929</v>
      </c>
      <c r="BO92" s="41" cm="1">
        <f t="array" ref="BO92">1+$B$14+VLOOKUP($Q92,武学奇术!$A:$ZZ,20,FALSE)+SUM(_xlfn.XLOOKUP(R92:AH92,增益!$A:$A,增益!$T:$T,0))</f>
        <v>1.35</v>
      </c>
      <c r="BP92" s="41">
        <f>MIN((1-BN92)*BK92,BK92*BL92)</f>
        <v>0.9045</v>
      </c>
      <c r="BQ92" s="41">
        <f>1-BN92-BP92-BR92</f>
        <v>0.00260000000000005</v>
      </c>
      <c r="BR92" s="41">
        <f>IF(VLOOKUP($Q92,武学奇术!$A:$ZZ,22,FALSE)=1,0,(1-$BK92))*(1-$BN92)</f>
        <v>0</v>
      </c>
      <c r="BS92" s="41" cm="1">
        <f t="array" ref="BS92">SUM(_xlfn.XLOOKUP(R92:AH92,增益!$A:$A,增益!$W:$W,0))+$I$5</f>
        <v>0.11</v>
      </c>
    </row>
    <row r="93" spans="1:71">
      <c r="K93" s="55">
        <f>($L93*$BP93+$M93*$BN93+$N93*$BQ93+$O93*$BR93)</f>
        <v>23261.0151161477</v>
      </c>
      <c r="L93" s="55">
        <f>((($AP93+$AQ93)/2*$AJ93+$AK93)*(1+$AR93)*(1+$AS93)+(($AU93+$AV93)/2*IF($G$1="鸣金",$AL93,$AJ93)+IF($G$1="鸣金",$AM93*1.5,0))*(1+$AW93)*(1+$AX93)+(($AY93+$AZ93)/2*IF($G$1="裂石",$AL93,$AJ93)+IF($G$1="裂石",$AM93*1.5,0))*(1+$BA93)*(1+$BB93)+(($BC93+$BD93)/2*IF($G$1="牵丝",$AL93,$AJ93)+IF($G$1="牵丝",$AM93*1.5,0))*(1+$BE93)*(1+$BF93)+(($BG93+$BH93)/2*IF($G$1="破竹",$AL93,$AJ93)+IF($G$1="破竹",$AM93*1.5,0))*(1+$BI93)*(1+$BJ93))*(1+$AN93)*$BM93*$P93*(1+IF(VLOOKUP($Q93,武学奇术!$A:$ZZ,30,FALSE)="弹道",$B$21,0))*(1+$BS93)</f>
        <v>23230.7722682524</v>
      </c>
      <c r="M93" s="55">
        <f>(($AQ93*$AJ93+$AK93)*(1+$AR93)*(1+$AS93)+($AV93*IF($G$1="鸣金",$AL93,$AJ93)+IF($G$1="鸣金",$AM93*1.5,0))*(1+$AW93)*(1+$AX93)+($AZ93*IF($G$1="裂石",$AL93,$AJ93)+IF($G$1="裂石",$AM93*1.5,0))*(1+$BA93)*(1+$BB93)+($BD93*IF($G$1="牵丝",$AL93,$AJ93)+IF($G$1="牵丝",$AM93*1.5,0))*(1+$BE93)*(1+$BF93)+($BH93*IF($G$1="破竹",$AL93,$AJ93)+IF($G$1="破竹",$AM93*1.5,0))*(1+$BI93)*(1+$BJ93))*(1+$AN93)*$BO93*$P93*(1+IF(VLOOKUP($Q93,武学奇术!$A:$ZZ,30,FALSE)="弹道",$B$21,0))*(1+$BS93)</f>
        <v>23855.0371000634</v>
      </c>
      <c r="N93" s="55">
        <f>((($AP93+$AQ93)/2*$AJ93+$AK93)*(1+$AR93)*(1+$AS93)+(($AU93+$AV93)/2*IF($G$1="鸣金",$AL93,$AJ93)+IF($G$1="鸣金",$AM93*1.5,0))*(1+$AW93)*(1+$AX93)+(($AY93+$AZ93)/2*IF($G$1="裂石",$AL93,$AJ93)+IF($G$1="裂石",$AM93*1.5,0))*(1+$BA93)*(1+$BB93)+(($BC93+$BD93)/2*IF($G$1="牵丝",$AL93,$AJ93)+IF($G$1="牵丝",$AM93*1.5,0))*(1+$BE93)*(1+$BF93)+(($BG93+$BH93)/2*IF($G$1="破竹",$AL93,$AJ93)+IF($G$1="破竹",$AM93*1.5,0))*(1+$BI93)*(1+$BJ93))*(1+$AN93)*$P93*(1+IF(VLOOKUP($Q93,武学奇术!$A:$ZZ,30,FALSE)="弹道",$B$21,0))*(1+$BS93)</f>
        <v>12557.1741990554</v>
      </c>
      <c r="O93" s="55">
        <f>((($AP93*$AJ93+$AK93)*(1+$AR93)*(1+$AS93)+($AU93*IF($G$1="鸣金",$AL93,$AJ93)+IF($G$1="鸣金",$AM93*1.5,0))*(1+$AW93)*(1+$AX93)+($AY93*IF($G$1="裂石",$AL93,$AJ93)+IF($G$1="裂石",$AM93*1.5,0))*(1+$BA93)*(1+$BB93)+($BC93*IF($G$1="牵丝",$AL93,$AJ93)+IF($G$1="牵丝",$AM93*1.5,0))*(1+$BE93)*(1+$BF93)+($BG93*IF($G$1="破竹",$AL93,$AJ93)+IF($G$1="破竹",$AM93*1.5,0))*(1+$BI93)*(1+$BJ93))*(1+$AN93))*$P93*(1+IF(VLOOKUP($Q93,武学奇术!$A:$ZZ,30,FALSE)="弹道",$B$21,0))*(1+$BS93)</f>
        <v>7443.95054621194</v>
      </c>
      <c r="P93" s="56">
        <v>1</v>
      </c>
      <c r="Q93" s="57" t="s">
        <v>146</v>
      </c>
      <c r="R93" s="57" t="s">
        <v>116</v>
      </c>
      <c r="S93" s="57" t="s">
        <v>153</v>
      </c>
      <c r="T93" s="57" t="s">
        <v>72</v>
      </c>
      <c r="U93" s="57" t="s">
        <v>107</v>
      </c>
      <c r="V93" s="57" t="s">
        <v>72</v>
      </c>
      <c r="W93" s="57" t="s">
        <v>72</v>
      </c>
      <c r="X93" s="57" t="s">
        <v>72</v>
      </c>
      <c r="Y93" s="57" t="s">
        <v>112</v>
      </c>
      <c r="Z93" s="57" t="s">
        <v>113</v>
      </c>
      <c r="AA93" s="57" t="s">
        <v>72</v>
      </c>
      <c r="AB93" s="57" t="s">
        <v>96</v>
      </c>
      <c r="AC93" s="57" t="s">
        <v>72</v>
      </c>
      <c r="AD93" s="57" t="s">
        <v>72</v>
      </c>
      <c r="AE93" s="57" t="s">
        <v>72</v>
      </c>
      <c r="AF93" s="57" t="s">
        <v>72</v>
      </c>
      <c r="AG93" s="57" t="s">
        <v>72</v>
      </c>
      <c r="AH93" s="57" t="s">
        <v>87</v>
      </c>
      <c r="AI93" t="str">
        <f>VLOOKUP($Q93,武学奇术!$A:$ZZ,25,FALSE)</f>
        <v>扇</v>
      </c>
      <c r="AJ93" s="41">
        <f>VLOOKUP($Q93,武学奇术!$A:$ZZ,26,FALSE)</f>
        <v>0.9271</v>
      </c>
      <c r="AK93" s="42">
        <f>VLOOKUP($Q93,武学奇术!$A:$ZZ,27,FALSE)*(1+IF(OR($AI93=$F$4,$AI93=$F$5),$B$22,0))</f>
        <v>359.8</v>
      </c>
      <c r="AL93" s="41">
        <f>VLOOKUP($Q93,武学奇术!$A:$ZZ,28,FALSE)</f>
        <v>1.3907</v>
      </c>
      <c r="AM93" s="42">
        <f>VLOOKUP($Q93,武学奇术!$A:$ZZ,29,FALSE)*(1+IF(OR($AI93=$F$4,$AI93=$F$5),$B$22,0))</f>
        <v>196</v>
      </c>
      <c r="AN93" s="41" cm="1">
        <f t="array" ref="AN93">$G$3+IFERROR(VLOOKUP($AI93,$F$4:$G$7,2,FALSE),0)+VLOOKUP($Q93,武学奇术!$A:$ZZ,2,FALSE)+SUM(_xlfn.XLOOKUP($R93:$AH93,增益!$A:$A,增益!$B:$B,0))</f>
        <v>0.4689</v>
      </c>
      <c r="AO93" s="41" cm="1">
        <f t="array" ref="AO93">VLOOKUP($Q93,武学奇术!$A:$ZZ,5,FALSE)+SUM(_xlfn.XLOOKUP($R93:$AH93,增益!$A:$A,增益!$E:$E,0))</f>
        <v>0.075</v>
      </c>
      <c r="AP93" cm="1">
        <f t="array" ref="AP93">$D$10*(1+$AO93)+VLOOKUP($Q93,武学奇术!$A:$ZZ,3,FALSE)+SUM(_xlfn.XLOOKUP($R93:$AH93,增益!$A:$A,增益!$C:$C,0))-$I$2</f>
        <v>1974.055</v>
      </c>
      <c r="AQ93" cm="1">
        <f t="array" ref="AQ93">$E$10*(1+$AO93)+VLOOKUP($Q93,武学奇术!$A:$ZZ,4,FALSE)+SUM(_xlfn.XLOOKUP($R93:$AH93,增益!$A:$A,增益!$D:$D,0))-$I$2</f>
        <v>5941.45</v>
      </c>
      <c r="AR93" s="49" cm="1">
        <f t="array" ref="AR93">IF($F$10-$I$3+VLOOKUP($Q93,武学奇术!$A:$ZZ,6,FALSE)+SUM(_xlfn.XLOOKUP(R93:AH93,增益!$A:$A,增益!$F:$F,0))&gt;0,($F$10-$I$3+VLOOKUP($Q93,武学奇术!$A:$ZZ,6,FALSE)+SUM(_xlfn.XLOOKUP(R93:AH93,增益!$A:$A,增益!$F:$F,0)))/200,($F$10-$I$3+VLOOKUP($Q93,武学奇术!$A:$ZZ,6,FALSE)+SUM(_xlfn.XLOOKUP(R93:AH93,增益!$A:$A,增益!$F:$F,0)))/100)</f>
        <v>0.4675</v>
      </c>
      <c r="AS93" s="49" cm="1">
        <f t="array" ref="AS93">$G$10+VLOOKUP($Q93,武学奇术!$A:$ZZ,7,FALSE)+SUM(_xlfn.XLOOKUP(R93:AH93,增益!$A:$A,增益!$G:$G,0))</f>
        <v>0</v>
      </c>
      <c r="AT93" s="41" cm="1">
        <f t="array" ref="AT93">VLOOKUP($Q93,武学奇术!$A:$ZZ,8,FALSE)+SUM(_xlfn.XLOOKUP(R93:AH93,增益!$A:$A,增益!$H:$H,0))</f>
        <v>0</v>
      </c>
      <c r="AU93">
        <f>$D$11*(1+$AT93)</f>
        <v>0</v>
      </c>
      <c r="AV93">
        <f>$E$11*(1+$AT93)</f>
        <v>0</v>
      </c>
      <c r="AW93" s="49" cm="1">
        <f t="array" ref="AW93">IF($F$11-$I$4+VLOOKUP($Q93,武学奇术!$A:$ZZ,9,FALSE)+SUM(_xlfn.XLOOKUP(R93:AH93,增益!$A:$A,增益!$I:$I,0))&gt;0,($F$11-$I$4+VLOOKUP($Q93,武学奇术!$A:$ZZ,9,FALSE)+SUM(_xlfn.XLOOKUP(R93:AH93,增益!$A:$A,增益!$I:$I,0)))/200,($F$11-$I$4+VLOOKUP($Q93,武学奇术!$A:$ZZ,9,FALSE)+SUM(_xlfn.XLOOKUP(R93:AH93,增益!$A:$A,增益!$I:$I,0)))/100)</f>
        <v>-0.14</v>
      </c>
      <c r="AX93" s="49" cm="1">
        <f t="array" ref="AX93">$G$11+VLOOKUP($Q93,武学奇术!$A:$ZZ,10,FALSE)+SUM(_xlfn.XLOOKUP(R93:AH93,增益!$A:$A,增益!$J:$J,0))</f>
        <v>0</v>
      </c>
      <c r="AY93">
        <f>$D$12*(1+$AT93)</f>
        <v>0</v>
      </c>
      <c r="AZ93">
        <f>$E$12*(1+$AT93)</f>
        <v>0</v>
      </c>
      <c r="BA93" s="49" cm="1">
        <f t="array" ref="BA93">IF($F$12-$I$4+VLOOKUP($Q93,武学奇术!$A:$ZZ,11,FALSE)+SUM(_xlfn.XLOOKUP(R93:AH93,增益!$A:$A,增益!$K:$K,0))&gt;0,($F$12-$I$4+VLOOKUP($Q93,武学奇术!$A:$ZZ,11,FALSE)+SUM(_xlfn.XLOOKUP(R93:AH93,增益!$A:$A,增益!$K:$K,0)))/200,($F$12-$I$4+VLOOKUP($Q93,武学奇术!$A:$ZZ,11,FALSE)+SUM(_xlfn.XLOOKUP(R93:AH93,增益!$A:$A,增益!$K:$K,0)))/100)</f>
        <v>-0.14</v>
      </c>
      <c r="BB93" s="49" cm="1">
        <f t="array" ref="BB93">$G$12+VLOOKUP($Q93,武学奇术!$A:$ZZ,12,FALSE)+SUM(_xlfn.XLOOKUP(R93:AH93,增益!$A:$A,增益!$L:$L,0))</f>
        <v>0</v>
      </c>
      <c r="BC93">
        <f>$D$13*(1+$AT93)</f>
        <v>571.2</v>
      </c>
      <c r="BD93">
        <f>$E$13*(1+$AT93)</f>
        <v>1077.4</v>
      </c>
      <c r="BE93" s="49" cm="1">
        <f t="array" ref="BE93">IF($F$13-$I$4+VLOOKUP($Q93,武学奇术!$A:$ZZ,13,FALSE)+SUM(_xlfn.XLOOKUP(R93:AH93,增益!$A:$A,增益!$M:$M,0))&gt;0,($F$13-$I$4+VLOOKUP($Q93,武学奇术!$A:$ZZ,13,FALSE)+SUM(_xlfn.XLOOKUP(R93:AH93,增益!$A:$A,增益!$K:$K,0)))/200,($F$13-$I$4+VLOOKUP($Q93,武学奇术!$A:$ZZ,13,FALSE)+SUM(_xlfn.XLOOKUP(R93:AH93,增益!$A:$A,增益!$M:$M,0)))/100)</f>
        <v>0.08</v>
      </c>
      <c r="BF93" s="49" cm="1">
        <f t="array" ref="BF93">$G$13+VLOOKUP($Q93,武学奇术!$A:$ZZ,14,FALSE)+SUM(_xlfn.XLOOKUP(R93:AH93,增益!$A:$A,增益!$N:$N,0))</f>
        <v>0.15</v>
      </c>
      <c r="BG93">
        <f>$D$14*(1+$AT93)</f>
        <v>0</v>
      </c>
      <c r="BH93">
        <f>$E$14*(1+$AT93)</f>
        <v>0</v>
      </c>
      <c r="BI93" s="49" cm="1">
        <f t="array" ref="BI93">IF($F$14-$I$4+VLOOKUP($Q93,武学奇术!$A:$ZZ,15,FALSE)+SUM(_xlfn.XLOOKUP(R93:AH93,增益!$A:$A,增益!$O:$O,0))&gt;0,($F$14-$I$4+VLOOKUP($Q93,武学奇术!$A:$ZZ,15,FALSE)+SUM(_xlfn.XLOOKUP(R93:AH93,增益!$A:$A,增益!$O:$O,0)))/200,($F$14-$I$4+VLOOKUP($Q93,武学奇术!$A:$ZZ,15,FALSE)+SUM(_xlfn.XLOOKUP(R93:AH93,增益!$A:$A,增益!$O:$O,0)))/100)</f>
        <v>-0.14</v>
      </c>
      <c r="BJ93" s="49" cm="1">
        <f t="array" ref="BJ93">$G$14+VLOOKUP($Q93,武学奇术!$A:$ZZ,16,FALSE)+SUM(_xlfn.XLOOKUP(R93:AH93,增益!$A:$A,增益!$P:$P,0))</f>
        <v>0</v>
      </c>
      <c r="BK93" s="41">
        <f>MIN(IF(VLOOKUP($Q93,武学奇术!$A:$ZZ,23,FALSE)=1,100%,$B$8),100%)</f>
        <v>1</v>
      </c>
      <c r="BL93" s="41" cm="1">
        <f t="array" ref="BL93">IF(VLOOKUP($Q93,武学奇术!$A:$ZZ,23,FALSE)=1,100%,MIN(80%,$B$9+VLOOKUP($Q93,武学奇术!$A:$ZZ,17,FALSE)+SUM(_xlfn.XLOOKUP(R93:AH93,增益!$A:$A,增益!$Q:$Q,0)))+$B$11+SUM(_xlfn.XLOOKUP(R93:AH93,增益!$A:$A,增益!$U:$U,0)))*IF(VLOOKUP($Q93,武学奇术!$A:$ZZ,24,FALSE)=1,0,1)</f>
        <v>0.9045</v>
      </c>
      <c r="BM93" s="41" cm="1">
        <f t="array" ref="BM93">1+$B$13+VLOOKUP($Q93,武学奇术!$A:$ZZ,18,FALSE)+SUM(_xlfn.XLOOKUP(R93:AH93,增益!$A:$A,增益!$R:$R,0))</f>
        <v>1.85</v>
      </c>
      <c r="BN93" s="41" cm="1">
        <f t="array" ref="BN93">IF(VLOOKUP($Q93,武学奇术!$A:$ZZ,24,FALSE)=1,100%,MIN(40%,$B$10+VLOOKUP($Q93,武学奇术!$A:$ZZ,19,FALSE)+SUM(_xlfn.XLOOKUP(R93:AH93,增益!$A:$A,增益!$S:$S,0)))+$B$12+SUM(_xlfn.XLOOKUP(R93:AH93,增益!$A:$A,增益!$V:$V,0)))*IF(VLOOKUP($Q93,武学奇术!$A:$ZZ,23,FALSE)=1,0,1)</f>
        <v>0.0929</v>
      </c>
      <c r="BO93" s="41" cm="1">
        <f t="array" ref="BO93">1+$B$14+VLOOKUP($Q93,武学奇术!$A:$ZZ,20,FALSE)+SUM(_xlfn.XLOOKUP(R93:AH93,增益!$A:$A,增益!$T:$T,0))</f>
        <v>1.35</v>
      </c>
      <c r="BP93" s="41">
        <f>MIN((1-BN93)*BK93,BK93*BL93)</f>
        <v>0.9045</v>
      </c>
      <c r="BQ93" s="41">
        <f>1-BN93-BP93-BR93</f>
        <v>0.00260000000000005</v>
      </c>
      <c r="BR93" s="41">
        <f>IF(VLOOKUP($Q93,武学奇术!$A:$ZZ,22,FALSE)=1,0,(1-$BK93))*(1-$BN93)</f>
        <v>0</v>
      </c>
      <c r="BS93" s="41" cm="1">
        <f t="array" ref="BS93">SUM(_xlfn.XLOOKUP(R93:AH93,增益!$A:$A,增益!$W:$W,0))+$I$5</f>
        <v>0.11</v>
      </c>
    </row>
    <row r="94" spans="1:71">
      <c r="A94" s="4"/>
      <c r="B94" s="4"/>
      <c r="C94" s="4"/>
      <c r="D94"/>
      <c r="E94" s="44"/>
      <c r="F94"/>
      <c r="K94" s="55">
        <f>($L94*$BP94+$M94*$BN94+$N94*$BQ94+$O94*$BR94)</f>
        <v>159234.900002666</v>
      </c>
      <c r="L94" s="55">
        <f>((($AP94+$AQ94)/2*$AJ94+$AK94)*(1+$AR94)*(1+$AS94)+(($AU94+$AV94)/2*IF($G$1="鸣金",$AL94,$AJ94)+IF($G$1="鸣金",$AM94*1.5,0))*(1+$AW94)*(1+$AX94)+(($AY94+$AZ94)/2*IF($G$1="裂石",$AL94,$AJ94)+IF($G$1="裂石",$AM94*1.5,0))*(1+$BA94)*(1+$BB94)+(($BC94+$BD94)/2*IF($G$1="牵丝",$AL94,$AJ94)+IF($G$1="牵丝",$AM94*1.5,0))*(1+$BE94)*(1+$BF94)+(($BG94+$BH94)/2*IF($G$1="破竹",$AL94,$AJ94)+IF($G$1="破竹",$AM94*1.5,0))*(1+$BI94)*(1+$BJ94))*(1+$AN94)*$BM94*$P94*(1+IF(VLOOKUP($Q94,武学奇术!$A:$ZZ,30,FALSE)="弹道",$B$21,0))*(1+$BS94)</f>
        <v>158630.158968332</v>
      </c>
      <c r="M94" s="55">
        <f>(($AQ94*$AJ94+$AK94)*(1+$AR94)*(1+$AS94)+($AV94*IF($G$1="鸣金",$AL94,$AJ94)+IF($G$1="鸣金",$AM94*1.5,0))*(1+$AW94)*(1+$AX94)+($AZ94*IF($G$1="裂石",$AL94,$AJ94)+IF($G$1="裂石",$AM94*1.5,0))*(1+$BA94)*(1+$BB94)+($BD94*IF($G$1="牵丝",$AL94,$AJ94)+IF($G$1="牵丝",$AM94*1.5,0))*(1+$BE94)*(1+$BF94)+($BH94*IF($G$1="破竹",$AL94,$AJ94)+IF($G$1="破竹",$AM94*1.5,0))*(1+$BI94)*(1+$BJ94))*(1+$AN94)*$BO94*$P94*(1+IF(VLOOKUP($Q94,武学奇术!$A:$ZZ,30,FALSE)="弹道",$B$21,0))*(1+$BS94)</f>
        <v>167179.564401887</v>
      </c>
      <c r="N94" s="55">
        <f>((($AP94+$AQ94)/2*$AJ94+$AK94)*(1+$AR94)*(1+$AS94)+(($AU94+$AV94)/2*IF($G$1="鸣金",$AL94,$AJ94)+IF($G$1="鸣金",$AM94*1.5,0))*(1+$AW94)*(1+$AX94)+(($AY94+$AZ94)/2*IF($G$1="裂石",$AL94,$AJ94)+IF($G$1="裂石",$AM94*1.5,0))*(1+$BA94)*(1+$BB94)+(($BC94+$BD94)/2*IF($G$1="牵丝",$AL94,$AJ94)+IF($G$1="牵丝",$AM94*1.5,0))*(1+$BE94)*(1+$BF94)+(($BG94+$BH94)/2*IF($G$1="破竹",$AL94,$AJ94)+IF($G$1="破竹",$AM94*1.5,0))*(1+$BI94)*(1+$BJ94))*(1+$AN94)*$P94*(1+IF(VLOOKUP($Q94,武学奇术!$A:$ZZ,30,FALSE)="弹道",$B$21,0))*(1+$BS94)</f>
        <v>85746.0318747739</v>
      </c>
      <c r="O94" s="55">
        <f>((($AP94*$AJ94+$AK94)*(1+$AR94)*(1+$AS94)+($AU94*IF($G$1="鸣金",$AL94,$AJ94)+IF($G$1="鸣金",$AM94*1.5,0))*(1+$AW94)*(1+$AX94)+($AY94*IF($G$1="裂石",$AL94,$AJ94)+IF($G$1="裂石",$AM94*1.5,0))*(1+$BA94)*(1+$BB94)+($BC94*IF($G$1="牵丝",$AL94,$AJ94)+IF($G$1="牵丝",$AM94*1.5,0))*(1+$BE94)*(1+$BF94)+($BG94*IF($G$1="破竹",$AL94,$AJ94)+IF($G$1="破竹",$AM94*1.5,0))*(1+$BI94)*(1+$BJ94))*(1+$AN94))*$P94*(1+IF(VLOOKUP($Q94,武学奇术!$A:$ZZ,30,FALSE)="弹道",$B$21,0))*(1+$BS94)</f>
        <v>47655.3493777797</v>
      </c>
      <c r="P94" s="56">
        <v>6</v>
      </c>
      <c r="Q94" s="57" t="s">
        <v>164</v>
      </c>
      <c r="R94" s="57" t="s">
        <v>116</v>
      </c>
      <c r="S94" s="57" t="s">
        <v>153</v>
      </c>
      <c r="T94" s="57" t="s">
        <v>72</v>
      </c>
      <c r="U94" s="57" t="s">
        <v>107</v>
      </c>
      <c r="V94" s="57" t="s">
        <v>72</v>
      </c>
      <c r="W94" s="57" t="s">
        <v>72</v>
      </c>
      <c r="X94" s="57" t="s">
        <v>72</v>
      </c>
      <c r="Y94" s="57" t="s">
        <v>112</v>
      </c>
      <c r="Z94" s="57" t="s">
        <v>113</v>
      </c>
      <c r="AA94" s="57" t="s">
        <v>72</v>
      </c>
      <c r="AB94" s="57" t="s">
        <v>96</v>
      </c>
      <c r="AC94" s="57" t="s">
        <v>72</v>
      </c>
      <c r="AD94" s="57" t="s">
        <v>72</v>
      </c>
      <c r="AE94" s="57" t="s">
        <v>72</v>
      </c>
      <c r="AF94" s="57" t="s">
        <v>72</v>
      </c>
      <c r="AG94" s="57" t="s">
        <v>72</v>
      </c>
      <c r="AH94" s="57" t="s">
        <v>87</v>
      </c>
      <c r="AI94" t="str">
        <f>VLOOKUP($Q94,武学奇术!$A:$ZZ,25,FALSE)</f>
        <v>单体奇术</v>
      </c>
      <c r="AJ94" s="41">
        <f>VLOOKUP($Q94,武学奇术!$A:$ZZ,26,FALSE)</f>
        <v>1.0238</v>
      </c>
      <c r="AK94" s="42">
        <f>VLOOKUP($Q94,武学奇术!$A:$ZZ,27,FALSE)*(1+IF(OR($AI94=$F$4,$AI94=$F$5),$B$22,0))</f>
        <v>189</v>
      </c>
      <c r="AL94" s="41">
        <f>VLOOKUP($Q94,武学奇术!$A:$ZZ,28,FALSE)</f>
        <v>1.5357</v>
      </c>
      <c r="AM94" s="42">
        <f>VLOOKUP($Q94,武学奇术!$A:$ZZ,29,FALSE)*(1+IF(OR($AI94=$F$4,$AI94=$F$5),$B$22,0))</f>
        <v>0</v>
      </c>
      <c r="AN94" s="41" cm="1">
        <f t="array" ref="AN94">$G$3+IFERROR(VLOOKUP($AI94,$F$4:$G$7,2,FALSE),0)+VLOOKUP($Q94,武学奇术!$A:$ZZ,2,FALSE)+SUM(_xlfn.XLOOKUP($R94:$AH94,增益!$A:$A,增益!$B:$B,0))</f>
        <v>0.6515</v>
      </c>
      <c r="AO94" s="41" cm="1">
        <f t="array" ref="AO94">VLOOKUP($Q94,武学奇术!$A:$ZZ,5,FALSE)+SUM(_xlfn.XLOOKUP($R94:$AH94,增益!$A:$A,增益!$E:$E,0))</f>
        <v>0.075</v>
      </c>
      <c r="AP94" cm="1">
        <f t="array" ref="AP94">$D$10*(1+$AO94)+VLOOKUP($Q94,武学奇术!$A:$ZZ,3,FALSE)+SUM(_xlfn.XLOOKUP($R94:$AH94,增益!$A:$A,增益!$C:$C,0))-$I$2</f>
        <v>1974.055</v>
      </c>
      <c r="AQ94" cm="1">
        <f t="array" ref="AQ94">$E$10*(1+$AO94)+VLOOKUP($Q94,武学奇术!$A:$ZZ,4,FALSE)+SUM(_xlfn.XLOOKUP($R94:$AH94,增益!$A:$A,增益!$D:$D,0))-$I$2</f>
        <v>5941.45</v>
      </c>
      <c r="AR94" s="49" cm="1">
        <f t="array" ref="AR94">IF($F$10-$I$3+VLOOKUP($Q94,武学奇术!$A:$ZZ,6,FALSE)+SUM(_xlfn.XLOOKUP(R94:AH94,增益!$A:$A,增益!$F:$F,0))&gt;0,($F$10-$I$3+VLOOKUP($Q94,武学奇术!$A:$ZZ,6,FALSE)+SUM(_xlfn.XLOOKUP(R94:AH94,增益!$A:$A,增益!$F:$F,0)))/200,($F$10-$I$3+VLOOKUP($Q94,武学奇术!$A:$ZZ,6,FALSE)+SUM(_xlfn.XLOOKUP(R94:AH94,增益!$A:$A,增益!$F:$F,0)))/100)</f>
        <v>0.4675</v>
      </c>
      <c r="AS94" s="49" cm="1">
        <f t="array" ref="AS94">$G$10+VLOOKUP($Q94,武学奇术!$A:$ZZ,7,FALSE)+SUM(_xlfn.XLOOKUP(R94:AH94,增益!$A:$A,增益!$G:$G,0))</f>
        <v>0</v>
      </c>
      <c r="AT94" s="41" cm="1">
        <f t="array" ref="AT94">VLOOKUP($Q94,武学奇术!$A:$ZZ,8,FALSE)+SUM(_xlfn.XLOOKUP(R94:AH94,增益!$A:$A,增益!$H:$H,0))</f>
        <v>0</v>
      </c>
      <c r="AU94">
        <f>$D$11*(1+$AT94)</f>
        <v>0</v>
      </c>
      <c r="AV94">
        <f>$E$11*(1+$AT94)</f>
        <v>0</v>
      </c>
      <c r="AW94" s="49" cm="1">
        <f t="array" ref="AW94">IF($F$11-$I$4+VLOOKUP($Q94,武学奇术!$A:$ZZ,9,FALSE)+SUM(_xlfn.XLOOKUP(R94:AH94,增益!$A:$A,增益!$I:$I,0))&gt;0,($F$11-$I$4+VLOOKUP($Q94,武学奇术!$A:$ZZ,9,FALSE)+SUM(_xlfn.XLOOKUP(R94:AH94,增益!$A:$A,增益!$I:$I,0)))/200,($F$11-$I$4+VLOOKUP($Q94,武学奇术!$A:$ZZ,9,FALSE)+SUM(_xlfn.XLOOKUP(R94:AH94,增益!$A:$A,增益!$I:$I,0)))/100)</f>
        <v>-0.14</v>
      </c>
      <c r="AX94" s="49" cm="1">
        <f t="array" ref="AX94">$G$11+VLOOKUP($Q94,武学奇术!$A:$ZZ,10,FALSE)+SUM(_xlfn.XLOOKUP(R94:AH94,增益!$A:$A,增益!$J:$J,0))</f>
        <v>0</v>
      </c>
      <c r="AY94">
        <f>$D$12*(1+$AT94)</f>
        <v>0</v>
      </c>
      <c r="AZ94">
        <f>$E$12*(1+$AT94)</f>
        <v>0</v>
      </c>
      <c r="BA94" s="49" cm="1">
        <f t="array" ref="BA94">IF($F$12-$I$4+VLOOKUP($Q94,武学奇术!$A:$ZZ,11,FALSE)+SUM(_xlfn.XLOOKUP(R94:AH94,增益!$A:$A,增益!$K:$K,0))&gt;0,($F$12-$I$4+VLOOKUP($Q94,武学奇术!$A:$ZZ,11,FALSE)+SUM(_xlfn.XLOOKUP(R94:AH94,增益!$A:$A,增益!$K:$K,0)))/200,($F$12-$I$4+VLOOKUP($Q94,武学奇术!$A:$ZZ,11,FALSE)+SUM(_xlfn.XLOOKUP(R94:AH94,增益!$A:$A,增益!$K:$K,0)))/100)</f>
        <v>-0.14</v>
      </c>
      <c r="BB94" s="49" cm="1">
        <f t="array" ref="BB94">$G$12+VLOOKUP($Q94,武学奇术!$A:$ZZ,12,FALSE)+SUM(_xlfn.XLOOKUP(R94:AH94,增益!$A:$A,增益!$L:$L,0))</f>
        <v>0</v>
      </c>
      <c r="BC94">
        <f>$D$13*(1+$AT94)</f>
        <v>571.2</v>
      </c>
      <c r="BD94">
        <f>$E$13*(1+$AT94)</f>
        <v>1077.4</v>
      </c>
      <c r="BE94" s="49" cm="1">
        <f t="array" ref="BE94">IF($F$13-$I$4+VLOOKUP($Q94,武学奇术!$A:$ZZ,13,FALSE)+SUM(_xlfn.XLOOKUP(R94:AH94,增益!$A:$A,增益!$M:$M,0))&gt;0,($F$13-$I$4+VLOOKUP($Q94,武学奇术!$A:$ZZ,13,FALSE)+SUM(_xlfn.XLOOKUP(R94:AH94,增益!$A:$A,增益!$K:$K,0)))/200,($F$13-$I$4+VLOOKUP($Q94,武学奇术!$A:$ZZ,13,FALSE)+SUM(_xlfn.XLOOKUP(R94:AH94,增益!$A:$A,增益!$M:$M,0)))/100)</f>
        <v>0.08</v>
      </c>
      <c r="BF94" s="49" cm="1">
        <f t="array" ref="BF94">$G$13+VLOOKUP($Q94,武学奇术!$A:$ZZ,14,FALSE)+SUM(_xlfn.XLOOKUP(R94:AH94,增益!$A:$A,增益!$N:$N,0))</f>
        <v>0.15</v>
      </c>
      <c r="BG94">
        <f>$D$14*(1+$AT94)</f>
        <v>0</v>
      </c>
      <c r="BH94">
        <f>$E$14*(1+$AT94)</f>
        <v>0</v>
      </c>
      <c r="BI94" s="49" cm="1">
        <f t="array" ref="BI94">IF($F$14-$I$4+VLOOKUP($Q94,武学奇术!$A:$ZZ,15,FALSE)+SUM(_xlfn.XLOOKUP(R94:AH94,增益!$A:$A,增益!$O:$O,0))&gt;0,($F$14-$I$4+VLOOKUP($Q94,武学奇术!$A:$ZZ,15,FALSE)+SUM(_xlfn.XLOOKUP(R94:AH94,增益!$A:$A,增益!$O:$O,0)))/200,($F$14-$I$4+VLOOKUP($Q94,武学奇术!$A:$ZZ,15,FALSE)+SUM(_xlfn.XLOOKUP(R94:AH94,增益!$A:$A,增益!$O:$O,0)))/100)</f>
        <v>-0.14</v>
      </c>
      <c r="BJ94" s="49" cm="1">
        <f t="array" ref="BJ94">$G$14+VLOOKUP($Q94,武学奇术!$A:$ZZ,16,FALSE)+SUM(_xlfn.XLOOKUP(R94:AH94,增益!$A:$A,增益!$P:$P,0))</f>
        <v>0</v>
      </c>
      <c r="BK94" s="41">
        <f>MIN(IF(VLOOKUP($Q94,武学奇术!$A:$ZZ,23,FALSE)=1,100%,$B$8),100%)</f>
        <v>1</v>
      </c>
      <c r="BL94" s="41" cm="1">
        <f t="array" ref="BL94">IF(VLOOKUP($Q94,武学奇术!$A:$ZZ,23,FALSE)=1,100%,MIN(80%,$B$9+VLOOKUP($Q94,武学奇术!$A:$ZZ,17,FALSE)+SUM(_xlfn.XLOOKUP(R94:AH94,增益!$A:$A,增益!$Q:$Q,0)))+$B$11+SUM(_xlfn.XLOOKUP(R94:AH94,增益!$A:$A,增益!$U:$U,0)))*IF(VLOOKUP($Q94,武学奇术!$A:$ZZ,24,FALSE)=1,0,1)</f>
        <v>0.9045</v>
      </c>
      <c r="BM94" s="41" cm="1">
        <f t="array" ref="BM94">1+$B$13+VLOOKUP($Q94,武学奇术!$A:$ZZ,18,FALSE)+SUM(_xlfn.XLOOKUP(R94:AH94,增益!$A:$A,增益!$R:$R,0))</f>
        <v>1.85</v>
      </c>
      <c r="BN94" s="41" cm="1">
        <f t="array" ref="BN94">IF(VLOOKUP($Q94,武学奇术!$A:$ZZ,24,FALSE)=1,100%,MIN(40%,$B$10+VLOOKUP($Q94,武学奇术!$A:$ZZ,19,FALSE)+SUM(_xlfn.XLOOKUP(R94:AH94,增益!$A:$A,增益!$S:$S,0)))+$B$12+SUM(_xlfn.XLOOKUP(R94:AH94,增益!$A:$A,增益!$V:$V,0)))*IF(VLOOKUP($Q94,武学奇术!$A:$ZZ,23,FALSE)=1,0,1)</f>
        <v>0.0929</v>
      </c>
      <c r="BO94" s="41" cm="1">
        <f t="array" ref="BO94">1+$B$14+VLOOKUP($Q94,武学奇术!$A:$ZZ,20,FALSE)+SUM(_xlfn.XLOOKUP(R94:AH94,增益!$A:$A,增益!$T:$T,0))</f>
        <v>1.35</v>
      </c>
      <c r="BP94" s="41">
        <f>MIN((1-BN94)*BK94,BK94*BL94)</f>
        <v>0.9045</v>
      </c>
      <c r="BQ94" s="41">
        <f>1-BN94-BP94-BR94</f>
        <v>0.00260000000000005</v>
      </c>
      <c r="BR94" s="41">
        <f>IF(VLOOKUP($Q94,武学奇术!$A:$ZZ,22,FALSE)=1,0,(1-$BK94))*(1-$BN94)</f>
        <v>0</v>
      </c>
      <c r="BS94" s="41" cm="1">
        <f t="array" ref="BS94">SUM(_xlfn.XLOOKUP(R94:AH94,增益!$A:$A,增益!$W:$W,0))+$I$5</f>
        <v>0.11</v>
      </c>
    </row>
    <row r="95" spans="1:71">
      <c r="A95" s="4"/>
      <c r="B95" s="4"/>
      <c r="K95" s="55">
        <f>($L95*$BP95+$M95*$BN95+$N95*$BQ95+$O95*$BR95)</f>
        <v>65656.9776184178</v>
      </c>
      <c r="L95" s="55">
        <f>((($AP95+$AQ95)/2*$AJ95+$AK95)*(1+$AR95)*(1+$AS95)+(($AU95+$AV95)/2*IF($G$1="鸣金",$AL95,$AJ95)+IF($G$1="鸣金",$AM95*1.5,0))*(1+$AW95)*(1+$AX95)+(($AY95+$AZ95)/2*IF($G$1="裂石",$AL95,$AJ95)+IF($G$1="裂石",$AM95*1.5,0))*(1+$BA95)*(1+$BB95)+(($BC95+$BD95)/2*IF($G$1="牵丝",$AL95,$AJ95)+IF($G$1="牵丝",$AM95*1.5,0))*(1+$BE95)*(1+$BF95)+(($BG95+$BH95)/2*IF($G$1="破竹",$AL95,$AJ95)+IF($G$1="破竹",$AM95*1.5,0))*(1+$BI95)*(1+$BJ95))*(1+$AN95)*$BM95*$P95*(1+IF(VLOOKUP($Q95,武学奇术!$A:$ZZ,30,FALSE)="弹道",$B$21,0))*(1+$BS95)</f>
        <v>65407.6274358494</v>
      </c>
      <c r="M95" s="55">
        <f>(($AQ95*$AJ95+$AK95)*(1+$AR95)*(1+$AS95)+($AV95*IF($G$1="鸣金",$AL95,$AJ95)+IF($G$1="鸣金",$AM95*1.5,0))*(1+$AW95)*(1+$AX95)+($AZ95*IF($G$1="裂石",$AL95,$AJ95)+IF($G$1="裂石",$AM95*1.5,0))*(1+$BA95)*(1+$BB95)+($BD95*IF($G$1="牵丝",$AL95,$AJ95)+IF($G$1="牵丝",$AM95*1.5,0))*(1+$BE95)*(1+$BF95)+($BH95*IF($G$1="破竹",$AL95,$AJ95)+IF($G$1="破竹",$AM95*1.5,0))*(1+$BI95)*(1+$BJ95))*(1+$AN95)*$BO95*$P95*(1+IF(VLOOKUP($Q95,武学奇术!$A:$ZZ,30,FALSE)="弹道",$B$21,0))*(1+$BS95)</f>
        <v>68932.7703933154</v>
      </c>
      <c r="N95" s="55">
        <f>((($AP95+$AQ95)/2*$AJ95+$AK95)*(1+$AR95)*(1+$AS95)+(($AU95+$AV95)/2*IF($G$1="鸣金",$AL95,$AJ95)+IF($G$1="鸣金",$AM95*1.5,0))*(1+$AW95)*(1+$AX95)+(($AY95+$AZ95)/2*IF($G$1="裂石",$AL95,$AJ95)+IF($G$1="裂石",$AM95*1.5,0))*(1+$BA95)*(1+$BB95)+(($BC95+$BD95)/2*IF($G$1="牵丝",$AL95,$AJ95)+IF($G$1="牵丝",$AM95*1.5,0))*(1+$BE95)*(1+$BF95)+(($BG95+$BH95)/2*IF($G$1="破竹",$AL95,$AJ95)+IF($G$1="破竹",$AM95*1.5,0))*(1+$BI95)*(1+$BJ95))*(1+$AN95)*$P95*(1+IF(VLOOKUP($Q95,武学奇术!$A:$ZZ,30,FALSE)="弹道",$B$21,0))*(1+$BS95)</f>
        <v>35355.4742896483</v>
      </c>
      <c r="O95" s="55">
        <f>((($AP95*$AJ95+$AK95)*(1+$AR95)*(1+$AS95)+($AU95*IF($G$1="鸣金",$AL95,$AJ95)+IF($G$1="鸣金",$AM95*1.5,0))*(1+$AW95)*(1+$AX95)+($AY95*IF($G$1="裂石",$AL95,$AJ95)+IF($G$1="裂石",$AM95*1.5,0))*(1+$BA95)*(1+$BB95)+($BC95*IF($G$1="牵丝",$AL95,$AJ95)+IF($G$1="牵丝",$AM95*1.5,0))*(1+$BE95)*(1+$BF95)+($BG95*IF($G$1="破竹",$AL95,$AJ95)+IF($G$1="破竹",$AM95*1.5,0))*(1+$BI95)*(1+$BJ95))*(1+$AN95))*$P95*(1+IF(VLOOKUP($Q95,武学奇术!$A:$ZZ,30,FALSE)="弹道",$B$21,0))*(1+$BS95)</f>
        <v>19649.6371768408</v>
      </c>
      <c r="P95" s="56">
        <v>1</v>
      </c>
      <c r="Q95" s="57" t="s">
        <v>165</v>
      </c>
      <c r="R95" s="57" t="s">
        <v>116</v>
      </c>
      <c r="S95" s="57" t="s">
        <v>153</v>
      </c>
      <c r="T95" s="57" t="s">
        <v>72</v>
      </c>
      <c r="U95" s="57" t="s">
        <v>107</v>
      </c>
      <c r="V95" s="57" t="s">
        <v>72</v>
      </c>
      <c r="W95" s="57" t="s">
        <v>72</v>
      </c>
      <c r="X95" s="57" t="s">
        <v>72</v>
      </c>
      <c r="Y95" s="57" t="s">
        <v>112</v>
      </c>
      <c r="Z95" s="57" t="s">
        <v>113</v>
      </c>
      <c r="AA95" s="57" t="s">
        <v>72</v>
      </c>
      <c r="AB95" s="57" t="s">
        <v>96</v>
      </c>
      <c r="AC95" s="57" t="s">
        <v>72</v>
      </c>
      <c r="AD95" s="57" t="s">
        <v>72</v>
      </c>
      <c r="AE95" s="57" t="s">
        <v>72</v>
      </c>
      <c r="AF95" s="57" t="s">
        <v>72</v>
      </c>
      <c r="AG95" s="57" t="s">
        <v>72</v>
      </c>
      <c r="AH95" s="57" t="s">
        <v>87</v>
      </c>
      <c r="AI95" t="str">
        <f>VLOOKUP($Q95,武学奇术!$A:$ZZ,25,FALSE)</f>
        <v>单体奇术</v>
      </c>
      <c r="AJ95" s="41">
        <f>VLOOKUP($Q95,武学奇术!$A:$ZZ,26,FALSE)</f>
        <v>1.7063</v>
      </c>
      <c r="AK95" s="42">
        <f>VLOOKUP($Q95,武学奇术!$A:$ZZ,27,FALSE)*(1+IF(OR($AI95=$F$4,$AI95=$F$5),$B$22,0))</f>
        <v>315</v>
      </c>
      <c r="AL95" s="41">
        <f>VLOOKUP($Q95,武学奇术!$A:$ZZ,28,FALSE)</f>
        <v>2.55945</v>
      </c>
      <c r="AM95" s="42">
        <f>VLOOKUP($Q95,武学奇术!$A:$ZZ,29,FALSE)*(1+IF(OR($AI95=$F$4,$AI95=$F$5),$B$22,0))</f>
        <v>0</v>
      </c>
      <c r="AN95" s="41" cm="1">
        <f t="array" ref="AN95">$G$3+IFERROR(VLOOKUP($AI95,$F$4:$G$7,2,FALSE),0)+VLOOKUP($Q95,武学奇术!$A:$ZZ,2,FALSE)+SUM(_xlfn.XLOOKUP($R95:$AH95,增益!$A:$A,增益!$B:$B,0))</f>
        <v>1.4515</v>
      </c>
      <c r="AO95" s="41" cm="1">
        <f t="array" ref="AO95">VLOOKUP($Q95,武学奇术!$A:$ZZ,5,FALSE)+SUM(_xlfn.XLOOKUP($R95:$AH95,增益!$A:$A,增益!$E:$E,0))</f>
        <v>0.075</v>
      </c>
      <c r="AP95" cm="1">
        <f t="array" ref="AP95">$D$10*(1+$AO95)+VLOOKUP($Q95,武学奇术!$A:$ZZ,3,FALSE)+SUM(_xlfn.XLOOKUP($R95:$AH95,增益!$A:$A,增益!$C:$C,0))-$I$2</f>
        <v>1974.055</v>
      </c>
      <c r="AQ95" cm="1">
        <f t="array" ref="AQ95">$E$10*(1+$AO95)+VLOOKUP($Q95,武学奇术!$A:$ZZ,4,FALSE)+SUM(_xlfn.XLOOKUP($R95:$AH95,增益!$A:$A,增益!$D:$D,0))-$I$2</f>
        <v>5941.45</v>
      </c>
      <c r="AR95" s="49" cm="1">
        <f t="array" ref="AR95">IF($F$10-$I$3+VLOOKUP($Q95,武学奇术!$A:$ZZ,6,FALSE)+SUM(_xlfn.XLOOKUP(R95:AH95,增益!$A:$A,增益!$F:$F,0))&gt;0,($F$10-$I$3+VLOOKUP($Q95,武学奇术!$A:$ZZ,6,FALSE)+SUM(_xlfn.XLOOKUP(R95:AH95,增益!$A:$A,增益!$F:$F,0)))/200,($F$10-$I$3+VLOOKUP($Q95,武学奇术!$A:$ZZ,6,FALSE)+SUM(_xlfn.XLOOKUP(R95:AH95,增益!$A:$A,增益!$F:$F,0)))/100)</f>
        <v>0.4675</v>
      </c>
      <c r="AS95" s="49" cm="1">
        <f t="array" ref="AS95">$G$10+VLOOKUP($Q95,武学奇术!$A:$ZZ,7,FALSE)+SUM(_xlfn.XLOOKUP(R95:AH95,增益!$A:$A,增益!$G:$G,0))</f>
        <v>0</v>
      </c>
      <c r="AT95" s="41" cm="1">
        <f t="array" ref="AT95">VLOOKUP($Q95,武学奇术!$A:$ZZ,8,FALSE)+SUM(_xlfn.XLOOKUP(R95:AH95,增益!$A:$A,增益!$H:$H,0))</f>
        <v>0</v>
      </c>
      <c r="AU95">
        <f>$D$11*(1+$AT95)</f>
        <v>0</v>
      </c>
      <c r="AV95">
        <f>$E$11*(1+$AT95)</f>
        <v>0</v>
      </c>
      <c r="AW95" s="49" cm="1">
        <f t="array" ref="AW95">IF($F$11-$I$4+VLOOKUP($Q95,武学奇术!$A:$ZZ,9,FALSE)+SUM(_xlfn.XLOOKUP(R95:AH95,增益!$A:$A,增益!$I:$I,0))&gt;0,($F$11-$I$4+VLOOKUP($Q95,武学奇术!$A:$ZZ,9,FALSE)+SUM(_xlfn.XLOOKUP(R95:AH95,增益!$A:$A,增益!$I:$I,0)))/200,($F$11-$I$4+VLOOKUP($Q95,武学奇术!$A:$ZZ,9,FALSE)+SUM(_xlfn.XLOOKUP(R95:AH95,增益!$A:$A,增益!$I:$I,0)))/100)</f>
        <v>-0.14</v>
      </c>
      <c r="AX95" s="49" cm="1">
        <f t="array" ref="AX95">$G$11+VLOOKUP($Q95,武学奇术!$A:$ZZ,10,FALSE)+SUM(_xlfn.XLOOKUP(R95:AH95,增益!$A:$A,增益!$J:$J,0))</f>
        <v>0</v>
      </c>
      <c r="AY95">
        <f>$D$12*(1+$AT95)</f>
        <v>0</v>
      </c>
      <c r="AZ95">
        <f>$E$12*(1+$AT95)</f>
        <v>0</v>
      </c>
      <c r="BA95" s="49" cm="1">
        <f t="array" ref="BA95">IF($F$12-$I$4+VLOOKUP($Q95,武学奇术!$A:$ZZ,11,FALSE)+SUM(_xlfn.XLOOKUP(R95:AH95,增益!$A:$A,增益!$K:$K,0))&gt;0,($F$12-$I$4+VLOOKUP($Q95,武学奇术!$A:$ZZ,11,FALSE)+SUM(_xlfn.XLOOKUP(R95:AH95,增益!$A:$A,增益!$K:$K,0)))/200,($F$12-$I$4+VLOOKUP($Q95,武学奇术!$A:$ZZ,11,FALSE)+SUM(_xlfn.XLOOKUP(R95:AH95,增益!$A:$A,增益!$K:$K,0)))/100)</f>
        <v>-0.14</v>
      </c>
      <c r="BB95" s="49" cm="1">
        <f t="array" ref="BB95">$G$12+VLOOKUP($Q95,武学奇术!$A:$ZZ,12,FALSE)+SUM(_xlfn.XLOOKUP(R95:AH95,增益!$A:$A,增益!$L:$L,0))</f>
        <v>0</v>
      </c>
      <c r="BC95">
        <f>$D$13*(1+$AT95)</f>
        <v>571.2</v>
      </c>
      <c r="BD95">
        <f>$E$13*(1+$AT95)</f>
        <v>1077.4</v>
      </c>
      <c r="BE95" s="49" cm="1">
        <f t="array" ref="BE95">IF($F$13-$I$4+VLOOKUP($Q95,武学奇术!$A:$ZZ,13,FALSE)+SUM(_xlfn.XLOOKUP(R95:AH95,增益!$A:$A,增益!$M:$M,0))&gt;0,($F$13-$I$4+VLOOKUP($Q95,武学奇术!$A:$ZZ,13,FALSE)+SUM(_xlfn.XLOOKUP(R95:AH95,增益!$A:$A,增益!$K:$K,0)))/200,($F$13-$I$4+VLOOKUP($Q95,武学奇术!$A:$ZZ,13,FALSE)+SUM(_xlfn.XLOOKUP(R95:AH95,增益!$A:$A,增益!$M:$M,0)))/100)</f>
        <v>0.08</v>
      </c>
      <c r="BF95" s="49" cm="1">
        <f t="array" ref="BF95">$G$13+VLOOKUP($Q95,武学奇术!$A:$ZZ,14,FALSE)+SUM(_xlfn.XLOOKUP(R95:AH95,增益!$A:$A,增益!$N:$N,0))</f>
        <v>0.15</v>
      </c>
      <c r="BG95">
        <f>$D$14*(1+$AT95)</f>
        <v>0</v>
      </c>
      <c r="BH95">
        <f>$E$14*(1+$AT95)</f>
        <v>0</v>
      </c>
      <c r="BI95" s="49" cm="1">
        <f t="array" ref="BI95">IF($F$14-$I$4+VLOOKUP($Q95,武学奇术!$A:$ZZ,15,FALSE)+SUM(_xlfn.XLOOKUP(R95:AH95,增益!$A:$A,增益!$O:$O,0))&gt;0,($F$14-$I$4+VLOOKUP($Q95,武学奇术!$A:$ZZ,15,FALSE)+SUM(_xlfn.XLOOKUP(R95:AH95,增益!$A:$A,增益!$O:$O,0)))/200,($F$14-$I$4+VLOOKUP($Q95,武学奇术!$A:$ZZ,15,FALSE)+SUM(_xlfn.XLOOKUP(R95:AH95,增益!$A:$A,增益!$O:$O,0)))/100)</f>
        <v>-0.14</v>
      </c>
      <c r="BJ95" s="49" cm="1">
        <f t="array" ref="BJ95">$G$14+VLOOKUP($Q95,武学奇术!$A:$ZZ,16,FALSE)+SUM(_xlfn.XLOOKUP(R95:AH95,增益!$A:$A,增益!$P:$P,0))</f>
        <v>0</v>
      </c>
      <c r="BK95" s="41">
        <f>MIN(IF(VLOOKUP($Q95,武学奇术!$A:$ZZ,23,FALSE)=1,100%,$B$8),100%)</f>
        <v>1</v>
      </c>
      <c r="BL95" s="41" cm="1">
        <f t="array" ref="BL95">IF(VLOOKUP($Q95,武学奇术!$A:$ZZ,23,FALSE)=1,100%,MIN(80%,$B$9+VLOOKUP($Q95,武学奇术!$A:$ZZ,17,FALSE)+SUM(_xlfn.XLOOKUP(R95:AH95,增益!$A:$A,增益!$Q:$Q,0)))+$B$11+SUM(_xlfn.XLOOKUP(R95:AH95,增益!$A:$A,增益!$U:$U,0)))*IF(VLOOKUP($Q95,武学奇术!$A:$ZZ,24,FALSE)=1,0,1)</f>
        <v>0.9045</v>
      </c>
      <c r="BM95" s="41" cm="1">
        <f t="array" ref="BM95">1+$B$13+VLOOKUP($Q95,武学奇术!$A:$ZZ,18,FALSE)+SUM(_xlfn.XLOOKUP(R95:AH95,增益!$A:$A,增益!$R:$R,0))</f>
        <v>1.85</v>
      </c>
      <c r="BN95" s="41" cm="1">
        <f t="array" ref="BN95">IF(VLOOKUP($Q95,武学奇术!$A:$ZZ,24,FALSE)=1,100%,MIN(40%,$B$10+VLOOKUP($Q95,武学奇术!$A:$ZZ,19,FALSE)+SUM(_xlfn.XLOOKUP(R95:AH95,增益!$A:$A,增益!$S:$S,0)))+$B$12+SUM(_xlfn.XLOOKUP(R95:AH95,增益!$A:$A,增益!$V:$V,0)))*IF(VLOOKUP($Q95,武学奇术!$A:$ZZ,23,FALSE)=1,0,1)</f>
        <v>0.0929</v>
      </c>
      <c r="BO95" s="41" cm="1">
        <f t="array" ref="BO95">1+$B$14+VLOOKUP($Q95,武学奇术!$A:$ZZ,20,FALSE)+SUM(_xlfn.XLOOKUP(R95:AH95,增益!$A:$A,增益!$T:$T,0))</f>
        <v>1.35</v>
      </c>
      <c r="BP95" s="41">
        <f>MIN((1-BN95)*BK95,BK95*BL95)</f>
        <v>0.9045</v>
      </c>
      <c r="BQ95" s="41">
        <f>1-BN95-BP95-BR95</f>
        <v>0.00260000000000005</v>
      </c>
      <c r="BR95" s="41">
        <f>IF(VLOOKUP($Q95,武学奇术!$A:$ZZ,22,FALSE)=1,0,(1-$BK95))*(1-$BN95)</f>
        <v>0</v>
      </c>
      <c r="BS95" s="41" cm="1">
        <f t="array" ref="BS95">SUM(_xlfn.XLOOKUP(R95:AH95,增益!$A:$A,增益!$W:$W,0))+$I$5</f>
        <v>0.11</v>
      </c>
    </row>
    <row r="96" spans="1:71">
      <c r="A96" s="4"/>
      <c r="B96" s="4"/>
      <c r="K96" s="55">
        <f>($L96*$BP96+$M96*$BN96+$N96*$BQ96+$O96*$BR96)</f>
        <v>291925.644481742</v>
      </c>
      <c r="L96" s="55">
        <f>((($AP96+$AQ96)/2*$AJ96+$AK96)*(1+$AR96)*(1+$AS96)+(($AU96+$AV96)/2*IF($G$1="鸣金",$AL96,$AJ96)+IF($G$1="鸣金",$AM96*1.5,0))*(1+$AW96)*(1+$AX96)+(($AY96+$AZ96)/2*IF($G$1="裂石",$AL96,$AJ96)+IF($G$1="裂石",$AM96*1.5,0))*(1+$BA96)*(1+$BB96)+(($BC96+$BD96)/2*IF($G$1="牵丝",$AL96,$AJ96)+IF($G$1="牵丝",$AM96*1.5,0))*(1+$BE96)*(1+$BF96)+(($BG96+$BH96)/2*IF($G$1="破竹",$AL96,$AJ96)+IF($G$1="破竹",$AM96*1.5,0))*(1+$BI96)*(1+$BJ96))*(1+$AN96)*$BM96*$P96*(1+IF(VLOOKUP($Q96,武学奇术!$A:$ZZ,30,FALSE)="弹道",$B$21,0))*(1+$BS96)</f>
        <v>290816.977108019</v>
      </c>
      <c r="M96" s="55">
        <f>(($AQ96*$AJ96+$AK96)*(1+$AR96)*(1+$AS96)+($AV96*IF($G$1="鸣金",$AL96,$AJ96)+IF($G$1="鸣金",$AM96*1.5,0))*(1+$AW96)*(1+$AX96)+($AZ96*IF($G$1="裂石",$AL96,$AJ96)+IF($G$1="裂石",$AM96*1.5,0))*(1+$BA96)*(1+$BB96)+($BD96*IF($G$1="牵丝",$AL96,$AJ96)+IF($G$1="牵丝",$AM96*1.5,0))*(1+$BE96)*(1+$BF96)+($BH96*IF($G$1="破竹",$AL96,$AJ96)+IF($G$1="破竹",$AM96*1.5,0))*(1+$BI96)*(1+$BJ96))*(1+$AN96)*$BO96*$P96*(1+IF(VLOOKUP($Q96,武学奇术!$A:$ZZ,30,FALSE)="弹道",$B$21,0))*(1+$BS96)</f>
        <v>306490.559051968</v>
      </c>
      <c r="N96" s="55">
        <f>((($AP96+$AQ96)/2*$AJ96+$AK96)*(1+$AR96)*(1+$AS96)+(($AU96+$AV96)/2*IF($G$1="鸣金",$AL96,$AJ96)+IF($G$1="鸣金",$AM96*1.5,0))*(1+$AW96)*(1+$AX96)+(($AY96+$AZ96)/2*IF($G$1="裂石",$AL96,$AJ96)+IF($G$1="裂石",$AM96*1.5,0))*(1+$BA96)*(1+$BB96)+(($BC96+$BD96)/2*IF($G$1="牵丝",$AL96,$AJ96)+IF($G$1="牵丝",$AM96*1.5,0))*(1+$BE96)*(1+$BF96)+(($BG96+$BH96)/2*IF($G$1="破竹",$AL96,$AJ96)+IF($G$1="破竹",$AM96*1.5,0))*(1+$BI96)*(1+$BJ96))*(1+$AN96)*$P96*(1+IF(VLOOKUP($Q96,武学奇术!$A:$ZZ,30,FALSE)="弹道",$B$21,0))*(1+$BS96)</f>
        <v>157198.366004335</v>
      </c>
      <c r="O96" s="55">
        <f>((($AP96*$AJ96+$AK96)*(1+$AR96)*(1+$AS96)+($AU96*IF($G$1="鸣金",$AL96,$AJ96)+IF($G$1="鸣金",$AM96*1.5,0))*(1+$AW96)*(1+$AX96)+($AY96*IF($G$1="裂石",$AL96,$AJ96)+IF($G$1="裂石",$AM96*1.5,0))*(1+$BA96)*(1+$BB96)+($BC96*IF($G$1="牵丝",$AL96,$AJ96)+IF($G$1="牵丝",$AM96*1.5,0))*(1+$BE96)*(1+$BF96)+($BG96*IF($G$1="破竹",$AL96,$AJ96)+IF($G$1="破竹",$AM96*1.5,0))*(1+$BI96)*(1+$BJ96))*(1+$AN96))*$P96*(1+IF(VLOOKUP($Q96,武学奇术!$A:$ZZ,30,FALSE)="弹道",$B$21,0))*(1+$BS96)</f>
        <v>87366.6882664709</v>
      </c>
      <c r="P96" s="56">
        <v>7</v>
      </c>
      <c r="Q96" s="57" t="s">
        <v>166</v>
      </c>
      <c r="R96" s="57" t="s">
        <v>116</v>
      </c>
      <c r="S96" s="57" t="s">
        <v>153</v>
      </c>
      <c r="T96" s="57" t="s">
        <v>72</v>
      </c>
      <c r="U96" s="57" t="s">
        <v>107</v>
      </c>
      <c r="V96" s="57" t="s">
        <v>72</v>
      </c>
      <c r="W96" s="57" t="s">
        <v>72</v>
      </c>
      <c r="X96" s="57" t="s">
        <v>72</v>
      </c>
      <c r="Y96" s="57" t="s">
        <v>112</v>
      </c>
      <c r="Z96" s="57" t="s">
        <v>113</v>
      </c>
      <c r="AA96" s="57" t="s">
        <v>72</v>
      </c>
      <c r="AB96" s="57" t="s">
        <v>96</v>
      </c>
      <c r="AC96" s="57" t="s">
        <v>72</v>
      </c>
      <c r="AD96" s="57" t="s">
        <v>72</v>
      </c>
      <c r="AE96" s="57" t="s">
        <v>72</v>
      </c>
      <c r="AF96" s="57" t="s">
        <v>72</v>
      </c>
      <c r="AG96" s="57" t="s">
        <v>72</v>
      </c>
      <c r="AH96" s="57" t="s">
        <v>87</v>
      </c>
      <c r="AI96" t="str">
        <f>VLOOKUP($Q96,武学奇术!$A:$ZZ,25,FALSE)</f>
        <v>单体奇术</v>
      </c>
      <c r="AJ96" s="41">
        <f>VLOOKUP($Q96,武学奇术!$A:$ZZ,26,FALSE)</f>
        <v>1.6088</v>
      </c>
      <c r="AK96" s="42">
        <f>VLOOKUP($Q96,武学奇术!$A:$ZZ,27,FALSE)*(1+IF(OR($AI96=$F$4,$AI96=$F$5),$B$22,0))</f>
        <v>297</v>
      </c>
      <c r="AL96" s="41">
        <f>VLOOKUP($Q96,武学奇术!$A:$ZZ,28,FALSE)</f>
        <v>2.4132</v>
      </c>
      <c r="AM96" s="42">
        <f>VLOOKUP($Q96,武学奇术!$A:$ZZ,29,FALSE)*(1+IF(OR($AI96=$F$4,$AI96=$F$5),$B$22,0))</f>
        <v>0</v>
      </c>
      <c r="AN96" s="41" cm="1">
        <f t="array" ref="AN96">$G$3+IFERROR(VLOOKUP($AI96,$F$4:$G$7,2,FALSE),0)+VLOOKUP($Q96,武学奇术!$A:$ZZ,2,FALSE)+SUM(_xlfn.XLOOKUP($R96:$AH96,增益!$A:$A,增益!$B:$B,0))</f>
        <v>0.6515</v>
      </c>
      <c r="AO96" s="41" cm="1">
        <f t="array" ref="AO96">VLOOKUP($Q96,武学奇术!$A:$ZZ,5,FALSE)+SUM(_xlfn.XLOOKUP($R96:$AH96,增益!$A:$A,增益!$E:$E,0))</f>
        <v>0.075</v>
      </c>
      <c r="AP96" cm="1">
        <f t="array" ref="AP96">$D$10*(1+$AO96)+VLOOKUP($Q96,武学奇术!$A:$ZZ,3,FALSE)+SUM(_xlfn.XLOOKUP($R96:$AH96,增益!$A:$A,增益!$C:$C,0))-$I$2</f>
        <v>1974.055</v>
      </c>
      <c r="AQ96" cm="1">
        <f t="array" ref="AQ96">$E$10*(1+$AO96)+VLOOKUP($Q96,武学奇术!$A:$ZZ,4,FALSE)+SUM(_xlfn.XLOOKUP($R96:$AH96,增益!$A:$A,增益!$D:$D,0))-$I$2</f>
        <v>5941.45</v>
      </c>
      <c r="AR96" s="49" cm="1">
        <f t="array" ref="AR96">IF($F$10-$I$3+VLOOKUP($Q96,武学奇术!$A:$ZZ,6,FALSE)+SUM(_xlfn.XLOOKUP(R96:AH96,增益!$A:$A,增益!$F:$F,0))&gt;0,($F$10-$I$3+VLOOKUP($Q96,武学奇术!$A:$ZZ,6,FALSE)+SUM(_xlfn.XLOOKUP(R96:AH96,增益!$A:$A,增益!$F:$F,0)))/200,($F$10-$I$3+VLOOKUP($Q96,武学奇术!$A:$ZZ,6,FALSE)+SUM(_xlfn.XLOOKUP(R96:AH96,增益!$A:$A,增益!$F:$F,0)))/100)</f>
        <v>0.4675</v>
      </c>
      <c r="AS96" s="49" cm="1">
        <f t="array" ref="AS96">$G$10+VLOOKUP($Q96,武学奇术!$A:$ZZ,7,FALSE)+SUM(_xlfn.XLOOKUP(R96:AH96,增益!$A:$A,增益!$G:$G,0))</f>
        <v>0</v>
      </c>
      <c r="AT96" s="41" cm="1">
        <f t="array" ref="AT96">VLOOKUP($Q96,武学奇术!$A:$ZZ,8,FALSE)+SUM(_xlfn.XLOOKUP(R96:AH96,增益!$A:$A,增益!$H:$H,0))</f>
        <v>0</v>
      </c>
      <c r="AU96">
        <f>$D$11*(1+$AT96)</f>
        <v>0</v>
      </c>
      <c r="AV96">
        <f>$E$11*(1+$AT96)</f>
        <v>0</v>
      </c>
      <c r="AW96" s="49" cm="1">
        <f t="array" ref="AW96">IF($F$11-$I$4+VLOOKUP($Q96,武学奇术!$A:$ZZ,9,FALSE)+SUM(_xlfn.XLOOKUP(R96:AH96,增益!$A:$A,增益!$I:$I,0))&gt;0,($F$11-$I$4+VLOOKUP($Q96,武学奇术!$A:$ZZ,9,FALSE)+SUM(_xlfn.XLOOKUP(R96:AH96,增益!$A:$A,增益!$I:$I,0)))/200,($F$11-$I$4+VLOOKUP($Q96,武学奇术!$A:$ZZ,9,FALSE)+SUM(_xlfn.XLOOKUP(R96:AH96,增益!$A:$A,增益!$I:$I,0)))/100)</f>
        <v>-0.14</v>
      </c>
      <c r="AX96" s="49" cm="1">
        <f t="array" ref="AX96">$G$11+VLOOKUP($Q96,武学奇术!$A:$ZZ,10,FALSE)+SUM(_xlfn.XLOOKUP(R96:AH96,增益!$A:$A,增益!$J:$J,0))</f>
        <v>0</v>
      </c>
      <c r="AY96">
        <f>$D$12*(1+$AT96)</f>
        <v>0</v>
      </c>
      <c r="AZ96">
        <f>$E$12*(1+$AT96)</f>
        <v>0</v>
      </c>
      <c r="BA96" s="49" cm="1">
        <f t="array" ref="BA96">IF($F$12-$I$4+VLOOKUP($Q96,武学奇术!$A:$ZZ,11,FALSE)+SUM(_xlfn.XLOOKUP(R96:AH96,增益!$A:$A,增益!$K:$K,0))&gt;0,($F$12-$I$4+VLOOKUP($Q96,武学奇术!$A:$ZZ,11,FALSE)+SUM(_xlfn.XLOOKUP(R96:AH96,增益!$A:$A,增益!$K:$K,0)))/200,($F$12-$I$4+VLOOKUP($Q96,武学奇术!$A:$ZZ,11,FALSE)+SUM(_xlfn.XLOOKUP(R96:AH96,增益!$A:$A,增益!$K:$K,0)))/100)</f>
        <v>-0.14</v>
      </c>
      <c r="BB96" s="49" cm="1">
        <f t="array" ref="BB96">$G$12+VLOOKUP($Q96,武学奇术!$A:$ZZ,12,FALSE)+SUM(_xlfn.XLOOKUP(R96:AH96,增益!$A:$A,增益!$L:$L,0))</f>
        <v>0</v>
      </c>
      <c r="BC96">
        <f>$D$13*(1+$AT96)</f>
        <v>571.2</v>
      </c>
      <c r="BD96">
        <f>$E$13*(1+$AT96)</f>
        <v>1077.4</v>
      </c>
      <c r="BE96" s="49" cm="1">
        <f t="array" ref="BE96">IF($F$13-$I$4+VLOOKUP($Q96,武学奇术!$A:$ZZ,13,FALSE)+SUM(_xlfn.XLOOKUP(R96:AH96,增益!$A:$A,增益!$M:$M,0))&gt;0,($F$13-$I$4+VLOOKUP($Q96,武学奇术!$A:$ZZ,13,FALSE)+SUM(_xlfn.XLOOKUP(R96:AH96,增益!$A:$A,增益!$K:$K,0)))/200,($F$13-$I$4+VLOOKUP($Q96,武学奇术!$A:$ZZ,13,FALSE)+SUM(_xlfn.XLOOKUP(R96:AH96,增益!$A:$A,增益!$M:$M,0)))/100)</f>
        <v>0.08</v>
      </c>
      <c r="BF96" s="49" cm="1">
        <f t="array" ref="BF96">$G$13+VLOOKUP($Q96,武学奇术!$A:$ZZ,14,FALSE)+SUM(_xlfn.XLOOKUP(R96:AH96,增益!$A:$A,增益!$N:$N,0))</f>
        <v>0.15</v>
      </c>
      <c r="BG96">
        <f>$D$14*(1+$AT96)</f>
        <v>0</v>
      </c>
      <c r="BH96">
        <f>$E$14*(1+$AT96)</f>
        <v>0</v>
      </c>
      <c r="BI96" s="49" cm="1">
        <f t="array" ref="BI96">IF($F$14-$I$4+VLOOKUP($Q96,武学奇术!$A:$ZZ,15,FALSE)+SUM(_xlfn.XLOOKUP(R96:AH96,增益!$A:$A,增益!$O:$O,0))&gt;0,($F$14-$I$4+VLOOKUP($Q96,武学奇术!$A:$ZZ,15,FALSE)+SUM(_xlfn.XLOOKUP(R96:AH96,增益!$A:$A,增益!$O:$O,0)))/200,($F$14-$I$4+VLOOKUP($Q96,武学奇术!$A:$ZZ,15,FALSE)+SUM(_xlfn.XLOOKUP(R96:AH96,增益!$A:$A,增益!$O:$O,0)))/100)</f>
        <v>-0.14</v>
      </c>
      <c r="BJ96" s="49" cm="1">
        <f t="array" ref="BJ96">$G$14+VLOOKUP($Q96,武学奇术!$A:$ZZ,16,FALSE)+SUM(_xlfn.XLOOKUP(R96:AH96,增益!$A:$A,增益!$P:$P,0))</f>
        <v>0</v>
      </c>
      <c r="BK96" s="41">
        <f>MIN(IF(VLOOKUP($Q96,武学奇术!$A:$ZZ,23,FALSE)=1,100%,$B$8),100%)</f>
        <v>1</v>
      </c>
      <c r="BL96" s="41" cm="1">
        <f t="array" ref="BL96">IF(VLOOKUP($Q96,武学奇术!$A:$ZZ,23,FALSE)=1,100%,MIN(80%,$B$9+VLOOKUP($Q96,武学奇术!$A:$ZZ,17,FALSE)+SUM(_xlfn.XLOOKUP(R96:AH96,增益!$A:$A,增益!$Q:$Q,0)))+$B$11+SUM(_xlfn.XLOOKUP(R96:AH96,增益!$A:$A,增益!$U:$U,0)))*IF(VLOOKUP($Q96,武学奇术!$A:$ZZ,24,FALSE)=1,0,1)</f>
        <v>0.9045</v>
      </c>
      <c r="BM96" s="41" cm="1">
        <f t="array" ref="BM96">1+$B$13+VLOOKUP($Q96,武学奇术!$A:$ZZ,18,FALSE)+SUM(_xlfn.XLOOKUP(R96:AH96,增益!$A:$A,增益!$R:$R,0))</f>
        <v>1.85</v>
      </c>
      <c r="BN96" s="41" cm="1">
        <f t="array" ref="BN96">IF(VLOOKUP($Q96,武学奇术!$A:$ZZ,24,FALSE)=1,100%,MIN(40%,$B$10+VLOOKUP($Q96,武学奇术!$A:$ZZ,19,FALSE)+SUM(_xlfn.XLOOKUP(R96:AH96,增益!$A:$A,增益!$S:$S,0)))+$B$12+SUM(_xlfn.XLOOKUP(R96:AH96,增益!$A:$A,增益!$V:$V,0)))*IF(VLOOKUP($Q96,武学奇术!$A:$ZZ,23,FALSE)=1,0,1)</f>
        <v>0.0929</v>
      </c>
      <c r="BO96" s="41" cm="1">
        <f t="array" ref="BO96">1+$B$14+VLOOKUP($Q96,武学奇术!$A:$ZZ,20,FALSE)+SUM(_xlfn.XLOOKUP(R96:AH96,增益!$A:$A,增益!$T:$T,0))</f>
        <v>1.35</v>
      </c>
      <c r="BP96" s="41">
        <f>MIN((1-BN96)*BK96,BK96*BL96)</f>
        <v>0.9045</v>
      </c>
      <c r="BQ96" s="41">
        <f>1-BN96-BP96-BR96</f>
        <v>0.00260000000000005</v>
      </c>
      <c r="BR96" s="41">
        <f>IF(VLOOKUP($Q96,武学奇术!$A:$ZZ,22,FALSE)=1,0,(1-$BK96))*(1-$BN96)</f>
        <v>0</v>
      </c>
      <c r="BS96" s="41" cm="1">
        <f t="array" ref="BS96">SUM(_xlfn.XLOOKUP(R96:AH96,增益!$A:$A,增益!$W:$W,0))+$I$5</f>
        <v>0.11</v>
      </c>
    </row>
    <row r="97" spans="1:71">
      <c r="A97" s="4"/>
      <c r="B97" s="4"/>
      <c r="K97" s="55">
        <f>($L97*$BP97+$M97*$BN97+$N97*$BQ97+$O97*$BR97)</f>
        <v>58546.9056797571</v>
      </c>
      <c r="L97" s="55">
        <f>((($AP97+$AQ97)/2*$AJ97+$AK97)*(1+$AR97)*(1+$AS97)+(($AU97+$AV97)/2*IF($G$1="鸣金",$AL97,$AJ97)+IF($G$1="鸣金",$AM97*1.5,0))*(1+$AW97)*(1+$AX97)+(($AY97+$AZ97)/2*IF($G$1="裂石",$AL97,$AJ97)+IF($G$1="裂石",$AM97*1.5,0))*(1+$BA97)*(1+$BB97)+(($BC97+$BD97)/2*IF($G$1="牵丝",$AL97,$AJ97)+IF($G$1="牵丝",$AM97*1.5,0))*(1+$BE97)*(1+$BF97)+(($BG97+$BH97)/2*IF($G$1="破竹",$AL97,$AJ97)+IF($G$1="破竹",$AM97*1.5,0))*(1+$BI97)*(1+$BJ97))*(1+$AN97)*$BM97*$P97*(1+IF(VLOOKUP($Q97,武学奇术!$A:$ZZ,30,FALSE)="弹道",$B$21,0))*(1+$BS97)</f>
        <v>59404.6586659614</v>
      </c>
      <c r="M97" s="55">
        <f>(($AQ97*$AJ97+$AK97)*(1+$AR97)*(1+$AS97)+($AV97*IF($G$1="鸣金",$AL97,$AJ97)+IF($G$1="鸣金",$AM97*1.5,0))*(1+$AW97)*(1+$AX97)+($AZ97*IF($G$1="裂石",$AL97,$AJ97)+IF($G$1="裂石",$AM97*1.5,0))*(1+$BA97)*(1+$BB97)+($BD97*IF($G$1="牵丝",$AL97,$AJ97)+IF($G$1="牵丝",$AM97*1.5,0))*(1+$BE97)*(1+$BF97)+($BH97*IF($G$1="破竹",$AL97,$AJ97)+IF($G$1="破竹",$AM97*1.5,0))*(1+$BI97)*(1+$BJ97))*(1+$AN97)*$BO97*$P97*(1+IF(VLOOKUP($Q97,武学奇术!$A:$ZZ,30,FALSE)="弹道",$B$21,0))*(1+$BS97)</f>
        <v>51081.8523430609</v>
      </c>
      <c r="N97" s="55">
        <f>((($AP97+$AQ97)/2*$AJ97+$AK97)*(1+$AR97)*(1+$AS97)+(($AU97+$AV97)/2*IF($G$1="鸣金",$AL97,$AJ97)+IF($G$1="鸣金",$AM97*1.5,0))*(1+$AW97)*(1+$AX97)+(($AY97+$AZ97)/2*IF($G$1="裂石",$AL97,$AJ97)+IF($G$1="裂石",$AM97*1.5,0))*(1+$BA97)*(1+$BB97)+(($BC97+$BD97)/2*IF($G$1="牵丝",$AL97,$AJ97)+IF($G$1="牵丝",$AM97*1.5,0))*(1+$BE97)*(1+$BF97)+(($BG97+$BH97)/2*IF($G$1="破竹",$AL97,$AJ97)+IF($G$1="破竹",$AM97*1.5,0))*(1+$BI97)*(1+$BJ97))*(1+$AN97)*$P97*(1+IF(VLOOKUP($Q97,武学奇术!$A:$ZZ,30,FALSE)="弹道",$B$21,0))*(1+$BS97)</f>
        <v>26879.9360479463</v>
      </c>
      <c r="O97" s="55">
        <f>((($AP97*$AJ97+$AK97)*(1+$AR97)*(1+$AS97)+($AU97*IF($G$1="鸣金",$AL97,$AJ97)+IF($G$1="鸣金",$AM97*1.5,0))*(1+$AW97)*(1+$AX97)+($AY97*IF($G$1="裂石",$AL97,$AJ97)+IF($G$1="裂石",$AM97*1.5,0))*(1+$BA97)*(1+$BB97)+($BC97*IF($G$1="牵丝",$AL97,$AJ97)+IF($G$1="牵丝",$AM97*1.5,0))*(1+$BE97)*(1+$BF97)+($BG97*IF($G$1="破竹",$AL97,$AJ97)+IF($G$1="破竹",$AM97*1.5,0))*(1+$BI97)*(1+$BJ97))*(1+$AN97))*$P97*(1+IF(VLOOKUP($Q97,武学奇术!$A:$ZZ,30,FALSE)="弹道",$B$21,0))*(1+$BS97)</f>
        <v>15921.4629528846</v>
      </c>
      <c r="P97" s="56">
        <v>1</v>
      </c>
      <c r="Q97" s="57" t="s">
        <v>167</v>
      </c>
      <c r="R97" s="57" t="s">
        <v>116</v>
      </c>
      <c r="S97" s="57" t="s">
        <v>153</v>
      </c>
      <c r="T97" s="57" t="s">
        <v>72</v>
      </c>
      <c r="U97" s="57" t="s">
        <v>107</v>
      </c>
      <c r="V97" s="57" t="s">
        <v>72</v>
      </c>
      <c r="W97" s="57" t="s">
        <v>72</v>
      </c>
      <c r="X97" s="57" t="s">
        <v>72</v>
      </c>
      <c r="Y97" s="57" t="s">
        <v>112</v>
      </c>
      <c r="Z97" s="57" t="s">
        <v>113</v>
      </c>
      <c r="AA97" s="57" t="s">
        <v>72</v>
      </c>
      <c r="AB97" s="57" t="s">
        <v>96</v>
      </c>
      <c r="AC97" s="57" t="s">
        <v>72</v>
      </c>
      <c r="AD97" s="57" t="s">
        <v>72</v>
      </c>
      <c r="AE97" s="57" t="s">
        <v>72</v>
      </c>
      <c r="AF97" s="57" t="s">
        <v>72</v>
      </c>
      <c r="AG97" s="57" t="s">
        <v>72</v>
      </c>
      <c r="AH97" s="57" t="s">
        <v>87</v>
      </c>
      <c r="AI97" t="str">
        <f>VLOOKUP($Q97,武学奇术!$A:$ZZ,25,FALSE)</f>
        <v>扇</v>
      </c>
      <c r="AJ97" s="41">
        <f>VLOOKUP($Q97,武学奇术!$A:$ZZ,26,FALSE)</f>
        <v>1.80931</v>
      </c>
      <c r="AK97" s="42">
        <f>VLOOKUP($Q97,武学奇术!$A:$ZZ,27,FALSE)*(1+IF(OR($AI97=$F$4,$AI97=$F$5),$B$22,0))</f>
        <v>702.38</v>
      </c>
      <c r="AL97" s="41">
        <f>VLOOKUP($Q97,武学奇术!$A:$ZZ,28,FALSE)</f>
        <v>2.71382</v>
      </c>
      <c r="AM97" s="42">
        <f>VLOOKUP($Q97,武学奇术!$A:$ZZ,29,FALSE)*(1+IF(OR($AI97=$F$4,$AI97=$F$5),$B$22,0))</f>
        <v>381.64</v>
      </c>
      <c r="AN97" s="41" cm="1">
        <f t="array" ref="AN97">$G$3+IFERROR(VLOOKUP($AI97,$F$4:$G$7,2,FALSE),0)+VLOOKUP($Q97,武学奇术!$A:$ZZ,2,FALSE)+SUM(_xlfn.XLOOKUP($R97:$AH97,增益!$A:$A,增益!$B:$B,0))</f>
        <v>0.4689</v>
      </c>
      <c r="AO97" s="41" cm="1">
        <f t="array" ref="AO97">VLOOKUP($Q97,武学奇术!$A:$ZZ,5,FALSE)+SUM(_xlfn.XLOOKUP($R97:$AH97,增益!$A:$A,增益!$E:$E,0))</f>
        <v>0.075</v>
      </c>
      <c r="AP97" cm="1">
        <f t="array" ref="AP97">$D$10*(1+$AO97)+VLOOKUP($Q97,武学奇术!$A:$ZZ,3,FALSE)+SUM(_xlfn.XLOOKUP($R97:$AH97,增益!$A:$A,增益!$C:$C,0))-$I$2</f>
        <v>1974.055</v>
      </c>
      <c r="AQ97" cm="1">
        <f t="array" ref="AQ97">$E$10*(1+$AO97)+VLOOKUP($Q97,武学奇术!$A:$ZZ,4,FALSE)+SUM(_xlfn.XLOOKUP($R97:$AH97,增益!$A:$A,增益!$D:$D,0))-$I$2</f>
        <v>5941.45</v>
      </c>
      <c r="AR97" s="49" cm="1">
        <f t="array" ref="AR97">IF($F$10-$I$3+VLOOKUP($Q97,武学奇术!$A:$ZZ,6,FALSE)+SUM(_xlfn.XLOOKUP(R97:AH97,增益!$A:$A,增益!$F:$F,0))&gt;0,($F$10-$I$3+VLOOKUP($Q97,武学奇术!$A:$ZZ,6,FALSE)+SUM(_xlfn.XLOOKUP(R97:AH97,增益!$A:$A,增益!$F:$F,0)))/200,($F$10-$I$3+VLOOKUP($Q97,武学奇术!$A:$ZZ,6,FALSE)+SUM(_xlfn.XLOOKUP(R97:AH97,增益!$A:$A,增益!$F:$F,0)))/100)</f>
        <v>0.4675</v>
      </c>
      <c r="AS97" s="49" cm="1">
        <f t="array" ref="AS97">$G$10+VLOOKUP($Q97,武学奇术!$A:$ZZ,7,FALSE)+SUM(_xlfn.XLOOKUP(R97:AH97,增益!$A:$A,增益!$G:$G,0))</f>
        <v>0.1</v>
      </c>
      <c r="AT97" s="41" cm="1">
        <f t="array" ref="AT97">VLOOKUP($Q97,武学奇术!$A:$ZZ,8,FALSE)+SUM(_xlfn.XLOOKUP(R97:AH97,增益!$A:$A,增益!$H:$H,0))</f>
        <v>0</v>
      </c>
      <c r="AU97">
        <f>$D$11*(1+$AT97)</f>
        <v>0</v>
      </c>
      <c r="AV97">
        <f>$E$11*(1+$AT97)</f>
        <v>0</v>
      </c>
      <c r="AW97" s="49" cm="1">
        <f t="array" ref="AW97">IF($F$11-$I$4+VLOOKUP($Q97,武学奇术!$A:$ZZ,9,FALSE)+SUM(_xlfn.XLOOKUP(R97:AH97,增益!$A:$A,增益!$I:$I,0))&gt;0,($F$11-$I$4+VLOOKUP($Q97,武学奇术!$A:$ZZ,9,FALSE)+SUM(_xlfn.XLOOKUP(R97:AH97,增益!$A:$A,增益!$I:$I,0)))/200,($F$11-$I$4+VLOOKUP($Q97,武学奇术!$A:$ZZ,9,FALSE)+SUM(_xlfn.XLOOKUP(R97:AH97,增益!$A:$A,增益!$I:$I,0)))/100)</f>
        <v>-0.14</v>
      </c>
      <c r="AX97" s="49" cm="1">
        <f t="array" ref="AX97">$G$11+VLOOKUP($Q97,武学奇术!$A:$ZZ,10,FALSE)+SUM(_xlfn.XLOOKUP(R97:AH97,增益!$A:$A,增益!$J:$J,0))</f>
        <v>0</v>
      </c>
      <c r="AY97">
        <f>$D$12*(1+$AT97)</f>
        <v>0</v>
      </c>
      <c r="AZ97">
        <f>$E$12*(1+$AT97)</f>
        <v>0</v>
      </c>
      <c r="BA97" s="49" cm="1">
        <f t="array" ref="BA97">IF($F$12-$I$4+VLOOKUP($Q97,武学奇术!$A:$ZZ,11,FALSE)+SUM(_xlfn.XLOOKUP(R97:AH97,增益!$A:$A,增益!$K:$K,0))&gt;0,($F$12-$I$4+VLOOKUP($Q97,武学奇术!$A:$ZZ,11,FALSE)+SUM(_xlfn.XLOOKUP(R97:AH97,增益!$A:$A,增益!$K:$K,0)))/200,($F$12-$I$4+VLOOKUP($Q97,武学奇术!$A:$ZZ,11,FALSE)+SUM(_xlfn.XLOOKUP(R97:AH97,增益!$A:$A,增益!$K:$K,0)))/100)</f>
        <v>-0.14</v>
      </c>
      <c r="BB97" s="49" cm="1">
        <f t="array" ref="BB97">$G$12+VLOOKUP($Q97,武学奇术!$A:$ZZ,12,FALSE)+SUM(_xlfn.XLOOKUP(R97:AH97,增益!$A:$A,增益!$L:$L,0))</f>
        <v>0</v>
      </c>
      <c r="BC97">
        <f>$D$13*(1+$AT97)</f>
        <v>571.2</v>
      </c>
      <c r="BD97">
        <f>$E$13*(1+$AT97)</f>
        <v>1077.4</v>
      </c>
      <c r="BE97" s="49" cm="1">
        <f t="array" ref="BE97">IF($F$13-$I$4+VLOOKUP($Q97,武学奇术!$A:$ZZ,13,FALSE)+SUM(_xlfn.XLOOKUP(R97:AH97,增益!$A:$A,增益!$M:$M,0))&gt;0,($F$13-$I$4+VLOOKUP($Q97,武学奇术!$A:$ZZ,13,FALSE)+SUM(_xlfn.XLOOKUP(R97:AH97,增益!$A:$A,增益!$K:$K,0)))/200,($F$13-$I$4+VLOOKUP($Q97,武学奇术!$A:$ZZ,13,FALSE)+SUM(_xlfn.XLOOKUP(R97:AH97,增益!$A:$A,增益!$M:$M,0)))/100)</f>
        <v>0.08</v>
      </c>
      <c r="BF97" s="49" cm="1">
        <f t="array" ref="BF97">$G$13+VLOOKUP($Q97,武学奇术!$A:$ZZ,14,FALSE)+SUM(_xlfn.XLOOKUP(R97:AH97,增益!$A:$A,增益!$N:$N,0))</f>
        <v>0.25</v>
      </c>
      <c r="BG97">
        <f>$D$14*(1+$AT97)</f>
        <v>0</v>
      </c>
      <c r="BH97">
        <f>$E$14*(1+$AT97)</f>
        <v>0</v>
      </c>
      <c r="BI97" s="49" cm="1">
        <f t="array" ref="BI97">IF($F$14-$I$4+VLOOKUP($Q97,武学奇术!$A:$ZZ,15,FALSE)+SUM(_xlfn.XLOOKUP(R97:AH97,增益!$A:$A,增益!$O:$O,0))&gt;0,($F$14-$I$4+VLOOKUP($Q97,武学奇术!$A:$ZZ,15,FALSE)+SUM(_xlfn.XLOOKUP(R97:AH97,增益!$A:$A,增益!$O:$O,0)))/200,($F$14-$I$4+VLOOKUP($Q97,武学奇术!$A:$ZZ,15,FALSE)+SUM(_xlfn.XLOOKUP(R97:AH97,增益!$A:$A,增益!$O:$O,0)))/100)</f>
        <v>-0.14</v>
      </c>
      <c r="BJ97" s="49" cm="1">
        <f t="array" ref="BJ97">$G$14+VLOOKUP($Q97,武学奇术!$A:$ZZ,16,FALSE)+SUM(_xlfn.XLOOKUP(R97:AH97,增益!$A:$A,增益!$P:$P,0))</f>
        <v>0</v>
      </c>
      <c r="BK97" s="41">
        <f>MIN(IF(VLOOKUP($Q97,武学奇术!$A:$ZZ,23,FALSE)=1,100%,$B$8),100%)</f>
        <v>1</v>
      </c>
      <c r="BL97" s="41" cm="1">
        <f t="array" ref="BL97">IF(VLOOKUP($Q97,武学奇术!$A:$ZZ,23,FALSE)=1,100%,MIN(80%,$B$9+VLOOKUP($Q97,武学奇术!$A:$ZZ,17,FALSE)+SUM(_xlfn.XLOOKUP(R97:AH97,增益!$A:$A,增益!$Q:$Q,0)))+$B$11+SUM(_xlfn.XLOOKUP(R97:AH97,增益!$A:$A,增益!$U:$U,0)))*IF(VLOOKUP($Q97,武学奇术!$A:$ZZ,24,FALSE)=1,0,1)</f>
        <v>0.9045</v>
      </c>
      <c r="BM97" s="41" cm="1">
        <f t="array" ref="BM97">1+$B$13+VLOOKUP($Q97,武学奇术!$A:$ZZ,18,FALSE)+SUM(_xlfn.XLOOKUP(R97:AH97,增益!$A:$A,增益!$R:$R,0))</f>
        <v>2.21</v>
      </c>
      <c r="BN97" s="41" cm="1">
        <f t="array" ref="BN97">IF(VLOOKUP($Q97,武学奇术!$A:$ZZ,24,FALSE)=1,100%,MIN(40%,$B$10+VLOOKUP($Q97,武学奇术!$A:$ZZ,19,FALSE)+SUM(_xlfn.XLOOKUP(R97:AH97,增益!$A:$A,增益!$S:$S,0)))+$B$12+SUM(_xlfn.XLOOKUP(R97:AH97,增益!$A:$A,增益!$V:$V,0)))*IF(VLOOKUP($Q97,武学奇术!$A:$ZZ,23,FALSE)=1,0,1)</f>
        <v>0.0929</v>
      </c>
      <c r="BO97" s="41" cm="1">
        <f t="array" ref="BO97">1+$B$14+VLOOKUP($Q97,武学奇术!$A:$ZZ,20,FALSE)+SUM(_xlfn.XLOOKUP(R97:AH97,增益!$A:$A,增益!$T:$T,0))</f>
        <v>1.35</v>
      </c>
      <c r="BP97" s="41">
        <f>MIN((1-BN97)*BK97,BK97*BL97)</f>
        <v>0.9045</v>
      </c>
      <c r="BQ97" s="41">
        <f>1-BN97-BP97-BR97</f>
        <v>0.00260000000000005</v>
      </c>
      <c r="BR97" s="41">
        <f>IF(VLOOKUP($Q97,武学奇术!$A:$ZZ,22,FALSE)=1,0,(1-$BK97))*(1-$BN97)</f>
        <v>0</v>
      </c>
      <c r="BS97" s="41" cm="1">
        <f t="array" ref="BS97">SUM(_xlfn.XLOOKUP(R97:AH97,增益!$A:$A,增益!$W:$W,0))+$I$5</f>
        <v>0.11</v>
      </c>
    </row>
    <row r="98" spans="1:71">
      <c r="A98" s="4"/>
      <c r="B98" s="4"/>
      <c r="K98" s="55">
        <f>($L98*$BP98+$M98*$BN98+$N98*$BQ98+$O98*$BR98)</f>
        <v>115096.165257152</v>
      </c>
      <c r="L98" s="55">
        <f>((($AP98+$AQ98)/2*$AJ98+$AK98)*(1+$AR98)*(1+$AS98)+(($AU98+$AV98)/2*IF($G$1="鸣金",$AL98,$AJ98)+IF($G$1="鸣金",$AM98*1.5,0))*(1+$AW98)*(1+$AX98)+(($AY98+$AZ98)/2*IF($G$1="裂石",$AL98,$AJ98)+IF($G$1="裂石",$AM98*1.5,0))*(1+$BA98)*(1+$BB98)+(($BC98+$BD98)/2*IF($G$1="牵丝",$AL98,$AJ98)+IF($G$1="牵丝",$AM98*1.5,0))*(1+$BE98)*(1+$BF98)+(($BG98+$BH98)/2*IF($G$1="破竹",$AL98,$AJ98)+IF($G$1="破竹",$AM98*1.5,0))*(1+$BI98)*(1+$BJ98))*(1+$AN98)*$BM98*$P98*(1+IF(VLOOKUP($Q98,武学奇术!$A:$ZZ,30,FALSE)="弹道",$B$21,0))*(1+$BS98)</f>
        <v>116778.114859393</v>
      </c>
      <c r="M98" s="55">
        <f>(($AQ98*$AJ98+$AK98)*(1+$AR98)*(1+$AS98)+($AV98*IF($G$1="鸣金",$AL98,$AJ98)+IF($G$1="鸣金",$AM98*1.5,0))*(1+$AW98)*(1+$AX98)+($AZ98*IF($G$1="裂石",$AL98,$AJ98)+IF($G$1="裂石",$AM98*1.5,0))*(1+$BA98)*(1+$BB98)+($BD98*IF($G$1="牵丝",$AL98,$AJ98)+IF($G$1="牵丝",$AM98*1.5,0))*(1+$BE98)*(1+$BF98)+($BH98*IF($G$1="破竹",$AL98,$AJ98)+IF($G$1="破竹",$AM98*1.5,0))*(1+$BI98)*(1+$BJ98))*(1+$AN98)*$BO98*$P98*(1+IF(VLOOKUP($Q98,武学奇术!$A:$ZZ,30,FALSE)="弹道",$B$21,0))*(1+$BS98)</f>
        <v>100462.587183515</v>
      </c>
      <c r="N98" s="55">
        <f>((($AP98+$AQ98)/2*$AJ98+$AK98)*(1+$AR98)*(1+$AS98)+(($AU98+$AV98)/2*IF($G$1="鸣金",$AL98,$AJ98)+IF($G$1="鸣金",$AM98*1.5,0))*(1+$AW98)*(1+$AX98)+(($AY98+$AZ98)/2*IF($G$1="裂石",$AL98,$AJ98)+IF($G$1="裂石",$AM98*1.5,0))*(1+$BA98)*(1+$BB98)+(($BC98+$BD98)/2*IF($G$1="牵丝",$AL98,$AJ98)+IF($G$1="牵丝",$AM98*1.5,0))*(1+$BE98)*(1+$BF98)+(($BG98+$BH98)/2*IF($G$1="破竹",$AL98,$AJ98)+IF($G$1="破竹",$AM98*1.5,0))*(1+$BI98)*(1+$BJ98))*(1+$AN98)*$P98*(1+IF(VLOOKUP($Q98,武学奇术!$A:$ZZ,30,FALSE)="弹道",$B$21,0))*(1+$BS98)</f>
        <v>52840.7759544767</v>
      </c>
      <c r="O98" s="55">
        <f>((($AP98*$AJ98+$AK98)*(1+$AR98)*(1+$AS98)+($AU98*IF($G$1="鸣金",$AL98,$AJ98)+IF($G$1="鸣金",$AM98*1.5,0))*(1+$AW98)*(1+$AX98)+($AY98*IF($G$1="裂石",$AL98,$AJ98)+IF($G$1="裂石",$AM98*1.5,0))*(1+$BA98)*(1+$BB98)+($BC98*IF($G$1="牵丝",$AL98,$AJ98)+IF($G$1="牵丝",$AM98*1.5,0))*(1+$BE98)*(1+$BF98)+($BG98*IF($G$1="破竹",$AL98,$AJ98)+IF($G$1="破竹",$AM98*1.5,0))*(1+$BI98)*(1+$BJ98))*(1+$AN98))*$P98*(1+IF(VLOOKUP($Q98,武学奇术!$A:$ZZ,30,FALSE)="弹道",$B$21,0))*(1+$BS98)</f>
        <v>31264.8206619055</v>
      </c>
      <c r="P98" s="56">
        <v>1</v>
      </c>
      <c r="Q98" s="57" t="s">
        <v>84</v>
      </c>
      <c r="R98" s="57" t="s">
        <v>116</v>
      </c>
      <c r="S98" s="57" t="s">
        <v>153</v>
      </c>
      <c r="T98" s="57" t="s">
        <v>92</v>
      </c>
      <c r="U98" s="57" t="s">
        <v>107</v>
      </c>
      <c r="V98" s="57" t="s">
        <v>86</v>
      </c>
      <c r="W98" s="57" t="s">
        <v>72</v>
      </c>
      <c r="X98" s="57" t="s">
        <v>72</v>
      </c>
      <c r="Y98" s="57" t="s">
        <v>112</v>
      </c>
      <c r="Z98" s="57" t="s">
        <v>113</v>
      </c>
      <c r="AA98" s="57" t="s">
        <v>72</v>
      </c>
      <c r="AB98" s="57" t="s">
        <v>96</v>
      </c>
      <c r="AC98" s="57" t="s">
        <v>72</v>
      </c>
      <c r="AD98" s="57" t="s">
        <v>72</v>
      </c>
      <c r="AE98" s="57" t="s">
        <v>72</v>
      </c>
      <c r="AF98" s="57" t="s">
        <v>72</v>
      </c>
      <c r="AG98" s="57" t="s">
        <v>72</v>
      </c>
      <c r="AH98" s="57" t="s">
        <v>87</v>
      </c>
      <c r="AI98" t="str">
        <f>VLOOKUP($Q98,武学奇术!$A:$ZZ,25,FALSE)</f>
        <v>伞</v>
      </c>
      <c r="AJ98" s="41">
        <f>VLOOKUP($Q98,武学奇术!$A:$ZZ,26,FALSE)</f>
        <v>2.3397</v>
      </c>
      <c r="AK98" s="42">
        <f>VLOOKUP($Q98,武学奇术!$A:$ZZ,27,FALSE)*(1+IF(OR($AI98=$F$4,$AI98=$F$5),$B$22,0))</f>
        <v>907.2</v>
      </c>
      <c r="AL98" s="41">
        <f>VLOOKUP($Q98,武学奇术!$A:$ZZ,28,FALSE)</f>
        <v>3.5095</v>
      </c>
      <c r="AM98" s="42">
        <f>VLOOKUP($Q98,武学奇术!$A:$ZZ,29,FALSE)*(1+IF(OR($AI98=$F$4,$AI98=$F$5),$B$22,0))</f>
        <v>494.2</v>
      </c>
      <c r="AN98" s="41" cm="1">
        <f t="array" ref="AN98">$G$3+IFERROR(VLOOKUP($AI98,$F$4:$G$7,2,FALSE),0)+VLOOKUP($Q98,武学奇术!$A:$ZZ,2,FALSE)+SUM(_xlfn.XLOOKUP($R98:$AH98,增益!$A:$A,增益!$B:$B,0))</f>
        <v>1.2041</v>
      </c>
      <c r="AO98" s="41" cm="1">
        <f t="array" ref="AO98">VLOOKUP($Q98,武学奇术!$A:$ZZ,5,FALSE)+SUM(_xlfn.XLOOKUP($R98:$AH98,增益!$A:$A,增益!$E:$E,0))</f>
        <v>0.075</v>
      </c>
      <c r="AP98" cm="1">
        <f t="array" ref="AP98">$D$10*(1+$AO98)+VLOOKUP($Q98,武学奇术!$A:$ZZ,3,FALSE)+SUM(_xlfn.XLOOKUP($R98:$AH98,增益!$A:$A,增益!$C:$C,0))-$I$2</f>
        <v>1974.055</v>
      </c>
      <c r="AQ98" cm="1">
        <f t="array" ref="AQ98">$E$10*(1+$AO98)+VLOOKUP($Q98,武学奇术!$A:$ZZ,4,FALSE)+SUM(_xlfn.XLOOKUP($R98:$AH98,增益!$A:$A,增益!$D:$D,0))-$I$2</f>
        <v>5941.45</v>
      </c>
      <c r="AR98" s="49" cm="1">
        <f t="array" ref="AR98">IF($F$10-$I$3+VLOOKUP($Q98,武学奇术!$A:$ZZ,6,FALSE)+SUM(_xlfn.XLOOKUP(R98:AH98,增益!$A:$A,增益!$F:$F,0))&gt;0,($F$10-$I$3+VLOOKUP($Q98,武学奇术!$A:$ZZ,6,FALSE)+SUM(_xlfn.XLOOKUP(R98:AH98,增益!$A:$A,增益!$F:$F,0)))/200,($F$10-$I$3+VLOOKUP($Q98,武学奇术!$A:$ZZ,6,FALSE)+SUM(_xlfn.XLOOKUP(R98:AH98,增益!$A:$A,增益!$F:$F,0)))/100)</f>
        <v>0.4925</v>
      </c>
      <c r="AS98" s="49" cm="1">
        <f t="array" ref="AS98">$G$10+VLOOKUP($Q98,武学奇术!$A:$ZZ,7,FALSE)+SUM(_xlfn.XLOOKUP(R98:AH98,增益!$A:$A,增益!$G:$G,0))</f>
        <v>0.1</v>
      </c>
      <c r="AT98" s="41" cm="1">
        <f t="array" ref="AT98">VLOOKUP($Q98,武学奇术!$A:$ZZ,8,FALSE)+SUM(_xlfn.XLOOKUP(R98:AH98,增益!$A:$A,增益!$H:$H,0))</f>
        <v>0</v>
      </c>
      <c r="AU98">
        <f>$D$11*(1+$AT98)</f>
        <v>0</v>
      </c>
      <c r="AV98">
        <f>$E$11*(1+$AT98)</f>
        <v>0</v>
      </c>
      <c r="AW98" s="49" cm="1">
        <f t="array" ref="AW98">IF($F$11-$I$4+VLOOKUP($Q98,武学奇术!$A:$ZZ,9,FALSE)+SUM(_xlfn.XLOOKUP(R98:AH98,增益!$A:$A,增益!$I:$I,0))&gt;0,($F$11-$I$4+VLOOKUP($Q98,武学奇术!$A:$ZZ,9,FALSE)+SUM(_xlfn.XLOOKUP(R98:AH98,增益!$A:$A,增益!$I:$I,0)))/200,($F$11-$I$4+VLOOKUP($Q98,武学奇术!$A:$ZZ,9,FALSE)+SUM(_xlfn.XLOOKUP(R98:AH98,增益!$A:$A,增益!$I:$I,0)))/100)</f>
        <v>-0.14</v>
      </c>
      <c r="AX98" s="49" cm="1">
        <f t="array" ref="AX98">$G$11+VLOOKUP($Q98,武学奇术!$A:$ZZ,10,FALSE)+SUM(_xlfn.XLOOKUP(R98:AH98,增益!$A:$A,增益!$J:$J,0))</f>
        <v>0</v>
      </c>
      <c r="AY98">
        <f>$D$12*(1+$AT98)</f>
        <v>0</v>
      </c>
      <c r="AZ98">
        <f>$E$12*(1+$AT98)</f>
        <v>0</v>
      </c>
      <c r="BA98" s="49" cm="1">
        <f t="array" ref="BA98">IF($F$12-$I$4+VLOOKUP($Q98,武学奇术!$A:$ZZ,11,FALSE)+SUM(_xlfn.XLOOKUP(R98:AH98,增益!$A:$A,增益!$K:$K,0))&gt;0,($F$12-$I$4+VLOOKUP($Q98,武学奇术!$A:$ZZ,11,FALSE)+SUM(_xlfn.XLOOKUP(R98:AH98,增益!$A:$A,增益!$K:$K,0)))/200,($F$12-$I$4+VLOOKUP($Q98,武学奇术!$A:$ZZ,11,FALSE)+SUM(_xlfn.XLOOKUP(R98:AH98,增益!$A:$A,增益!$K:$K,0)))/100)</f>
        <v>-0.14</v>
      </c>
      <c r="BB98" s="49" cm="1">
        <f t="array" ref="BB98">$G$12+VLOOKUP($Q98,武学奇术!$A:$ZZ,12,FALSE)+SUM(_xlfn.XLOOKUP(R98:AH98,增益!$A:$A,增益!$L:$L,0))</f>
        <v>0</v>
      </c>
      <c r="BC98">
        <f>$D$13*(1+$AT98)</f>
        <v>571.2</v>
      </c>
      <c r="BD98">
        <f>$E$13*(1+$AT98)</f>
        <v>1077.4</v>
      </c>
      <c r="BE98" s="49" cm="1">
        <f t="array" ref="BE98">IF($F$13-$I$4+VLOOKUP($Q98,武学奇术!$A:$ZZ,13,FALSE)+SUM(_xlfn.XLOOKUP(R98:AH98,增益!$A:$A,增益!$M:$M,0))&gt;0,($F$13-$I$4+VLOOKUP($Q98,武学奇术!$A:$ZZ,13,FALSE)+SUM(_xlfn.XLOOKUP(R98:AH98,增益!$A:$A,增益!$K:$K,0)))/200,($F$13-$I$4+VLOOKUP($Q98,武学奇术!$A:$ZZ,13,FALSE)+SUM(_xlfn.XLOOKUP(R98:AH98,增益!$A:$A,增益!$M:$M,0)))/100)</f>
        <v>0.08</v>
      </c>
      <c r="BF98" s="49" cm="1">
        <f t="array" ref="BF98">$G$13+VLOOKUP($Q98,武学奇术!$A:$ZZ,14,FALSE)+SUM(_xlfn.XLOOKUP(R98:AH98,增益!$A:$A,增益!$N:$N,0))</f>
        <v>0.25</v>
      </c>
      <c r="BG98">
        <f>$D$14*(1+$AT98)</f>
        <v>0</v>
      </c>
      <c r="BH98">
        <f>$E$14*(1+$AT98)</f>
        <v>0</v>
      </c>
      <c r="BI98" s="49" cm="1">
        <f t="array" ref="BI98">IF($F$14-$I$4+VLOOKUP($Q98,武学奇术!$A:$ZZ,15,FALSE)+SUM(_xlfn.XLOOKUP(R98:AH98,增益!$A:$A,增益!$O:$O,0))&gt;0,($F$14-$I$4+VLOOKUP($Q98,武学奇术!$A:$ZZ,15,FALSE)+SUM(_xlfn.XLOOKUP(R98:AH98,增益!$A:$A,增益!$O:$O,0)))/200,($F$14-$I$4+VLOOKUP($Q98,武学奇术!$A:$ZZ,15,FALSE)+SUM(_xlfn.XLOOKUP(R98:AH98,增益!$A:$A,增益!$O:$O,0)))/100)</f>
        <v>-0.14</v>
      </c>
      <c r="BJ98" s="49" cm="1">
        <f t="array" ref="BJ98">$G$14+VLOOKUP($Q98,武学奇术!$A:$ZZ,16,FALSE)+SUM(_xlfn.XLOOKUP(R98:AH98,增益!$A:$A,增益!$P:$P,0))</f>
        <v>0</v>
      </c>
      <c r="BK98" s="41">
        <f>MIN(IF(VLOOKUP($Q98,武学奇术!$A:$ZZ,23,FALSE)=1,100%,$B$8),100%)</f>
        <v>1</v>
      </c>
      <c r="BL98" s="41" cm="1">
        <f t="array" ref="BL98">IF(VLOOKUP($Q98,武学奇术!$A:$ZZ,23,FALSE)=1,100%,MIN(80%,$B$9+VLOOKUP($Q98,武学奇术!$A:$ZZ,17,FALSE)+SUM(_xlfn.XLOOKUP(R98:AH98,增益!$A:$A,增益!$Q:$Q,0)))+$B$11+SUM(_xlfn.XLOOKUP(R98:AH98,增益!$A:$A,增益!$U:$U,0)))*IF(VLOOKUP($Q98,武学奇术!$A:$ZZ,24,FALSE)=1,0,1)</f>
        <v>0.9045</v>
      </c>
      <c r="BM98" s="41" cm="1">
        <f t="array" ref="BM98">1+$B$13+VLOOKUP($Q98,武学奇术!$A:$ZZ,18,FALSE)+SUM(_xlfn.XLOOKUP(R98:AH98,增益!$A:$A,增益!$R:$R,0))</f>
        <v>2.21</v>
      </c>
      <c r="BN98" s="41" cm="1">
        <f t="array" ref="BN98">IF(VLOOKUP($Q98,武学奇术!$A:$ZZ,24,FALSE)=1,100%,MIN(40%,$B$10+VLOOKUP($Q98,武学奇术!$A:$ZZ,19,FALSE)+SUM(_xlfn.XLOOKUP(R98:AH98,增益!$A:$A,增益!$S:$S,0)))+$B$12+SUM(_xlfn.XLOOKUP(R98:AH98,增益!$A:$A,增益!$V:$V,0)))*IF(VLOOKUP($Q98,武学奇术!$A:$ZZ,23,FALSE)=1,0,1)</f>
        <v>0.0929</v>
      </c>
      <c r="BO98" s="41" cm="1">
        <f t="array" ref="BO98">1+$B$14+VLOOKUP($Q98,武学奇术!$A:$ZZ,20,FALSE)+SUM(_xlfn.XLOOKUP(R98:AH98,增益!$A:$A,增益!$T:$T,0))</f>
        <v>1.35</v>
      </c>
      <c r="BP98" s="41">
        <f>MIN((1-BN98)*BK98,BK98*BL98)</f>
        <v>0.9045</v>
      </c>
      <c r="BQ98" s="41">
        <f>1-BN98-BP98-BR98</f>
        <v>0.00260000000000005</v>
      </c>
      <c r="BR98" s="41">
        <f>IF(VLOOKUP($Q98,武学奇术!$A:$ZZ,22,FALSE)=1,0,(1-$BK98))*(1-$BN98)</f>
        <v>0</v>
      </c>
      <c r="BS98" s="41" cm="1">
        <f t="array" ref="BS98">SUM(_xlfn.XLOOKUP(R98:AH98,增益!$A:$A,增益!$W:$W,0))+$I$5</f>
        <v>0.11</v>
      </c>
    </row>
    <row r="99" spans="1:71">
      <c r="K99" s="55">
        <f>($L99*$BP99+$M99*$BN99+$N99*$BQ99+$O99*$BR99)</f>
        <v>36677.8149707334</v>
      </c>
      <c r="L99" s="55">
        <f>((($AP99+$AQ99)/2*$AJ99+$AK99)*(1+$AR99)*(1+$AS99)+(($AU99+$AV99)/2*IF($G$1="鸣金",$AL99,$AJ99)+IF($G$1="鸣金",$AM99*1.5,0))*(1+$AW99)*(1+$AX99)+(($AY99+$AZ99)/2*IF($G$1="裂石",$AL99,$AJ99)+IF($G$1="裂石",$AM99*1.5,0))*(1+$BA99)*(1+$BB99)+(($BC99+$BD99)/2*IF($G$1="牵丝",$AL99,$AJ99)+IF($G$1="牵丝",$AM99*1.5,0))*(1+$BE99)*(1+$BF99)+(($BG99+$BH99)/2*IF($G$1="破竹",$AL99,$AJ99)+IF($G$1="破竹",$AM99*1.5,0))*(1+$BI99)*(1+$BJ99))*(1+$AN99)*$BM99*$P99*(1+IF(VLOOKUP($Q99,武学奇术!$A:$ZZ,30,FALSE)="弹道",$B$21,0))*(1+$BS99)</f>
        <v>36093.117142614</v>
      </c>
      <c r="M99" s="55">
        <f>(($AQ99*$AJ99+$AK99)*(1+$AR99)*(1+$AS99)+($AV99*IF($G$1="鸣金",$AL99,$AJ99)+IF($G$1="鸣金",$AM99*1.5,0))*(1+$AW99)*(1+$AX99)+($AZ99*IF($G$1="裂石",$AL99,$AJ99)+IF($G$1="裂石",$AM99*1.5,0))*(1+$BA99)*(1+$BB99)+($BD99*IF($G$1="牵丝",$AL99,$AJ99)+IF($G$1="牵丝",$AM99*1.5,0))*(1+$BE99)*(1+$BF99)+($BH99*IF($G$1="破竹",$AL99,$AJ99)+IF($G$1="破竹",$AM99*1.5,0))*(1+$BI99)*(1+$BJ99))*(1+$AN99)*$BO99*$P99*(1+IF(VLOOKUP($Q99,武学奇术!$A:$ZZ,30,FALSE)="弹道",$B$21,0))*(1+$BS99)</f>
        <v>42765.761032102</v>
      </c>
      <c r="N99" s="55">
        <f>((($AP99+$AQ99)/2*$AJ99+$AK99)*(1+$AR99)*(1+$AS99)+(($AU99+$AV99)/2*IF($G$1="鸣金",$AL99,$AJ99)+IF($G$1="鸣金",$AM99*1.5,0))*(1+$AW99)*(1+$AX99)+(($AY99+$AZ99)/2*IF($G$1="裂石",$AL99,$AJ99)+IF($G$1="裂石",$AM99*1.5,0))*(1+$BA99)*(1+$BB99)+(($BC99+$BD99)/2*IF($G$1="牵丝",$AL99,$AJ99)+IF($G$1="牵丝",$AM99*1.5,0))*(1+$BE99)*(1+$BF99)+(($BG99+$BH99)/2*IF($G$1="破竹",$AL99,$AJ99)+IF($G$1="破竹",$AM99*1.5,0))*(1+$BI99)*(1+$BJ99))*(1+$AN99)*$P99*(1+IF(VLOOKUP($Q99,武学奇术!$A:$ZZ,30,FALSE)="弹道",$B$21,0))*(1+$BS99)</f>
        <v>22558.1982141338</v>
      </c>
      <c r="O99" s="55">
        <f>((($AP99*$AJ99+$AK99)*(1+$AR99)*(1+$AS99)+($AU99*IF($G$1="鸣金",$AL99,$AJ99)+IF($G$1="鸣金",$AM99*1.5,0))*(1+$AW99)*(1+$AX99)+($AY99*IF($G$1="裂石",$AL99,$AJ99)+IF($G$1="裂石",$AM99*1.5,0))*(1+$BA99)*(1+$BB99)+($BC99*IF($G$1="牵丝",$AL99,$AJ99)+IF($G$1="牵丝",$AM99*1.5,0))*(1+$BE99)*(1+$BF99)+($BG99*IF($G$1="破竹",$AL99,$AJ99)+IF($G$1="破竹",$AM99*1.5,0))*(1+$BI99)*(1+$BJ99))*(1+$AN99))*$P99*(1+IF(VLOOKUP($Q99,武学奇术!$A:$ZZ,30,FALSE)="弹道",$B$21,0))*(1+$BS99)</f>
        <v>13438.0549230068</v>
      </c>
      <c r="P99" s="56">
        <v>1</v>
      </c>
      <c r="Q99" s="57" t="s">
        <v>94</v>
      </c>
      <c r="R99" s="57" t="s">
        <v>116</v>
      </c>
      <c r="S99" s="57" t="s">
        <v>153</v>
      </c>
      <c r="T99" s="57" t="s">
        <v>72</v>
      </c>
      <c r="U99" s="57" t="s">
        <v>107</v>
      </c>
      <c r="V99" s="57" t="s">
        <v>72</v>
      </c>
      <c r="W99" s="57" t="s">
        <v>72</v>
      </c>
      <c r="X99" s="57" t="s">
        <v>72</v>
      </c>
      <c r="Y99" s="57" t="s">
        <v>72</v>
      </c>
      <c r="Z99" s="57" t="s">
        <v>72</v>
      </c>
      <c r="AA99" s="57" t="s">
        <v>72</v>
      </c>
      <c r="AB99" s="57" t="s">
        <v>96</v>
      </c>
      <c r="AC99" s="57" t="s">
        <v>72</v>
      </c>
      <c r="AD99" s="57" t="s">
        <v>72</v>
      </c>
      <c r="AE99" s="57" t="s">
        <v>72</v>
      </c>
      <c r="AF99" s="57" t="s">
        <v>72</v>
      </c>
      <c r="AG99" s="57" t="s">
        <v>72</v>
      </c>
      <c r="AH99" s="57" t="s">
        <v>87</v>
      </c>
      <c r="AI99" t="str">
        <f>VLOOKUP($Q99,武学奇术!$A:$ZZ,25,FALSE)</f>
        <v>伞</v>
      </c>
      <c r="AJ99" s="41">
        <f>VLOOKUP($Q99,武学奇术!$A:$ZZ,26,FALSE)</f>
        <v>1.7001</v>
      </c>
      <c r="AK99" s="42">
        <f>VLOOKUP($Q99,武学奇术!$A:$ZZ,27,FALSE)*(1+IF(OR($AI99=$F$4,$AI99=$F$5),$B$22,0))</f>
        <v>659.4</v>
      </c>
      <c r="AL99" s="41">
        <f>VLOOKUP($Q99,武学奇术!$A:$ZZ,28,FALSE)</f>
        <v>2.5502</v>
      </c>
      <c r="AM99" s="42">
        <f>VLOOKUP($Q99,武学奇术!$A:$ZZ,29,FALSE)*(1+IF(OR($AI99=$F$4,$AI99=$F$5),$B$22,0))</f>
        <v>358.4</v>
      </c>
      <c r="AN99" s="41" cm="1">
        <f t="array" ref="AN99">$G$3+IFERROR(VLOOKUP($AI99,$F$4:$G$7,2,FALSE),0)+VLOOKUP($Q99,武学奇术!$A:$ZZ,2,FALSE)+SUM(_xlfn.XLOOKUP($R99:$AH99,增益!$A:$A,增益!$B:$B,0))</f>
        <v>0.4041</v>
      </c>
      <c r="AO99" s="41" cm="1">
        <f t="array" ref="AO99">VLOOKUP($Q99,武学奇术!$A:$ZZ,5,FALSE)+SUM(_xlfn.XLOOKUP($R99:$AH99,增益!$A:$A,增益!$E:$E,0))</f>
        <v>0.075</v>
      </c>
      <c r="AP99" cm="1">
        <f t="array" ref="AP99">$D$10*(1+$AO99)+VLOOKUP($Q99,武学奇术!$A:$ZZ,3,FALSE)+SUM(_xlfn.XLOOKUP($R99:$AH99,增益!$A:$A,增益!$C:$C,0))-$I$2</f>
        <v>1974.055</v>
      </c>
      <c r="AQ99" cm="1">
        <f t="array" ref="AQ99">$E$10*(1+$AO99)+VLOOKUP($Q99,武学奇术!$A:$ZZ,4,FALSE)+SUM(_xlfn.XLOOKUP($R99:$AH99,增益!$A:$A,增益!$D:$D,0))-$I$2</f>
        <v>5941.45</v>
      </c>
      <c r="AR99" s="49" cm="1">
        <f t="array" ref="AR99">IF($F$10-$I$3+VLOOKUP($Q99,武学奇术!$A:$ZZ,6,FALSE)+SUM(_xlfn.XLOOKUP(R99:AH99,增益!$A:$A,增益!$F:$F,0))&gt;0,($F$10-$I$3+VLOOKUP($Q99,武学奇术!$A:$ZZ,6,FALSE)+SUM(_xlfn.XLOOKUP(R99:AH99,增益!$A:$A,增益!$F:$F,0)))/200,($F$10-$I$3+VLOOKUP($Q99,武学奇术!$A:$ZZ,6,FALSE)+SUM(_xlfn.XLOOKUP(R99:AH99,增益!$A:$A,增益!$F:$F,0)))/100)</f>
        <v>0.3425</v>
      </c>
      <c r="AS99" s="49" cm="1">
        <f t="array" ref="AS99">$G$10+VLOOKUP($Q99,武学奇术!$A:$ZZ,7,FALSE)+SUM(_xlfn.XLOOKUP(R99:AH99,增益!$A:$A,增益!$G:$G,0))</f>
        <v>0.1</v>
      </c>
      <c r="AT99" s="41" cm="1">
        <f t="array" ref="AT99">VLOOKUP($Q99,武学奇术!$A:$ZZ,8,FALSE)+SUM(_xlfn.XLOOKUP(R99:AH99,增益!$A:$A,增益!$H:$H,0))</f>
        <v>0</v>
      </c>
      <c r="AU99">
        <f>$D$11*(1+$AT99)</f>
        <v>0</v>
      </c>
      <c r="AV99">
        <f>$E$11*(1+$AT99)</f>
        <v>0</v>
      </c>
      <c r="AW99" s="49" cm="1">
        <f t="array" ref="AW99">IF($F$11-$I$4+VLOOKUP($Q99,武学奇术!$A:$ZZ,9,FALSE)+SUM(_xlfn.XLOOKUP(R99:AH99,增益!$A:$A,增益!$I:$I,0))&gt;0,($F$11-$I$4+VLOOKUP($Q99,武学奇术!$A:$ZZ,9,FALSE)+SUM(_xlfn.XLOOKUP(R99:AH99,增益!$A:$A,增益!$I:$I,0)))/200,($F$11-$I$4+VLOOKUP($Q99,武学奇术!$A:$ZZ,9,FALSE)+SUM(_xlfn.XLOOKUP(R99:AH99,增益!$A:$A,增益!$I:$I,0)))/100)</f>
        <v>-0.14</v>
      </c>
      <c r="AX99" s="49" cm="1">
        <f t="array" ref="AX99">$G$11+VLOOKUP($Q99,武学奇术!$A:$ZZ,10,FALSE)+SUM(_xlfn.XLOOKUP(R99:AH99,增益!$A:$A,增益!$J:$J,0))</f>
        <v>0</v>
      </c>
      <c r="AY99">
        <f>$D$12*(1+$AT99)</f>
        <v>0</v>
      </c>
      <c r="AZ99">
        <f>$E$12*(1+$AT99)</f>
        <v>0</v>
      </c>
      <c r="BA99" s="49" cm="1">
        <f t="array" ref="BA99">IF($F$12-$I$4+VLOOKUP($Q99,武学奇术!$A:$ZZ,11,FALSE)+SUM(_xlfn.XLOOKUP(R99:AH99,增益!$A:$A,增益!$K:$K,0))&gt;0,($F$12-$I$4+VLOOKUP($Q99,武学奇术!$A:$ZZ,11,FALSE)+SUM(_xlfn.XLOOKUP(R99:AH99,增益!$A:$A,增益!$K:$K,0)))/200,($F$12-$I$4+VLOOKUP($Q99,武学奇术!$A:$ZZ,11,FALSE)+SUM(_xlfn.XLOOKUP(R99:AH99,增益!$A:$A,增益!$K:$K,0)))/100)</f>
        <v>-0.14</v>
      </c>
      <c r="BB99" s="49" cm="1">
        <f t="array" ref="BB99">$G$12+VLOOKUP($Q99,武学奇术!$A:$ZZ,12,FALSE)+SUM(_xlfn.XLOOKUP(R99:AH99,增益!$A:$A,增益!$L:$L,0))</f>
        <v>0</v>
      </c>
      <c r="BC99">
        <f>$D$13*(1+$AT99)</f>
        <v>571.2</v>
      </c>
      <c r="BD99">
        <f>$E$13*(1+$AT99)</f>
        <v>1077.4</v>
      </c>
      <c r="BE99" s="49" cm="1">
        <f t="array" ref="BE99">IF($F$13-$I$4+VLOOKUP($Q99,武学奇术!$A:$ZZ,13,FALSE)+SUM(_xlfn.XLOOKUP(R99:AH99,增益!$A:$A,增益!$M:$M,0))&gt;0,($F$13-$I$4+VLOOKUP($Q99,武学奇术!$A:$ZZ,13,FALSE)+SUM(_xlfn.XLOOKUP(R99:AH99,增益!$A:$A,增益!$K:$K,0)))/200,($F$13-$I$4+VLOOKUP($Q99,武学奇术!$A:$ZZ,13,FALSE)+SUM(_xlfn.XLOOKUP(R99:AH99,增益!$A:$A,增益!$M:$M,0)))/100)</f>
        <v>0.08</v>
      </c>
      <c r="BF99" s="49" cm="1">
        <f t="array" ref="BF99">$G$13+VLOOKUP($Q99,武学奇术!$A:$ZZ,14,FALSE)+SUM(_xlfn.XLOOKUP(R99:AH99,增益!$A:$A,增益!$N:$N,0))</f>
        <v>0.25</v>
      </c>
      <c r="BG99">
        <f>$D$14*(1+$AT99)</f>
        <v>0</v>
      </c>
      <c r="BH99">
        <f>$E$14*(1+$AT99)</f>
        <v>0</v>
      </c>
      <c r="BI99" s="49" cm="1">
        <f t="array" ref="BI99">IF($F$14-$I$4+VLOOKUP($Q99,武学奇术!$A:$ZZ,15,FALSE)+SUM(_xlfn.XLOOKUP(R99:AH99,增益!$A:$A,增益!$O:$O,0))&gt;0,($F$14-$I$4+VLOOKUP($Q99,武学奇术!$A:$ZZ,15,FALSE)+SUM(_xlfn.XLOOKUP(R99:AH99,增益!$A:$A,增益!$O:$O,0)))/200,($F$14-$I$4+VLOOKUP($Q99,武学奇术!$A:$ZZ,15,FALSE)+SUM(_xlfn.XLOOKUP(R99:AH99,增益!$A:$A,增益!$O:$O,0)))/100)</f>
        <v>-0.14</v>
      </c>
      <c r="BJ99" s="49" cm="1">
        <f t="array" ref="BJ99">$G$14+VLOOKUP($Q99,武学奇术!$A:$ZZ,16,FALSE)+SUM(_xlfn.XLOOKUP(R99:AH99,增益!$A:$A,增益!$P:$P,0))</f>
        <v>0</v>
      </c>
      <c r="BK99" s="41">
        <f>MIN(IF(VLOOKUP($Q99,武学奇术!$A:$ZZ,23,FALSE)=1,100%,$B$8),100%)</f>
        <v>1</v>
      </c>
      <c r="BL99" s="41" cm="1">
        <f t="array" ref="BL99">IF(VLOOKUP($Q99,武学奇术!$A:$ZZ,23,FALSE)=1,100%,MIN(80%,$B$9+VLOOKUP($Q99,武学奇术!$A:$ZZ,17,FALSE)+SUM(_xlfn.XLOOKUP(R99:AH99,增益!$A:$A,增益!$Q:$Q,0)))+$B$11+SUM(_xlfn.XLOOKUP(R99:AH99,增益!$A:$A,增益!$U:$U,0)))*IF(VLOOKUP($Q99,武学奇术!$A:$ZZ,24,FALSE)=1,0,1)</f>
        <v>0.9045</v>
      </c>
      <c r="BM99" s="41" cm="1">
        <f t="array" ref="BM99">1+$B$13+VLOOKUP($Q99,武学奇术!$A:$ZZ,18,FALSE)+SUM(_xlfn.XLOOKUP(R99:AH99,增益!$A:$A,增益!$R:$R,0))</f>
        <v>1.6</v>
      </c>
      <c r="BN99" s="41" cm="1">
        <f t="array" ref="BN99">IF(VLOOKUP($Q99,武学奇术!$A:$ZZ,24,FALSE)=1,100%,MIN(40%,$B$10+VLOOKUP($Q99,武学奇术!$A:$ZZ,19,FALSE)+SUM(_xlfn.XLOOKUP(R99:AH99,增益!$A:$A,增益!$S:$S,0)))+$B$12+SUM(_xlfn.XLOOKUP(R99:AH99,增益!$A:$A,增益!$V:$V,0)))*IF(VLOOKUP($Q99,武学奇术!$A:$ZZ,23,FALSE)=1,0,1)</f>
        <v>0.0929</v>
      </c>
      <c r="BO99" s="41" cm="1">
        <f t="array" ref="BO99">1+$B$14+VLOOKUP($Q99,武学奇术!$A:$ZZ,20,FALSE)+SUM(_xlfn.XLOOKUP(R99:AH99,增益!$A:$A,增益!$T:$T,0))</f>
        <v>1.35</v>
      </c>
      <c r="BP99" s="41">
        <f>MIN((1-BN99)*BK99,BK99*BL99)</f>
        <v>0.9045</v>
      </c>
      <c r="BQ99" s="41">
        <f>1-BN99-BP99-BR99</f>
        <v>0.00260000000000005</v>
      </c>
      <c r="BR99" s="41">
        <f>IF(VLOOKUP($Q99,武学奇术!$A:$ZZ,22,FALSE)=1,0,(1-$BK99))*(1-$BN99)</f>
        <v>0</v>
      </c>
      <c r="BS99" s="41" cm="1">
        <f t="array" ref="BS99">SUM(_xlfn.XLOOKUP(R99:AH99,增益!$A:$A,增益!$W:$W,0))+$I$5</f>
        <v>0.11</v>
      </c>
    </row>
    <row r="100" spans="1:71">
      <c r="A100" s="4"/>
      <c r="B100" s="4"/>
      <c r="K100" s="55">
        <f>($L100*$BP100+$M100*$BN100+$N100*$BQ100+$O100*$BR100)</f>
        <v>15368.8083476775</v>
      </c>
      <c r="L100" s="55">
        <f>((($AP100+$AQ100)/2*$AJ100+$AK100)*(1+$AR100)*(1+$AS100)+(($AU100+$AV100)/2*IF($G$1="鸣金",$AL100,$AJ100)+IF($G$1="鸣金",$AM100*1.5,0))*(1+$AW100)*(1+$AX100)+(($AY100+$AZ100)/2*IF($G$1="裂石",$AL100,$AJ100)+IF($G$1="裂石",$AM100*1.5,0))*(1+$BA100)*(1+$BB100)+(($BC100+$BD100)/2*IF($G$1="牵丝",$AL100,$AJ100)+IF($G$1="牵丝",$AM100*1.5,0))*(1+$BE100)*(1+$BF100)+(($BG100+$BH100)/2*IF($G$1="破竹",$AL100,$AJ100)+IF($G$1="破竹",$AM100*1.5,0))*(1+$BI100)*(1+$BJ100))*(1+$AN100)*$BM100*$P100*(1+IF(VLOOKUP($Q100,武学奇术!$A:$ZZ,30,FALSE)="弹道",$B$21,0))*(1+$BS100)</f>
        <v>15123.5209758308</v>
      </c>
      <c r="M100" s="55">
        <f>(($AQ100*$AJ100+$AK100)*(1+$AR100)*(1+$AS100)+($AV100*IF($G$1="鸣金",$AL100,$AJ100)+IF($G$1="鸣金",$AM100*1.5,0))*(1+$AW100)*(1+$AX100)+($AZ100*IF($G$1="裂石",$AL100,$AJ100)+IF($G$1="裂石",$AM100*1.5,0))*(1+$BA100)*(1+$BB100)+($BD100*IF($G$1="牵丝",$AL100,$AJ100)+IF($G$1="牵丝",$AM100*1.5,0))*(1+$BE100)*(1+$BF100)+($BH100*IF($G$1="破竹",$AL100,$AJ100)+IF($G$1="破竹",$AM100*1.5,0))*(1+$BI100)*(1+$BJ100))*(1+$AN100)*$BO100*$P100*(1+IF(VLOOKUP($Q100,武学奇术!$A:$ZZ,30,FALSE)="弹道",$B$21,0))*(1+$BS100)</f>
        <v>17922.5823837766</v>
      </c>
      <c r="N100" s="55">
        <f>((($AP100+$AQ100)/2*$AJ100+$AK100)*(1+$AR100)*(1+$AS100)+(($AU100+$AV100)/2*IF($G$1="鸣金",$AL100,$AJ100)+IF($G$1="鸣金",$AM100*1.5,0))*(1+$AW100)*(1+$AX100)+(($AY100+$AZ100)/2*IF($G$1="裂石",$AL100,$AJ100)+IF($G$1="裂石",$AM100*1.5,0))*(1+$BA100)*(1+$BB100)+(($BC100+$BD100)/2*IF($G$1="牵丝",$AL100,$AJ100)+IF($G$1="牵丝",$AM100*1.5,0))*(1+$BE100)*(1+$BF100)+(($BG100+$BH100)/2*IF($G$1="破竹",$AL100,$AJ100)+IF($G$1="破竹",$AM100*1.5,0))*(1+$BI100)*(1+$BJ100))*(1+$AN100)*$P100*(1+IF(VLOOKUP($Q100,武学奇术!$A:$ZZ,30,FALSE)="弹道",$B$21,0))*(1+$BS100)</f>
        <v>9452.20060989424</v>
      </c>
      <c r="O100" s="55">
        <f>((($AP100*$AJ100+$AK100)*(1+$AR100)*(1+$AS100)+($AU100*IF($G$1="鸣金",$AL100,$AJ100)+IF($G$1="鸣金",$AM100*1.5,0))*(1+$AW100)*(1+$AX100)+($AY100*IF($G$1="裂石",$AL100,$AJ100)+IF($G$1="裂石",$AM100*1.5,0))*(1+$BA100)*(1+$BB100)+($BC100*IF($G$1="牵丝",$AL100,$AJ100)+IF($G$1="牵丝",$AM100*1.5,0))*(1+$BE100)*(1+$BF100)+($BG100*IF($G$1="破竹",$AL100,$AJ100)+IF($G$1="破竹",$AM100*1.5,0))*(1+$BI100)*(1+$BJ100))*(1+$AN100))*$P100*(1+IF(VLOOKUP($Q100,武学奇术!$A:$ZZ,30,FALSE)="弹道",$B$21,0))*(1+$BS100)</f>
        <v>5628.41426884288</v>
      </c>
      <c r="P100" s="56">
        <v>1</v>
      </c>
      <c r="Q100" s="57" t="s">
        <v>99</v>
      </c>
      <c r="R100" s="57" t="s">
        <v>116</v>
      </c>
      <c r="S100" s="57" t="s">
        <v>153</v>
      </c>
      <c r="T100" s="57" t="s">
        <v>72</v>
      </c>
      <c r="U100" s="57" t="s">
        <v>107</v>
      </c>
      <c r="V100" s="57" t="s">
        <v>72</v>
      </c>
      <c r="W100" s="57" t="s">
        <v>72</v>
      </c>
      <c r="X100" s="57" t="s">
        <v>72</v>
      </c>
      <c r="Y100" s="57" t="s">
        <v>72</v>
      </c>
      <c r="Z100" s="57" t="s">
        <v>72</v>
      </c>
      <c r="AA100" s="57" t="s">
        <v>72</v>
      </c>
      <c r="AB100" s="57" t="s">
        <v>96</v>
      </c>
      <c r="AC100" s="57" t="s">
        <v>72</v>
      </c>
      <c r="AD100" s="57" t="s">
        <v>72</v>
      </c>
      <c r="AE100" s="57" t="s">
        <v>72</v>
      </c>
      <c r="AF100" s="57" t="s">
        <v>72</v>
      </c>
      <c r="AG100" s="57" t="s">
        <v>72</v>
      </c>
      <c r="AH100" s="57" t="s">
        <v>87</v>
      </c>
      <c r="AI100" t="str">
        <f>VLOOKUP($Q100,武学奇术!$A:$ZZ,25,FALSE)</f>
        <v>伞</v>
      </c>
      <c r="AJ100" s="41">
        <f>VLOOKUP($Q100,武学奇术!$A:$ZZ,26,FALSE)</f>
        <v>0.54</v>
      </c>
      <c r="AK100" s="42">
        <f>VLOOKUP($Q100,武学奇术!$A:$ZZ,27,FALSE)*(1+IF(OR($AI100=$F$4,$AI100=$F$5),$B$22,0))</f>
        <v>207.2</v>
      </c>
      <c r="AL100" s="41">
        <f>VLOOKUP($Q100,武学奇术!$A:$ZZ,28,FALSE)</f>
        <v>0.81</v>
      </c>
      <c r="AM100" s="42">
        <f>VLOOKUP($Q100,武学奇术!$A:$ZZ,29,FALSE)*(1+IF(OR($AI100=$F$4,$AI100=$F$5),$B$22,0))</f>
        <v>114.1</v>
      </c>
      <c r="AN100" s="41" cm="1">
        <f t="array" ref="AN100">$G$3+IFERROR(VLOOKUP($AI100,$F$4:$G$7,2,FALSE),0)+VLOOKUP($Q100,武学奇术!$A:$ZZ,2,FALSE)+SUM(_xlfn.XLOOKUP($R100:$AH100,增益!$A:$A,增益!$B:$B,0))</f>
        <v>0.4041</v>
      </c>
      <c r="AO100" s="41" cm="1">
        <f t="array" ref="AO100">VLOOKUP($Q100,武学奇术!$A:$ZZ,5,FALSE)+SUM(_xlfn.XLOOKUP($R100:$AH100,增益!$A:$A,增益!$E:$E,0))</f>
        <v>0.075</v>
      </c>
      <c r="AP100" cm="1">
        <f t="array" ref="AP100">$D$10*(1+$AO100)+VLOOKUP($Q100,武学奇术!$A:$ZZ,3,FALSE)+SUM(_xlfn.XLOOKUP($R100:$AH100,增益!$A:$A,增益!$C:$C,0))-$I$2</f>
        <v>1974.055</v>
      </c>
      <c r="AQ100" cm="1">
        <f t="array" ref="AQ100">$E$10*(1+$AO100)+VLOOKUP($Q100,武学奇术!$A:$ZZ,4,FALSE)+SUM(_xlfn.XLOOKUP($R100:$AH100,增益!$A:$A,增益!$D:$D,0))-$I$2</f>
        <v>5941.45</v>
      </c>
      <c r="AR100" s="49" cm="1">
        <f t="array" ref="AR100">IF($F$10-$I$3+VLOOKUP($Q100,武学奇术!$A:$ZZ,6,FALSE)+SUM(_xlfn.XLOOKUP(R100:AH100,增益!$A:$A,增益!$F:$F,0))&gt;0,($F$10-$I$3+VLOOKUP($Q100,武学奇术!$A:$ZZ,6,FALSE)+SUM(_xlfn.XLOOKUP(R100:AH100,增益!$A:$A,增益!$F:$F,0)))/200,($F$10-$I$3+VLOOKUP($Q100,武学奇术!$A:$ZZ,6,FALSE)+SUM(_xlfn.XLOOKUP(R100:AH100,增益!$A:$A,增益!$F:$F,0)))/100)</f>
        <v>0.3425</v>
      </c>
      <c r="AS100" s="49" cm="1">
        <f t="array" ref="AS100">$G$10+VLOOKUP($Q100,武学奇术!$A:$ZZ,7,FALSE)+SUM(_xlfn.XLOOKUP(R100:AH100,增益!$A:$A,增益!$G:$G,0))</f>
        <v>0.1</v>
      </c>
      <c r="AT100" s="41" cm="1">
        <f t="array" ref="AT100">VLOOKUP($Q100,武学奇术!$A:$ZZ,8,FALSE)+SUM(_xlfn.XLOOKUP(R100:AH100,增益!$A:$A,增益!$H:$H,0))</f>
        <v>0</v>
      </c>
      <c r="AU100">
        <f>$D$11*(1+$AT100)</f>
        <v>0</v>
      </c>
      <c r="AV100">
        <f>$E$11*(1+$AT100)</f>
        <v>0</v>
      </c>
      <c r="AW100" s="49" cm="1">
        <f t="array" ref="AW100">IF($F$11-$I$4+VLOOKUP($Q100,武学奇术!$A:$ZZ,9,FALSE)+SUM(_xlfn.XLOOKUP(R100:AH100,增益!$A:$A,增益!$I:$I,0))&gt;0,($F$11-$I$4+VLOOKUP($Q100,武学奇术!$A:$ZZ,9,FALSE)+SUM(_xlfn.XLOOKUP(R100:AH100,增益!$A:$A,增益!$I:$I,0)))/200,($F$11-$I$4+VLOOKUP($Q100,武学奇术!$A:$ZZ,9,FALSE)+SUM(_xlfn.XLOOKUP(R100:AH100,增益!$A:$A,增益!$I:$I,0)))/100)</f>
        <v>-0.14</v>
      </c>
      <c r="AX100" s="49" cm="1">
        <f t="array" ref="AX100">$G$11+VLOOKUP($Q100,武学奇术!$A:$ZZ,10,FALSE)+SUM(_xlfn.XLOOKUP(R100:AH100,增益!$A:$A,增益!$J:$J,0))</f>
        <v>0</v>
      </c>
      <c r="AY100">
        <f>$D$12*(1+$AT100)</f>
        <v>0</v>
      </c>
      <c r="AZ100">
        <f>$E$12*(1+$AT100)</f>
        <v>0</v>
      </c>
      <c r="BA100" s="49" cm="1">
        <f t="array" ref="BA100">IF($F$12-$I$4+VLOOKUP($Q100,武学奇术!$A:$ZZ,11,FALSE)+SUM(_xlfn.XLOOKUP(R100:AH100,增益!$A:$A,增益!$K:$K,0))&gt;0,($F$12-$I$4+VLOOKUP($Q100,武学奇术!$A:$ZZ,11,FALSE)+SUM(_xlfn.XLOOKUP(R100:AH100,增益!$A:$A,增益!$K:$K,0)))/200,($F$12-$I$4+VLOOKUP($Q100,武学奇术!$A:$ZZ,11,FALSE)+SUM(_xlfn.XLOOKUP(R100:AH100,增益!$A:$A,增益!$K:$K,0)))/100)</f>
        <v>-0.14</v>
      </c>
      <c r="BB100" s="49" cm="1">
        <f t="array" ref="BB100">$G$12+VLOOKUP($Q100,武学奇术!$A:$ZZ,12,FALSE)+SUM(_xlfn.XLOOKUP(R100:AH100,增益!$A:$A,增益!$L:$L,0))</f>
        <v>0</v>
      </c>
      <c r="BC100">
        <f>$D$13*(1+$AT100)</f>
        <v>571.2</v>
      </c>
      <c r="BD100">
        <f>$E$13*(1+$AT100)</f>
        <v>1077.4</v>
      </c>
      <c r="BE100" s="49" cm="1">
        <f t="array" ref="BE100">IF($F$13-$I$4+VLOOKUP($Q100,武学奇术!$A:$ZZ,13,FALSE)+SUM(_xlfn.XLOOKUP(R100:AH100,增益!$A:$A,增益!$M:$M,0))&gt;0,($F$13-$I$4+VLOOKUP($Q100,武学奇术!$A:$ZZ,13,FALSE)+SUM(_xlfn.XLOOKUP(R100:AH100,增益!$A:$A,增益!$K:$K,0)))/200,($F$13-$I$4+VLOOKUP($Q100,武学奇术!$A:$ZZ,13,FALSE)+SUM(_xlfn.XLOOKUP(R100:AH100,增益!$A:$A,增益!$M:$M,0)))/100)</f>
        <v>0.08</v>
      </c>
      <c r="BF100" s="49" cm="1">
        <f t="array" ref="BF100">$G$13+VLOOKUP($Q100,武学奇术!$A:$ZZ,14,FALSE)+SUM(_xlfn.XLOOKUP(R100:AH100,增益!$A:$A,增益!$N:$N,0))</f>
        <v>0.25</v>
      </c>
      <c r="BG100">
        <f>$D$14*(1+$AT100)</f>
        <v>0</v>
      </c>
      <c r="BH100">
        <f>$E$14*(1+$AT100)</f>
        <v>0</v>
      </c>
      <c r="BI100" s="49" cm="1">
        <f t="array" ref="BI100">IF($F$14-$I$4+VLOOKUP($Q100,武学奇术!$A:$ZZ,15,FALSE)+SUM(_xlfn.XLOOKUP(R100:AH100,增益!$A:$A,增益!$O:$O,0))&gt;0,($F$14-$I$4+VLOOKUP($Q100,武学奇术!$A:$ZZ,15,FALSE)+SUM(_xlfn.XLOOKUP(R100:AH100,增益!$A:$A,增益!$O:$O,0)))/200,($F$14-$I$4+VLOOKUP($Q100,武学奇术!$A:$ZZ,15,FALSE)+SUM(_xlfn.XLOOKUP(R100:AH100,增益!$A:$A,增益!$O:$O,0)))/100)</f>
        <v>-0.14</v>
      </c>
      <c r="BJ100" s="49" cm="1">
        <f t="array" ref="BJ100">$G$14+VLOOKUP($Q100,武学奇术!$A:$ZZ,16,FALSE)+SUM(_xlfn.XLOOKUP(R100:AH100,增益!$A:$A,增益!$P:$P,0))</f>
        <v>0</v>
      </c>
      <c r="BK100" s="41">
        <f>MIN(IF(VLOOKUP($Q100,武学奇术!$A:$ZZ,23,FALSE)=1,100%,$B$8),100%)</f>
        <v>1</v>
      </c>
      <c r="BL100" s="41" cm="1">
        <f t="array" ref="BL100">IF(VLOOKUP($Q100,武学奇术!$A:$ZZ,23,FALSE)=1,100%,MIN(80%,$B$9+VLOOKUP($Q100,武学奇术!$A:$ZZ,17,FALSE)+SUM(_xlfn.XLOOKUP(R100:AH100,增益!$A:$A,增益!$Q:$Q,0)))+$B$11+SUM(_xlfn.XLOOKUP(R100:AH100,增益!$A:$A,增益!$U:$U,0)))*IF(VLOOKUP($Q100,武学奇术!$A:$ZZ,24,FALSE)=1,0,1)</f>
        <v>0.9045</v>
      </c>
      <c r="BM100" s="41" cm="1">
        <f t="array" ref="BM100">1+$B$13+VLOOKUP($Q100,武学奇术!$A:$ZZ,18,FALSE)+SUM(_xlfn.XLOOKUP(R100:AH100,增益!$A:$A,增益!$R:$R,0))</f>
        <v>1.6</v>
      </c>
      <c r="BN100" s="41" cm="1">
        <f t="array" ref="BN100">IF(VLOOKUP($Q100,武学奇术!$A:$ZZ,24,FALSE)=1,100%,MIN(40%,$B$10+VLOOKUP($Q100,武学奇术!$A:$ZZ,19,FALSE)+SUM(_xlfn.XLOOKUP(R100:AH100,增益!$A:$A,增益!$S:$S,0)))+$B$12+SUM(_xlfn.XLOOKUP(R100:AH100,增益!$A:$A,增益!$V:$V,0)))*IF(VLOOKUP($Q100,武学奇术!$A:$ZZ,23,FALSE)=1,0,1)</f>
        <v>0.0929</v>
      </c>
      <c r="BO100" s="41" cm="1">
        <f t="array" ref="BO100">1+$B$14+VLOOKUP($Q100,武学奇术!$A:$ZZ,20,FALSE)+SUM(_xlfn.XLOOKUP(R100:AH100,增益!$A:$A,增益!$T:$T,0))</f>
        <v>1.35</v>
      </c>
      <c r="BP100" s="41">
        <f>MIN((1-BN100)*BK100,BK100*BL100)</f>
        <v>0.9045</v>
      </c>
      <c r="BQ100" s="41">
        <f>1-BN100-BP100-BR100</f>
        <v>0.00260000000000005</v>
      </c>
      <c r="BR100" s="41">
        <f>IF(VLOOKUP($Q100,武学奇术!$A:$ZZ,22,FALSE)=1,0,(1-$BK100))*(1-$BN100)</f>
        <v>0</v>
      </c>
      <c r="BS100" s="41" cm="1">
        <f t="array" ref="BS100">SUM(_xlfn.XLOOKUP(R100:AH100,增益!$A:$A,增益!$W:$W,0))+$I$5</f>
        <v>0.11</v>
      </c>
    </row>
    <row r="101" spans="1:71">
      <c r="A101" s="4"/>
      <c r="B101" s="4"/>
      <c r="K101" s="55">
        <f>($L101*$BP101+$M101*$BN101+$N101*$BQ101+$O101*$BR101)</f>
        <v>17132.5167504687</v>
      </c>
      <c r="L101" s="55">
        <f>((($AP101+$AQ101)/2*$AJ101+$AK101)*(1+$AR101)*(1+$AS101)+(($AU101+$AV101)/2*IF($G$1="鸣金",$AL101,$AJ101)+IF($G$1="鸣金",$AM101*1.5,0))*(1+$AW101)*(1+$AX101)+(($AY101+$AZ101)/2*IF($G$1="裂石",$AL101,$AJ101)+IF($G$1="裂石",$AM101*1.5,0))*(1+$BA101)*(1+$BB101)+(($BC101+$BD101)/2*IF($G$1="牵丝",$AL101,$AJ101)+IF($G$1="牵丝",$AM101*1.5,0))*(1+$BE101)*(1+$BF101)+(($BG101+$BH101)/2*IF($G$1="破竹",$AL101,$AJ101)+IF($G$1="破竹",$AM101*1.5,0))*(1+$BI101)*(1+$BJ101))*(1+$AN101)*$BM101*$P101*(1+IF(VLOOKUP($Q101,武学奇术!$A:$ZZ,30,FALSE)="弹道",$B$21,0))*(1+$BS101)</f>
        <v>16860.108805464</v>
      </c>
      <c r="M101" s="55">
        <f>(($AQ101*$AJ101+$AK101)*(1+$AR101)*(1+$AS101)+($AV101*IF($G$1="鸣金",$AL101,$AJ101)+IF($G$1="鸣金",$AM101*1.5,0))*(1+$AW101)*(1+$AX101)+($AZ101*IF($G$1="裂石",$AL101,$AJ101)+IF($G$1="裂石",$AM101*1.5,0))*(1+$BA101)*(1+$BB101)+($BD101*IF($G$1="牵丝",$AL101,$AJ101)+IF($G$1="牵丝",$AM101*1.5,0))*(1+$BE101)*(1+$BF101)+($BH101*IF($G$1="破竹",$AL101,$AJ101)+IF($G$1="破竹",$AM101*1.5,0))*(1+$BI101)*(1+$BJ101))*(1+$AN101)*$BO101*$P101*(1+IF(VLOOKUP($Q101,武学奇术!$A:$ZZ,30,FALSE)="弹道",$B$21,0))*(1+$BS101)</f>
        <v>19969.3289463693</v>
      </c>
      <c r="N101" s="55">
        <f>((($AP101+$AQ101)/2*$AJ101+$AK101)*(1+$AR101)*(1+$AS101)+(($AU101+$AV101)/2*IF($G$1="鸣金",$AL101,$AJ101)+IF($G$1="鸣金",$AM101*1.5,0))*(1+$AW101)*(1+$AX101)+(($AY101+$AZ101)/2*IF($G$1="裂石",$AL101,$AJ101)+IF($G$1="裂石",$AM101*1.5,0))*(1+$BA101)*(1+$BB101)+(($BC101+$BD101)/2*IF($G$1="牵丝",$AL101,$AJ101)+IF($G$1="牵丝",$AM101*1.5,0))*(1+$BE101)*(1+$BF101)+(($BG101+$BH101)/2*IF($G$1="破竹",$AL101,$AJ101)+IF($G$1="破竹",$AM101*1.5,0))*(1+$BI101)*(1+$BJ101))*(1+$AN101)*$P101*(1+IF(VLOOKUP($Q101,武学奇术!$A:$ZZ,30,FALSE)="弹道",$B$21,0))*(1+$BS101)</f>
        <v>10537.568003415</v>
      </c>
      <c r="O101" s="55">
        <f>((($AP101*$AJ101+$AK101)*(1+$AR101)*(1+$AS101)+($AU101*IF($G$1="鸣金",$AL101,$AJ101)+IF($G$1="鸣金",$AM101*1.5,0))*(1+$AW101)*(1+$AX101)+($AY101*IF($G$1="裂石",$AL101,$AJ101)+IF($G$1="裂石",$AM101*1.5,0))*(1+$BA101)*(1+$BB101)+($BC101*IF($G$1="牵丝",$AL101,$AJ101)+IF($G$1="牵丝",$AM101*1.5,0))*(1+$BE101)*(1+$BF101)+($BG101*IF($G$1="破竹",$AL101,$AJ101)+IF($G$1="破竹",$AM101*1.5,0))*(1+$BI101)*(1+$BJ101))*(1+$AN101))*$P101*(1+IF(VLOOKUP($Q101,武学奇术!$A:$ZZ,30,FALSE)="弹道",$B$21,0))*(1+$BS101)</f>
        <v>6283.04049100081</v>
      </c>
      <c r="P101" s="56">
        <v>1</v>
      </c>
      <c r="Q101" s="57" t="s">
        <v>146</v>
      </c>
      <c r="R101" s="57" t="s">
        <v>116</v>
      </c>
      <c r="S101" s="57" t="s">
        <v>153</v>
      </c>
      <c r="T101" s="57" t="s">
        <v>72</v>
      </c>
      <c r="U101" s="57" t="s">
        <v>107</v>
      </c>
      <c r="V101" s="57" t="s">
        <v>72</v>
      </c>
      <c r="W101" s="57" t="s">
        <v>72</v>
      </c>
      <c r="X101" s="57" t="s">
        <v>72</v>
      </c>
      <c r="Y101" s="57" t="s">
        <v>72</v>
      </c>
      <c r="Z101" s="57" t="s">
        <v>72</v>
      </c>
      <c r="AA101" s="57" t="s">
        <v>72</v>
      </c>
      <c r="AB101" s="57" t="s">
        <v>96</v>
      </c>
      <c r="AC101" s="57" t="s">
        <v>72</v>
      </c>
      <c r="AD101" s="57" t="s">
        <v>72</v>
      </c>
      <c r="AE101" s="57" t="s">
        <v>72</v>
      </c>
      <c r="AF101" s="57" t="s">
        <v>72</v>
      </c>
      <c r="AG101" s="57" t="s">
        <v>72</v>
      </c>
      <c r="AH101" s="57" t="s">
        <v>87</v>
      </c>
      <c r="AI101" t="str">
        <f>VLOOKUP($Q101,武学奇术!$A:$ZZ,25,FALSE)</f>
        <v>扇</v>
      </c>
      <c r="AJ101" s="41">
        <f>VLOOKUP($Q101,武学奇术!$A:$ZZ,26,FALSE)</f>
        <v>0.9271</v>
      </c>
      <c r="AK101" s="42">
        <f>VLOOKUP($Q101,武学奇术!$A:$ZZ,27,FALSE)*(1+IF(OR($AI101=$F$4,$AI101=$F$5),$B$22,0))</f>
        <v>359.8</v>
      </c>
      <c r="AL101" s="41">
        <f>VLOOKUP($Q101,武学奇术!$A:$ZZ,28,FALSE)</f>
        <v>1.3907</v>
      </c>
      <c r="AM101" s="42">
        <f>VLOOKUP($Q101,武学奇术!$A:$ZZ,29,FALSE)*(1+IF(OR($AI101=$F$4,$AI101=$F$5),$B$22,0))</f>
        <v>196</v>
      </c>
      <c r="AN101" s="41" cm="1">
        <f t="array" ref="AN101">$G$3+IFERROR(VLOOKUP($AI101,$F$4:$G$7,2,FALSE),0)+VLOOKUP($Q101,武学奇术!$A:$ZZ,2,FALSE)+SUM(_xlfn.XLOOKUP($R101:$AH101,增益!$A:$A,增益!$B:$B,0))</f>
        <v>0.3189</v>
      </c>
      <c r="AO101" s="41" cm="1">
        <f t="array" ref="AO101">VLOOKUP($Q101,武学奇术!$A:$ZZ,5,FALSE)+SUM(_xlfn.XLOOKUP($R101:$AH101,增益!$A:$A,增益!$E:$E,0))</f>
        <v>0.075</v>
      </c>
      <c r="AP101" cm="1">
        <f t="array" ref="AP101">$D$10*(1+$AO101)+VLOOKUP($Q101,武学奇术!$A:$ZZ,3,FALSE)+SUM(_xlfn.XLOOKUP($R101:$AH101,增益!$A:$A,增益!$C:$C,0))-$I$2</f>
        <v>1974.055</v>
      </c>
      <c r="AQ101" cm="1">
        <f t="array" ref="AQ101">$E$10*(1+$AO101)+VLOOKUP($Q101,武学奇术!$A:$ZZ,4,FALSE)+SUM(_xlfn.XLOOKUP($R101:$AH101,增益!$A:$A,增益!$D:$D,0))-$I$2</f>
        <v>5941.45</v>
      </c>
      <c r="AR101" s="49" cm="1">
        <f t="array" ref="AR101">IF($F$10-$I$3+VLOOKUP($Q101,武学奇术!$A:$ZZ,6,FALSE)+SUM(_xlfn.XLOOKUP(R101:AH101,增益!$A:$A,增益!$F:$F,0))&gt;0,($F$10-$I$3+VLOOKUP($Q101,武学奇术!$A:$ZZ,6,FALSE)+SUM(_xlfn.XLOOKUP(R101:AH101,增益!$A:$A,增益!$F:$F,0)))/200,($F$10-$I$3+VLOOKUP($Q101,武学奇术!$A:$ZZ,6,FALSE)+SUM(_xlfn.XLOOKUP(R101:AH101,增益!$A:$A,增益!$F:$F,0)))/100)</f>
        <v>0.3425</v>
      </c>
      <c r="AS101" s="49" cm="1">
        <f t="array" ref="AS101">$G$10+VLOOKUP($Q101,武学奇术!$A:$ZZ,7,FALSE)+SUM(_xlfn.XLOOKUP(R101:AH101,增益!$A:$A,增益!$G:$G,0))</f>
        <v>0</v>
      </c>
      <c r="AT101" s="41" cm="1">
        <f t="array" ref="AT101">VLOOKUP($Q101,武学奇术!$A:$ZZ,8,FALSE)+SUM(_xlfn.XLOOKUP(R101:AH101,增益!$A:$A,增益!$H:$H,0))</f>
        <v>0</v>
      </c>
      <c r="AU101">
        <f>$D$11*(1+$AT101)</f>
        <v>0</v>
      </c>
      <c r="AV101">
        <f>$E$11*(1+$AT101)</f>
        <v>0</v>
      </c>
      <c r="AW101" s="49" cm="1">
        <f t="array" ref="AW101">IF($F$11-$I$4+VLOOKUP($Q101,武学奇术!$A:$ZZ,9,FALSE)+SUM(_xlfn.XLOOKUP(R101:AH101,增益!$A:$A,增益!$I:$I,0))&gt;0,($F$11-$I$4+VLOOKUP($Q101,武学奇术!$A:$ZZ,9,FALSE)+SUM(_xlfn.XLOOKUP(R101:AH101,增益!$A:$A,增益!$I:$I,0)))/200,($F$11-$I$4+VLOOKUP($Q101,武学奇术!$A:$ZZ,9,FALSE)+SUM(_xlfn.XLOOKUP(R101:AH101,增益!$A:$A,增益!$I:$I,0)))/100)</f>
        <v>-0.14</v>
      </c>
      <c r="AX101" s="49" cm="1">
        <f t="array" ref="AX101">$G$11+VLOOKUP($Q101,武学奇术!$A:$ZZ,10,FALSE)+SUM(_xlfn.XLOOKUP(R101:AH101,增益!$A:$A,增益!$J:$J,0))</f>
        <v>0</v>
      </c>
      <c r="AY101">
        <f>$D$12*(1+$AT101)</f>
        <v>0</v>
      </c>
      <c r="AZ101">
        <f>$E$12*(1+$AT101)</f>
        <v>0</v>
      </c>
      <c r="BA101" s="49" cm="1">
        <f t="array" ref="BA101">IF($F$12-$I$4+VLOOKUP($Q101,武学奇术!$A:$ZZ,11,FALSE)+SUM(_xlfn.XLOOKUP(R101:AH101,增益!$A:$A,增益!$K:$K,0))&gt;0,($F$12-$I$4+VLOOKUP($Q101,武学奇术!$A:$ZZ,11,FALSE)+SUM(_xlfn.XLOOKUP(R101:AH101,增益!$A:$A,增益!$K:$K,0)))/200,($F$12-$I$4+VLOOKUP($Q101,武学奇术!$A:$ZZ,11,FALSE)+SUM(_xlfn.XLOOKUP(R101:AH101,增益!$A:$A,增益!$K:$K,0)))/100)</f>
        <v>-0.14</v>
      </c>
      <c r="BB101" s="49" cm="1">
        <f t="array" ref="BB101">$G$12+VLOOKUP($Q101,武学奇术!$A:$ZZ,12,FALSE)+SUM(_xlfn.XLOOKUP(R101:AH101,增益!$A:$A,增益!$L:$L,0))</f>
        <v>0</v>
      </c>
      <c r="BC101">
        <f>$D$13*(1+$AT101)</f>
        <v>571.2</v>
      </c>
      <c r="BD101">
        <f>$E$13*(1+$AT101)</f>
        <v>1077.4</v>
      </c>
      <c r="BE101" s="49" cm="1">
        <f t="array" ref="BE101">IF($F$13-$I$4+VLOOKUP($Q101,武学奇术!$A:$ZZ,13,FALSE)+SUM(_xlfn.XLOOKUP(R101:AH101,增益!$A:$A,增益!$M:$M,0))&gt;0,($F$13-$I$4+VLOOKUP($Q101,武学奇术!$A:$ZZ,13,FALSE)+SUM(_xlfn.XLOOKUP(R101:AH101,增益!$A:$A,增益!$K:$K,0)))/200,($F$13-$I$4+VLOOKUP($Q101,武学奇术!$A:$ZZ,13,FALSE)+SUM(_xlfn.XLOOKUP(R101:AH101,增益!$A:$A,增益!$M:$M,0)))/100)</f>
        <v>0.08</v>
      </c>
      <c r="BF101" s="49" cm="1">
        <f t="array" ref="BF101">$G$13+VLOOKUP($Q101,武学奇术!$A:$ZZ,14,FALSE)+SUM(_xlfn.XLOOKUP(R101:AH101,增益!$A:$A,增益!$N:$N,0))</f>
        <v>0.15</v>
      </c>
      <c r="BG101">
        <f>$D$14*(1+$AT101)</f>
        <v>0</v>
      </c>
      <c r="BH101">
        <f>$E$14*(1+$AT101)</f>
        <v>0</v>
      </c>
      <c r="BI101" s="49" cm="1">
        <f t="array" ref="BI101">IF($F$14-$I$4+VLOOKUP($Q101,武学奇术!$A:$ZZ,15,FALSE)+SUM(_xlfn.XLOOKUP(R101:AH101,增益!$A:$A,增益!$O:$O,0))&gt;0,($F$14-$I$4+VLOOKUP($Q101,武学奇术!$A:$ZZ,15,FALSE)+SUM(_xlfn.XLOOKUP(R101:AH101,增益!$A:$A,增益!$O:$O,0)))/200,($F$14-$I$4+VLOOKUP($Q101,武学奇术!$A:$ZZ,15,FALSE)+SUM(_xlfn.XLOOKUP(R101:AH101,增益!$A:$A,增益!$O:$O,0)))/100)</f>
        <v>-0.14</v>
      </c>
      <c r="BJ101" s="49" cm="1">
        <f t="array" ref="BJ101">$G$14+VLOOKUP($Q101,武学奇术!$A:$ZZ,16,FALSE)+SUM(_xlfn.XLOOKUP(R101:AH101,增益!$A:$A,增益!$P:$P,0))</f>
        <v>0</v>
      </c>
      <c r="BK101" s="41">
        <f>MIN(IF(VLOOKUP($Q101,武学奇术!$A:$ZZ,23,FALSE)=1,100%,$B$8),100%)</f>
        <v>1</v>
      </c>
      <c r="BL101" s="41" cm="1">
        <f t="array" ref="BL101">IF(VLOOKUP($Q101,武学奇术!$A:$ZZ,23,FALSE)=1,100%,MIN(80%,$B$9+VLOOKUP($Q101,武学奇术!$A:$ZZ,17,FALSE)+SUM(_xlfn.XLOOKUP(R101:AH101,增益!$A:$A,增益!$Q:$Q,0)))+$B$11+SUM(_xlfn.XLOOKUP(R101:AH101,增益!$A:$A,增益!$U:$U,0)))*IF(VLOOKUP($Q101,武学奇术!$A:$ZZ,24,FALSE)=1,0,1)</f>
        <v>0.9045</v>
      </c>
      <c r="BM101" s="41" cm="1">
        <f t="array" ref="BM101">1+$B$13+VLOOKUP($Q101,武学奇术!$A:$ZZ,18,FALSE)+SUM(_xlfn.XLOOKUP(R101:AH101,增益!$A:$A,增益!$R:$R,0))</f>
        <v>1.6</v>
      </c>
      <c r="BN101" s="41" cm="1">
        <f t="array" ref="BN101">IF(VLOOKUP($Q101,武学奇术!$A:$ZZ,24,FALSE)=1,100%,MIN(40%,$B$10+VLOOKUP($Q101,武学奇术!$A:$ZZ,19,FALSE)+SUM(_xlfn.XLOOKUP(R101:AH101,增益!$A:$A,增益!$S:$S,0)))+$B$12+SUM(_xlfn.XLOOKUP(R101:AH101,增益!$A:$A,增益!$V:$V,0)))*IF(VLOOKUP($Q101,武学奇术!$A:$ZZ,23,FALSE)=1,0,1)</f>
        <v>0.0929</v>
      </c>
      <c r="BO101" s="41" cm="1">
        <f t="array" ref="BO101">1+$B$14+VLOOKUP($Q101,武学奇术!$A:$ZZ,20,FALSE)+SUM(_xlfn.XLOOKUP(R101:AH101,增益!$A:$A,增益!$T:$T,0))</f>
        <v>1.35</v>
      </c>
      <c r="BP101" s="41">
        <f>MIN((1-BN101)*BK101,BK101*BL101)</f>
        <v>0.9045</v>
      </c>
      <c r="BQ101" s="41">
        <f>1-BN101-BP101-BR101</f>
        <v>0.00260000000000005</v>
      </c>
      <c r="BR101" s="41">
        <f>IF(VLOOKUP($Q101,武学奇术!$A:$ZZ,22,FALSE)=1,0,(1-$BK101))*(1-$BN101)</f>
        <v>0</v>
      </c>
      <c r="BS101" s="41" cm="1">
        <f t="array" ref="BS101">SUM(_xlfn.XLOOKUP(R101:AH101,增益!$A:$A,增益!$W:$W,0))+$I$5</f>
        <v>0.11</v>
      </c>
    </row>
    <row r="102" spans="1:71">
      <c r="A102" s="4"/>
      <c r="B102" s="109"/>
      <c r="K102" s="55">
        <f>($L102*$BP102+$M102*$BN102+$N102*$BQ102+$O102*$BR102)</f>
        <v>662965.998883375</v>
      </c>
      <c r="L102" s="55">
        <f>((($AP102+$AQ102)/2*$AJ102+$AK102)*(1+$AR102)*(1+$AS102)+(($AU102+$AV102)/2*IF($G$1="鸣金",$AL102,$AJ102)+IF($G$1="鸣金",$AM102*1.5,0))*(1+$AW102)*(1+$AX102)+(($AY102+$AZ102)/2*IF($G$1="裂石",$AL102,$AJ102)+IF($G$1="裂石",$AM102*1.5,0))*(1+$BA102)*(1+$BB102)+(($BC102+$BD102)/2*IF($G$1="牵丝",$AL102,$AJ102)+IF($G$1="牵丝",$AM102*1.5,0))*(1+$BE102)*(1+$BF102)+(($BG102+$BH102)/2*IF($G$1="破竹",$AL102,$AJ102)+IF($G$1="破竹",$AM102*1.5,0))*(1+$BI102)*(1+$BJ102))*(1+$AN102)*$BM102*$P102*(1+IF(VLOOKUP($Q102,武学奇术!$A:$ZZ,30,FALSE)="弹道",$B$21,0))*(1+$BS102)</f>
        <v>665609.031521381</v>
      </c>
      <c r="M102" s="55">
        <f>(($AQ102*$AJ102+$AK102)*(1+$AR102)*(1+$AS102)+($AV102*IF($G$1="鸣金",$AL102,$AJ102)+IF($G$1="鸣金",$AM102*1.5,0))*(1+$AW102)*(1+$AX102)+($AZ102*IF($G$1="裂石",$AL102,$AJ102)+IF($G$1="裂石",$AM102*1.5,0))*(1+$BA102)*(1+$BB102)+($BD102*IF($G$1="牵丝",$AL102,$AJ102)+IF($G$1="牵丝",$AM102*1.5,0))*(1+$BE102)*(1+$BF102)+($BH102*IF($G$1="破竹",$AL102,$AJ102)+IF($G$1="破竹",$AM102*1.5,0))*(1+$BI102)*(1+$BJ102))*(1+$AN102)*$BO102*$P102*(1+IF(VLOOKUP($Q102,武学奇术!$A:$ZZ,30,FALSE)="弹道",$B$21,0))*(1+$BS102)</f>
        <v>646282.875308789</v>
      </c>
      <c r="N102" s="55">
        <f>((($AP102+$AQ102)/2*$AJ102+$AK102)*(1+$AR102)*(1+$AS102)+(($AU102+$AV102)/2*IF($G$1="鸣金",$AL102,$AJ102)+IF($G$1="鸣金",$AM102*1.5,0))*(1+$AW102)*(1+$AX102)+(($AY102+$AZ102)/2*IF($G$1="裂石",$AL102,$AJ102)+IF($G$1="裂石",$AM102*1.5,0))*(1+$BA102)*(1+$BB102)+(($BC102+$BD102)/2*IF($G$1="牵丝",$AL102,$AJ102)+IF($G$1="牵丝",$AM102*1.5,0))*(1+$BE102)*(1+$BF102)+(($BG102+$BH102)/2*IF($G$1="破竹",$AL102,$AJ102)+IF($G$1="破竹",$AM102*1.5,0))*(1+$BI102)*(1+$BJ102))*(1+$AN102)*$P102*(1+IF(VLOOKUP($Q102,武学奇术!$A:$ZZ,30,FALSE)="弹道",$B$21,0))*(1+$BS102)</f>
        <v>339596.444653766</v>
      </c>
      <c r="O102" s="55">
        <f>((($AP102*$AJ102+$AK102)*(1+$AR102)*(1+$AS102)+($AU102*IF($G$1="鸣金",$AL102,$AJ102)+IF($G$1="鸣金",$AM102*1.5,0))*(1+$AW102)*(1+$AX102)+($AY102*IF($G$1="裂石",$AL102,$AJ102)+IF($G$1="裂石",$AM102*1.5,0))*(1+$BA102)*(1+$BB102)+($BC102*IF($G$1="牵丝",$AL102,$AJ102)+IF($G$1="牵丝",$AM102*1.5,0))*(1+$BE102)*(1+$BF102)+($BG102*IF($G$1="破竹",$AL102,$AJ102)+IF($G$1="破竹",$AM102*1.5,0))*(1+$BI102)*(1+$BJ102))*(1+$AN102))*$P102*(1+IF(VLOOKUP($Q102,武学奇术!$A:$ZZ,30,FALSE)="弹道",$B$21,0))*(1+$BS102)</f>
        <v>200464.833523243</v>
      </c>
      <c r="P102" s="56">
        <v>10</v>
      </c>
      <c r="Q102" s="57" t="s">
        <v>102</v>
      </c>
      <c r="R102" s="57" t="s">
        <v>116</v>
      </c>
      <c r="S102" s="57" t="s">
        <v>153</v>
      </c>
      <c r="T102" s="57" t="s">
        <v>92</v>
      </c>
      <c r="U102" s="57" t="s">
        <v>157</v>
      </c>
      <c r="V102" s="57" t="s">
        <v>86</v>
      </c>
      <c r="W102" s="57" t="s">
        <v>72</v>
      </c>
      <c r="X102" s="57" t="s">
        <v>72</v>
      </c>
      <c r="Y102" s="57" t="s">
        <v>72</v>
      </c>
      <c r="Z102" s="57" t="s">
        <v>113</v>
      </c>
      <c r="AA102" s="57" t="s">
        <v>72</v>
      </c>
      <c r="AB102" s="57" t="s">
        <v>72</v>
      </c>
      <c r="AC102" s="57" t="s">
        <v>72</v>
      </c>
      <c r="AD102" s="57" t="s">
        <v>72</v>
      </c>
      <c r="AE102" s="57" t="s">
        <v>72</v>
      </c>
      <c r="AF102" s="57" t="s">
        <v>72</v>
      </c>
      <c r="AG102" s="57" t="s">
        <v>72</v>
      </c>
      <c r="AH102" s="57" t="s">
        <v>87</v>
      </c>
      <c r="AI102" t="str">
        <f>VLOOKUP($Q102,武学奇术!$A:$ZZ,25,FALSE)</f>
        <v>伞</v>
      </c>
      <c r="AJ102" s="41">
        <f>VLOOKUP($Q102,武学奇术!$A:$ZZ,26,FALSE)</f>
        <v>1.174955</v>
      </c>
      <c r="AK102" s="42">
        <f>VLOOKUP($Q102,武学奇术!$A:$ZZ,27,FALSE)*(1+IF(OR($AI102=$F$4,$AI102=$F$5),$B$22,0))</f>
        <v>454.02</v>
      </c>
      <c r="AL102" s="41">
        <f>VLOOKUP($Q102,武学奇术!$A:$ZZ,28,FALSE)</f>
        <v>1.762375</v>
      </c>
      <c r="AM102" s="42">
        <f>VLOOKUP($Q102,武学奇术!$A:$ZZ,29,FALSE)*(1+IF(OR($AI102=$F$4,$AI102=$F$5),$B$22,0))</f>
        <v>247.94</v>
      </c>
      <c r="AN102" s="41" cm="1">
        <f t="array" ref="AN102">$G$3+IFERROR(VLOOKUP($AI102,$F$4:$G$7,2,FALSE),0)+VLOOKUP($Q102,武学奇术!$A:$ZZ,2,FALSE)+SUM(_xlfn.XLOOKUP($R102:$AH102,增益!$A:$A,增益!$B:$B,0))</f>
        <v>1.2041</v>
      </c>
      <c r="AO102" s="41" cm="1">
        <f t="array" ref="AO102">VLOOKUP($Q102,武学奇术!$A:$ZZ,5,FALSE)+SUM(_xlfn.XLOOKUP($R102:$AH102,增益!$A:$A,增益!$E:$E,0))</f>
        <v>0.15</v>
      </c>
      <c r="AP102" cm="1">
        <f t="array" ref="AP102">$D$10*(1+$AO102)+VLOOKUP($Q102,武学奇术!$A:$ZZ,3,FALSE)+SUM(_xlfn.XLOOKUP($R102:$AH102,增益!$A:$A,增益!$C:$C,0))-$I$2</f>
        <v>2150.71</v>
      </c>
      <c r="AQ102" cm="1">
        <f t="array" ref="AQ102">$E$10*(1+$AO102)+VLOOKUP($Q102,武学奇术!$A:$ZZ,4,FALSE)+SUM(_xlfn.XLOOKUP($R102:$AH102,增益!$A:$A,增益!$D:$D,0))-$I$2</f>
        <v>6394.9</v>
      </c>
      <c r="AR102" s="49" cm="1">
        <f t="array" ref="AR102">IF($F$10-$I$3+VLOOKUP($Q102,武学奇术!$A:$ZZ,6,FALSE)+SUM(_xlfn.XLOOKUP(R102:AH102,增益!$A:$A,增益!$F:$F,0))&gt;0,($F$10-$I$3+VLOOKUP($Q102,武学奇术!$A:$ZZ,6,FALSE)+SUM(_xlfn.XLOOKUP(R102:AH102,增益!$A:$A,增益!$F:$F,0)))/200,($F$10-$I$3+VLOOKUP($Q102,武学奇术!$A:$ZZ,6,FALSE)+SUM(_xlfn.XLOOKUP(R102:AH102,增益!$A:$A,增益!$F:$F,0)))/100)</f>
        <v>0.3675</v>
      </c>
      <c r="AS102" s="49" cm="1">
        <f t="array" ref="AS102">$G$10+VLOOKUP($Q102,武学奇术!$A:$ZZ,7,FALSE)+SUM(_xlfn.XLOOKUP(R102:AH102,增益!$A:$A,增益!$G:$G,0))</f>
        <v>0.1</v>
      </c>
      <c r="AT102" s="41" cm="1">
        <f t="array" ref="AT102">VLOOKUP($Q102,武学奇术!$A:$ZZ,8,FALSE)+SUM(_xlfn.XLOOKUP(R102:AH102,增益!$A:$A,增益!$H:$H,0))</f>
        <v>0</v>
      </c>
      <c r="AU102">
        <f>$D$11*(1+$AT102)</f>
        <v>0</v>
      </c>
      <c r="AV102">
        <f>$E$11*(1+$AT102)</f>
        <v>0</v>
      </c>
      <c r="AW102" s="49" cm="1">
        <f t="array" ref="AW102">IF($F$11-$I$4+VLOOKUP($Q102,武学奇术!$A:$ZZ,9,FALSE)+SUM(_xlfn.XLOOKUP(R102:AH102,增益!$A:$A,增益!$I:$I,0))&gt;0,($F$11-$I$4+VLOOKUP($Q102,武学奇术!$A:$ZZ,9,FALSE)+SUM(_xlfn.XLOOKUP(R102:AH102,增益!$A:$A,增益!$I:$I,0)))/200,($F$11-$I$4+VLOOKUP($Q102,武学奇术!$A:$ZZ,9,FALSE)+SUM(_xlfn.XLOOKUP(R102:AH102,增益!$A:$A,增益!$I:$I,0)))/100)</f>
        <v>-0.3</v>
      </c>
      <c r="AX102" s="49" cm="1">
        <f t="array" ref="AX102">$G$11+VLOOKUP($Q102,武学奇术!$A:$ZZ,10,FALSE)+SUM(_xlfn.XLOOKUP(R102:AH102,增益!$A:$A,增益!$J:$J,0))</f>
        <v>0</v>
      </c>
      <c r="AY102">
        <f>$D$12*(1+$AT102)</f>
        <v>0</v>
      </c>
      <c r="AZ102">
        <f>$E$12*(1+$AT102)</f>
        <v>0</v>
      </c>
      <c r="BA102" s="49" cm="1">
        <f t="array" ref="BA102">IF($F$12-$I$4+VLOOKUP($Q102,武学奇术!$A:$ZZ,11,FALSE)+SUM(_xlfn.XLOOKUP(R102:AH102,增益!$A:$A,增益!$K:$K,0))&gt;0,($F$12-$I$4+VLOOKUP($Q102,武学奇术!$A:$ZZ,11,FALSE)+SUM(_xlfn.XLOOKUP(R102:AH102,增益!$A:$A,增益!$K:$K,0)))/200,($F$12-$I$4+VLOOKUP($Q102,武学奇术!$A:$ZZ,11,FALSE)+SUM(_xlfn.XLOOKUP(R102:AH102,增益!$A:$A,增益!$K:$K,0)))/100)</f>
        <v>-0.3</v>
      </c>
      <c r="BB102" s="49" cm="1">
        <f t="array" ref="BB102">$G$12+VLOOKUP($Q102,武学奇术!$A:$ZZ,12,FALSE)+SUM(_xlfn.XLOOKUP(R102:AH102,增益!$A:$A,增益!$L:$L,0))</f>
        <v>0</v>
      </c>
      <c r="BC102">
        <f>$D$13*(1+$AT102)</f>
        <v>571.2</v>
      </c>
      <c r="BD102">
        <f>$E$13*(1+$AT102)</f>
        <v>1077.4</v>
      </c>
      <c r="BE102" s="49" cm="1">
        <f t="array" ref="BE102">IF($F$13-$I$4+VLOOKUP($Q102,武学奇术!$A:$ZZ,13,FALSE)+SUM(_xlfn.XLOOKUP(R102:AH102,增益!$A:$A,增益!$M:$M,0))&gt;0,($F$13-$I$4+VLOOKUP($Q102,武学奇术!$A:$ZZ,13,FALSE)+SUM(_xlfn.XLOOKUP(R102:AH102,增益!$A:$A,增益!$K:$K,0)))/200,($F$13-$I$4+VLOOKUP($Q102,武学奇术!$A:$ZZ,13,FALSE)+SUM(_xlfn.XLOOKUP(R102:AH102,增益!$A:$A,增益!$M:$M,0)))/100)</f>
        <v>0</v>
      </c>
      <c r="BF102" s="49" cm="1">
        <f t="array" ref="BF102">$G$13+VLOOKUP($Q102,武学奇术!$A:$ZZ,14,FALSE)+SUM(_xlfn.XLOOKUP(R102:AH102,增益!$A:$A,增益!$N:$N,0))</f>
        <v>0.25</v>
      </c>
      <c r="BG102">
        <f>$D$14*(1+$AT102)</f>
        <v>0</v>
      </c>
      <c r="BH102">
        <f>$E$14*(1+$AT102)</f>
        <v>0</v>
      </c>
      <c r="BI102" s="49" cm="1">
        <f t="array" ref="BI102">IF($F$14-$I$4+VLOOKUP($Q102,武学奇术!$A:$ZZ,15,FALSE)+SUM(_xlfn.XLOOKUP(R102:AH102,增益!$A:$A,增益!$O:$O,0))&gt;0,($F$14-$I$4+VLOOKUP($Q102,武学奇术!$A:$ZZ,15,FALSE)+SUM(_xlfn.XLOOKUP(R102:AH102,增益!$A:$A,增益!$O:$O,0)))/200,($F$14-$I$4+VLOOKUP($Q102,武学奇术!$A:$ZZ,15,FALSE)+SUM(_xlfn.XLOOKUP(R102:AH102,增益!$A:$A,增益!$O:$O,0)))/100)</f>
        <v>-0.3</v>
      </c>
      <c r="BJ102" s="49" cm="1">
        <f t="array" ref="BJ102">$G$14+VLOOKUP($Q102,武学奇术!$A:$ZZ,16,FALSE)+SUM(_xlfn.XLOOKUP(R102:AH102,增益!$A:$A,增益!$P:$P,0))</f>
        <v>0</v>
      </c>
      <c r="BK102" s="41">
        <f>MIN(IF(VLOOKUP($Q102,武学奇术!$A:$ZZ,23,FALSE)=1,100%,$B$8),100%)</f>
        <v>1</v>
      </c>
      <c r="BL102" s="41" cm="1">
        <f t="array" ref="BL102">IF(VLOOKUP($Q102,武学奇术!$A:$ZZ,23,FALSE)=1,100%,MIN(80%,$B$9+VLOOKUP($Q102,武学奇术!$A:$ZZ,17,FALSE)+SUM(_xlfn.XLOOKUP(R102:AH102,增益!$A:$A,增益!$Q:$Q,0)))+$B$11+SUM(_xlfn.XLOOKUP(R102:AH102,增益!$A:$A,增益!$U:$U,0)))*IF(VLOOKUP($Q102,武学奇术!$A:$ZZ,24,FALSE)=1,0,1)</f>
        <v>0.9045</v>
      </c>
      <c r="BM102" s="41" cm="1">
        <f t="array" ref="BM102">1+$B$13+VLOOKUP($Q102,武学奇术!$A:$ZZ,18,FALSE)+SUM(_xlfn.XLOOKUP(R102:AH102,增益!$A:$A,增益!$R:$R,0))</f>
        <v>1.96</v>
      </c>
      <c r="BN102" s="41" cm="1">
        <f t="array" ref="BN102">IF(VLOOKUP($Q102,武学奇术!$A:$ZZ,24,FALSE)=1,100%,MIN(40%,$B$10+VLOOKUP($Q102,武学奇术!$A:$ZZ,19,FALSE)+SUM(_xlfn.XLOOKUP(R102:AH102,增益!$A:$A,增益!$S:$S,0)))+$B$12+SUM(_xlfn.XLOOKUP(R102:AH102,增益!$A:$A,增益!$V:$V,0)))*IF(VLOOKUP($Q102,武学奇术!$A:$ZZ,23,FALSE)=1,0,1)</f>
        <v>0.0929</v>
      </c>
      <c r="BO102" s="41" cm="1">
        <f t="array" ref="BO102">1+$B$14+VLOOKUP($Q102,武学奇术!$A:$ZZ,20,FALSE)+SUM(_xlfn.XLOOKUP(R102:AH102,增益!$A:$A,增益!$T:$T,0))</f>
        <v>1.35</v>
      </c>
      <c r="BP102" s="41">
        <f>MIN((1-BN102)*BK102,BK102*BL102)</f>
        <v>0.9045</v>
      </c>
      <c r="BQ102" s="41">
        <f>1-BN102-BP102-BR102</f>
        <v>0.00260000000000005</v>
      </c>
      <c r="BR102" s="41">
        <f>IF(VLOOKUP($Q102,武学奇术!$A:$ZZ,22,FALSE)=1,0,(1-$BK102))*(1-$BN102)</f>
        <v>0</v>
      </c>
      <c r="BS102" s="41" cm="1">
        <f t="array" ref="BS102">SUM(_xlfn.XLOOKUP(R102:AH102,增益!$A:$A,增益!$W:$W,0))+$I$5</f>
        <v>0.11</v>
      </c>
    </row>
    <row r="103" spans="1:71">
      <c r="A103" s="4"/>
      <c r="B103" s="109"/>
      <c r="K103" s="55">
        <f>($L103*$BP103+$M103*$BN103+$N103*$BQ103+$O103*$BR103)</f>
        <v>98483.3432294396</v>
      </c>
      <c r="L103" s="55">
        <f>((($AP103+$AQ103)/2*$AJ103+$AK103)*(1+$AR103)*(1+$AS103)+(($AU103+$AV103)/2*IF($G$1="鸣金",$AL103,$AJ103)+IF($G$1="鸣金",$AM103*1.5,0))*(1+$AW103)*(1+$AX103)+(($AY103+$AZ103)/2*IF($G$1="裂石",$AL103,$AJ103)+IF($G$1="裂石",$AM103*1.5,0))*(1+$BA103)*(1+$BB103)+(($BC103+$BD103)/2*IF($G$1="牵丝",$AL103,$AJ103)+IF($G$1="牵丝",$AM103*1.5,0))*(1+$BE103)*(1+$BF103)+(($BG103+$BH103)/2*IF($G$1="破竹",$AL103,$AJ103)+IF($G$1="破竹",$AM103*1.5,0))*(1+$BI103)*(1+$BJ103))*(1+$AN103)*$BM103*$P103*(1+IF(VLOOKUP($Q103,武学奇术!$A:$ZZ,30,FALSE)="弹道",$B$21,0))*(1+$BS103)</f>
        <v>96878.4623756429</v>
      </c>
      <c r="M103" s="55">
        <f>(($AQ103*$AJ103+$AK103)*(1+$AR103)*(1+$AS103)+($AV103*IF($G$1="鸣金",$AL103,$AJ103)+IF($G$1="鸣金",$AM103*1.5,0))*(1+$AW103)*(1+$AX103)+($AZ103*IF($G$1="裂石",$AL103,$AJ103)+IF($G$1="裂石",$AM103*1.5,0))*(1+$BA103)*(1+$BB103)+($BD103*IF($G$1="牵丝",$AL103,$AJ103)+IF($G$1="牵丝",$AM103*1.5,0))*(1+$BE103)*(1+$BF103)+($BH103*IF($G$1="破竹",$AL103,$AJ103)+IF($G$1="破竹",$AM103*1.5,0))*(1+$BI103)*(1+$BJ103))*(1+$AN103)*$BO103*$P103*(1+IF(VLOOKUP($Q103,武学奇术!$A:$ZZ,30,FALSE)="弹道",$B$21,0))*(1+$BS103)</f>
        <v>115170.575988269</v>
      </c>
      <c r="N103" s="55">
        <f>((($AP103+$AQ103)/2*$AJ103+$AK103)*(1+$AR103)*(1+$AS103)+(($AU103+$AV103)/2*IF($G$1="鸣金",$AL103,$AJ103)+IF($G$1="鸣金",$AM103*1.5,0))*(1+$AW103)*(1+$AX103)+(($AY103+$AZ103)/2*IF($G$1="裂石",$AL103,$AJ103)+IF($G$1="裂石",$AM103*1.5,0))*(1+$BA103)*(1+$BB103)+(($BC103+$BD103)/2*IF($G$1="牵丝",$AL103,$AJ103)+IF($G$1="牵丝",$AM103*1.5,0))*(1+$BE103)*(1+$BF103)+(($BG103+$BH103)/2*IF($G$1="破竹",$AL103,$AJ103)+IF($G$1="破竹",$AM103*1.5,0))*(1+$BI103)*(1+$BJ103))*(1+$AN103)*$P103*(1+IF(VLOOKUP($Q103,武学奇术!$A:$ZZ,30,FALSE)="弹道",$B$21,0))*(1+$BS103)</f>
        <v>60549.0389847768</v>
      </c>
      <c r="O103" s="55">
        <f>((($AP103*$AJ103+$AK103)*(1+$AR103)*(1+$AS103)+($AU103*IF($G$1="鸣金",$AL103,$AJ103)+IF($G$1="鸣金",$AM103*1.5,0))*(1+$AW103)*(1+$AX103)+($AY103*IF($G$1="裂石",$AL103,$AJ103)+IF($G$1="裂石",$AM103*1.5,0))*(1+$BA103)*(1+$BB103)+($BC103*IF($G$1="牵丝",$AL103,$AJ103)+IF($G$1="牵丝",$AM103*1.5,0))*(1+$BE103)*(1+$BF103)+($BG103*IF($G$1="破竹",$AL103,$AJ103)+IF($G$1="破竹",$AM103*1.5,0))*(1+$BI103)*(1+$BJ103))*(1+$AN103))*$P103*(1+IF(VLOOKUP($Q103,武学奇术!$A:$ZZ,30,FALSE)="弹道",$B$21,0))*(1+$BS103)</f>
        <v>35786.5402004658</v>
      </c>
      <c r="P103" s="56">
        <v>1</v>
      </c>
      <c r="Q103" s="57" t="s">
        <v>126</v>
      </c>
      <c r="R103" s="57" t="s">
        <v>116</v>
      </c>
      <c r="S103" s="57" t="s">
        <v>153</v>
      </c>
      <c r="T103" s="57" t="s">
        <v>92</v>
      </c>
      <c r="U103" s="57" t="s">
        <v>157</v>
      </c>
      <c r="V103" s="57" t="s">
        <v>86</v>
      </c>
      <c r="W103" s="57" t="s">
        <v>168</v>
      </c>
      <c r="X103" s="57" t="s">
        <v>72</v>
      </c>
      <c r="Y103" s="57" t="s">
        <v>72</v>
      </c>
      <c r="Z103" s="57" t="s">
        <v>113</v>
      </c>
      <c r="AA103" s="57" t="s">
        <v>72</v>
      </c>
      <c r="AB103" s="57" t="s">
        <v>72</v>
      </c>
      <c r="AC103" s="57" t="s">
        <v>72</v>
      </c>
      <c r="AD103" s="57" t="s">
        <v>72</v>
      </c>
      <c r="AE103" s="57" t="s">
        <v>72</v>
      </c>
      <c r="AF103" s="57" t="s">
        <v>72</v>
      </c>
      <c r="AG103" s="57" t="s">
        <v>72</v>
      </c>
      <c r="AH103" s="57" t="s">
        <v>87</v>
      </c>
      <c r="AI103" t="str">
        <f>VLOOKUP($Q103,武学奇术!$A:$ZZ,25,FALSE)</f>
        <v>扇</v>
      </c>
      <c r="AJ103" s="41">
        <f>VLOOKUP($Q103,武学奇术!$A:$ZZ,26,FALSE)</f>
        <v>2.76138</v>
      </c>
      <c r="AK103" s="42">
        <f>VLOOKUP($Q103,武学奇术!$A:$ZZ,27,FALSE)*(1+IF(OR($AI103=$F$4,$AI103=$F$5),$B$22,0))</f>
        <v>1069.81</v>
      </c>
      <c r="AL103" s="41">
        <f>VLOOKUP($Q103,武学奇术!$A:$ZZ,28,FALSE)</f>
        <v>4.14207</v>
      </c>
      <c r="AM103" s="42">
        <f>VLOOKUP($Q103,武学奇术!$A:$ZZ,29,FALSE)*(1+IF(OR($AI103=$F$4,$AI103=$F$5),$B$22,0))</f>
        <v>582.61</v>
      </c>
      <c r="AN103" s="41" cm="1">
        <f t="array" ref="AN103">$G$3+IFERROR(VLOOKUP($AI103,$F$4:$G$7,2,FALSE),0)+VLOOKUP($Q103,武学奇术!$A:$ZZ,2,FALSE)+SUM(_xlfn.XLOOKUP($R103:$AH103,增益!$A:$A,增益!$B:$B,0))</f>
        <v>1.2389</v>
      </c>
      <c r="AO103" s="41" cm="1">
        <f t="array" ref="AO103">VLOOKUP($Q103,武学奇术!$A:$ZZ,5,FALSE)+SUM(_xlfn.XLOOKUP($R103:$AH103,增益!$A:$A,增益!$E:$E,0))</f>
        <v>0.15</v>
      </c>
      <c r="AP103" cm="1">
        <f t="array" ref="AP103">$D$10*(1+$AO103)+VLOOKUP($Q103,武学奇术!$A:$ZZ,3,FALSE)+SUM(_xlfn.XLOOKUP($R103:$AH103,增益!$A:$A,增益!$C:$C,0))-$I$2</f>
        <v>2150.71</v>
      </c>
      <c r="AQ103" cm="1">
        <f t="array" ref="AQ103">$E$10*(1+$AO103)+VLOOKUP($Q103,武学奇术!$A:$ZZ,4,FALSE)+SUM(_xlfn.XLOOKUP($R103:$AH103,增益!$A:$A,增益!$D:$D,0))-$I$2</f>
        <v>6394.9</v>
      </c>
      <c r="AR103" s="49" cm="1">
        <f t="array" ref="AR103">IF($F$10-$I$3+VLOOKUP($Q103,武学奇术!$A:$ZZ,6,FALSE)+SUM(_xlfn.XLOOKUP(R103:AH103,增益!$A:$A,增益!$F:$F,0))&gt;0,($F$10-$I$3+VLOOKUP($Q103,武学奇术!$A:$ZZ,6,FALSE)+SUM(_xlfn.XLOOKUP(R103:AH103,增益!$A:$A,增益!$F:$F,0)))/200,($F$10-$I$3+VLOOKUP($Q103,武学奇术!$A:$ZZ,6,FALSE)+SUM(_xlfn.XLOOKUP(R103:AH103,增益!$A:$A,增益!$F:$F,0)))/100)</f>
        <v>0.3425</v>
      </c>
      <c r="AS103" s="49" cm="1">
        <f t="array" ref="AS103">$G$10+VLOOKUP($Q103,武学奇术!$A:$ZZ,7,FALSE)+SUM(_xlfn.XLOOKUP(R103:AH103,增益!$A:$A,增益!$G:$G,0))</f>
        <v>0.1</v>
      </c>
      <c r="AT103" s="41" cm="1">
        <f t="array" ref="AT103">VLOOKUP($Q103,武学奇术!$A:$ZZ,8,FALSE)+SUM(_xlfn.XLOOKUP(R103:AH103,增益!$A:$A,增益!$H:$H,0))</f>
        <v>0</v>
      </c>
      <c r="AU103">
        <f>$D$11*(1+$AT103)</f>
        <v>0</v>
      </c>
      <c r="AV103">
        <f>$E$11*(1+$AT103)</f>
        <v>0</v>
      </c>
      <c r="AW103" s="49" cm="1">
        <f t="array" ref="AW103">IF($F$11-$I$4+VLOOKUP($Q103,武学奇术!$A:$ZZ,9,FALSE)+SUM(_xlfn.XLOOKUP(R103:AH103,增益!$A:$A,增益!$I:$I,0))&gt;0,($F$11-$I$4+VLOOKUP($Q103,武学奇术!$A:$ZZ,9,FALSE)+SUM(_xlfn.XLOOKUP(R103:AH103,增益!$A:$A,增益!$I:$I,0)))/200,($F$11-$I$4+VLOOKUP($Q103,武学奇术!$A:$ZZ,9,FALSE)+SUM(_xlfn.XLOOKUP(R103:AH103,增益!$A:$A,增益!$I:$I,0)))/100)</f>
        <v>-0.3</v>
      </c>
      <c r="AX103" s="49" cm="1">
        <f t="array" ref="AX103">$G$11+VLOOKUP($Q103,武学奇术!$A:$ZZ,10,FALSE)+SUM(_xlfn.XLOOKUP(R103:AH103,增益!$A:$A,增益!$J:$J,0))</f>
        <v>0</v>
      </c>
      <c r="AY103">
        <f>$D$12*(1+$AT103)</f>
        <v>0</v>
      </c>
      <c r="AZ103">
        <f>$E$12*(1+$AT103)</f>
        <v>0</v>
      </c>
      <c r="BA103" s="49" cm="1">
        <f t="array" ref="BA103">IF($F$12-$I$4+VLOOKUP($Q103,武学奇术!$A:$ZZ,11,FALSE)+SUM(_xlfn.XLOOKUP(R103:AH103,增益!$A:$A,增益!$K:$K,0))&gt;0,($F$12-$I$4+VLOOKUP($Q103,武学奇术!$A:$ZZ,11,FALSE)+SUM(_xlfn.XLOOKUP(R103:AH103,增益!$A:$A,增益!$K:$K,0)))/200,($F$12-$I$4+VLOOKUP($Q103,武学奇术!$A:$ZZ,11,FALSE)+SUM(_xlfn.XLOOKUP(R103:AH103,增益!$A:$A,增益!$K:$K,0)))/100)</f>
        <v>-0.3</v>
      </c>
      <c r="BB103" s="49" cm="1">
        <f t="array" ref="BB103">$G$12+VLOOKUP($Q103,武学奇术!$A:$ZZ,12,FALSE)+SUM(_xlfn.XLOOKUP(R103:AH103,增益!$A:$A,增益!$L:$L,0))</f>
        <v>0</v>
      </c>
      <c r="BC103">
        <f>$D$13*(1+$AT103)</f>
        <v>571.2</v>
      </c>
      <c r="BD103">
        <f>$E$13*(1+$AT103)</f>
        <v>1077.4</v>
      </c>
      <c r="BE103" s="49" cm="1">
        <f t="array" ref="BE103">IF($F$13-$I$4+VLOOKUP($Q103,武学奇术!$A:$ZZ,13,FALSE)+SUM(_xlfn.XLOOKUP(R103:AH103,增益!$A:$A,增益!$M:$M,0))&gt;0,($F$13-$I$4+VLOOKUP($Q103,武学奇术!$A:$ZZ,13,FALSE)+SUM(_xlfn.XLOOKUP(R103:AH103,增益!$A:$A,增益!$K:$K,0)))/200,($F$13-$I$4+VLOOKUP($Q103,武学奇术!$A:$ZZ,13,FALSE)+SUM(_xlfn.XLOOKUP(R103:AH103,增益!$A:$A,增益!$M:$M,0)))/100)</f>
        <v>0</v>
      </c>
      <c r="BF103" s="49" cm="1">
        <f t="array" ref="BF103">$G$13+VLOOKUP($Q103,武学奇术!$A:$ZZ,14,FALSE)+SUM(_xlfn.XLOOKUP(R103:AH103,增益!$A:$A,增益!$N:$N,0))</f>
        <v>0.25</v>
      </c>
      <c r="BG103">
        <f>$D$14*(1+$AT103)</f>
        <v>0</v>
      </c>
      <c r="BH103">
        <f>$E$14*(1+$AT103)</f>
        <v>0</v>
      </c>
      <c r="BI103" s="49" cm="1">
        <f t="array" ref="BI103">IF($F$14-$I$4+VLOOKUP($Q103,武学奇术!$A:$ZZ,15,FALSE)+SUM(_xlfn.XLOOKUP(R103:AH103,增益!$A:$A,增益!$O:$O,0))&gt;0,($F$14-$I$4+VLOOKUP($Q103,武学奇术!$A:$ZZ,15,FALSE)+SUM(_xlfn.XLOOKUP(R103:AH103,增益!$A:$A,增益!$O:$O,0)))/200,($F$14-$I$4+VLOOKUP($Q103,武学奇术!$A:$ZZ,15,FALSE)+SUM(_xlfn.XLOOKUP(R103:AH103,增益!$A:$A,增益!$O:$O,0)))/100)</f>
        <v>-0.3</v>
      </c>
      <c r="BJ103" s="49" cm="1">
        <f t="array" ref="BJ103">$G$14+VLOOKUP($Q103,武学奇术!$A:$ZZ,16,FALSE)+SUM(_xlfn.XLOOKUP(R103:AH103,增益!$A:$A,增益!$P:$P,0))</f>
        <v>0</v>
      </c>
      <c r="BK103" s="41">
        <f>MIN(IF(VLOOKUP($Q103,武学奇术!$A:$ZZ,23,FALSE)=1,100%,$B$8),100%)</f>
        <v>1</v>
      </c>
      <c r="BL103" s="41" cm="1">
        <f t="array" ref="BL103">IF(VLOOKUP($Q103,武学奇术!$A:$ZZ,23,FALSE)=1,100%,MIN(80%,$B$9+VLOOKUP($Q103,武学奇术!$A:$ZZ,17,FALSE)+SUM(_xlfn.XLOOKUP(R103:AH103,增益!$A:$A,增益!$Q:$Q,0)))+$B$11+SUM(_xlfn.XLOOKUP(R103:AH103,增益!$A:$A,增益!$U:$U,0)))*IF(VLOOKUP($Q103,武学奇术!$A:$ZZ,24,FALSE)=1,0,1)</f>
        <v>0.9045</v>
      </c>
      <c r="BM103" s="41" cm="1">
        <f t="array" ref="BM103">1+$B$13+VLOOKUP($Q103,武学奇术!$A:$ZZ,18,FALSE)+SUM(_xlfn.XLOOKUP(R103:AH103,增益!$A:$A,增益!$R:$R,0))</f>
        <v>1.6</v>
      </c>
      <c r="BN103" s="41" cm="1">
        <f t="array" ref="BN103">IF(VLOOKUP($Q103,武学奇术!$A:$ZZ,24,FALSE)=1,100%,MIN(40%,$B$10+VLOOKUP($Q103,武学奇术!$A:$ZZ,19,FALSE)+SUM(_xlfn.XLOOKUP(R103:AH103,增益!$A:$A,增益!$S:$S,0)))+$B$12+SUM(_xlfn.XLOOKUP(R103:AH103,增益!$A:$A,增益!$V:$V,0)))*IF(VLOOKUP($Q103,武学奇术!$A:$ZZ,23,FALSE)=1,0,1)</f>
        <v>0.0929</v>
      </c>
      <c r="BO103" s="41" cm="1">
        <f t="array" ref="BO103">1+$B$14+VLOOKUP($Q103,武学奇术!$A:$ZZ,20,FALSE)+SUM(_xlfn.XLOOKUP(R103:AH103,增益!$A:$A,增益!$T:$T,0))</f>
        <v>1.35</v>
      </c>
      <c r="BP103" s="41">
        <f>MIN((1-BN103)*BK103,BK103*BL103)</f>
        <v>0.9045</v>
      </c>
      <c r="BQ103" s="41">
        <f>1-BN103-BP103-BR103</f>
        <v>0.00260000000000005</v>
      </c>
      <c r="BR103" s="41">
        <f>IF(VLOOKUP($Q103,武学奇术!$A:$ZZ,22,FALSE)=1,0,(1-$BK103))*(1-$BN103)</f>
        <v>0</v>
      </c>
      <c r="BS103" s="41" cm="1">
        <f t="array" ref="BS103">SUM(_xlfn.XLOOKUP(R103:AH103,增益!$A:$A,增益!$W:$W,0))+$I$5</f>
        <v>0.11</v>
      </c>
    </row>
    <row r="104" spans="1:71">
      <c r="A104" s="4"/>
      <c r="B104" s="109"/>
      <c r="K104" s="55">
        <f>($L104*$BP104+$M104*$BN104+$N104*$BQ104+$O104*$BR104)</f>
        <v>138152.158911177</v>
      </c>
      <c r="L104" s="55">
        <f>((($AP104+$AQ104)/2*$AJ104+$AK104)*(1+$AR104)*(1+$AS104)+(($AU104+$AV104)/2*IF($G$1="鸣金",$AL104,$AJ104)+IF($G$1="鸣金",$AM104*1.5,0))*(1+$AW104)*(1+$AX104)+(($AY104+$AZ104)/2*IF($G$1="裂石",$AL104,$AJ104)+IF($G$1="裂石",$AM104*1.5,0))*(1+$BA104)*(1+$BB104)+(($BC104+$BD104)/2*IF($G$1="牵丝",$AL104,$AJ104)+IF($G$1="牵丝",$AM104*1.5,0))*(1+$BE104)*(1+$BF104)+(($BG104+$BH104)/2*IF($G$1="破竹",$AL104,$AJ104)+IF($G$1="破竹",$AM104*1.5,0))*(1+$BI104)*(1+$BJ104))*(1+$AN104)*$BM104*$P104*(1+IF(VLOOKUP($Q104,武学奇术!$A:$ZZ,30,FALSE)="弹道",$B$21,0))*(1+$BS104)</f>
        <v>138532.264626873</v>
      </c>
      <c r="M104" s="55">
        <f>(($AQ104*$AJ104+$AK104)*(1+$AR104)*(1+$AS104)+($AV104*IF($G$1="鸣金",$AL104,$AJ104)+IF($G$1="鸣金",$AM104*1.5,0))*(1+$AW104)*(1+$AX104)+($AZ104*IF($G$1="裂石",$AL104,$AJ104)+IF($G$1="裂石",$AM104*1.5,0))*(1+$BA104)*(1+$BB104)+($BD104*IF($G$1="牵丝",$AL104,$AJ104)+IF($G$1="牵丝",$AM104*1.5,0))*(1+$BE104)*(1+$BF104)+($BH104*IF($G$1="破竹",$AL104,$AJ104)+IF($G$1="破竹",$AM104*1.5,0))*(1+$BI104)*(1+$BJ104))*(1+$AN104)*$BO104*$P104*(1+IF(VLOOKUP($Q104,武学奇术!$A:$ZZ,30,FALSE)="弹道",$B$21,0))*(1+$BS104)</f>
        <v>134440.706869111</v>
      </c>
      <c r="N104" s="55">
        <f>((($AP104+$AQ104)/2*$AJ104+$AK104)*(1+$AR104)*(1+$AS104)+(($AU104+$AV104)/2*IF($G$1="鸣金",$AL104,$AJ104)+IF($G$1="鸣金",$AM104*1.5,0))*(1+$AW104)*(1+$AX104)+(($AY104+$AZ104)/2*IF($G$1="裂石",$AL104,$AJ104)+IF($G$1="裂石",$AM104*1.5,0))*(1+$BA104)*(1+$BB104)+(($BC104+$BD104)/2*IF($G$1="牵丝",$AL104,$AJ104)+IF($G$1="牵丝",$AM104*1.5,0))*(1+$BE104)*(1+$BF104)+(($BG104+$BH104)/2*IF($G$1="破竹",$AL104,$AJ104)+IF($G$1="破竹",$AM104*1.5,0))*(1+$BI104)*(1+$BJ104))*(1+$AN104)*$P104*(1+IF(VLOOKUP($Q104,武学奇术!$A:$ZZ,30,FALSE)="弹道",$B$21,0))*(1+$BS104)</f>
        <v>70679.7268504455</v>
      </c>
      <c r="O104" s="55">
        <f>((($AP104*$AJ104+$AK104)*(1+$AR104)*(1+$AS104)+($AU104*IF($G$1="鸣金",$AL104,$AJ104)+IF($G$1="鸣金",$AM104*1.5,0))*(1+$AW104)*(1+$AX104)+($AY104*IF($G$1="裂石",$AL104,$AJ104)+IF($G$1="裂石",$AM104*1.5,0))*(1+$BA104)*(1+$BB104)+($BC104*IF($G$1="牵丝",$AL104,$AJ104)+IF($G$1="牵丝",$AM104*1.5,0))*(1+$BE104)*(1+$BF104)+($BG104*IF($G$1="破竹",$AL104,$AJ104)+IF($G$1="破竹",$AM104*1.5,0))*(1+$BI104)*(1+$BJ104))*(1+$AN104))*$P104*(1+IF(VLOOKUP($Q104,武学奇术!$A:$ZZ,30,FALSE)="弹道",$B$21,0))*(1+$BS104)</f>
        <v>41773.7449089572</v>
      </c>
      <c r="P104" s="56">
        <v>1</v>
      </c>
      <c r="Q104" s="57" t="s">
        <v>155</v>
      </c>
      <c r="R104" s="57" t="s">
        <v>116</v>
      </c>
      <c r="S104" s="57" t="s">
        <v>153</v>
      </c>
      <c r="T104" s="57" t="s">
        <v>72</v>
      </c>
      <c r="U104" s="57" t="s">
        <v>157</v>
      </c>
      <c r="V104" s="57" t="s">
        <v>156</v>
      </c>
      <c r="W104" s="57" t="s">
        <v>72</v>
      </c>
      <c r="X104" s="57" t="s">
        <v>159</v>
      </c>
      <c r="Y104" s="57" t="s">
        <v>72</v>
      </c>
      <c r="Z104" s="57" t="s">
        <v>113</v>
      </c>
      <c r="AA104" s="57" t="s">
        <v>72</v>
      </c>
      <c r="AB104" s="57" t="s">
        <v>72</v>
      </c>
      <c r="AC104" s="57" t="s">
        <v>72</v>
      </c>
      <c r="AD104" s="57" t="s">
        <v>72</v>
      </c>
      <c r="AE104" s="57" t="s">
        <v>72</v>
      </c>
      <c r="AF104" s="57" t="s">
        <v>72</v>
      </c>
      <c r="AG104" s="57" t="s">
        <v>72</v>
      </c>
      <c r="AH104" s="57" t="s">
        <v>87</v>
      </c>
      <c r="AI104" t="str">
        <f>VLOOKUP($Q104,武学奇术!$A:$ZZ,25,FALSE)</f>
        <v>扇</v>
      </c>
      <c r="AJ104" s="41">
        <f>VLOOKUP($Q104,武学奇术!$A:$ZZ,26,FALSE)</f>
        <v>4.376825</v>
      </c>
      <c r="AK104" s="42">
        <f>VLOOKUP($Q104,武学奇术!$A:$ZZ,27,FALSE)*(1+IF(OR($AI104=$F$4,$AI104=$F$5),$B$22,0))</f>
        <v>1695.05</v>
      </c>
      <c r="AL104" s="41">
        <f>VLOOKUP($Q104,武学奇术!$A:$ZZ,28,FALSE)</f>
        <v>6.56531</v>
      </c>
      <c r="AM104" s="42">
        <f>VLOOKUP($Q104,武学奇术!$A:$ZZ,29,FALSE)*(1+IF(OR($AI104=$F$4,$AI104=$F$5),$B$22,0))</f>
        <v>923.65</v>
      </c>
      <c r="AN104" s="41" cm="1">
        <f t="array" ref="AN104">$G$3+IFERROR(VLOOKUP($AI104,$F$4:$G$7,2,FALSE),0)+VLOOKUP($Q104,武学奇术!$A:$ZZ,2,FALSE)+SUM(_xlfn.XLOOKUP($R104:$AH104,增益!$A:$A,增益!$B:$B,0))</f>
        <v>0.6489</v>
      </c>
      <c r="AO104" s="41" cm="1">
        <f t="array" ref="AO104">VLOOKUP($Q104,武学奇术!$A:$ZZ,5,FALSE)+SUM(_xlfn.XLOOKUP($R104:$AH104,增益!$A:$A,增益!$E:$E,0))</f>
        <v>0.15</v>
      </c>
      <c r="AP104" cm="1">
        <f t="array" ref="AP104">$D$10*(1+$AO104)+VLOOKUP($Q104,武学奇术!$A:$ZZ,3,FALSE)+SUM(_xlfn.XLOOKUP($R104:$AH104,增益!$A:$A,增益!$C:$C,0))-$I$2</f>
        <v>2150.71</v>
      </c>
      <c r="AQ104" cm="1">
        <f t="array" ref="AQ104">$E$10*(1+$AO104)+VLOOKUP($Q104,武学奇术!$A:$ZZ,4,FALSE)+SUM(_xlfn.XLOOKUP($R104:$AH104,增益!$A:$A,增益!$D:$D,0))-$I$2</f>
        <v>6394.9</v>
      </c>
      <c r="AR104" s="49" cm="1">
        <f t="array" ref="AR104">IF($F$10-$I$3+VLOOKUP($Q104,武学奇术!$A:$ZZ,6,FALSE)+SUM(_xlfn.XLOOKUP(R104:AH104,增益!$A:$A,增益!$F:$F,0))&gt;0,($F$10-$I$3+VLOOKUP($Q104,武学奇术!$A:$ZZ,6,FALSE)+SUM(_xlfn.XLOOKUP(R104:AH104,增益!$A:$A,增益!$F:$F,0)))/200,($F$10-$I$3+VLOOKUP($Q104,武学奇术!$A:$ZZ,6,FALSE)+SUM(_xlfn.XLOOKUP(R104:AH104,增益!$A:$A,增益!$F:$F,0)))/100)</f>
        <v>0.3425</v>
      </c>
      <c r="AS104" s="49" cm="1">
        <f t="array" ref="AS104">$G$10+VLOOKUP($Q104,武学奇术!$A:$ZZ,7,FALSE)+SUM(_xlfn.XLOOKUP(R104:AH104,增益!$A:$A,增益!$G:$G,0))</f>
        <v>0.1</v>
      </c>
      <c r="AT104" s="41" cm="1">
        <f t="array" ref="AT104">VLOOKUP($Q104,武学奇术!$A:$ZZ,8,FALSE)+SUM(_xlfn.XLOOKUP(R104:AH104,增益!$A:$A,增益!$H:$H,0))</f>
        <v>0</v>
      </c>
      <c r="AU104">
        <f>$D$11*(1+$AT104)</f>
        <v>0</v>
      </c>
      <c r="AV104">
        <f>$E$11*(1+$AT104)</f>
        <v>0</v>
      </c>
      <c r="AW104" s="49" cm="1">
        <f t="array" ref="AW104">IF($F$11-$I$4+VLOOKUP($Q104,武学奇术!$A:$ZZ,9,FALSE)+SUM(_xlfn.XLOOKUP(R104:AH104,增益!$A:$A,增益!$I:$I,0))&gt;0,($F$11-$I$4+VLOOKUP($Q104,武学奇术!$A:$ZZ,9,FALSE)+SUM(_xlfn.XLOOKUP(R104:AH104,增益!$A:$A,增益!$I:$I,0)))/200,($F$11-$I$4+VLOOKUP($Q104,武学奇术!$A:$ZZ,9,FALSE)+SUM(_xlfn.XLOOKUP(R104:AH104,增益!$A:$A,增益!$I:$I,0)))/100)</f>
        <v>-0.3</v>
      </c>
      <c r="AX104" s="49" cm="1">
        <f t="array" ref="AX104">$G$11+VLOOKUP($Q104,武学奇术!$A:$ZZ,10,FALSE)+SUM(_xlfn.XLOOKUP(R104:AH104,增益!$A:$A,增益!$J:$J,0))</f>
        <v>0</v>
      </c>
      <c r="AY104">
        <f>$D$12*(1+$AT104)</f>
        <v>0</v>
      </c>
      <c r="AZ104">
        <f>$E$12*(1+$AT104)</f>
        <v>0</v>
      </c>
      <c r="BA104" s="49" cm="1">
        <f t="array" ref="BA104">IF($F$12-$I$4+VLOOKUP($Q104,武学奇术!$A:$ZZ,11,FALSE)+SUM(_xlfn.XLOOKUP(R104:AH104,增益!$A:$A,增益!$K:$K,0))&gt;0,($F$12-$I$4+VLOOKUP($Q104,武学奇术!$A:$ZZ,11,FALSE)+SUM(_xlfn.XLOOKUP(R104:AH104,增益!$A:$A,增益!$K:$K,0)))/200,($F$12-$I$4+VLOOKUP($Q104,武学奇术!$A:$ZZ,11,FALSE)+SUM(_xlfn.XLOOKUP(R104:AH104,增益!$A:$A,增益!$K:$K,0)))/100)</f>
        <v>-0.3</v>
      </c>
      <c r="BB104" s="49" cm="1">
        <f t="array" ref="BB104">$G$12+VLOOKUP($Q104,武学奇术!$A:$ZZ,12,FALSE)+SUM(_xlfn.XLOOKUP(R104:AH104,增益!$A:$A,增益!$L:$L,0))</f>
        <v>0</v>
      </c>
      <c r="BC104">
        <f>$D$13*(1+$AT104)</f>
        <v>571.2</v>
      </c>
      <c r="BD104">
        <f>$E$13*(1+$AT104)</f>
        <v>1077.4</v>
      </c>
      <c r="BE104" s="49" cm="1">
        <f t="array" ref="BE104">IF($F$13-$I$4+VLOOKUP($Q104,武学奇术!$A:$ZZ,13,FALSE)+SUM(_xlfn.XLOOKUP(R104:AH104,增益!$A:$A,增益!$M:$M,0))&gt;0,($F$13-$I$4+VLOOKUP($Q104,武学奇术!$A:$ZZ,13,FALSE)+SUM(_xlfn.XLOOKUP(R104:AH104,增益!$A:$A,增益!$K:$K,0)))/200,($F$13-$I$4+VLOOKUP($Q104,武学奇术!$A:$ZZ,13,FALSE)+SUM(_xlfn.XLOOKUP(R104:AH104,增益!$A:$A,增益!$M:$M,0)))/100)</f>
        <v>0</v>
      </c>
      <c r="BF104" s="49" cm="1">
        <f t="array" ref="BF104">$G$13+VLOOKUP($Q104,武学奇术!$A:$ZZ,14,FALSE)+SUM(_xlfn.XLOOKUP(R104:AH104,增益!$A:$A,增益!$N:$N,0))</f>
        <v>0.25</v>
      </c>
      <c r="BG104">
        <f>$D$14*(1+$AT104)</f>
        <v>0</v>
      </c>
      <c r="BH104">
        <f>$E$14*(1+$AT104)</f>
        <v>0</v>
      </c>
      <c r="BI104" s="49" cm="1">
        <f t="array" ref="BI104">IF($F$14-$I$4+VLOOKUP($Q104,武学奇术!$A:$ZZ,15,FALSE)+SUM(_xlfn.XLOOKUP(R104:AH104,增益!$A:$A,增益!$O:$O,0))&gt;0,($F$14-$I$4+VLOOKUP($Q104,武学奇术!$A:$ZZ,15,FALSE)+SUM(_xlfn.XLOOKUP(R104:AH104,增益!$A:$A,增益!$O:$O,0)))/200,($F$14-$I$4+VLOOKUP($Q104,武学奇术!$A:$ZZ,15,FALSE)+SUM(_xlfn.XLOOKUP(R104:AH104,增益!$A:$A,增益!$O:$O,0)))/100)</f>
        <v>-0.3</v>
      </c>
      <c r="BJ104" s="49" cm="1">
        <f t="array" ref="BJ104">$G$14+VLOOKUP($Q104,武学奇术!$A:$ZZ,16,FALSE)+SUM(_xlfn.XLOOKUP(R104:AH104,增益!$A:$A,增益!$P:$P,0))</f>
        <v>0</v>
      </c>
      <c r="BK104" s="41">
        <f>MIN(IF(VLOOKUP($Q104,武学奇术!$A:$ZZ,23,FALSE)=1,100%,$B$8),100%)</f>
        <v>1</v>
      </c>
      <c r="BL104" s="41" cm="1">
        <f t="array" ref="BL104">IF(VLOOKUP($Q104,武学奇术!$A:$ZZ,23,FALSE)=1,100%,MIN(80%,$B$9+VLOOKUP($Q104,武学奇术!$A:$ZZ,17,FALSE)+SUM(_xlfn.XLOOKUP(R104:AH104,增益!$A:$A,增益!$Q:$Q,0)))+$B$11+SUM(_xlfn.XLOOKUP(R104:AH104,增益!$A:$A,增益!$U:$U,0)))*IF(VLOOKUP($Q104,武学奇术!$A:$ZZ,24,FALSE)=1,0,1)</f>
        <v>0.933</v>
      </c>
      <c r="BM104" s="41" cm="1">
        <f t="array" ref="BM104">1+$B$13+VLOOKUP($Q104,武学奇术!$A:$ZZ,18,FALSE)+SUM(_xlfn.XLOOKUP(R104:AH104,增益!$A:$A,增益!$R:$R,0))</f>
        <v>1.96</v>
      </c>
      <c r="BN104" s="41" cm="1">
        <f t="array" ref="BN104">IF(VLOOKUP($Q104,武学奇术!$A:$ZZ,24,FALSE)=1,100%,MIN(40%,$B$10+VLOOKUP($Q104,武学奇术!$A:$ZZ,19,FALSE)+SUM(_xlfn.XLOOKUP(R104:AH104,增益!$A:$A,增益!$S:$S,0)))+$B$12+SUM(_xlfn.XLOOKUP(R104:AH104,增益!$A:$A,增益!$V:$V,0)))*IF(VLOOKUP($Q104,武学奇术!$A:$ZZ,23,FALSE)=1,0,1)</f>
        <v>0.0929</v>
      </c>
      <c r="BO104" s="41" cm="1">
        <f t="array" ref="BO104">1+$B$14+VLOOKUP($Q104,武学奇术!$A:$ZZ,20,FALSE)+SUM(_xlfn.XLOOKUP(R104:AH104,增益!$A:$A,增益!$T:$T,0))</f>
        <v>1.35</v>
      </c>
      <c r="BP104" s="41">
        <f>MIN((1-BN104)*BK104,BK104*BL104)</f>
        <v>0.9071</v>
      </c>
      <c r="BQ104" s="41">
        <f>1-BN104-BP104-BR104</f>
        <v>0</v>
      </c>
      <c r="BR104" s="41">
        <f>IF(VLOOKUP($Q104,武学奇术!$A:$ZZ,22,FALSE)=1,0,(1-$BK104))*(1-$BN104)</f>
        <v>0</v>
      </c>
      <c r="BS104" s="41" cm="1">
        <f t="array" ref="BS104">SUM(_xlfn.XLOOKUP(R104:AH104,增益!$A:$A,增益!$W:$W,0))+$I$5</f>
        <v>0.11</v>
      </c>
    </row>
    <row r="105" spans="1:71">
      <c r="A105" s="4"/>
      <c r="B105" s="109"/>
      <c r="K105" s="55">
        <f>($L105*$BP105+$M105*$BN105+$N105*$BQ105+$O105*$BR105)</f>
        <v>75075.8718904968</v>
      </c>
      <c r="L105" s="55">
        <f>((($AP105+$AQ105)/2*$AJ105+$AK105)*(1+$AR105)*(1+$AS105)+(($AU105+$AV105)/2*IF($G$1="鸣金",$AL105,$AJ105)+IF($G$1="鸣金",$AM105*1.5,0))*(1+$AW105)*(1+$AX105)+(($AY105+$AZ105)/2*IF($G$1="裂石",$AL105,$AJ105)+IF($G$1="裂石",$AM105*1.5,0))*(1+$BA105)*(1+$BB105)+(($BC105+$BD105)/2*IF($G$1="牵丝",$AL105,$AJ105)+IF($G$1="牵丝",$AM105*1.5,0))*(1+$BE105)*(1+$BF105)+(($BG105+$BH105)/2*IF($G$1="破竹",$AL105,$AJ105)+IF($G$1="破竹",$AM105*1.5,0))*(1+$BI105)*(1+$BJ105))*(1+$AN105)*$BM105*$P105*(1+IF(VLOOKUP($Q105,武学奇术!$A:$ZZ,30,FALSE)="弹道",$B$21,0))*(1+$BS105)</f>
        <v>75375.7035761709</v>
      </c>
      <c r="M105" s="55">
        <f>(($AQ105*$AJ105+$AK105)*(1+$AR105)*(1+$AS105)+($AV105*IF($G$1="鸣金",$AL105,$AJ105)+IF($G$1="鸣金",$AM105*1.5,0))*(1+$AW105)*(1+$AX105)+($AZ105*IF($G$1="裂石",$AL105,$AJ105)+IF($G$1="裂石",$AM105*1.5,0))*(1+$BA105)*(1+$BB105)+($BD105*IF($G$1="牵丝",$AL105,$AJ105)+IF($G$1="牵丝",$AM105*1.5,0))*(1+$BE105)*(1+$BF105)+($BH105*IF($G$1="破竹",$AL105,$AJ105)+IF($G$1="破竹",$AM105*1.5,0))*(1+$BI105)*(1+$BJ105))*(1+$AN105)*$BO105*$P105*(1+IF(VLOOKUP($Q105,武学奇术!$A:$ZZ,30,FALSE)="弹道",$B$21,0))*(1+$BS105)</f>
        <v>73181.483612884</v>
      </c>
      <c r="N105" s="55">
        <f>((($AP105+$AQ105)/2*$AJ105+$AK105)*(1+$AR105)*(1+$AS105)+(($AU105+$AV105)/2*IF($G$1="鸣金",$AL105,$AJ105)+IF($G$1="鸣金",$AM105*1.5,0))*(1+$AW105)*(1+$AX105)+(($AY105+$AZ105)/2*IF($G$1="裂石",$AL105,$AJ105)+IF($G$1="裂石",$AM105*1.5,0))*(1+$BA105)*(1+$BB105)+(($BC105+$BD105)/2*IF($G$1="牵丝",$AL105,$AJ105)+IF($G$1="牵丝",$AM105*1.5,0))*(1+$BE105)*(1+$BF105)+(($BG105+$BH105)/2*IF($G$1="破竹",$AL105,$AJ105)+IF($G$1="破竹",$AM105*1.5,0))*(1+$BI105)*(1+$BJ105))*(1+$AN105)*$P105*(1+IF(VLOOKUP($Q105,武学奇术!$A:$ZZ,30,FALSE)="弹道",$B$21,0))*(1+$BS105)</f>
        <v>38456.9916204953</v>
      </c>
      <c r="O105" s="55">
        <f>((($AP105*$AJ105+$AK105)*(1+$AR105)*(1+$AS105)+($AU105*IF($G$1="鸣金",$AL105,$AJ105)+IF($G$1="鸣金",$AM105*1.5,0))*(1+$AW105)*(1+$AX105)+($AY105*IF($G$1="裂石",$AL105,$AJ105)+IF($G$1="裂石",$AM105*1.5,0))*(1+$BA105)*(1+$BB105)+($BC105*IF($G$1="牵丝",$AL105,$AJ105)+IF($G$1="牵丝",$AM105*1.5,0))*(1+$BE105)*(1+$BF105)+($BG105*IF($G$1="破竹",$AL105,$AJ105)+IF($G$1="破竹",$AM105*1.5,0))*(1+$BI105)*(1+$BJ105))*(1+$AN105))*$P105*(1+IF(VLOOKUP($Q105,武学奇术!$A:$ZZ,30,FALSE)="弹道",$B$21,0))*(1+$BS105)</f>
        <v>22705.4768610766</v>
      </c>
      <c r="P105" s="56">
        <v>1</v>
      </c>
      <c r="Q105" s="57" t="s">
        <v>84</v>
      </c>
      <c r="R105" s="57" t="s">
        <v>116</v>
      </c>
      <c r="S105" s="57" t="s">
        <v>153</v>
      </c>
      <c r="T105" s="57" t="s">
        <v>92</v>
      </c>
      <c r="U105" s="57" t="s">
        <v>157</v>
      </c>
      <c r="V105" s="57" t="s">
        <v>72</v>
      </c>
      <c r="W105" s="57" t="s">
        <v>72</v>
      </c>
      <c r="X105" s="57" t="s">
        <v>72</v>
      </c>
      <c r="Y105" s="57" t="s">
        <v>72</v>
      </c>
      <c r="Z105" s="57" t="s">
        <v>72</v>
      </c>
      <c r="AA105" s="57" t="s">
        <v>72</v>
      </c>
      <c r="AB105" s="57" t="s">
        <v>72</v>
      </c>
      <c r="AC105" s="57" t="s">
        <v>72</v>
      </c>
      <c r="AD105" s="57" t="s">
        <v>72</v>
      </c>
      <c r="AE105" s="57" t="s">
        <v>72</v>
      </c>
      <c r="AF105" s="57" t="s">
        <v>72</v>
      </c>
      <c r="AG105" s="57" t="s">
        <v>72</v>
      </c>
      <c r="AH105" s="57" t="s">
        <v>87</v>
      </c>
      <c r="AI105" t="str">
        <f>VLOOKUP($Q105,武学奇术!$A:$ZZ,25,FALSE)</f>
        <v>伞</v>
      </c>
      <c r="AJ105" s="41">
        <f>VLOOKUP($Q105,武学奇术!$A:$ZZ,26,FALSE)</f>
        <v>2.3397</v>
      </c>
      <c r="AK105" s="42">
        <f>VLOOKUP($Q105,武学奇术!$A:$ZZ,27,FALSE)*(1+IF(OR($AI105=$F$4,$AI105=$F$5),$B$22,0))</f>
        <v>907.2</v>
      </c>
      <c r="AL105" s="41">
        <f>VLOOKUP($Q105,武学奇术!$A:$ZZ,28,FALSE)</f>
        <v>3.5095</v>
      </c>
      <c r="AM105" s="42">
        <f>VLOOKUP($Q105,武学奇术!$A:$ZZ,29,FALSE)*(1+IF(OR($AI105=$F$4,$AI105=$F$5),$B$22,0))</f>
        <v>494.2</v>
      </c>
      <c r="AN105" s="41" cm="1">
        <f t="array" ref="AN105">$G$3+IFERROR(VLOOKUP($AI105,$F$4:$G$7,2,FALSE),0)+VLOOKUP($Q105,武学奇术!$A:$ZZ,2,FALSE)+SUM(_xlfn.XLOOKUP($R105:$AH105,增益!$A:$A,增益!$B:$B,0))</f>
        <v>0.6541</v>
      </c>
      <c r="AO105" s="41" cm="1">
        <f t="array" ref="AO105">VLOOKUP($Q105,武学奇术!$A:$ZZ,5,FALSE)+SUM(_xlfn.XLOOKUP($R105:$AH105,增益!$A:$A,增益!$E:$E,0))</f>
        <v>0.15</v>
      </c>
      <c r="AP105" cm="1">
        <f t="array" ref="AP105">$D$10*(1+$AO105)+VLOOKUP($Q105,武学奇术!$A:$ZZ,3,FALSE)+SUM(_xlfn.XLOOKUP($R105:$AH105,增益!$A:$A,增益!$C:$C,0))-$I$2</f>
        <v>2150.71</v>
      </c>
      <c r="AQ105" cm="1">
        <f t="array" ref="AQ105">$E$10*(1+$AO105)+VLOOKUP($Q105,武学奇术!$A:$ZZ,4,FALSE)+SUM(_xlfn.XLOOKUP($R105:$AH105,增益!$A:$A,增益!$D:$D,0))-$I$2</f>
        <v>6394.9</v>
      </c>
      <c r="AR105" s="49" cm="1">
        <f t="array" ref="AR105">IF($F$10-$I$3+VLOOKUP($Q105,武学奇术!$A:$ZZ,6,FALSE)+SUM(_xlfn.XLOOKUP(R105:AH105,增益!$A:$A,增益!$F:$F,0))&gt;0,($F$10-$I$3+VLOOKUP($Q105,武学奇术!$A:$ZZ,6,FALSE)+SUM(_xlfn.XLOOKUP(R105:AH105,增益!$A:$A,增益!$F:$F,0)))/200,($F$10-$I$3+VLOOKUP($Q105,武学奇术!$A:$ZZ,6,FALSE)+SUM(_xlfn.XLOOKUP(R105:AH105,增益!$A:$A,增益!$F:$F,0)))/100)</f>
        <v>0.3675</v>
      </c>
      <c r="AS105" s="49" cm="1">
        <f t="array" ref="AS105">$G$10+VLOOKUP($Q105,武学奇术!$A:$ZZ,7,FALSE)+SUM(_xlfn.XLOOKUP(R105:AH105,增益!$A:$A,增益!$G:$G,0))</f>
        <v>0.1</v>
      </c>
      <c r="AT105" s="41" cm="1">
        <f t="array" ref="AT105">VLOOKUP($Q105,武学奇术!$A:$ZZ,8,FALSE)+SUM(_xlfn.XLOOKUP(R105:AH105,增益!$A:$A,增益!$H:$H,0))</f>
        <v>0</v>
      </c>
      <c r="AU105">
        <f>$D$11*(1+$AT105)</f>
        <v>0</v>
      </c>
      <c r="AV105">
        <f>$E$11*(1+$AT105)</f>
        <v>0</v>
      </c>
      <c r="AW105" s="49" cm="1">
        <f t="array" ref="AW105">IF($F$11-$I$4+VLOOKUP($Q105,武学奇术!$A:$ZZ,9,FALSE)+SUM(_xlfn.XLOOKUP(R105:AH105,增益!$A:$A,增益!$I:$I,0))&gt;0,($F$11-$I$4+VLOOKUP($Q105,武学奇术!$A:$ZZ,9,FALSE)+SUM(_xlfn.XLOOKUP(R105:AH105,增益!$A:$A,增益!$I:$I,0)))/200,($F$11-$I$4+VLOOKUP($Q105,武学奇术!$A:$ZZ,9,FALSE)+SUM(_xlfn.XLOOKUP(R105:AH105,增益!$A:$A,增益!$I:$I,0)))/100)</f>
        <v>-0.3</v>
      </c>
      <c r="AX105" s="49" cm="1">
        <f t="array" ref="AX105">$G$11+VLOOKUP($Q105,武学奇术!$A:$ZZ,10,FALSE)+SUM(_xlfn.XLOOKUP(R105:AH105,增益!$A:$A,增益!$J:$J,0))</f>
        <v>0</v>
      </c>
      <c r="AY105">
        <f>$D$12*(1+$AT105)</f>
        <v>0</v>
      </c>
      <c r="AZ105">
        <f>$E$12*(1+$AT105)</f>
        <v>0</v>
      </c>
      <c r="BA105" s="49" cm="1">
        <f t="array" ref="BA105">IF($F$12-$I$4+VLOOKUP($Q105,武学奇术!$A:$ZZ,11,FALSE)+SUM(_xlfn.XLOOKUP(R105:AH105,增益!$A:$A,增益!$K:$K,0))&gt;0,($F$12-$I$4+VLOOKUP($Q105,武学奇术!$A:$ZZ,11,FALSE)+SUM(_xlfn.XLOOKUP(R105:AH105,增益!$A:$A,增益!$K:$K,0)))/200,($F$12-$I$4+VLOOKUP($Q105,武学奇术!$A:$ZZ,11,FALSE)+SUM(_xlfn.XLOOKUP(R105:AH105,增益!$A:$A,增益!$K:$K,0)))/100)</f>
        <v>-0.3</v>
      </c>
      <c r="BB105" s="49" cm="1">
        <f t="array" ref="BB105">$G$12+VLOOKUP($Q105,武学奇术!$A:$ZZ,12,FALSE)+SUM(_xlfn.XLOOKUP(R105:AH105,增益!$A:$A,增益!$L:$L,0))</f>
        <v>0</v>
      </c>
      <c r="BC105">
        <f>$D$13*(1+$AT105)</f>
        <v>571.2</v>
      </c>
      <c r="BD105">
        <f>$E$13*(1+$AT105)</f>
        <v>1077.4</v>
      </c>
      <c r="BE105" s="49" cm="1">
        <f t="array" ref="BE105">IF($F$13-$I$4+VLOOKUP($Q105,武学奇术!$A:$ZZ,13,FALSE)+SUM(_xlfn.XLOOKUP(R105:AH105,增益!$A:$A,增益!$M:$M,0))&gt;0,($F$13-$I$4+VLOOKUP($Q105,武学奇术!$A:$ZZ,13,FALSE)+SUM(_xlfn.XLOOKUP(R105:AH105,增益!$A:$A,增益!$K:$K,0)))/200,($F$13-$I$4+VLOOKUP($Q105,武学奇术!$A:$ZZ,13,FALSE)+SUM(_xlfn.XLOOKUP(R105:AH105,增益!$A:$A,增益!$M:$M,0)))/100)</f>
        <v>0</v>
      </c>
      <c r="BF105" s="49" cm="1">
        <f t="array" ref="BF105">$G$13+VLOOKUP($Q105,武学奇术!$A:$ZZ,14,FALSE)+SUM(_xlfn.XLOOKUP(R105:AH105,增益!$A:$A,增益!$N:$N,0))</f>
        <v>0.25</v>
      </c>
      <c r="BG105">
        <f>$D$14*(1+$AT105)</f>
        <v>0</v>
      </c>
      <c r="BH105">
        <f>$E$14*(1+$AT105)</f>
        <v>0</v>
      </c>
      <c r="BI105" s="49" cm="1">
        <f t="array" ref="BI105">IF($F$14-$I$4+VLOOKUP($Q105,武学奇术!$A:$ZZ,15,FALSE)+SUM(_xlfn.XLOOKUP(R105:AH105,增益!$A:$A,增益!$O:$O,0))&gt;0,($F$14-$I$4+VLOOKUP($Q105,武学奇术!$A:$ZZ,15,FALSE)+SUM(_xlfn.XLOOKUP(R105:AH105,增益!$A:$A,增益!$O:$O,0)))/200,($F$14-$I$4+VLOOKUP($Q105,武学奇术!$A:$ZZ,15,FALSE)+SUM(_xlfn.XLOOKUP(R105:AH105,增益!$A:$A,增益!$O:$O,0)))/100)</f>
        <v>-0.3</v>
      </c>
      <c r="BJ105" s="49" cm="1">
        <f t="array" ref="BJ105">$G$14+VLOOKUP($Q105,武学奇术!$A:$ZZ,16,FALSE)+SUM(_xlfn.XLOOKUP(R105:AH105,增益!$A:$A,增益!$P:$P,0))</f>
        <v>0</v>
      </c>
      <c r="BK105" s="41">
        <f>MIN(IF(VLOOKUP($Q105,武学奇术!$A:$ZZ,23,FALSE)=1,100%,$B$8),100%)</f>
        <v>1</v>
      </c>
      <c r="BL105" s="41" cm="1">
        <f t="array" ref="BL105">IF(VLOOKUP($Q105,武学奇术!$A:$ZZ,23,FALSE)=1,100%,MIN(80%,$B$9+VLOOKUP($Q105,武学奇术!$A:$ZZ,17,FALSE)+SUM(_xlfn.XLOOKUP(R105:AH105,增益!$A:$A,增益!$Q:$Q,0)))+$B$11+SUM(_xlfn.XLOOKUP(R105:AH105,增益!$A:$A,增益!$U:$U,0)))*IF(VLOOKUP($Q105,武学奇术!$A:$ZZ,24,FALSE)=1,0,1)</f>
        <v>0.9045</v>
      </c>
      <c r="BM105" s="41" cm="1">
        <f t="array" ref="BM105">1+$B$13+VLOOKUP($Q105,武学奇术!$A:$ZZ,18,FALSE)+SUM(_xlfn.XLOOKUP(R105:AH105,增益!$A:$A,增益!$R:$R,0))</f>
        <v>1.96</v>
      </c>
      <c r="BN105" s="41" cm="1">
        <f t="array" ref="BN105">IF(VLOOKUP($Q105,武学奇术!$A:$ZZ,24,FALSE)=1,100%,MIN(40%,$B$10+VLOOKUP($Q105,武学奇术!$A:$ZZ,19,FALSE)+SUM(_xlfn.XLOOKUP(R105:AH105,增益!$A:$A,增益!$S:$S,0)))+$B$12+SUM(_xlfn.XLOOKUP(R105:AH105,增益!$A:$A,增益!$V:$V,0)))*IF(VLOOKUP($Q105,武学奇术!$A:$ZZ,23,FALSE)=1,0,1)</f>
        <v>0.0929</v>
      </c>
      <c r="BO105" s="41" cm="1">
        <f t="array" ref="BO105">1+$B$14+VLOOKUP($Q105,武学奇术!$A:$ZZ,20,FALSE)+SUM(_xlfn.XLOOKUP(R105:AH105,增益!$A:$A,增益!$T:$T,0))</f>
        <v>1.35</v>
      </c>
      <c r="BP105" s="41">
        <f>MIN((1-BN105)*BK105,BK105*BL105)</f>
        <v>0.9045</v>
      </c>
      <c r="BQ105" s="41">
        <f>1-BN105-BP105-BR105</f>
        <v>0.00260000000000005</v>
      </c>
      <c r="BR105" s="41">
        <f>IF(VLOOKUP($Q105,武学奇术!$A:$ZZ,22,FALSE)=1,0,(1-$BK105))*(1-$BN105)</f>
        <v>0</v>
      </c>
      <c r="BS105" s="41" cm="1">
        <f t="array" ref="BS105">SUM(_xlfn.XLOOKUP(R105:AH105,增益!$A:$A,增益!$W:$W,0))+$I$5</f>
        <v>0.11</v>
      </c>
    </row>
    <row r="106" spans="1:71">
      <c r="A106" s="4"/>
      <c r="B106" s="4"/>
      <c r="C106" s="56"/>
      <c r="K106" s="55">
        <f>($L106*$BP106+$M106*$BN106+$N106*$BQ106+$O106*$BR106)</f>
        <v>15934.3326192433</v>
      </c>
      <c r="L106" s="55">
        <f>((($AP106+$AQ106)/2*$AJ106+$AK106)*(1+$AR106)*(1+$AS106)+(($AU106+$AV106)/2*IF($G$1="鸣金",$AL106,$AJ106)+IF($G$1="鸣金",$AM106*1.5,0))*(1+$AW106)*(1+$AX106)+(($AY106+$AZ106)/2*IF($G$1="裂石",$AL106,$AJ106)+IF($G$1="裂石",$AM106*1.5,0))*(1+$BA106)*(1+$BB106)+(($BC106+$BD106)/2*IF($G$1="牵丝",$AL106,$AJ106)+IF($G$1="牵丝",$AM106*1.5,0))*(1+$BE106)*(1+$BF106)+(($BG106+$BH106)/2*IF($G$1="破竹",$AL106,$AJ106)+IF($G$1="破竹",$AM106*1.5,0))*(1+$BI106)*(1+$BJ106))*(1+$AN106)*$BM106*$P106*(1+IF(VLOOKUP($Q106,武学奇术!$A:$ZZ,30,FALSE)="弹道",$B$21,0))*(1+$BS106)</f>
        <v>15674.3925422804</v>
      </c>
      <c r="M106" s="55">
        <f>(($AQ106*$AJ106+$AK106)*(1+$AR106)*(1+$AS106)+($AV106*IF($G$1="鸣金",$AL106,$AJ106)+IF($G$1="鸣金",$AM106*1.5,0))*(1+$AW106)*(1+$AX106)+($AZ106*IF($G$1="裂石",$AL106,$AJ106)+IF($G$1="裂石",$AM106*1.5,0))*(1+$BA106)*(1+$BB106)+($BD106*IF($G$1="牵丝",$AL106,$AJ106)+IF($G$1="牵丝",$AM106*1.5,0))*(1+$BE106)*(1+$BF106)+($BH106*IF($G$1="破竹",$AL106,$AJ106)+IF($G$1="破竹",$AM106*1.5,0))*(1+$BI106)*(1+$BJ106))*(1+$AN106)*$BO106*$P106*(1+IF(VLOOKUP($Q106,武学奇术!$A:$ZZ,30,FALSE)="弹道",$B$21,0))*(1+$BS106)</f>
        <v>18636.9609996721</v>
      </c>
      <c r="N106" s="55">
        <f>((($AP106+$AQ106)/2*$AJ106+$AK106)*(1+$AR106)*(1+$AS106)+(($AU106+$AV106)/2*IF($G$1="鸣金",$AL106,$AJ106)+IF($G$1="鸣金",$AM106*1.5,0))*(1+$AW106)*(1+$AX106)+(($AY106+$AZ106)/2*IF($G$1="裂石",$AL106,$AJ106)+IF($G$1="裂石",$AM106*1.5,0))*(1+$BA106)*(1+$BB106)+(($BC106+$BD106)/2*IF($G$1="牵丝",$AL106,$AJ106)+IF($G$1="牵丝",$AM106*1.5,0))*(1+$BE106)*(1+$BF106)+(($BG106+$BH106)/2*IF($G$1="破竹",$AL106,$AJ106)+IF($G$1="破竹",$AM106*1.5,0))*(1+$BI106)*(1+$BJ106))*(1+$AN106)*$P106*(1+IF(VLOOKUP($Q106,武学奇术!$A:$ZZ,30,FALSE)="弹道",$B$21,0))*(1+$BS106)</f>
        <v>9796.49533892523</v>
      </c>
      <c r="O106" s="55">
        <f>((($AP106*$AJ106+$AK106)*(1+$AR106)*(1+$AS106)+($AU106*IF($G$1="鸣金",$AL106,$AJ106)+IF($G$1="鸣金",$AM106*1.5,0))*(1+$AW106)*(1+$AX106)+($AY106*IF($G$1="裂石",$AL106,$AJ106)+IF($G$1="裂石",$AM106*1.5,0))*(1+$BA106)*(1+$BB106)+($BC106*IF($G$1="牵丝",$AL106,$AJ106)+IF($G$1="牵丝",$AM106*1.5,0))*(1+$BE106)*(1+$BF106)+($BG106*IF($G$1="破竹",$AL106,$AJ106)+IF($G$1="破竹",$AM106*1.5,0))*(1+$BI106)*(1+$BJ106))*(1+$AN106))*$P106*(1+IF(VLOOKUP($Q106,武学奇术!$A:$ZZ,30,FALSE)="弹道",$B$21,0))*(1+$BS106)</f>
        <v>5787.83438179704</v>
      </c>
      <c r="P106" s="56">
        <v>1</v>
      </c>
      <c r="Q106" s="57" t="s">
        <v>99</v>
      </c>
      <c r="R106" s="57" t="s">
        <v>116</v>
      </c>
      <c r="S106" s="57" t="s">
        <v>153</v>
      </c>
      <c r="T106" s="57" t="s">
        <v>72</v>
      </c>
      <c r="U106" s="57" t="s">
        <v>157</v>
      </c>
      <c r="V106" s="57" t="s">
        <v>72</v>
      </c>
      <c r="W106" s="57" t="s">
        <v>72</v>
      </c>
      <c r="X106" s="57" t="s">
        <v>72</v>
      </c>
      <c r="Y106" s="57" t="s">
        <v>72</v>
      </c>
      <c r="Z106" s="57" t="s">
        <v>72</v>
      </c>
      <c r="AA106" s="57" t="s">
        <v>72</v>
      </c>
      <c r="AB106" s="57" t="s">
        <v>72</v>
      </c>
      <c r="AC106" s="57" t="s">
        <v>72</v>
      </c>
      <c r="AD106" s="57" t="s">
        <v>72</v>
      </c>
      <c r="AE106" s="57" t="s">
        <v>72</v>
      </c>
      <c r="AF106" s="57" t="s">
        <v>72</v>
      </c>
      <c r="AG106" s="57" t="s">
        <v>72</v>
      </c>
      <c r="AH106" s="57" t="s">
        <v>87</v>
      </c>
      <c r="AI106" t="str">
        <f>VLOOKUP($Q106,武学奇术!$A:$ZZ,25,FALSE)</f>
        <v>伞</v>
      </c>
      <c r="AJ106" s="41">
        <f>VLOOKUP($Q106,武学奇术!$A:$ZZ,26,FALSE)</f>
        <v>0.54</v>
      </c>
      <c r="AK106" s="42">
        <f>VLOOKUP($Q106,武学奇术!$A:$ZZ,27,FALSE)*(1+IF(OR($AI106=$F$4,$AI106=$F$5),$B$22,0))</f>
        <v>207.2</v>
      </c>
      <c r="AL106" s="41">
        <f>VLOOKUP($Q106,武学奇术!$A:$ZZ,28,FALSE)</f>
        <v>0.81</v>
      </c>
      <c r="AM106" s="42">
        <f>VLOOKUP($Q106,武学奇术!$A:$ZZ,29,FALSE)*(1+IF(OR($AI106=$F$4,$AI106=$F$5),$B$22,0))</f>
        <v>114.1</v>
      </c>
      <c r="AN106" s="41" cm="1">
        <f t="array" ref="AN106">$G$3+IFERROR(VLOOKUP($AI106,$F$4:$G$7,2,FALSE),0)+VLOOKUP($Q106,武学奇术!$A:$ZZ,2,FALSE)+SUM(_xlfn.XLOOKUP($R106:$AH106,增益!$A:$A,增益!$B:$B,0))</f>
        <v>0.4041</v>
      </c>
      <c r="AO106" s="41" cm="1">
        <f t="array" ref="AO106">VLOOKUP($Q106,武学奇术!$A:$ZZ,5,FALSE)+SUM(_xlfn.XLOOKUP($R106:$AH106,增益!$A:$A,增益!$E:$E,0))</f>
        <v>0.15</v>
      </c>
      <c r="AP106" cm="1">
        <f t="array" ref="AP106">$D$10*(1+$AO106)+VLOOKUP($Q106,武学奇术!$A:$ZZ,3,FALSE)+SUM(_xlfn.XLOOKUP($R106:$AH106,增益!$A:$A,增益!$C:$C,0))-$I$2</f>
        <v>2150.71</v>
      </c>
      <c r="AQ106" cm="1">
        <f t="array" ref="AQ106">$E$10*(1+$AO106)+VLOOKUP($Q106,武学奇术!$A:$ZZ,4,FALSE)+SUM(_xlfn.XLOOKUP($R106:$AH106,增益!$A:$A,增益!$D:$D,0))-$I$2</f>
        <v>6394.9</v>
      </c>
      <c r="AR106" s="49" cm="1">
        <f t="array" ref="AR106">IF($F$10-$I$3+VLOOKUP($Q106,武学奇术!$A:$ZZ,6,FALSE)+SUM(_xlfn.XLOOKUP(R106:AH106,增益!$A:$A,增益!$F:$F,0))&gt;0,($F$10-$I$3+VLOOKUP($Q106,武学奇术!$A:$ZZ,6,FALSE)+SUM(_xlfn.XLOOKUP(R106:AH106,增益!$A:$A,增益!$F:$F,0)))/200,($F$10-$I$3+VLOOKUP($Q106,武学奇术!$A:$ZZ,6,FALSE)+SUM(_xlfn.XLOOKUP(R106:AH106,增益!$A:$A,增益!$F:$F,0)))/100)</f>
        <v>0.3425</v>
      </c>
      <c r="AS106" s="49" cm="1">
        <f t="array" ref="AS106">$G$10+VLOOKUP($Q106,武学奇术!$A:$ZZ,7,FALSE)+SUM(_xlfn.XLOOKUP(R106:AH106,增益!$A:$A,增益!$G:$G,0))</f>
        <v>0.1</v>
      </c>
      <c r="AT106" s="41" cm="1">
        <f t="array" ref="AT106">VLOOKUP($Q106,武学奇术!$A:$ZZ,8,FALSE)+SUM(_xlfn.XLOOKUP(R106:AH106,增益!$A:$A,增益!$H:$H,0))</f>
        <v>0</v>
      </c>
      <c r="AU106">
        <f>$D$11*(1+$AT106)</f>
        <v>0</v>
      </c>
      <c r="AV106">
        <f>$E$11*(1+$AT106)</f>
        <v>0</v>
      </c>
      <c r="AW106" s="49" cm="1">
        <f t="array" ref="AW106">IF($F$11-$I$4+VLOOKUP($Q106,武学奇术!$A:$ZZ,9,FALSE)+SUM(_xlfn.XLOOKUP(R106:AH106,增益!$A:$A,增益!$I:$I,0))&gt;0,($F$11-$I$4+VLOOKUP($Q106,武学奇术!$A:$ZZ,9,FALSE)+SUM(_xlfn.XLOOKUP(R106:AH106,增益!$A:$A,增益!$I:$I,0)))/200,($F$11-$I$4+VLOOKUP($Q106,武学奇术!$A:$ZZ,9,FALSE)+SUM(_xlfn.XLOOKUP(R106:AH106,增益!$A:$A,增益!$I:$I,0)))/100)</f>
        <v>-0.3</v>
      </c>
      <c r="AX106" s="49" cm="1">
        <f t="array" ref="AX106">$G$11+VLOOKUP($Q106,武学奇术!$A:$ZZ,10,FALSE)+SUM(_xlfn.XLOOKUP(R106:AH106,增益!$A:$A,增益!$J:$J,0))</f>
        <v>0</v>
      </c>
      <c r="AY106">
        <f>$D$12*(1+$AT106)</f>
        <v>0</v>
      </c>
      <c r="AZ106">
        <f>$E$12*(1+$AT106)</f>
        <v>0</v>
      </c>
      <c r="BA106" s="49" cm="1">
        <f t="array" ref="BA106">IF($F$12-$I$4+VLOOKUP($Q106,武学奇术!$A:$ZZ,11,FALSE)+SUM(_xlfn.XLOOKUP(R106:AH106,增益!$A:$A,增益!$K:$K,0))&gt;0,($F$12-$I$4+VLOOKUP($Q106,武学奇术!$A:$ZZ,11,FALSE)+SUM(_xlfn.XLOOKUP(R106:AH106,增益!$A:$A,增益!$K:$K,0)))/200,($F$12-$I$4+VLOOKUP($Q106,武学奇术!$A:$ZZ,11,FALSE)+SUM(_xlfn.XLOOKUP(R106:AH106,增益!$A:$A,增益!$K:$K,0)))/100)</f>
        <v>-0.3</v>
      </c>
      <c r="BB106" s="49" cm="1">
        <f t="array" ref="BB106">$G$12+VLOOKUP($Q106,武学奇术!$A:$ZZ,12,FALSE)+SUM(_xlfn.XLOOKUP(R106:AH106,增益!$A:$A,增益!$L:$L,0))</f>
        <v>0</v>
      </c>
      <c r="BC106">
        <f>$D$13*(1+$AT106)</f>
        <v>571.2</v>
      </c>
      <c r="BD106">
        <f>$E$13*(1+$AT106)</f>
        <v>1077.4</v>
      </c>
      <c r="BE106" s="49" cm="1">
        <f t="array" ref="BE106">IF($F$13-$I$4+VLOOKUP($Q106,武学奇术!$A:$ZZ,13,FALSE)+SUM(_xlfn.XLOOKUP(R106:AH106,增益!$A:$A,增益!$M:$M,0))&gt;0,($F$13-$I$4+VLOOKUP($Q106,武学奇术!$A:$ZZ,13,FALSE)+SUM(_xlfn.XLOOKUP(R106:AH106,增益!$A:$A,增益!$K:$K,0)))/200,($F$13-$I$4+VLOOKUP($Q106,武学奇术!$A:$ZZ,13,FALSE)+SUM(_xlfn.XLOOKUP(R106:AH106,增益!$A:$A,增益!$M:$M,0)))/100)</f>
        <v>0</v>
      </c>
      <c r="BF106" s="49" cm="1">
        <f t="array" ref="BF106">$G$13+VLOOKUP($Q106,武学奇术!$A:$ZZ,14,FALSE)+SUM(_xlfn.XLOOKUP(R106:AH106,增益!$A:$A,增益!$N:$N,0))</f>
        <v>0.25</v>
      </c>
      <c r="BG106">
        <f>$D$14*(1+$AT106)</f>
        <v>0</v>
      </c>
      <c r="BH106">
        <f>$E$14*(1+$AT106)</f>
        <v>0</v>
      </c>
      <c r="BI106" s="49" cm="1">
        <f t="array" ref="BI106">IF($F$14-$I$4+VLOOKUP($Q106,武学奇术!$A:$ZZ,15,FALSE)+SUM(_xlfn.XLOOKUP(R106:AH106,增益!$A:$A,增益!$O:$O,0))&gt;0,($F$14-$I$4+VLOOKUP($Q106,武学奇术!$A:$ZZ,15,FALSE)+SUM(_xlfn.XLOOKUP(R106:AH106,增益!$A:$A,增益!$O:$O,0)))/200,($F$14-$I$4+VLOOKUP($Q106,武学奇术!$A:$ZZ,15,FALSE)+SUM(_xlfn.XLOOKUP(R106:AH106,增益!$A:$A,增益!$O:$O,0)))/100)</f>
        <v>-0.3</v>
      </c>
      <c r="BJ106" s="49" cm="1">
        <f t="array" ref="BJ106">$G$14+VLOOKUP($Q106,武学奇术!$A:$ZZ,16,FALSE)+SUM(_xlfn.XLOOKUP(R106:AH106,增益!$A:$A,增益!$P:$P,0))</f>
        <v>0</v>
      </c>
      <c r="BK106" s="41">
        <f>MIN(IF(VLOOKUP($Q106,武学奇术!$A:$ZZ,23,FALSE)=1,100%,$B$8),100%)</f>
        <v>1</v>
      </c>
      <c r="BL106" s="41" cm="1">
        <f t="array" ref="BL106">IF(VLOOKUP($Q106,武学奇术!$A:$ZZ,23,FALSE)=1,100%,MIN(80%,$B$9+VLOOKUP($Q106,武学奇术!$A:$ZZ,17,FALSE)+SUM(_xlfn.XLOOKUP(R106:AH106,增益!$A:$A,增益!$Q:$Q,0)))+$B$11+SUM(_xlfn.XLOOKUP(R106:AH106,增益!$A:$A,增益!$U:$U,0)))*IF(VLOOKUP($Q106,武学奇术!$A:$ZZ,24,FALSE)=1,0,1)</f>
        <v>0.9045</v>
      </c>
      <c r="BM106" s="41" cm="1">
        <f t="array" ref="BM106">1+$B$13+VLOOKUP($Q106,武学奇术!$A:$ZZ,18,FALSE)+SUM(_xlfn.XLOOKUP(R106:AH106,增益!$A:$A,增益!$R:$R,0))</f>
        <v>1.6</v>
      </c>
      <c r="BN106" s="41" cm="1">
        <f t="array" ref="BN106">IF(VLOOKUP($Q106,武学奇术!$A:$ZZ,24,FALSE)=1,100%,MIN(40%,$B$10+VLOOKUP($Q106,武学奇术!$A:$ZZ,19,FALSE)+SUM(_xlfn.XLOOKUP(R106:AH106,增益!$A:$A,增益!$S:$S,0)))+$B$12+SUM(_xlfn.XLOOKUP(R106:AH106,增益!$A:$A,增益!$V:$V,0)))*IF(VLOOKUP($Q106,武学奇术!$A:$ZZ,23,FALSE)=1,0,1)</f>
        <v>0.0929</v>
      </c>
      <c r="BO106" s="41" cm="1">
        <f t="array" ref="BO106">1+$B$14+VLOOKUP($Q106,武学奇术!$A:$ZZ,20,FALSE)+SUM(_xlfn.XLOOKUP(R106:AH106,增益!$A:$A,增益!$T:$T,0))</f>
        <v>1.35</v>
      </c>
      <c r="BP106" s="41">
        <f>MIN((1-BN106)*BK106,BK106*BL106)</f>
        <v>0.9045</v>
      </c>
      <c r="BQ106" s="41">
        <f>1-BN106-BP106-BR106</f>
        <v>0.00260000000000005</v>
      </c>
      <c r="BR106" s="41">
        <f>IF(VLOOKUP($Q106,武学奇术!$A:$ZZ,22,FALSE)=1,0,(1-$BK106))*(1-$BN106)</f>
        <v>0</v>
      </c>
      <c r="BS106" s="41" cm="1">
        <f t="array" ref="BS106">SUM(_xlfn.XLOOKUP(R106:AH106,增益!$A:$A,增益!$W:$W,0))+$I$5</f>
        <v>0.11</v>
      </c>
    </row>
    <row r="107" spans="1:71">
      <c r="A107" s="4"/>
      <c r="B107" s="4"/>
      <c r="C107" s="56"/>
      <c r="K107" s="55">
        <f>($L107*$BP107+$M107*$BN107+$N107*$BQ107+$O107*$BR107)</f>
        <v>154461.963874863</v>
      </c>
      <c r="L107" s="55">
        <f>((($AP107+$AQ107)/2*$AJ107+$AK107)*(1+$AR107)*(1+$AS107)+(($AU107+$AV107)/2*IF($G$1="鸣金",$AL107,$AJ107)+IF($G$1="鸣金",$AM107*1.5,0))*(1+$AW107)*(1+$AX107)+(($AY107+$AZ107)/2*IF($G$1="裂石",$AL107,$AJ107)+IF($G$1="裂石",$AM107*1.5,0))*(1+$BA107)*(1+$BB107)+(($BC107+$BD107)/2*IF($G$1="牵丝",$AL107,$AJ107)+IF($G$1="牵丝",$AM107*1.5,0))*(1+$BE107)*(1+$BF107)+(($BG107+$BH107)/2*IF($G$1="破竹",$AL107,$AJ107)+IF($G$1="破竹",$AM107*1.5,0))*(1+$BI107)*(1+$BJ107))*(1+$AN107)*$BM107*$P107*(1+IF(VLOOKUP($Q107,武学奇术!$A:$ZZ,30,FALSE)="弹道",$B$21,0))*(1+$BS107)</f>
        <v>155077.754145464</v>
      </c>
      <c r="M107" s="55">
        <f>(($AQ107*$AJ107+$AK107)*(1+$AR107)*(1+$AS107)+($AV107*IF($G$1="鸣金",$AL107,$AJ107)+IF($G$1="鸣金",$AM107*1.5,0))*(1+$AW107)*(1+$AX107)+($AZ107*IF($G$1="裂石",$AL107,$AJ107)+IF($G$1="裂石",$AM107*1.5,0))*(1+$BA107)*(1+$BB107)+($BD107*IF($G$1="牵丝",$AL107,$AJ107)+IF($G$1="牵丝",$AM107*1.5,0))*(1+$BE107)*(1+$BF107)+($BH107*IF($G$1="破竹",$AL107,$AJ107)+IF($G$1="破竹",$AM107*1.5,0))*(1+$BI107)*(1+$BJ107))*(1+$AN107)*$BO107*$P107*(1+IF(VLOOKUP($Q107,武学奇术!$A:$ZZ,30,FALSE)="弹道",$B$21,0))*(1+$BS107)</f>
        <v>150575.02542668</v>
      </c>
      <c r="N107" s="55">
        <f>((($AP107+$AQ107)/2*$AJ107+$AK107)*(1+$AR107)*(1+$AS107)+(($AU107+$AV107)/2*IF($G$1="鸣金",$AL107,$AJ107)+IF($G$1="鸣金",$AM107*1.5,0))*(1+$AW107)*(1+$AX107)+(($AY107+$AZ107)/2*IF($G$1="裂石",$AL107,$AJ107)+IF($G$1="裂石",$AM107*1.5,0))*(1+$BA107)*(1+$BB107)+(($BC107+$BD107)/2*IF($G$1="牵丝",$AL107,$AJ107)+IF($G$1="牵丝",$AM107*1.5,0))*(1+$BE107)*(1+$BF107)+(($BG107+$BH107)/2*IF($G$1="破竹",$AL107,$AJ107)+IF($G$1="破竹",$AM107*1.5,0))*(1+$BI107)*(1+$BJ107))*(1+$AN107)*$P107*(1+IF(VLOOKUP($Q107,武学奇术!$A:$ZZ,30,FALSE)="弹道",$B$21,0))*(1+$BS107)</f>
        <v>79121.3031354408</v>
      </c>
      <c r="O107" s="55">
        <f>((($AP107*$AJ107+$AK107)*(1+$AR107)*(1+$AS107)+($AU107*IF($G$1="鸣金",$AL107,$AJ107)+IF($G$1="鸣金",$AM107*1.5,0))*(1+$AW107)*(1+$AX107)+($AY107*IF($G$1="裂石",$AL107,$AJ107)+IF($G$1="裂石",$AM107*1.5,0))*(1+$BA107)*(1+$BB107)+($BC107*IF($G$1="牵丝",$AL107,$AJ107)+IF($G$1="牵丝",$AM107*1.5,0))*(1+$BE107)*(1+$BF107)+($BG107*IF($G$1="破竹",$AL107,$AJ107)+IF($G$1="破竹",$AM107*1.5,0))*(1+$BI107)*(1+$BJ107))*(1+$AN107))*$P107*(1+IF(VLOOKUP($Q107,武学奇术!$A:$ZZ,30,FALSE)="弹道",$B$21,0))*(1+$BS107)</f>
        <v>46705.5503992665</v>
      </c>
      <c r="P107" s="56">
        <v>2.5</v>
      </c>
      <c r="Q107" s="57" t="s">
        <v>102</v>
      </c>
      <c r="R107" s="57" t="s">
        <v>116</v>
      </c>
      <c r="S107" s="57" t="s">
        <v>153</v>
      </c>
      <c r="T107" s="57" t="s">
        <v>92</v>
      </c>
      <c r="U107" s="57" t="s">
        <v>157</v>
      </c>
      <c r="V107" s="57" t="s">
        <v>86</v>
      </c>
      <c r="W107" s="57" t="s">
        <v>72</v>
      </c>
      <c r="X107" s="57" t="s">
        <v>72</v>
      </c>
      <c r="Y107" s="57" t="s">
        <v>72</v>
      </c>
      <c r="Z107" s="57" t="s">
        <v>72</v>
      </c>
      <c r="AA107" s="57" t="s">
        <v>72</v>
      </c>
      <c r="AB107" s="57" t="s">
        <v>72</v>
      </c>
      <c r="AC107" s="57" t="s">
        <v>72</v>
      </c>
      <c r="AD107" s="57" t="s">
        <v>72</v>
      </c>
      <c r="AE107" s="57" t="s">
        <v>72</v>
      </c>
      <c r="AF107" s="57" t="s">
        <v>72</v>
      </c>
      <c r="AG107" s="57" t="s">
        <v>72</v>
      </c>
      <c r="AH107" s="57" t="s">
        <v>87</v>
      </c>
      <c r="AI107" t="str">
        <f>VLOOKUP($Q107,武学奇术!$A:$ZZ,25,FALSE)</f>
        <v>伞</v>
      </c>
      <c r="AJ107" s="41">
        <f>VLOOKUP($Q107,武学奇术!$A:$ZZ,26,FALSE)</f>
        <v>1.174955</v>
      </c>
      <c r="AK107" s="42">
        <f>VLOOKUP($Q107,武学奇术!$A:$ZZ,27,FALSE)*(1+IF(OR($AI107=$F$4,$AI107=$F$5),$B$22,0))</f>
        <v>454.02</v>
      </c>
      <c r="AL107" s="41">
        <f>VLOOKUP($Q107,武学奇术!$A:$ZZ,28,FALSE)</f>
        <v>1.762375</v>
      </c>
      <c r="AM107" s="42">
        <f>VLOOKUP($Q107,武学奇术!$A:$ZZ,29,FALSE)*(1+IF(OR($AI107=$F$4,$AI107=$F$5),$B$22,0))</f>
        <v>247.94</v>
      </c>
      <c r="AN107" s="41" cm="1">
        <f t="array" ref="AN107">$G$3+IFERROR(VLOOKUP($AI107,$F$4:$G$7,2,FALSE),0)+VLOOKUP($Q107,武学奇术!$A:$ZZ,2,FALSE)+SUM(_xlfn.XLOOKUP($R107:$AH107,增益!$A:$A,增益!$B:$B,0))</f>
        <v>1.0541</v>
      </c>
      <c r="AO107" s="41" cm="1">
        <f t="array" ref="AO107">VLOOKUP($Q107,武学奇术!$A:$ZZ,5,FALSE)+SUM(_xlfn.XLOOKUP($R107:$AH107,增益!$A:$A,增益!$E:$E,0))</f>
        <v>0.15</v>
      </c>
      <c r="AP107" cm="1">
        <f t="array" ref="AP107">$D$10*(1+$AO107)+VLOOKUP($Q107,武学奇术!$A:$ZZ,3,FALSE)+SUM(_xlfn.XLOOKUP($R107:$AH107,增益!$A:$A,增益!$C:$C,0))-$I$2</f>
        <v>2150.71</v>
      </c>
      <c r="AQ107" cm="1">
        <f t="array" ref="AQ107">$E$10*(1+$AO107)+VLOOKUP($Q107,武学奇术!$A:$ZZ,4,FALSE)+SUM(_xlfn.XLOOKUP($R107:$AH107,增益!$A:$A,增益!$D:$D,0))-$I$2</f>
        <v>6394.9</v>
      </c>
      <c r="AR107" s="49" cm="1">
        <f t="array" ref="AR107">IF($F$10-$I$3+VLOOKUP($Q107,武学奇术!$A:$ZZ,6,FALSE)+SUM(_xlfn.XLOOKUP(R107:AH107,增益!$A:$A,增益!$F:$F,0))&gt;0,($F$10-$I$3+VLOOKUP($Q107,武学奇术!$A:$ZZ,6,FALSE)+SUM(_xlfn.XLOOKUP(R107:AH107,增益!$A:$A,增益!$F:$F,0)))/200,($F$10-$I$3+VLOOKUP($Q107,武学奇术!$A:$ZZ,6,FALSE)+SUM(_xlfn.XLOOKUP(R107:AH107,增益!$A:$A,增益!$F:$F,0)))/100)</f>
        <v>0.3675</v>
      </c>
      <c r="AS107" s="49" cm="1">
        <f t="array" ref="AS107">$G$10+VLOOKUP($Q107,武学奇术!$A:$ZZ,7,FALSE)+SUM(_xlfn.XLOOKUP(R107:AH107,增益!$A:$A,增益!$G:$G,0))</f>
        <v>0.1</v>
      </c>
      <c r="AT107" s="41" cm="1">
        <f t="array" ref="AT107">VLOOKUP($Q107,武学奇术!$A:$ZZ,8,FALSE)+SUM(_xlfn.XLOOKUP(R107:AH107,增益!$A:$A,增益!$H:$H,0))</f>
        <v>0</v>
      </c>
      <c r="AU107">
        <f>$D$11*(1+$AT107)</f>
        <v>0</v>
      </c>
      <c r="AV107">
        <f>$E$11*(1+$AT107)</f>
        <v>0</v>
      </c>
      <c r="AW107" s="49" cm="1">
        <f t="array" ref="AW107">IF($F$11-$I$4+VLOOKUP($Q107,武学奇术!$A:$ZZ,9,FALSE)+SUM(_xlfn.XLOOKUP(R107:AH107,增益!$A:$A,增益!$I:$I,0))&gt;0,($F$11-$I$4+VLOOKUP($Q107,武学奇术!$A:$ZZ,9,FALSE)+SUM(_xlfn.XLOOKUP(R107:AH107,增益!$A:$A,增益!$I:$I,0)))/200,($F$11-$I$4+VLOOKUP($Q107,武学奇术!$A:$ZZ,9,FALSE)+SUM(_xlfn.XLOOKUP(R107:AH107,增益!$A:$A,增益!$I:$I,0)))/100)</f>
        <v>-0.3</v>
      </c>
      <c r="AX107" s="49" cm="1">
        <f t="array" ref="AX107">$G$11+VLOOKUP($Q107,武学奇术!$A:$ZZ,10,FALSE)+SUM(_xlfn.XLOOKUP(R107:AH107,增益!$A:$A,增益!$J:$J,0))</f>
        <v>0</v>
      </c>
      <c r="AY107">
        <f>$D$12*(1+$AT107)</f>
        <v>0</v>
      </c>
      <c r="AZ107">
        <f>$E$12*(1+$AT107)</f>
        <v>0</v>
      </c>
      <c r="BA107" s="49" cm="1">
        <f t="array" ref="BA107">IF($F$12-$I$4+VLOOKUP($Q107,武学奇术!$A:$ZZ,11,FALSE)+SUM(_xlfn.XLOOKUP(R107:AH107,增益!$A:$A,增益!$K:$K,0))&gt;0,($F$12-$I$4+VLOOKUP($Q107,武学奇术!$A:$ZZ,11,FALSE)+SUM(_xlfn.XLOOKUP(R107:AH107,增益!$A:$A,增益!$K:$K,0)))/200,($F$12-$I$4+VLOOKUP($Q107,武学奇术!$A:$ZZ,11,FALSE)+SUM(_xlfn.XLOOKUP(R107:AH107,增益!$A:$A,增益!$K:$K,0)))/100)</f>
        <v>-0.3</v>
      </c>
      <c r="BB107" s="49" cm="1">
        <f t="array" ref="BB107">$G$12+VLOOKUP($Q107,武学奇术!$A:$ZZ,12,FALSE)+SUM(_xlfn.XLOOKUP(R107:AH107,增益!$A:$A,增益!$L:$L,0))</f>
        <v>0</v>
      </c>
      <c r="BC107">
        <f>$D$13*(1+$AT107)</f>
        <v>571.2</v>
      </c>
      <c r="BD107">
        <f>$E$13*(1+$AT107)</f>
        <v>1077.4</v>
      </c>
      <c r="BE107" s="49" cm="1">
        <f t="array" ref="BE107">IF($F$13-$I$4+VLOOKUP($Q107,武学奇术!$A:$ZZ,13,FALSE)+SUM(_xlfn.XLOOKUP(R107:AH107,增益!$A:$A,增益!$M:$M,0))&gt;0,($F$13-$I$4+VLOOKUP($Q107,武学奇术!$A:$ZZ,13,FALSE)+SUM(_xlfn.XLOOKUP(R107:AH107,增益!$A:$A,增益!$K:$K,0)))/200,($F$13-$I$4+VLOOKUP($Q107,武学奇术!$A:$ZZ,13,FALSE)+SUM(_xlfn.XLOOKUP(R107:AH107,增益!$A:$A,增益!$M:$M,0)))/100)</f>
        <v>0</v>
      </c>
      <c r="BF107" s="49" cm="1">
        <f t="array" ref="BF107">$G$13+VLOOKUP($Q107,武学奇术!$A:$ZZ,14,FALSE)+SUM(_xlfn.XLOOKUP(R107:AH107,增益!$A:$A,增益!$N:$N,0))</f>
        <v>0.25</v>
      </c>
      <c r="BG107">
        <f>$D$14*(1+$AT107)</f>
        <v>0</v>
      </c>
      <c r="BH107">
        <f>$E$14*(1+$AT107)</f>
        <v>0</v>
      </c>
      <c r="BI107" s="49" cm="1">
        <f t="array" ref="BI107">IF($F$14-$I$4+VLOOKUP($Q107,武学奇术!$A:$ZZ,15,FALSE)+SUM(_xlfn.XLOOKUP(R107:AH107,增益!$A:$A,增益!$O:$O,0))&gt;0,($F$14-$I$4+VLOOKUP($Q107,武学奇术!$A:$ZZ,15,FALSE)+SUM(_xlfn.XLOOKUP(R107:AH107,增益!$A:$A,增益!$O:$O,0)))/200,($F$14-$I$4+VLOOKUP($Q107,武学奇术!$A:$ZZ,15,FALSE)+SUM(_xlfn.XLOOKUP(R107:AH107,增益!$A:$A,增益!$O:$O,0)))/100)</f>
        <v>-0.3</v>
      </c>
      <c r="BJ107" s="49" cm="1">
        <f t="array" ref="BJ107">$G$14+VLOOKUP($Q107,武学奇术!$A:$ZZ,16,FALSE)+SUM(_xlfn.XLOOKUP(R107:AH107,增益!$A:$A,增益!$P:$P,0))</f>
        <v>0</v>
      </c>
      <c r="BK107" s="41">
        <f>MIN(IF(VLOOKUP($Q107,武学奇术!$A:$ZZ,23,FALSE)=1,100%,$B$8),100%)</f>
        <v>1</v>
      </c>
      <c r="BL107" s="41" cm="1">
        <f t="array" ref="BL107">IF(VLOOKUP($Q107,武学奇术!$A:$ZZ,23,FALSE)=1,100%,MIN(80%,$B$9+VLOOKUP($Q107,武学奇术!$A:$ZZ,17,FALSE)+SUM(_xlfn.XLOOKUP(R107:AH107,增益!$A:$A,增益!$Q:$Q,0)))+$B$11+SUM(_xlfn.XLOOKUP(R107:AH107,增益!$A:$A,增益!$U:$U,0)))*IF(VLOOKUP($Q107,武学奇术!$A:$ZZ,24,FALSE)=1,0,1)</f>
        <v>0.9045</v>
      </c>
      <c r="BM107" s="41" cm="1">
        <f t="array" ref="BM107">1+$B$13+VLOOKUP($Q107,武学奇术!$A:$ZZ,18,FALSE)+SUM(_xlfn.XLOOKUP(R107:AH107,增益!$A:$A,增益!$R:$R,0))</f>
        <v>1.96</v>
      </c>
      <c r="BN107" s="41" cm="1">
        <f t="array" ref="BN107">IF(VLOOKUP($Q107,武学奇术!$A:$ZZ,24,FALSE)=1,100%,MIN(40%,$B$10+VLOOKUP($Q107,武学奇术!$A:$ZZ,19,FALSE)+SUM(_xlfn.XLOOKUP(R107:AH107,增益!$A:$A,增益!$S:$S,0)))+$B$12+SUM(_xlfn.XLOOKUP(R107:AH107,增益!$A:$A,增益!$V:$V,0)))*IF(VLOOKUP($Q107,武学奇术!$A:$ZZ,23,FALSE)=1,0,1)</f>
        <v>0.0929</v>
      </c>
      <c r="BO107" s="41" cm="1">
        <f t="array" ref="BO107">1+$B$14+VLOOKUP($Q107,武学奇术!$A:$ZZ,20,FALSE)+SUM(_xlfn.XLOOKUP(R107:AH107,增益!$A:$A,增益!$T:$T,0))</f>
        <v>1.35</v>
      </c>
      <c r="BP107" s="41">
        <f>MIN((1-BN107)*BK107,BK107*BL107)</f>
        <v>0.9045</v>
      </c>
      <c r="BQ107" s="41">
        <f>1-BN107-BP107-BR107</f>
        <v>0.00260000000000005</v>
      </c>
      <c r="BR107" s="41">
        <f>IF(VLOOKUP($Q107,武学奇术!$A:$ZZ,22,FALSE)=1,0,(1-$BK107))*(1-$BN107)</f>
        <v>0</v>
      </c>
      <c r="BS107" s="41" cm="1">
        <f t="array" ref="BS107">SUM(_xlfn.XLOOKUP(R107:AH107,增益!$A:$A,增益!$W:$W,0))+$I$5</f>
        <v>0.11</v>
      </c>
    </row>
    <row r="108" spans="1:71">
      <c r="A108" s="4"/>
      <c r="B108" s="4"/>
      <c r="K108" s="55">
        <f>($L108*$BP108+$M108*$BN108+$N108*$BQ108+$O108*$BR108)</f>
        <v>201390.946094446</v>
      </c>
      <c r="L108" s="55">
        <f>((($AP108+$AQ108)/2*$AJ108+$AK108)*(1+$AR108)*(1+$AS108)+(($AU108+$AV108)/2*IF($G$1="鸣金",$AL108,$AJ108)+IF($G$1="鸣金",$AM108*1.5,0))*(1+$AW108)*(1+$AX108)+(($AY108+$AZ108)/2*IF($G$1="裂石",$AL108,$AJ108)+IF($G$1="裂石",$AM108*1.5,0))*(1+$BA108)*(1+$BB108)+(($BC108+$BD108)/2*IF($G$1="牵丝",$AL108,$AJ108)+IF($G$1="牵丝",$AM108*1.5,0))*(1+$BE108)*(1+$BF108)+(($BG108+$BH108)/2*IF($G$1="破竹",$AL108,$AJ108)+IF($G$1="破竹",$AM108*1.5,0))*(1+$BI108)*(1+$BJ108))*(1+$AN108)*$BM108*$P108*(1+IF(VLOOKUP($Q108,武学奇术!$A:$ZZ,30,FALSE)="弹道",$B$21,0))*(1+$BS108)</f>
        <v>204313.345906471</v>
      </c>
      <c r="M108" s="55">
        <f>(($AQ108*$AJ108+$AK108)*(1+$AR108)*(1+$AS108)+($AV108*IF($G$1="鸣金",$AL108,$AJ108)+IF($G$1="鸣金",$AM108*1.5,0))*(1+$AW108)*(1+$AX108)+($AZ108*IF($G$1="裂石",$AL108,$AJ108)+IF($G$1="裂石",$AM108*1.5,0))*(1+$BA108)*(1+$BB108)+($BD108*IF($G$1="牵丝",$AL108,$AJ108)+IF($G$1="牵丝",$AM108*1.5,0))*(1+$BE108)*(1+$BF108)+($BH108*IF($G$1="破竹",$AL108,$AJ108)+IF($G$1="破竹",$AM108*1.5,0))*(1+$BI108)*(1+$BJ108))*(1+$AN108)*$BO108*$P108*(1+IF(VLOOKUP($Q108,武学奇术!$A:$ZZ,30,FALSE)="弹道",$B$21,0))*(1+$BS108)</f>
        <v>175986.610116259</v>
      </c>
      <c r="N108" s="55">
        <f>((($AP108+$AQ108)/2*$AJ108+$AK108)*(1+$AR108)*(1+$AS108)+(($AU108+$AV108)/2*IF($G$1="鸣金",$AL108,$AJ108)+IF($G$1="鸣金",$AM108*1.5,0))*(1+$AW108)*(1+$AX108)+(($AY108+$AZ108)/2*IF($G$1="裂石",$AL108,$AJ108)+IF($G$1="裂石",$AM108*1.5,0))*(1+$BA108)*(1+$BB108)+(($BC108+$BD108)/2*IF($G$1="牵丝",$AL108,$AJ108)+IF($G$1="牵丝",$AM108*1.5,0))*(1+$BE108)*(1+$BF108)+(($BG108+$BH108)/2*IF($G$1="破竹",$AL108,$AJ108)+IF($G$1="破竹",$AM108*1.5,0))*(1+$BI108)*(1+$BJ108))*(1+$AN108)*$P108*(1+IF(VLOOKUP($Q108,武学奇术!$A:$ZZ,30,FALSE)="弹道",$B$21,0))*(1+$BS108)</f>
        <v>92449.4777857335</v>
      </c>
      <c r="O108" s="55">
        <f>((($AP108*$AJ108+$AK108)*(1+$AR108)*(1+$AS108)+($AU108*IF($G$1="鸣金",$AL108,$AJ108)+IF($G$1="鸣金",$AM108*1.5,0))*(1+$AW108)*(1+$AX108)+($AY108*IF($G$1="裂石",$AL108,$AJ108)+IF($G$1="裂石",$AM108*1.5,0))*(1+$BA108)*(1+$BB108)+($BC108*IF($G$1="牵丝",$AL108,$AJ108)+IF($G$1="牵丝",$AM108*1.5,0))*(1+$BE108)*(1+$BF108)+($BG108*IF($G$1="破竹",$AL108,$AJ108)+IF($G$1="破竹",$AM108*1.5,0))*(1+$BI108)*(1+$BJ108))*(1+$AN108))*$P108*(1+IF(VLOOKUP($Q108,武学奇术!$A:$ZZ,30,FALSE)="弹道",$B$21,0))*(1+$BS108)</f>
        <v>54538.5036334973</v>
      </c>
      <c r="P108" s="56">
        <v>2.5</v>
      </c>
      <c r="Q108" s="57" t="s">
        <v>102</v>
      </c>
      <c r="R108" s="57" t="s">
        <v>116</v>
      </c>
      <c r="S108" s="57" t="s">
        <v>153</v>
      </c>
      <c r="T108" s="57" t="s">
        <v>92</v>
      </c>
      <c r="U108" s="57" t="s">
        <v>157</v>
      </c>
      <c r="V108" s="57" t="s">
        <v>86</v>
      </c>
      <c r="W108" s="57" t="s">
        <v>72</v>
      </c>
      <c r="X108" s="57" t="s">
        <v>72</v>
      </c>
      <c r="Y108" s="57" t="s">
        <v>112</v>
      </c>
      <c r="Z108" s="57" t="s">
        <v>113</v>
      </c>
      <c r="AA108" s="57" t="s">
        <v>72</v>
      </c>
      <c r="AB108" s="57" t="s">
        <v>96</v>
      </c>
      <c r="AC108" s="57" t="s">
        <v>72</v>
      </c>
      <c r="AD108" s="57" t="s">
        <v>72</v>
      </c>
      <c r="AE108" s="57" t="s">
        <v>72</v>
      </c>
      <c r="AF108" s="57" t="s">
        <v>72</v>
      </c>
      <c r="AG108" s="57" t="s">
        <v>72</v>
      </c>
      <c r="AH108" s="57" t="s">
        <v>87</v>
      </c>
      <c r="AI108" t="str">
        <f>VLOOKUP($Q108,武学奇术!$A:$ZZ,25,FALSE)</f>
        <v>伞</v>
      </c>
      <c r="AJ108" s="41">
        <f>VLOOKUP($Q108,武学奇术!$A:$ZZ,26,FALSE)</f>
        <v>1.174955</v>
      </c>
      <c r="AK108" s="42">
        <f>VLOOKUP($Q108,武学奇术!$A:$ZZ,27,FALSE)*(1+IF(OR($AI108=$F$4,$AI108=$F$5),$B$22,0))</f>
        <v>454.02</v>
      </c>
      <c r="AL108" s="41">
        <f>VLOOKUP($Q108,武学奇术!$A:$ZZ,28,FALSE)</f>
        <v>1.762375</v>
      </c>
      <c r="AM108" s="42">
        <f>VLOOKUP($Q108,武学奇术!$A:$ZZ,29,FALSE)*(1+IF(OR($AI108=$F$4,$AI108=$F$5),$B$22,0))</f>
        <v>247.94</v>
      </c>
      <c r="AN108" s="41" cm="1">
        <f t="array" ref="AN108">$G$3+IFERROR(VLOOKUP($AI108,$F$4:$G$7,2,FALSE),0)+VLOOKUP($Q108,武学奇术!$A:$ZZ,2,FALSE)+SUM(_xlfn.XLOOKUP($R108:$AH108,增益!$A:$A,增益!$B:$B,0))</f>
        <v>1.2041</v>
      </c>
      <c r="AO108" s="41" cm="1">
        <f t="array" ref="AO108">VLOOKUP($Q108,武学奇术!$A:$ZZ,5,FALSE)+SUM(_xlfn.XLOOKUP($R108:$AH108,增益!$A:$A,增益!$E:$E,0))</f>
        <v>0.15</v>
      </c>
      <c r="AP108" cm="1">
        <f t="array" ref="AP108">$D$10*(1+$AO108)+VLOOKUP($Q108,武学奇术!$A:$ZZ,3,FALSE)+SUM(_xlfn.XLOOKUP($R108:$AH108,增益!$A:$A,增益!$C:$C,0))-$I$2</f>
        <v>2150.71</v>
      </c>
      <c r="AQ108" cm="1">
        <f t="array" ref="AQ108">$E$10*(1+$AO108)+VLOOKUP($Q108,武学奇术!$A:$ZZ,4,FALSE)+SUM(_xlfn.XLOOKUP($R108:$AH108,增益!$A:$A,增益!$D:$D,0))-$I$2</f>
        <v>6394.9</v>
      </c>
      <c r="AR108" s="49" cm="1">
        <f t="array" ref="AR108">IF($F$10-$I$3+VLOOKUP($Q108,武学奇术!$A:$ZZ,6,FALSE)+SUM(_xlfn.XLOOKUP(R108:AH108,增益!$A:$A,增益!$F:$F,0))&gt;0,($F$10-$I$3+VLOOKUP($Q108,武学奇术!$A:$ZZ,6,FALSE)+SUM(_xlfn.XLOOKUP(R108:AH108,增益!$A:$A,增益!$F:$F,0)))/200,($F$10-$I$3+VLOOKUP($Q108,武学奇术!$A:$ZZ,6,FALSE)+SUM(_xlfn.XLOOKUP(R108:AH108,增益!$A:$A,增益!$F:$F,0)))/100)</f>
        <v>0.4925</v>
      </c>
      <c r="AS108" s="49" cm="1">
        <f t="array" ref="AS108">$G$10+VLOOKUP($Q108,武学奇术!$A:$ZZ,7,FALSE)+SUM(_xlfn.XLOOKUP(R108:AH108,增益!$A:$A,增益!$G:$G,0))</f>
        <v>0.1</v>
      </c>
      <c r="AT108" s="41" cm="1">
        <f t="array" ref="AT108">VLOOKUP($Q108,武学奇术!$A:$ZZ,8,FALSE)+SUM(_xlfn.XLOOKUP(R108:AH108,增益!$A:$A,增益!$H:$H,0))</f>
        <v>0</v>
      </c>
      <c r="AU108">
        <f>$D$11*(1+$AT108)</f>
        <v>0</v>
      </c>
      <c r="AV108">
        <f>$E$11*(1+$AT108)</f>
        <v>0</v>
      </c>
      <c r="AW108" s="49" cm="1">
        <f t="array" ref="AW108">IF($F$11-$I$4+VLOOKUP($Q108,武学奇术!$A:$ZZ,9,FALSE)+SUM(_xlfn.XLOOKUP(R108:AH108,增益!$A:$A,增益!$I:$I,0))&gt;0,($F$11-$I$4+VLOOKUP($Q108,武学奇术!$A:$ZZ,9,FALSE)+SUM(_xlfn.XLOOKUP(R108:AH108,增益!$A:$A,增益!$I:$I,0)))/200,($F$11-$I$4+VLOOKUP($Q108,武学奇术!$A:$ZZ,9,FALSE)+SUM(_xlfn.XLOOKUP(R108:AH108,增益!$A:$A,增益!$I:$I,0)))/100)</f>
        <v>-0.14</v>
      </c>
      <c r="AX108" s="49" cm="1">
        <f t="array" ref="AX108">$G$11+VLOOKUP($Q108,武学奇术!$A:$ZZ,10,FALSE)+SUM(_xlfn.XLOOKUP(R108:AH108,增益!$A:$A,增益!$J:$J,0))</f>
        <v>0</v>
      </c>
      <c r="AY108">
        <f>$D$12*(1+$AT108)</f>
        <v>0</v>
      </c>
      <c r="AZ108">
        <f>$E$12*(1+$AT108)</f>
        <v>0</v>
      </c>
      <c r="BA108" s="49" cm="1">
        <f t="array" ref="BA108">IF($F$12-$I$4+VLOOKUP($Q108,武学奇术!$A:$ZZ,11,FALSE)+SUM(_xlfn.XLOOKUP(R108:AH108,增益!$A:$A,增益!$K:$K,0))&gt;0,($F$12-$I$4+VLOOKUP($Q108,武学奇术!$A:$ZZ,11,FALSE)+SUM(_xlfn.XLOOKUP(R108:AH108,增益!$A:$A,增益!$K:$K,0)))/200,($F$12-$I$4+VLOOKUP($Q108,武学奇术!$A:$ZZ,11,FALSE)+SUM(_xlfn.XLOOKUP(R108:AH108,增益!$A:$A,增益!$K:$K,0)))/100)</f>
        <v>-0.14</v>
      </c>
      <c r="BB108" s="49" cm="1">
        <f t="array" ref="BB108">$G$12+VLOOKUP($Q108,武学奇术!$A:$ZZ,12,FALSE)+SUM(_xlfn.XLOOKUP(R108:AH108,增益!$A:$A,增益!$L:$L,0))</f>
        <v>0</v>
      </c>
      <c r="BC108">
        <f>$D$13*(1+$AT108)</f>
        <v>571.2</v>
      </c>
      <c r="BD108">
        <f>$E$13*(1+$AT108)</f>
        <v>1077.4</v>
      </c>
      <c r="BE108" s="49" cm="1">
        <f t="array" ref="BE108">IF($F$13-$I$4+VLOOKUP($Q108,武学奇术!$A:$ZZ,13,FALSE)+SUM(_xlfn.XLOOKUP(R108:AH108,增益!$A:$A,增益!$M:$M,0))&gt;0,($F$13-$I$4+VLOOKUP($Q108,武学奇术!$A:$ZZ,13,FALSE)+SUM(_xlfn.XLOOKUP(R108:AH108,增益!$A:$A,增益!$K:$K,0)))/200,($F$13-$I$4+VLOOKUP($Q108,武学奇术!$A:$ZZ,13,FALSE)+SUM(_xlfn.XLOOKUP(R108:AH108,增益!$A:$A,增益!$M:$M,0)))/100)</f>
        <v>0.08</v>
      </c>
      <c r="BF108" s="49" cm="1">
        <f t="array" ref="BF108">$G$13+VLOOKUP($Q108,武学奇术!$A:$ZZ,14,FALSE)+SUM(_xlfn.XLOOKUP(R108:AH108,增益!$A:$A,增益!$N:$N,0))</f>
        <v>0.25</v>
      </c>
      <c r="BG108">
        <f>$D$14*(1+$AT108)</f>
        <v>0</v>
      </c>
      <c r="BH108">
        <f>$E$14*(1+$AT108)</f>
        <v>0</v>
      </c>
      <c r="BI108" s="49" cm="1">
        <f t="array" ref="BI108">IF($F$14-$I$4+VLOOKUP($Q108,武学奇术!$A:$ZZ,15,FALSE)+SUM(_xlfn.XLOOKUP(R108:AH108,增益!$A:$A,增益!$O:$O,0))&gt;0,($F$14-$I$4+VLOOKUP($Q108,武学奇术!$A:$ZZ,15,FALSE)+SUM(_xlfn.XLOOKUP(R108:AH108,增益!$A:$A,增益!$O:$O,0)))/200,($F$14-$I$4+VLOOKUP($Q108,武学奇术!$A:$ZZ,15,FALSE)+SUM(_xlfn.XLOOKUP(R108:AH108,增益!$A:$A,增益!$O:$O,0)))/100)</f>
        <v>-0.14</v>
      </c>
      <c r="BJ108" s="49" cm="1">
        <f t="array" ref="BJ108">$G$14+VLOOKUP($Q108,武学奇术!$A:$ZZ,16,FALSE)+SUM(_xlfn.XLOOKUP(R108:AH108,增益!$A:$A,增益!$P:$P,0))</f>
        <v>0</v>
      </c>
      <c r="BK108" s="41">
        <f>MIN(IF(VLOOKUP($Q108,武学奇术!$A:$ZZ,23,FALSE)=1,100%,$B$8),100%)</f>
        <v>1</v>
      </c>
      <c r="BL108" s="41" cm="1">
        <f t="array" ref="BL108">IF(VLOOKUP($Q108,武学奇术!$A:$ZZ,23,FALSE)=1,100%,MIN(80%,$B$9+VLOOKUP($Q108,武学奇术!$A:$ZZ,17,FALSE)+SUM(_xlfn.XLOOKUP(R108:AH108,增益!$A:$A,增益!$Q:$Q,0)))+$B$11+SUM(_xlfn.XLOOKUP(R108:AH108,增益!$A:$A,增益!$U:$U,0)))*IF(VLOOKUP($Q108,武学奇术!$A:$ZZ,24,FALSE)=1,0,1)</f>
        <v>0.9045</v>
      </c>
      <c r="BM108" s="41" cm="1">
        <f t="array" ref="BM108">1+$B$13+VLOOKUP($Q108,武学奇术!$A:$ZZ,18,FALSE)+SUM(_xlfn.XLOOKUP(R108:AH108,增益!$A:$A,增益!$R:$R,0))</f>
        <v>2.21</v>
      </c>
      <c r="BN108" s="41" cm="1">
        <f t="array" ref="BN108">IF(VLOOKUP($Q108,武学奇术!$A:$ZZ,24,FALSE)=1,100%,MIN(40%,$B$10+VLOOKUP($Q108,武学奇术!$A:$ZZ,19,FALSE)+SUM(_xlfn.XLOOKUP(R108:AH108,增益!$A:$A,增益!$S:$S,0)))+$B$12+SUM(_xlfn.XLOOKUP(R108:AH108,增益!$A:$A,增益!$V:$V,0)))*IF(VLOOKUP($Q108,武学奇术!$A:$ZZ,23,FALSE)=1,0,1)</f>
        <v>0.0929</v>
      </c>
      <c r="BO108" s="41" cm="1">
        <f t="array" ref="BO108">1+$B$14+VLOOKUP($Q108,武学奇术!$A:$ZZ,20,FALSE)+SUM(_xlfn.XLOOKUP(R108:AH108,增益!$A:$A,增益!$T:$T,0))</f>
        <v>1.35</v>
      </c>
      <c r="BP108" s="41">
        <f>MIN((1-BN108)*BK108,BK108*BL108)</f>
        <v>0.9045</v>
      </c>
      <c r="BQ108" s="41">
        <f>1-BN108-BP108-BR108</f>
        <v>0.00260000000000005</v>
      </c>
      <c r="BR108" s="41">
        <f>IF(VLOOKUP($Q108,武学奇术!$A:$ZZ,22,FALSE)=1,0,(1-$BK108))*(1-$BN108)</f>
        <v>0</v>
      </c>
      <c r="BS108" s="41" cm="1">
        <f t="array" ref="BS108">SUM(_xlfn.XLOOKUP(R108:AH108,增益!$A:$A,增益!$W:$W,0))+$I$5</f>
        <v>0.11</v>
      </c>
    </row>
    <row r="109" spans="1:71">
      <c r="A109" s="4"/>
      <c r="B109" s="4"/>
      <c r="E109" s="44"/>
      <c r="K109" s="55">
        <f>($L109*$BP109+$M109*$BN109+$N109*$BQ109+$O109*$BR109)</f>
        <v>195455.550232344</v>
      </c>
      <c r="L109" s="55">
        <f>((($AP109+$AQ109)/2*$AJ109+$AK109)*(1+$AR109)*(1+$AS109)+(($AU109+$AV109)/2*IF($G$1="鸣金",$AL109,$AJ109)+IF($G$1="鸣金",$AM109*1.5,0))*(1+$AW109)*(1+$AX109)+(($AY109+$AZ109)/2*IF($G$1="裂石",$AL109,$AJ109)+IF($G$1="裂石",$AM109*1.5,0))*(1+$BA109)*(1+$BB109)+(($BC109+$BD109)/2*IF($G$1="牵丝",$AL109,$AJ109)+IF($G$1="牵丝",$AM109*1.5,0))*(1+$BE109)*(1+$BF109)+(($BG109+$BH109)/2*IF($G$1="破竹",$AL109,$AJ109)+IF($G$1="破竹",$AM109*1.5,0))*(1+$BI109)*(1+$BJ109))*(1+$AN109)*$BM109*$P109*(1+IF(VLOOKUP($Q109,武学奇术!$A:$ZZ,30,FALSE)="弹道",$B$21,0))*(1+$BS109)</f>
        <v>194718.106298312</v>
      </c>
      <c r="M109" s="55">
        <f>(($AQ109*$AJ109+$AK109)*(1+$AR109)*(1+$AS109)+($AV109*IF($G$1="鸣金",$AL109,$AJ109)+IF($G$1="鸣金",$AM109*1.5,0))*(1+$AW109)*(1+$AX109)+($AZ109*IF($G$1="裂石",$AL109,$AJ109)+IF($G$1="裂石",$AM109*1.5,0))*(1+$BA109)*(1+$BB109)+($BD109*IF($G$1="牵丝",$AL109,$AJ109)+IF($G$1="牵丝",$AM109*1.5,0))*(1+$BE109)*(1+$BF109)+($BH109*IF($G$1="破竹",$AL109,$AJ109)+IF($G$1="破竹",$AM109*1.5,0))*(1+$BI109)*(1+$BJ109))*(1+$AN109)*$BO109*$P109*(1+IF(VLOOKUP($Q109,武学奇术!$A:$ZZ,30,FALSE)="弹道",$B$21,0))*(1+$BS109)</f>
        <v>205160.012985994</v>
      </c>
      <c r="N109" s="55">
        <f>((($AP109+$AQ109)/2*$AJ109+$AK109)*(1+$AR109)*(1+$AS109)+(($AU109+$AV109)/2*IF($G$1="鸣金",$AL109,$AJ109)+IF($G$1="鸣金",$AM109*1.5,0))*(1+$AW109)*(1+$AX109)+(($AY109+$AZ109)/2*IF($G$1="裂石",$AL109,$AJ109)+IF($G$1="裂石",$AM109*1.5,0))*(1+$BA109)*(1+$BB109)+(($BC109+$BD109)/2*IF($G$1="牵丝",$AL109,$AJ109)+IF($G$1="牵丝",$AM109*1.5,0))*(1+$BE109)*(1+$BF109)+(($BG109+$BH109)/2*IF($G$1="破竹",$AL109,$AJ109)+IF($G$1="破竹",$AM109*1.5,0))*(1+$BI109)*(1+$BJ109))*(1+$AN109)*$P109*(1+IF(VLOOKUP($Q109,武学奇术!$A:$ZZ,30,FALSE)="弹道",$B$21,0))*(1+$BS109)</f>
        <v>105253.03043152</v>
      </c>
      <c r="O109" s="55">
        <f>((($AP109*$AJ109+$AK109)*(1+$AR109)*(1+$AS109)+($AU109*IF($G$1="鸣金",$AL109,$AJ109)+IF($G$1="鸣金",$AM109*1.5,0))*(1+$AW109)*(1+$AX109)+($AY109*IF($G$1="裂石",$AL109,$AJ109)+IF($G$1="裂石",$AM109*1.5,0))*(1+$BA109)*(1+$BB109)+($BC109*IF($G$1="牵丝",$AL109,$AJ109)+IF($G$1="牵丝",$AM109*1.5,0))*(1+$BE109)*(1+$BF109)+($BG109*IF($G$1="破竹",$AL109,$AJ109)+IF($G$1="破竹",$AM109*1.5,0))*(1+$BI109)*(1+$BJ109))*(1+$AN109))*$P109*(1+IF(VLOOKUP($Q109,武学奇术!$A:$ZZ,30,FALSE)="弹道",$B$21,0))*(1+$BS109)</f>
        <v>58535.6808734149</v>
      </c>
      <c r="P109" s="56">
        <v>1</v>
      </c>
      <c r="Q109" s="57" t="s">
        <v>129</v>
      </c>
      <c r="R109" s="57" t="s">
        <v>116</v>
      </c>
      <c r="S109" s="57" t="s">
        <v>153</v>
      </c>
      <c r="T109" s="57" t="s">
        <v>72</v>
      </c>
      <c r="U109" s="57" t="s">
        <v>157</v>
      </c>
      <c r="V109" s="57" t="s">
        <v>72</v>
      </c>
      <c r="W109" s="57" t="s">
        <v>72</v>
      </c>
      <c r="X109" s="57" t="s">
        <v>72</v>
      </c>
      <c r="Y109" s="57" t="s">
        <v>112</v>
      </c>
      <c r="Z109" s="57" t="s">
        <v>113</v>
      </c>
      <c r="AA109" s="57" t="s">
        <v>72</v>
      </c>
      <c r="AB109" s="57" t="s">
        <v>96</v>
      </c>
      <c r="AC109" s="57" t="s">
        <v>72</v>
      </c>
      <c r="AD109" s="57" t="s">
        <v>72</v>
      </c>
      <c r="AE109" s="57" t="s">
        <v>72</v>
      </c>
      <c r="AF109" s="57" t="s">
        <v>72</v>
      </c>
      <c r="AG109" s="57" t="s">
        <v>72</v>
      </c>
      <c r="AH109" s="57" t="s">
        <v>87</v>
      </c>
      <c r="AI109" t="str">
        <f>VLOOKUP($Q109,武学奇术!$A:$ZZ,25,FALSE)</f>
        <v>单体奇术</v>
      </c>
      <c r="AJ109" s="41">
        <f>VLOOKUP($Q109,武学奇术!$A:$ZZ,26,FALSE)</f>
        <v>7.1074</v>
      </c>
      <c r="AK109" s="42">
        <f>VLOOKUP($Q109,武学奇术!$A:$ZZ,27,FALSE)*(1+IF(OR($AI109=$F$4,$AI109=$F$5),$B$22,0))</f>
        <v>1320</v>
      </c>
      <c r="AL109" s="41">
        <f>VLOOKUP($Q109,武学奇术!$A:$ZZ,28,FALSE)</f>
        <v>10.6596</v>
      </c>
      <c r="AM109" s="42">
        <f>VLOOKUP($Q109,武学奇术!$A:$ZZ,29,FALSE)*(1+IF(OR($AI109=$F$4,$AI109=$F$5),$B$22,0))</f>
        <v>0</v>
      </c>
      <c r="AN109" s="41" cm="1">
        <f t="array" ref="AN109">$G$3+IFERROR(VLOOKUP($AI109,$F$4:$G$7,2,FALSE),0)+VLOOKUP($Q109,武学奇术!$A:$ZZ,2,FALSE)+SUM(_xlfn.XLOOKUP($R109:$AH109,增益!$A:$A,增益!$B:$B,0))</f>
        <v>0.6515</v>
      </c>
      <c r="AO109" s="41" cm="1">
        <f t="array" ref="AO109">VLOOKUP($Q109,武学奇术!$A:$ZZ,5,FALSE)+SUM(_xlfn.XLOOKUP($R109:$AH109,增益!$A:$A,增益!$E:$E,0))</f>
        <v>0.15</v>
      </c>
      <c r="AP109" cm="1">
        <f t="array" ref="AP109">$D$10*(1+$AO109)+VLOOKUP($Q109,武学奇术!$A:$ZZ,3,FALSE)+SUM(_xlfn.XLOOKUP($R109:$AH109,增益!$A:$A,增益!$C:$C,0))-$I$2</f>
        <v>2150.71</v>
      </c>
      <c r="AQ109" cm="1">
        <f t="array" ref="AQ109">$E$10*(1+$AO109)+VLOOKUP($Q109,武学奇术!$A:$ZZ,4,FALSE)+SUM(_xlfn.XLOOKUP($R109:$AH109,增益!$A:$A,增益!$D:$D,0))-$I$2</f>
        <v>6394.9</v>
      </c>
      <c r="AR109" s="49" cm="1">
        <f t="array" ref="AR109">IF($F$10-$I$3+VLOOKUP($Q109,武学奇术!$A:$ZZ,6,FALSE)+SUM(_xlfn.XLOOKUP(R109:AH109,增益!$A:$A,增益!$F:$F,0))&gt;0,($F$10-$I$3+VLOOKUP($Q109,武学奇术!$A:$ZZ,6,FALSE)+SUM(_xlfn.XLOOKUP(R109:AH109,增益!$A:$A,增益!$F:$F,0)))/200,($F$10-$I$3+VLOOKUP($Q109,武学奇术!$A:$ZZ,6,FALSE)+SUM(_xlfn.XLOOKUP(R109:AH109,增益!$A:$A,增益!$F:$F,0)))/100)</f>
        <v>0.4675</v>
      </c>
      <c r="AS109" s="49" cm="1">
        <f t="array" ref="AS109">$G$10+VLOOKUP($Q109,武学奇术!$A:$ZZ,7,FALSE)+SUM(_xlfn.XLOOKUP(R109:AH109,增益!$A:$A,增益!$G:$G,0))</f>
        <v>0</v>
      </c>
      <c r="AT109" s="41" cm="1">
        <f t="array" ref="AT109">VLOOKUP($Q109,武学奇术!$A:$ZZ,8,FALSE)+SUM(_xlfn.XLOOKUP(R109:AH109,增益!$A:$A,增益!$H:$H,0))</f>
        <v>0</v>
      </c>
      <c r="AU109">
        <f>$D$11*(1+$AT109)</f>
        <v>0</v>
      </c>
      <c r="AV109">
        <f>$E$11*(1+$AT109)</f>
        <v>0</v>
      </c>
      <c r="AW109" s="49" cm="1">
        <f t="array" ref="AW109">IF($F$11-$I$4+VLOOKUP($Q109,武学奇术!$A:$ZZ,9,FALSE)+SUM(_xlfn.XLOOKUP(R109:AH109,增益!$A:$A,增益!$I:$I,0))&gt;0,($F$11-$I$4+VLOOKUP($Q109,武学奇术!$A:$ZZ,9,FALSE)+SUM(_xlfn.XLOOKUP(R109:AH109,增益!$A:$A,增益!$I:$I,0)))/200,($F$11-$I$4+VLOOKUP($Q109,武学奇术!$A:$ZZ,9,FALSE)+SUM(_xlfn.XLOOKUP(R109:AH109,增益!$A:$A,增益!$I:$I,0)))/100)</f>
        <v>-0.14</v>
      </c>
      <c r="AX109" s="49" cm="1">
        <f t="array" ref="AX109">$G$11+VLOOKUP($Q109,武学奇术!$A:$ZZ,10,FALSE)+SUM(_xlfn.XLOOKUP(R109:AH109,增益!$A:$A,增益!$J:$J,0))</f>
        <v>0</v>
      </c>
      <c r="AY109">
        <f>$D$12*(1+$AT109)</f>
        <v>0</v>
      </c>
      <c r="AZ109">
        <f>$E$12*(1+$AT109)</f>
        <v>0</v>
      </c>
      <c r="BA109" s="49" cm="1">
        <f t="array" ref="BA109">IF($F$12-$I$4+VLOOKUP($Q109,武学奇术!$A:$ZZ,11,FALSE)+SUM(_xlfn.XLOOKUP(R109:AH109,增益!$A:$A,增益!$K:$K,0))&gt;0,($F$12-$I$4+VLOOKUP($Q109,武学奇术!$A:$ZZ,11,FALSE)+SUM(_xlfn.XLOOKUP(R109:AH109,增益!$A:$A,增益!$K:$K,0)))/200,($F$12-$I$4+VLOOKUP($Q109,武学奇术!$A:$ZZ,11,FALSE)+SUM(_xlfn.XLOOKUP(R109:AH109,增益!$A:$A,增益!$K:$K,0)))/100)</f>
        <v>-0.14</v>
      </c>
      <c r="BB109" s="49" cm="1">
        <f t="array" ref="BB109">$G$12+VLOOKUP($Q109,武学奇术!$A:$ZZ,12,FALSE)+SUM(_xlfn.XLOOKUP(R109:AH109,增益!$A:$A,增益!$L:$L,0))</f>
        <v>0</v>
      </c>
      <c r="BC109">
        <f>$D$13*(1+$AT109)</f>
        <v>571.2</v>
      </c>
      <c r="BD109">
        <f>$E$13*(1+$AT109)</f>
        <v>1077.4</v>
      </c>
      <c r="BE109" s="49" cm="1">
        <f t="array" ref="BE109">IF($F$13-$I$4+VLOOKUP($Q109,武学奇术!$A:$ZZ,13,FALSE)+SUM(_xlfn.XLOOKUP(R109:AH109,增益!$A:$A,增益!$M:$M,0))&gt;0,($F$13-$I$4+VLOOKUP($Q109,武学奇术!$A:$ZZ,13,FALSE)+SUM(_xlfn.XLOOKUP(R109:AH109,增益!$A:$A,增益!$K:$K,0)))/200,($F$13-$I$4+VLOOKUP($Q109,武学奇术!$A:$ZZ,13,FALSE)+SUM(_xlfn.XLOOKUP(R109:AH109,增益!$A:$A,增益!$M:$M,0)))/100)</f>
        <v>0.08</v>
      </c>
      <c r="BF109" s="49" cm="1">
        <f t="array" ref="BF109">$G$13+VLOOKUP($Q109,武学奇术!$A:$ZZ,14,FALSE)+SUM(_xlfn.XLOOKUP(R109:AH109,增益!$A:$A,增益!$N:$N,0))</f>
        <v>0.15</v>
      </c>
      <c r="BG109">
        <f>$D$14*(1+$AT109)</f>
        <v>0</v>
      </c>
      <c r="BH109">
        <f>$E$14*(1+$AT109)</f>
        <v>0</v>
      </c>
      <c r="BI109" s="49" cm="1">
        <f t="array" ref="BI109">IF($F$14-$I$4+VLOOKUP($Q109,武学奇术!$A:$ZZ,15,FALSE)+SUM(_xlfn.XLOOKUP(R109:AH109,增益!$A:$A,增益!$O:$O,0))&gt;0,($F$14-$I$4+VLOOKUP($Q109,武学奇术!$A:$ZZ,15,FALSE)+SUM(_xlfn.XLOOKUP(R109:AH109,增益!$A:$A,增益!$O:$O,0)))/200,($F$14-$I$4+VLOOKUP($Q109,武学奇术!$A:$ZZ,15,FALSE)+SUM(_xlfn.XLOOKUP(R109:AH109,增益!$A:$A,增益!$O:$O,0)))/100)</f>
        <v>-0.14</v>
      </c>
      <c r="BJ109" s="49" cm="1">
        <f t="array" ref="BJ109">$G$14+VLOOKUP($Q109,武学奇术!$A:$ZZ,16,FALSE)+SUM(_xlfn.XLOOKUP(R109:AH109,增益!$A:$A,增益!$P:$P,0))</f>
        <v>0</v>
      </c>
      <c r="BK109" s="41">
        <f>MIN(IF(VLOOKUP($Q109,武学奇术!$A:$ZZ,23,FALSE)=1,100%,$B$8),100%)</f>
        <v>1</v>
      </c>
      <c r="BL109" s="41" cm="1">
        <f t="array" ref="BL109">IF(VLOOKUP($Q109,武学奇术!$A:$ZZ,23,FALSE)=1,100%,MIN(80%,$B$9+VLOOKUP($Q109,武学奇术!$A:$ZZ,17,FALSE)+SUM(_xlfn.XLOOKUP(R109:AH109,增益!$A:$A,增益!$Q:$Q,0)))+$B$11+SUM(_xlfn.XLOOKUP(R109:AH109,增益!$A:$A,增益!$U:$U,0)))*IF(VLOOKUP($Q109,武学奇术!$A:$ZZ,24,FALSE)=1,0,1)</f>
        <v>0.9045</v>
      </c>
      <c r="BM109" s="41" cm="1">
        <f t="array" ref="BM109">1+$B$13+VLOOKUP($Q109,武学奇术!$A:$ZZ,18,FALSE)+SUM(_xlfn.XLOOKUP(R109:AH109,增益!$A:$A,增益!$R:$R,0))</f>
        <v>1.85</v>
      </c>
      <c r="BN109" s="41" cm="1">
        <f t="array" ref="BN109">IF(VLOOKUP($Q109,武学奇术!$A:$ZZ,24,FALSE)=1,100%,MIN(40%,$B$10+VLOOKUP($Q109,武学奇术!$A:$ZZ,19,FALSE)+SUM(_xlfn.XLOOKUP(R109:AH109,增益!$A:$A,增益!$S:$S,0)))+$B$12+SUM(_xlfn.XLOOKUP(R109:AH109,增益!$A:$A,增益!$V:$V,0)))*IF(VLOOKUP($Q109,武学奇术!$A:$ZZ,23,FALSE)=1,0,1)</f>
        <v>0.0929</v>
      </c>
      <c r="BO109" s="41" cm="1">
        <f t="array" ref="BO109">1+$B$14+VLOOKUP($Q109,武学奇术!$A:$ZZ,20,FALSE)+SUM(_xlfn.XLOOKUP(R109:AH109,增益!$A:$A,增益!$T:$T,0))</f>
        <v>1.35</v>
      </c>
      <c r="BP109" s="41">
        <f>MIN((1-BN109)*BK109,BK109*BL109)</f>
        <v>0.9045</v>
      </c>
      <c r="BQ109" s="41">
        <f>1-BN109-BP109-BR109</f>
        <v>0.00260000000000005</v>
      </c>
      <c r="BR109" s="41">
        <f>IF(VLOOKUP($Q109,武学奇术!$A:$ZZ,22,FALSE)=1,0,(1-$BK109))*(1-$BN109)</f>
        <v>0</v>
      </c>
      <c r="BS109" s="41" cm="1">
        <f t="array" ref="BS109">SUM(_xlfn.XLOOKUP(R109:AH109,增益!$A:$A,增益!$W:$W,0))+$I$5</f>
        <v>0.11</v>
      </c>
    </row>
    <row r="110" spans="1:71">
      <c r="K110" s="55">
        <f>($L110*$BP110+$M110*$BN110+$N110*$BQ110+$O110*$BR110)</f>
        <v>243113.435439897</v>
      </c>
      <c r="L110" s="55">
        <f>((($AP110+$AQ110)/2*$AJ110+$AK110)*(1+$AR110)*(1+$AS110)+(($AU110+$AV110)/2*IF($G$1="鸣金",$AL110,$AJ110)+IF($G$1="鸣金",$AM110*1.5,0))*(1+$AW110)*(1+$AX110)+(($AY110+$AZ110)/2*IF($G$1="裂石",$AL110,$AJ110)+IF($G$1="裂石",$AM110*1.5,0))*(1+$BA110)*(1+$BB110)+(($BC110+$BD110)/2*IF($G$1="牵丝",$AL110,$AJ110)+IF($G$1="牵丝",$AM110*1.5,0))*(1+$BE110)*(1+$BF110)+(($BG110+$BH110)/2*IF($G$1="破竹",$AL110,$AJ110)+IF($G$1="破竹",$AM110*1.5,0))*(1+$BI110)*(1+$BJ110))*(1+$AN110)*$BM110*$P110*(1+IF(VLOOKUP($Q110,武学奇术!$A:$ZZ,30,FALSE)="弹道",$B$21,0))*(1+$BS110)</f>
        <v>246642.825040806</v>
      </c>
      <c r="M110" s="55">
        <f>(($AQ110*$AJ110+$AK110)*(1+$AR110)*(1+$AS110)+($AV110*IF($G$1="鸣金",$AL110,$AJ110)+IF($G$1="鸣金",$AM110*1.5,0))*(1+$AW110)*(1+$AX110)+($AZ110*IF($G$1="裂石",$AL110,$AJ110)+IF($G$1="裂石",$AM110*1.5,0))*(1+$BA110)*(1+$BB110)+($BD110*IF($G$1="牵丝",$AL110,$AJ110)+IF($G$1="牵丝",$AM110*1.5,0))*(1+$BE110)*(1+$BF110)+($BH110*IF($G$1="破竹",$AL110,$AJ110)+IF($G$1="破竹",$AM110*1.5,0))*(1+$BI110)*(1+$BJ110))*(1+$AN110)*$BO110*$P110*(1+IF(VLOOKUP($Q110,武学奇术!$A:$ZZ,30,FALSE)="弹道",$B$21,0))*(1+$BS110)</f>
        <v>212430.916695673</v>
      </c>
      <c r="N110" s="55">
        <f>((($AP110+$AQ110)/2*$AJ110+$AK110)*(1+$AR110)*(1+$AS110)+(($AU110+$AV110)/2*IF($G$1="鸣金",$AL110,$AJ110)+IF($G$1="鸣金",$AM110*1.5,0))*(1+$AW110)*(1+$AX110)+(($AY110+$AZ110)/2*IF($G$1="裂石",$AL110,$AJ110)+IF($G$1="裂石",$AM110*1.5,0))*(1+$BA110)*(1+$BB110)+(($BC110+$BD110)/2*IF($G$1="牵丝",$AL110,$AJ110)+IF($G$1="牵丝",$AM110*1.5,0))*(1+$BE110)*(1+$BF110)+(($BG110+$BH110)/2*IF($G$1="破竹",$AL110,$AJ110)+IF($G$1="破竹",$AM110*1.5,0))*(1+$BI110)*(1+$BJ110))*(1+$AN110)*$P110*(1+IF(VLOOKUP($Q110,武学奇术!$A:$ZZ,30,FALSE)="弹道",$B$21,0))*(1+$BS110)</f>
        <v>111603.088253758</v>
      </c>
      <c r="O110" s="55">
        <f>((($AP110*$AJ110+$AK110)*(1+$AR110)*(1+$AS110)+($AU110*IF($G$1="鸣金",$AL110,$AJ110)+IF($G$1="鸣金",$AM110*1.5,0))*(1+$AW110)*(1+$AX110)+($AY110*IF($G$1="裂石",$AL110,$AJ110)+IF($G$1="裂石",$AM110*1.5,0))*(1+$BA110)*(1+$BB110)+($BC110*IF($G$1="牵丝",$AL110,$AJ110)+IF($G$1="牵丝",$AM110*1.5,0))*(1+$BE110)*(1+$BF110)+($BG110*IF($G$1="破竹",$AL110,$AJ110)+IF($G$1="破竹",$AM110*1.5,0))*(1+$BI110)*(1+$BJ110))*(1+$AN110))*$P110*(1+IF(VLOOKUP($Q110,武学奇术!$A:$ZZ,30,FALSE)="弹道",$B$21,0))*(1+$BS110)</f>
        <v>65849.9419181296</v>
      </c>
      <c r="P110" s="56">
        <v>2</v>
      </c>
      <c r="Q110" s="57" t="s">
        <v>84</v>
      </c>
      <c r="R110" s="57" t="s">
        <v>116</v>
      </c>
      <c r="S110" s="57" t="s">
        <v>153</v>
      </c>
      <c r="T110" s="57" t="s">
        <v>92</v>
      </c>
      <c r="U110" s="57" t="s">
        <v>157</v>
      </c>
      <c r="V110" s="57" t="s">
        <v>86</v>
      </c>
      <c r="W110" s="57" t="s">
        <v>72</v>
      </c>
      <c r="X110" s="57" t="s">
        <v>72</v>
      </c>
      <c r="Y110" s="57" t="s">
        <v>112</v>
      </c>
      <c r="Z110" s="57" t="s">
        <v>113</v>
      </c>
      <c r="AA110" s="57" t="s">
        <v>72</v>
      </c>
      <c r="AB110" s="57" t="s">
        <v>96</v>
      </c>
      <c r="AC110" s="57" t="s">
        <v>72</v>
      </c>
      <c r="AD110" s="57" t="s">
        <v>72</v>
      </c>
      <c r="AE110" s="57" t="s">
        <v>72</v>
      </c>
      <c r="AF110" s="57" t="s">
        <v>72</v>
      </c>
      <c r="AG110" s="57" t="s">
        <v>72</v>
      </c>
      <c r="AH110" s="57" t="s">
        <v>87</v>
      </c>
      <c r="AI110" t="str">
        <f>VLOOKUP($Q110,武学奇术!$A:$ZZ,25,FALSE)</f>
        <v>伞</v>
      </c>
      <c r="AJ110" s="41">
        <f>VLOOKUP($Q110,武学奇术!$A:$ZZ,26,FALSE)</f>
        <v>2.3397</v>
      </c>
      <c r="AK110" s="42">
        <f>VLOOKUP($Q110,武学奇术!$A:$ZZ,27,FALSE)*(1+IF(OR($AI110=$F$4,$AI110=$F$5),$B$22,0))</f>
        <v>907.2</v>
      </c>
      <c r="AL110" s="41">
        <f>VLOOKUP($Q110,武学奇术!$A:$ZZ,28,FALSE)</f>
        <v>3.5095</v>
      </c>
      <c r="AM110" s="42">
        <f>VLOOKUP($Q110,武学奇术!$A:$ZZ,29,FALSE)*(1+IF(OR($AI110=$F$4,$AI110=$F$5),$B$22,0))</f>
        <v>494.2</v>
      </c>
      <c r="AN110" s="41" cm="1">
        <f t="array" ref="AN110">$G$3+IFERROR(VLOOKUP($AI110,$F$4:$G$7,2,FALSE),0)+VLOOKUP($Q110,武学奇术!$A:$ZZ,2,FALSE)+SUM(_xlfn.XLOOKUP($R110:$AH110,增益!$A:$A,增益!$B:$B,0))</f>
        <v>1.2041</v>
      </c>
      <c r="AO110" s="41" cm="1">
        <f t="array" ref="AO110">VLOOKUP($Q110,武学奇术!$A:$ZZ,5,FALSE)+SUM(_xlfn.XLOOKUP($R110:$AH110,增益!$A:$A,增益!$E:$E,0))</f>
        <v>0.15</v>
      </c>
      <c r="AP110" cm="1">
        <f t="array" ref="AP110">$D$10*(1+$AO110)+VLOOKUP($Q110,武学奇术!$A:$ZZ,3,FALSE)+SUM(_xlfn.XLOOKUP($R110:$AH110,增益!$A:$A,增益!$C:$C,0))-$I$2</f>
        <v>2150.71</v>
      </c>
      <c r="AQ110" cm="1">
        <f t="array" ref="AQ110">$E$10*(1+$AO110)+VLOOKUP($Q110,武学奇术!$A:$ZZ,4,FALSE)+SUM(_xlfn.XLOOKUP($R110:$AH110,增益!$A:$A,增益!$D:$D,0))-$I$2</f>
        <v>6394.9</v>
      </c>
      <c r="AR110" s="49" cm="1">
        <f t="array" ref="AR110">IF($F$10-$I$3+VLOOKUP($Q110,武学奇术!$A:$ZZ,6,FALSE)+SUM(_xlfn.XLOOKUP(R110:AH110,增益!$A:$A,增益!$F:$F,0))&gt;0,($F$10-$I$3+VLOOKUP($Q110,武学奇术!$A:$ZZ,6,FALSE)+SUM(_xlfn.XLOOKUP(R110:AH110,增益!$A:$A,增益!$F:$F,0)))/200,($F$10-$I$3+VLOOKUP($Q110,武学奇术!$A:$ZZ,6,FALSE)+SUM(_xlfn.XLOOKUP(R110:AH110,增益!$A:$A,增益!$F:$F,0)))/100)</f>
        <v>0.4925</v>
      </c>
      <c r="AS110" s="49" cm="1">
        <f t="array" ref="AS110">$G$10+VLOOKUP($Q110,武学奇术!$A:$ZZ,7,FALSE)+SUM(_xlfn.XLOOKUP(R110:AH110,增益!$A:$A,增益!$G:$G,0))</f>
        <v>0.1</v>
      </c>
      <c r="AT110" s="41" cm="1">
        <f t="array" ref="AT110">VLOOKUP($Q110,武学奇术!$A:$ZZ,8,FALSE)+SUM(_xlfn.XLOOKUP(R110:AH110,增益!$A:$A,增益!$H:$H,0))</f>
        <v>0</v>
      </c>
      <c r="AU110">
        <f>$D$11*(1+$AT110)</f>
        <v>0</v>
      </c>
      <c r="AV110">
        <f>$E$11*(1+$AT110)</f>
        <v>0</v>
      </c>
      <c r="AW110" s="49" cm="1">
        <f t="array" ref="AW110">IF($F$11-$I$4+VLOOKUP($Q110,武学奇术!$A:$ZZ,9,FALSE)+SUM(_xlfn.XLOOKUP(R110:AH110,增益!$A:$A,增益!$I:$I,0))&gt;0,($F$11-$I$4+VLOOKUP($Q110,武学奇术!$A:$ZZ,9,FALSE)+SUM(_xlfn.XLOOKUP(R110:AH110,增益!$A:$A,增益!$I:$I,0)))/200,($F$11-$I$4+VLOOKUP($Q110,武学奇术!$A:$ZZ,9,FALSE)+SUM(_xlfn.XLOOKUP(R110:AH110,增益!$A:$A,增益!$I:$I,0)))/100)</f>
        <v>-0.14</v>
      </c>
      <c r="AX110" s="49" cm="1">
        <f t="array" ref="AX110">$G$11+VLOOKUP($Q110,武学奇术!$A:$ZZ,10,FALSE)+SUM(_xlfn.XLOOKUP(R110:AH110,增益!$A:$A,增益!$J:$J,0))</f>
        <v>0</v>
      </c>
      <c r="AY110">
        <f>$D$12*(1+$AT110)</f>
        <v>0</v>
      </c>
      <c r="AZ110">
        <f>$E$12*(1+$AT110)</f>
        <v>0</v>
      </c>
      <c r="BA110" s="49" cm="1">
        <f t="array" ref="BA110">IF($F$12-$I$4+VLOOKUP($Q110,武学奇术!$A:$ZZ,11,FALSE)+SUM(_xlfn.XLOOKUP(R110:AH110,增益!$A:$A,增益!$K:$K,0))&gt;0,($F$12-$I$4+VLOOKUP($Q110,武学奇术!$A:$ZZ,11,FALSE)+SUM(_xlfn.XLOOKUP(R110:AH110,增益!$A:$A,增益!$K:$K,0)))/200,($F$12-$I$4+VLOOKUP($Q110,武学奇术!$A:$ZZ,11,FALSE)+SUM(_xlfn.XLOOKUP(R110:AH110,增益!$A:$A,增益!$K:$K,0)))/100)</f>
        <v>-0.14</v>
      </c>
      <c r="BB110" s="49" cm="1">
        <f t="array" ref="BB110">$G$12+VLOOKUP($Q110,武学奇术!$A:$ZZ,12,FALSE)+SUM(_xlfn.XLOOKUP(R110:AH110,增益!$A:$A,增益!$L:$L,0))</f>
        <v>0</v>
      </c>
      <c r="BC110">
        <f>$D$13*(1+$AT110)</f>
        <v>571.2</v>
      </c>
      <c r="BD110">
        <f>$E$13*(1+$AT110)</f>
        <v>1077.4</v>
      </c>
      <c r="BE110" s="49" cm="1">
        <f t="array" ref="BE110">IF($F$13-$I$4+VLOOKUP($Q110,武学奇术!$A:$ZZ,13,FALSE)+SUM(_xlfn.XLOOKUP(R110:AH110,增益!$A:$A,增益!$M:$M,0))&gt;0,($F$13-$I$4+VLOOKUP($Q110,武学奇术!$A:$ZZ,13,FALSE)+SUM(_xlfn.XLOOKUP(R110:AH110,增益!$A:$A,增益!$K:$K,0)))/200,($F$13-$I$4+VLOOKUP($Q110,武学奇术!$A:$ZZ,13,FALSE)+SUM(_xlfn.XLOOKUP(R110:AH110,增益!$A:$A,增益!$M:$M,0)))/100)</f>
        <v>0.08</v>
      </c>
      <c r="BF110" s="49" cm="1">
        <f t="array" ref="BF110">$G$13+VLOOKUP($Q110,武学奇术!$A:$ZZ,14,FALSE)+SUM(_xlfn.XLOOKUP(R110:AH110,增益!$A:$A,增益!$N:$N,0))</f>
        <v>0.25</v>
      </c>
      <c r="BG110">
        <f>$D$14*(1+$AT110)</f>
        <v>0</v>
      </c>
      <c r="BH110">
        <f>$E$14*(1+$AT110)</f>
        <v>0</v>
      </c>
      <c r="BI110" s="49" cm="1">
        <f t="array" ref="BI110">IF($F$14-$I$4+VLOOKUP($Q110,武学奇术!$A:$ZZ,15,FALSE)+SUM(_xlfn.XLOOKUP(R110:AH110,增益!$A:$A,增益!$O:$O,0))&gt;0,($F$14-$I$4+VLOOKUP($Q110,武学奇术!$A:$ZZ,15,FALSE)+SUM(_xlfn.XLOOKUP(R110:AH110,增益!$A:$A,增益!$O:$O,0)))/200,($F$14-$I$4+VLOOKUP($Q110,武学奇术!$A:$ZZ,15,FALSE)+SUM(_xlfn.XLOOKUP(R110:AH110,增益!$A:$A,增益!$O:$O,0)))/100)</f>
        <v>-0.14</v>
      </c>
      <c r="BJ110" s="49" cm="1">
        <f t="array" ref="BJ110">$G$14+VLOOKUP($Q110,武学奇术!$A:$ZZ,16,FALSE)+SUM(_xlfn.XLOOKUP(R110:AH110,增益!$A:$A,增益!$P:$P,0))</f>
        <v>0</v>
      </c>
      <c r="BK110" s="41">
        <f>MIN(IF(VLOOKUP($Q110,武学奇术!$A:$ZZ,23,FALSE)=1,100%,$B$8),100%)</f>
        <v>1</v>
      </c>
      <c r="BL110" s="41" cm="1">
        <f t="array" ref="BL110">IF(VLOOKUP($Q110,武学奇术!$A:$ZZ,23,FALSE)=1,100%,MIN(80%,$B$9+VLOOKUP($Q110,武学奇术!$A:$ZZ,17,FALSE)+SUM(_xlfn.XLOOKUP(R110:AH110,增益!$A:$A,增益!$Q:$Q,0)))+$B$11+SUM(_xlfn.XLOOKUP(R110:AH110,增益!$A:$A,增益!$U:$U,0)))*IF(VLOOKUP($Q110,武学奇术!$A:$ZZ,24,FALSE)=1,0,1)</f>
        <v>0.9045</v>
      </c>
      <c r="BM110" s="41" cm="1">
        <f t="array" ref="BM110">1+$B$13+VLOOKUP($Q110,武学奇术!$A:$ZZ,18,FALSE)+SUM(_xlfn.XLOOKUP(R110:AH110,增益!$A:$A,增益!$R:$R,0))</f>
        <v>2.21</v>
      </c>
      <c r="BN110" s="41" cm="1">
        <f t="array" ref="BN110">IF(VLOOKUP($Q110,武学奇术!$A:$ZZ,24,FALSE)=1,100%,MIN(40%,$B$10+VLOOKUP($Q110,武学奇术!$A:$ZZ,19,FALSE)+SUM(_xlfn.XLOOKUP(R110:AH110,增益!$A:$A,增益!$S:$S,0)))+$B$12+SUM(_xlfn.XLOOKUP(R110:AH110,增益!$A:$A,增益!$V:$V,0)))*IF(VLOOKUP($Q110,武学奇术!$A:$ZZ,23,FALSE)=1,0,1)</f>
        <v>0.0929</v>
      </c>
      <c r="BO110" s="41" cm="1">
        <f t="array" ref="BO110">1+$B$14+VLOOKUP($Q110,武学奇术!$A:$ZZ,20,FALSE)+SUM(_xlfn.XLOOKUP(R110:AH110,增益!$A:$A,增益!$T:$T,0))</f>
        <v>1.35</v>
      </c>
      <c r="BP110" s="41">
        <f>MIN((1-BN110)*BK110,BK110*BL110)</f>
        <v>0.9045</v>
      </c>
      <c r="BQ110" s="41">
        <f>1-BN110-BP110-BR110</f>
        <v>0.00260000000000005</v>
      </c>
      <c r="BR110" s="41">
        <f>IF(VLOOKUP($Q110,武学奇术!$A:$ZZ,22,FALSE)=1,0,(1-$BK110))*(1-$BN110)</f>
        <v>0</v>
      </c>
      <c r="BS110" s="41" cm="1">
        <f t="array" ref="BS110">SUM(_xlfn.XLOOKUP(R110:AH110,增益!$A:$A,增益!$W:$W,0))+$I$5</f>
        <v>0.11</v>
      </c>
    </row>
    <row r="111" spans="1:71">
      <c r="K111" s="55">
        <f>($L111*$BP111+$M111*$BN111+$N111*$BQ111+$O111*$BR111)</f>
        <v>17943.3305526787</v>
      </c>
      <c r="L111" s="55">
        <f>((($AP111+$AQ111)/2*$AJ111+$AK111)*(1+$AR111)*(1+$AS111)+(($AU111+$AV111)/2*IF($G$1="鸣金",$AL111,$AJ111)+IF($G$1="鸣金",$AM111*1.5,0))*(1+$AW111)*(1+$AX111)+(($AY111+$AZ111)/2*IF($G$1="裂石",$AL111,$AJ111)+IF($G$1="裂石",$AM111*1.5,0))*(1+$BA111)*(1+$BB111)+(($BC111+$BD111)/2*IF($G$1="牵丝",$AL111,$AJ111)+IF($G$1="牵丝",$AM111*1.5,0))*(1+$BE111)*(1+$BF111)+(($BG111+$BH111)/2*IF($G$1="破竹",$AL111,$AJ111)+IF($G$1="破竹",$AM111*1.5,0))*(1+$BI111)*(1+$BJ111))*(1+$AN111)*$BM111*$P111*(1+IF(VLOOKUP($Q111,武学奇术!$A:$ZZ,30,FALSE)="弹道",$B$21,0))*(1+$BS111)</f>
        <v>17654.5005378803</v>
      </c>
      <c r="M111" s="55">
        <f>(($AQ111*$AJ111+$AK111)*(1+$AR111)*(1+$AS111)+($AV111*IF($G$1="鸣金",$AL111,$AJ111)+IF($G$1="鸣金",$AM111*1.5,0))*(1+$AW111)*(1+$AX111)+($AZ111*IF($G$1="裂石",$AL111,$AJ111)+IF($G$1="裂石",$AM111*1.5,0))*(1+$BA111)*(1+$BB111)+($BD111*IF($G$1="牵丝",$AL111,$AJ111)+IF($G$1="牵丝",$AM111*1.5,0))*(1+$BE111)*(1+$BF111)+($BH111*IF($G$1="破竹",$AL111,$AJ111)+IF($G$1="破竹",$AM111*1.5,0))*(1+$BI111)*(1+$BJ111))*(1+$AN111)*$BO111*$P111*(1+IF(VLOOKUP($Q111,武学奇术!$A:$ZZ,30,FALSE)="弹道",$B$21,0))*(1+$BS111)</f>
        <v>20948.8294164904</v>
      </c>
      <c r="N111" s="55">
        <f>((($AP111+$AQ111)/2*$AJ111+$AK111)*(1+$AR111)*(1+$AS111)+(($AU111+$AV111)/2*IF($G$1="鸣金",$AL111,$AJ111)+IF($G$1="鸣金",$AM111*1.5,0))*(1+$AW111)*(1+$AX111)+(($AY111+$AZ111)/2*IF($G$1="裂石",$AL111,$AJ111)+IF($G$1="裂石",$AM111*1.5,0))*(1+$BA111)*(1+$BB111)+(($BC111+$BD111)/2*IF($G$1="牵丝",$AL111,$AJ111)+IF($G$1="牵丝",$AM111*1.5,0))*(1+$BE111)*(1+$BF111)+(($BG111+$BH111)/2*IF($G$1="破竹",$AL111,$AJ111)+IF($G$1="破竹",$AM111*1.5,0))*(1+$BI111)*(1+$BJ111))*(1+$AN111)*$P111*(1+IF(VLOOKUP($Q111,武学奇术!$A:$ZZ,30,FALSE)="弹道",$B$21,0))*(1+$BS111)</f>
        <v>11034.0628361752</v>
      </c>
      <c r="O111" s="55">
        <f>((($AP111*$AJ111+$AK111)*(1+$AR111)*(1+$AS111)+($AU111*IF($G$1="鸣金",$AL111,$AJ111)+IF($G$1="鸣金",$AM111*1.5,0))*(1+$AW111)*(1+$AX111)+($AY111*IF($G$1="裂石",$AL111,$AJ111)+IF($G$1="裂石",$AM111*1.5,0))*(1+$BA111)*(1+$BB111)+($BC111*IF($G$1="牵丝",$AL111,$AJ111)+IF($G$1="牵丝",$AM111*1.5,0))*(1+$BE111)*(1+$BF111)+($BG111*IF($G$1="破竹",$AL111,$AJ111)+IF($G$1="破竹",$AM111*1.5,0))*(1+$BI111)*(1+$BJ111))*(1+$AN111))*$P111*(1+IF(VLOOKUP($Q111,武学奇术!$A:$ZZ,30,FALSE)="弹道",$B$21,0))*(1+$BS111)</f>
        <v>6550.47425272784</v>
      </c>
      <c r="P111" s="56">
        <v>1</v>
      </c>
      <c r="Q111" s="57" t="s">
        <v>99</v>
      </c>
      <c r="R111" s="57" t="s">
        <v>116</v>
      </c>
      <c r="S111" s="57" t="s">
        <v>153</v>
      </c>
      <c r="T111" s="57" t="s">
        <v>72</v>
      </c>
      <c r="U111" s="57" t="s">
        <v>157</v>
      </c>
      <c r="V111" s="57" t="s">
        <v>72</v>
      </c>
      <c r="W111" s="57" t="s">
        <v>72</v>
      </c>
      <c r="X111" s="57" t="s">
        <v>72</v>
      </c>
      <c r="Y111" s="57" t="s">
        <v>72</v>
      </c>
      <c r="Z111" s="57" t="s">
        <v>113</v>
      </c>
      <c r="AA111" s="57" t="s">
        <v>72</v>
      </c>
      <c r="AB111" s="57" t="s">
        <v>96</v>
      </c>
      <c r="AC111" s="57" t="s">
        <v>72</v>
      </c>
      <c r="AD111" s="57" t="s">
        <v>72</v>
      </c>
      <c r="AE111" s="57" t="s">
        <v>72</v>
      </c>
      <c r="AF111" s="57" t="s">
        <v>72</v>
      </c>
      <c r="AG111" s="57" t="s">
        <v>72</v>
      </c>
      <c r="AH111" s="57" t="s">
        <v>87</v>
      </c>
      <c r="AI111" t="str">
        <f>VLOOKUP($Q111,武学奇术!$A:$ZZ,25,FALSE)</f>
        <v>伞</v>
      </c>
      <c r="AJ111" s="41">
        <f>VLOOKUP($Q111,武学奇术!$A:$ZZ,26,FALSE)</f>
        <v>0.54</v>
      </c>
      <c r="AK111" s="42">
        <f>VLOOKUP($Q111,武学奇术!$A:$ZZ,27,FALSE)*(1+IF(OR($AI111=$F$4,$AI111=$F$5),$B$22,0))</f>
        <v>207.2</v>
      </c>
      <c r="AL111" s="41">
        <f>VLOOKUP($Q111,武学奇术!$A:$ZZ,28,FALSE)</f>
        <v>0.81</v>
      </c>
      <c r="AM111" s="42">
        <f>VLOOKUP($Q111,武学奇术!$A:$ZZ,29,FALSE)*(1+IF(OR($AI111=$F$4,$AI111=$F$5),$B$22,0))</f>
        <v>114.1</v>
      </c>
      <c r="AN111" s="41" cm="1">
        <f t="array" ref="AN111">$G$3+IFERROR(VLOOKUP($AI111,$F$4:$G$7,2,FALSE),0)+VLOOKUP($Q111,武学奇术!$A:$ZZ,2,FALSE)+SUM(_xlfn.XLOOKUP($R111:$AH111,增益!$A:$A,增益!$B:$B,0))</f>
        <v>0.5541</v>
      </c>
      <c r="AO111" s="41" cm="1">
        <f t="array" ref="AO111">VLOOKUP($Q111,武学奇术!$A:$ZZ,5,FALSE)+SUM(_xlfn.XLOOKUP($R111:$AH111,增益!$A:$A,增益!$E:$E,0))</f>
        <v>0.15</v>
      </c>
      <c r="AP111" cm="1">
        <f t="array" ref="AP111">$D$10*(1+$AO111)+VLOOKUP($Q111,武学奇术!$A:$ZZ,3,FALSE)+SUM(_xlfn.XLOOKUP($R111:$AH111,增益!$A:$A,增益!$C:$C,0))-$I$2</f>
        <v>2150.71</v>
      </c>
      <c r="AQ111" cm="1">
        <f t="array" ref="AQ111">$E$10*(1+$AO111)+VLOOKUP($Q111,武学奇术!$A:$ZZ,4,FALSE)+SUM(_xlfn.XLOOKUP($R111:$AH111,增益!$A:$A,增益!$D:$D,0))-$I$2</f>
        <v>6394.9</v>
      </c>
      <c r="AR111" s="49" cm="1">
        <f t="array" ref="AR111">IF($F$10-$I$3+VLOOKUP($Q111,武学奇术!$A:$ZZ,6,FALSE)+SUM(_xlfn.XLOOKUP(R111:AH111,增益!$A:$A,增益!$F:$F,0))&gt;0,($F$10-$I$3+VLOOKUP($Q111,武学奇术!$A:$ZZ,6,FALSE)+SUM(_xlfn.XLOOKUP(R111:AH111,增益!$A:$A,增益!$F:$F,0)))/200,($F$10-$I$3+VLOOKUP($Q111,武学奇术!$A:$ZZ,6,FALSE)+SUM(_xlfn.XLOOKUP(R111:AH111,增益!$A:$A,增益!$F:$F,0)))/100)</f>
        <v>0.3425</v>
      </c>
      <c r="AS111" s="49" cm="1">
        <f t="array" ref="AS111">$G$10+VLOOKUP($Q111,武学奇术!$A:$ZZ,7,FALSE)+SUM(_xlfn.XLOOKUP(R111:AH111,增益!$A:$A,增益!$G:$G,0))</f>
        <v>0.1</v>
      </c>
      <c r="AT111" s="41" cm="1">
        <f t="array" ref="AT111">VLOOKUP($Q111,武学奇术!$A:$ZZ,8,FALSE)+SUM(_xlfn.XLOOKUP(R111:AH111,增益!$A:$A,增益!$H:$H,0))</f>
        <v>0</v>
      </c>
      <c r="AU111">
        <f>$D$11*(1+$AT111)</f>
        <v>0</v>
      </c>
      <c r="AV111">
        <f>$E$11*(1+$AT111)</f>
        <v>0</v>
      </c>
      <c r="AW111" s="49" cm="1">
        <f t="array" ref="AW111">IF($F$11-$I$4+VLOOKUP($Q111,武学奇术!$A:$ZZ,9,FALSE)+SUM(_xlfn.XLOOKUP(R111:AH111,增益!$A:$A,增益!$I:$I,0))&gt;0,($F$11-$I$4+VLOOKUP($Q111,武学奇术!$A:$ZZ,9,FALSE)+SUM(_xlfn.XLOOKUP(R111:AH111,增益!$A:$A,增益!$I:$I,0)))/200,($F$11-$I$4+VLOOKUP($Q111,武学奇术!$A:$ZZ,9,FALSE)+SUM(_xlfn.XLOOKUP(R111:AH111,增益!$A:$A,增益!$I:$I,0)))/100)</f>
        <v>-0.14</v>
      </c>
      <c r="AX111" s="49" cm="1">
        <f t="array" ref="AX111">$G$11+VLOOKUP($Q111,武学奇术!$A:$ZZ,10,FALSE)+SUM(_xlfn.XLOOKUP(R111:AH111,增益!$A:$A,增益!$J:$J,0))</f>
        <v>0</v>
      </c>
      <c r="AY111">
        <f>$D$12*(1+$AT111)</f>
        <v>0</v>
      </c>
      <c r="AZ111">
        <f>$E$12*(1+$AT111)</f>
        <v>0</v>
      </c>
      <c r="BA111" s="49" cm="1">
        <f t="array" ref="BA111">IF($F$12-$I$4+VLOOKUP($Q111,武学奇术!$A:$ZZ,11,FALSE)+SUM(_xlfn.XLOOKUP(R111:AH111,增益!$A:$A,增益!$K:$K,0))&gt;0,($F$12-$I$4+VLOOKUP($Q111,武学奇术!$A:$ZZ,11,FALSE)+SUM(_xlfn.XLOOKUP(R111:AH111,增益!$A:$A,增益!$K:$K,0)))/200,($F$12-$I$4+VLOOKUP($Q111,武学奇术!$A:$ZZ,11,FALSE)+SUM(_xlfn.XLOOKUP(R111:AH111,增益!$A:$A,增益!$K:$K,0)))/100)</f>
        <v>-0.14</v>
      </c>
      <c r="BB111" s="49" cm="1">
        <f t="array" ref="BB111">$G$12+VLOOKUP($Q111,武学奇术!$A:$ZZ,12,FALSE)+SUM(_xlfn.XLOOKUP(R111:AH111,增益!$A:$A,增益!$L:$L,0))</f>
        <v>0</v>
      </c>
      <c r="BC111">
        <f>$D$13*(1+$AT111)</f>
        <v>571.2</v>
      </c>
      <c r="BD111">
        <f>$E$13*(1+$AT111)</f>
        <v>1077.4</v>
      </c>
      <c r="BE111" s="49" cm="1">
        <f t="array" ref="BE111">IF($F$13-$I$4+VLOOKUP($Q111,武学奇术!$A:$ZZ,13,FALSE)+SUM(_xlfn.XLOOKUP(R111:AH111,增益!$A:$A,增益!$M:$M,0))&gt;0,($F$13-$I$4+VLOOKUP($Q111,武学奇术!$A:$ZZ,13,FALSE)+SUM(_xlfn.XLOOKUP(R111:AH111,增益!$A:$A,增益!$K:$K,0)))/200,($F$13-$I$4+VLOOKUP($Q111,武学奇术!$A:$ZZ,13,FALSE)+SUM(_xlfn.XLOOKUP(R111:AH111,增益!$A:$A,增益!$M:$M,0)))/100)</f>
        <v>0.08</v>
      </c>
      <c r="BF111" s="49" cm="1">
        <f t="array" ref="BF111">$G$13+VLOOKUP($Q111,武学奇术!$A:$ZZ,14,FALSE)+SUM(_xlfn.XLOOKUP(R111:AH111,增益!$A:$A,增益!$N:$N,0))</f>
        <v>0.25</v>
      </c>
      <c r="BG111">
        <f>$D$14*(1+$AT111)</f>
        <v>0</v>
      </c>
      <c r="BH111">
        <f>$E$14*(1+$AT111)</f>
        <v>0</v>
      </c>
      <c r="BI111" s="49" cm="1">
        <f t="array" ref="BI111">IF($F$14-$I$4+VLOOKUP($Q111,武学奇术!$A:$ZZ,15,FALSE)+SUM(_xlfn.XLOOKUP(R111:AH111,增益!$A:$A,增益!$O:$O,0))&gt;0,($F$14-$I$4+VLOOKUP($Q111,武学奇术!$A:$ZZ,15,FALSE)+SUM(_xlfn.XLOOKUP(R111:AH111,增益!$A:$A,增益!$O:$O,0)))/200,($F$14-$I$4+VLOOKUP($Q111,武学奇术!$A:$ZZ,15,FALSE)+SUM(_xlfn.XLOOKUP(R111:AH111,增益!$A:$A,增益!$O:$O,0)))/100)</f>
        <v>-0.14</v>
      </c>
      <c r="BJ111" s="49" cm="1">
        <f t="array" ref="BJ111">$G$14+VLOOKUP($Q111,武学奇术!$A:$ZZ,16,FALSE)+SUM(_xlfn.XLOOKUP(R111:AH111,增益!$A:$A,增益!$P:$P,0))</f>
        <v>0</v>
      </c>
      <c r="BK111" s="41">
        <f>MIN(IF(VLOOKUP($Q111,武学奇术!$A:$ZZ,23,FALSE)=1,100%,$B$8),100%)</f>
        <v>1</v>
      </c>
      <c r="BL111" s="41" cm="1">
        <f t="array" ref="BL111">IF(VLOOKUP($Q111,武学奇术!$A:$ZZ,23,FALSE)=1,100%,MIN(80%,$B$9+VLOOKUP($Q111,武学奇术!$A:$ZZ,17,FALSE)+SUM(_xlfn.XLOOKUP(R111:AH111,增益!$A:$A,增益!$Q:$Q,0)))+$B$11+SUM(_xlfn.XLOOKUP(R111:AH111,增益!$A:$A,增益!$U:$U,0)))*IF(VLOOKUP($Q111,武学奇术!$A:$ZZ,24,FALSE)=1,0,1)</f>
        <v>0.9045</v>
      </c>
      <c r="BM111" s="41" cm="1">
        <f t="array" ref="BM111">1+$B$13+VLOOKUP($Q111,武学奇术!$A:$ZZ,18,FALSE)+SUM(_xlfn.XLOOKUP(R111:AH111,增益!$A:$A,增益!$R:$R,0))</f>
        <v>1.6</v>
      </c>
      <c r="BN111" s="41" cm="1">
        <f t="array" ref="BN111">IF(VLOOKUP($Q111,武学奇术!$A:$ZZ,24,FALSE)=1,100%,MIN(40%,$B$10+VLOOKUP($Q111,武学奇术!$A:$ZZ,19,FALSE)+SUM(_xlfn.XLOOKUP(R111:AH111,增益!$A:$A,增益!$S:$S,0)))+$B$12+SUM(_xlfn.XLOOKUP(R111:AH111,增益!$A:$A,增益!$V:$V,0)))*IF(VLOOKUP($Q111,武学奇术!$A:$ZZ,23,FALSE)=1,0,1)</f>
        <v>0.0929</v>
      </c>
      <c r="BO111" s="41" cm="1">
        <f t="array" ref="BO111">1+$B$14+VLOOKUP($Q111,武学奇术!$A:$ZZ,20,FALSE)+SUM(_xlfn.XLOOKUP(R111:AH111,增益!$A:$A,增益!$T:$T,0))</f>
        <v>1.35</v>
      </c>
      <c r="BP111" s="41">
        <f>MIN((1-BN111)*BK111,BK111*BL111)</f>
        <v>0.9045</v>
      </c>
      <c r="BQ111" s="41">
        <f>1-BN111-BP111-BR111</f>
        <v>0.00260000000000005</v>
      </c>
      <c r="BR111" s="41">
        <f>IF(VLOOKUP($Q111,武学奇术!$A:$ZZ,22,FALSE)=1,0,(1-$BK111))*(1-$BN111)</f>
        <v>0</v>
      </c>
      <c r="BS111" s="41" cm="1">
        <f t="array" ref="BS111">SUM(_xlfn.XLOOKUP(R111:AH111,增益!$A:$A,增益!$W:$W,0))+$I$5</f>
        <v>0.11</v>
      </c>
    </row>
    <row r="112" spans="1:71">
      <c r="K112" s="55">
        <f>($L112*$BP112+$M112*$BN112+$N112*$BQ112+$O112*$BR112)</f>
        <v>20123.3555222933</v>
      </c>
      <c r="L112" s="55">
        <f>((($AP112+$AQ112)/2*$AJ112+$AK112)*(1+$AR112)*(1+$AS112)+(($AU112+$AV112)/2*IF($G$1="鸣金",$AL112,$AJ112)+IF($G$1="鸣金",$AM112*1.5,0))*(1+$AW112)*(1+$AX112)+(($AY112+$AZ112)/2*IF($G$1="裂石",$AL112,$AJ112)+IF($G$1="裂石",$AM112*1.5,0))*(1+$BA112)*(1+$BB112)+(($BC112+$BD112)/2*IF($G$1="牵丝",$AL112,$AJ112)+IF($G$1="牵丝",$AM112*1.5,0))*(1+$BE112)*(1+$BF112)+(($BG112+$BH112)/2*IF($G$1="破竹",$AL112,$AJ112)+IF($G$1="破竹",$AM112*1.5,0))*(1+$BI112)*(1+$BJ112))*(1+$AN112)*$BM112*$P112*(1+IF(VLOOKUP($Q112,武学奇术!$A:$ZZ,30,FALSE)="弹道",$B$21,0))*(1+$BS112)</f>
        <v>19800.5890077904</v>
      </c>
      <c r="M112" s="55">
        <f>(($AQ112*$AJ112+$AK112)*(1+$AR112)*(1+$AS112)+($AV112*IF($G$1="鸣金",$AL112,$AJ112)+IF($G$1="鸣金",$AM112*1.5,0))*(1+$AW112)*(1+$AX112)+($AZ112*IF($G$1="裂石",$AL112,$AJ112)+IF($G$1="裂石",$AM112*1.5,0))*(1+$BA112)*(1+$BB112)+($BD112*IF($G$1="牵丝",$AL112,$AJ112)+IF($G$1="牵丝",$AM112*1.5,0))*(1+$BE112)*(1+$BF112)+($BH112*IF($G$1="破竹",$AL112,$AJ112)+IF($G$1="破竹",$AM112*1.5,0))*(1+$BI112)*(1+$BJ112))*(1+$AN112)*$BO112*$P112*(1+IF(VLOOKUP($Q112,武学奇术!$A:$ZZ,30,FALSE)="弹道",$B$21,0))*(1+$BS112)</f>
        <v>23482.7428160304</v>
      </c>
      <c r="N112" s="55">
        <f>((($AP112+$AQ112)/2*$AJ112+$AK112)*(1+$AR112)*(1+$AS112)+(($AU112+$AV112)/2*IF($G$1="鸣金",$AL112,$AJ112)+IF($G$1="鸣金",$AM112*1.5,0))*(1+$AW112)*(1+$AX112)+(($AY112+$AZ112)/2*IF($G$1="裂石",$AL112,$AJ112)+IF($G$1="裂石",$AM112*1.5,0))*(1+$BA112)*(1+$BB112)+(($BC112+$BD112)/2*IF($G$1="牵丝",$AL112,$AJ112)+IF($G$1="牵丝",$AM112*1.5,0))*(1+$BE112)*(1+$BF112)+(($BG112+$BH112)/2*IF($G$1="破竹",$AL112,$AJ112)+IF($G$1="破竹",$AM112*1.5,0))*(1+$BI112)*(1+$BJ112))*(1+$AN112)*$P112*(1+IF(VLOOKUP($Q112,武学奇术!$A:$ZZ,30,FALSE)="弹道",$B$21,0))*(1+$BS112)</f>
        <v>12375.368129869</v>
      </c>
      <c r="O112" s="55">
        <f>((($AP112*$AJ112+$AK112)*(1+$AR112)*(1+$AS112)+($AU112*IF($G$1="鸣金",$AL112,$AJ112)+IF($G$1="鸣金",$AM112*1.5,0))*(1+$AW112)*(1+$AX112)+($AY112*IF($G$1="裂石",$AL112,$AJ112)+IF($G$1="裂石",$AM112*1.5,0))*(1+$BA112)*(1+$BB112)+($BC112*IF($G$1="牵丝",$AL112,$AJ112)+IF($G$1="牵丝",$AM112*1.5,0))*(1+$BE112)*(1+$BF112)+($BG112*IF($G$1="破竹",$AL112,$AJ112)+IF($G$1="破竹",$AM112*1.5,0))*(1+$BI112)*(1+$BJ112))*(1+$AN112))*$P112*(1+IF(VLOOKUP($Q112,武学奇术!$A:$ZZ,30,FALSE)="弹道",$B$21,0))*(1+$BS112)</f>
        <v>7356.11195156736</v>
      </c>
      <c r="P112" s="56">
        <v>1</v>
      </c>
      <c r="Q112" s="57" t="s">
        <v>146</v>
      </c>
      <c r="R112" s="57" t="s">
        <v>116</v>
      </c>
      <c r="S112" s="57" t="s">
        <v>153</v>
      </c>
      <c r="T112" s="57" t="s">
        <v>72</v>
      </c>
      <c r="U112" s="57" t="s">
        <v>157</v>
      </c>
      <c r="V112" s="57" t="s">
        <v>72</v>
      </c>
      <c r="W112" s="57" t="s">
        <v>72</v>
      </c>
      <c r="X112" s="57" t="s">
        <v>72</v>
      </c>
      <c r="Y112" s="57" t="s">
        <v>72</v>
      </c>
      <c r="Z112" s="57" t="s">
        <v>113</v>
      </c>
      <c r="AA112" s="57" t="s">
        <v>72</v>
      </c>
      <c r="AB112" s="57" t="s">
        <v>96</v>
      </c>
      <c r="AC112" s="57" t="s">
        <v>72</v>
      </c>
      <c r="AD112" s="57" t="s">
        <v>72</v>
      </c>
      <c r="AE112" s="57" t="s">
        <v>72</v>
      </c>
      <c r="AF112" s="57" t="s">
        <v>72</v>
      </c>
      <c r="AG112" s="57" t="s">
        <v>72</v>
      </c>
      <c r="AH112" s="57" t="s">
        <v>87</v>
      </c>
      <c r="AI112" t="str">
        <f>VLOOKUP($Q112,武学奇术!$A:$ZZ,25,FALSE)</f>
        <v>扇</v>
      </c>
      <c r="AJ112" s="41">
        <f>VLOOKUP($Q112,武学奇术!$A:$ZZ,26,FALSE)</f>
        <v>0.9271</v>
      </c>
      <c r="AK112" s="42">
        <f>VLOOKUP($Q112,武学奇术!$A:$ZZ,27,FALSE)*(1+IF(OR($AI112=$F$4,$AI112=$F$5),$B$22,0))</f>
        <v>359.8</v>
      </c>
      <c r="AL112" s="41">
        <f>VLOOKUP($Q112,武学奇术!$A:$ZZ,28,FALSE)</f>
        <v>1.3907</v>
      </c>
      <c r="AM112" s="42">
        <f>VLOOKUP($Q112,武学奇术!$A:$ZZ,29,FALSE)*(1+IF(OR($AI112=$F$4,$AI112=$F$5),$B$22,0))</f>
        <v>196</v>
      </c>
      <c r="AN112" s="41" cm="1">
        <f t="array" ref="AN112">$G$3+IFERROR(VLOOKUP($AI112,$F$4:$G$7,2,FALSE),0)+VLOOKUP($Q112,武学奇术!$A:$ZZ,2,FALSE)+SUM(_xlfn.XLOOKUP($R112:$AH112,增益!$A:$A,增益!$B:$B,0))</f>
        <v>0.4689</v>
      </c>
      <c r="AO112" s="41" cm="1">
        <f t="array" ref="AO112">VLOOKUP($Q112,武学奇术!$A:$ZZ,5,FALSE)+SUM(_xlfn.XLOOKUP($R112:$AH112,增益!$A:$A,增益!$E:$E,0))</f>
        <v>0.15</v>
      </c>
      <c r="AP112" cm="1">
        <f t="array" ref="AP112">$D$10*(1+$AO112)+VLOOKUP($Q112,武学奇术!$A:$ZZ,3,FALSE)+SUM(_xlfn.XLOOKUP($R112:$AH112,增益!$A:$A,增益!$C:$C,0))-$I$2</f>
        <v>2150.71</v>
      </c>
      <c r="AQ112" cm="1">
        <f t="array" ref="AQ112">$E$10*(1+$AO112)+VLOOKUP($Q112,武学奇术!$A:$ZZ,4,FALSE)+SUM(_xlfn.XLOOKUP($R112:$AH112,增益!$A:$A,增益!$D:$D,0))-$I$2</f>
        <v>6394.9</v>
      </c>
      <c r="AR112" s="49" cm="1">
        <f t="array" ref="AR112">IF($F$10-$I$3+VLOOKUP($Q112,武学奇术!$A:$ZZ,6,FALSE)+SUM(_xlfn.XLOOKUP(R112:AH112,增益!$A:$A,增益!$F:$F,0))&gt;0,($F$10-$I$3+VLOOKUP($Q112,武学奇术!$A:$ZZ,6,FALSE)+SUM(_xlfn.XLOOKUP(R112:AH112,增益!$A:$A,增益!$F:$F,0)))/200,($F$10-$I$3+VLOOKUP($Q112,武学奇术!$A:$ZZ,6,FALSE)+SUM(_xlfn.XLOOKUP(R112:AH112,增益!$A:$A,增益!$F:$F,0)))/100)</f>
        <v>0.3425</v>
      </c>
      <c r="AS112" s="49" cm="1">
        <f t="array" ref="AS112">$G$10+VLOOKUP($Q112,武学奇术!$A:$ZZ,7,FALSE)+SUM(_xlfn.XLOOKUP(R112:AH112,增益!$A:$A,增益!$G:$G,0))</f>
        <v>0</v>
      </c>
      <c r="AT112" s="41" cm="1">
        <f t="array" ref="AT112">VLOOKUP($Q112,武学奇术!$A:$ZZ,8,FALSE)+SUM(_xlfn.XLOOKUP(R112:AH112,增益!$A:$A,增益!$H:$H,0))</f>
        <v>0</v>
      </c>
      <c r="AU112">
        <f>$D$11*(1+$AT112)</f>
        <v>0</v>
      </c>
      <c r="AV112">
        <f>$E$11*(1+$AT112)</f>
        <v>0</v>
      </c>
      <c r="AW112" s="49" cm="1">
        <f t="array" ref="AW112">IF($F$11-$I$4+VLOOKUP($Q112,武学奇术!$A:$ZZ,9,FALSE)+SUM(_xlfn.XLOOKUP(R112:AH112,增益!$A:$A,增益!$I:$I,0))&gt;0,($F$11-$I$4+VLOOKUP($Q112,武学奇术!$A:$ZZ,9,FALSE)+SUM(_xlfn.XLOOKUP(R112:AH112,增益!$A:$A,增益!$I:$I,0)))/200,($F$11-$I$4+VLOOKUP($Q112,武学奇术!$A:$ZZ,9,FALSE)+SUM(_xlfn.XLOOKUP(R112:AH112,增益!$A:$A,增益!$I:$I,0)))/100)</f>
        <v>-0.14</v>
      </c>
      <c r="AX112" s="49" cm="1">
        <f t="array" ref="AX112">$G$11+VLOOKUP($Q112,武学奇术!$A:$ZZ,10,FALSE)+SUM(_xlfn.XLOOKUP(R112:AH112,增益!$A:$A,增益!$J:$J,0))</f>
        <v>0</v>
      </c>
      <c r="AY112">
        <f>$D$12*(1+$AT112)</f>
        <v>0</v>
      </c>
      <c r="AZ112">
        <f>$E$12*(1+$AT112)</f>
        <v>0</v>
      </c>
      <c r="BA112" s="49" cm="1">
        <f t="array" ref="BA112">IF($F$12-$I$4+VLOOKUP($Q112,武学奇术!$A:$ZZ,11,FALSE)+SUM(_xlfn.XLOOKUP(R112:AH112,增益!$A:$A,增益!$K:$K,0))&gt;0,($F$12-$I$4+VLOOKUP($Q112,武学奇术!$A:$ZZ,11,FALSE)+SUM(_xlfn.XLOOKUP(R112:AH112,增益!$A:$A,增益!$K:$K,0)))/200,($F$12-$I$4+VLOOKUP($Q112,武学奇术!$A:$ZZ,11,FALSE)+SUM(_xlfn.XLOOKUP(R112:AH112,增益!$A:$A,增益!$K:$K,0)))/100)</f>
        <v>-0.14</v>
      </c>
      <c r="BB112" s="49" cm="1">
        <f t="array" ref="BB112">$G$12+VLOOKUP($Q112,武学奇术!$A:$ZZ,12,FALSE)+SUM(_xlfn.XLOOKUP(R112:AH112,增益!$A:$A,增益!$L:$L,0))</f>
        <v>0</v>
      </c>
      <c r="BC112">
        <f>$D$13*(1+$AT112)</f>
        <v>571.2</v>
      </c>
      <c r="BD112">
        <f>$E$13*(1+$AT112)</f>
        <v>1077.4</v>
      </c>
      <c r="BE112" s="49" cm="1">
        <f t="array" ref="BE112">IF($F$13-$I$4+VLOOKUP($Q112,武学奇术!$A:$ZZ,13,FALSE)+SUM(_xlfn.XLOOKUP(R112:AH112,增益!$A:$A,增益!$M:$M,0))&gt;0,($F$13-$I$4+VLOOKUP($Q112,武学奇术!$A:$ZZ,13,FALSE)+SUM(_xlfn.XLOOKUP(R112:AH112,增益!$A:$A,增益!$K:$K,0)))/200,($F$13-$I$4+VLOOKUP($Q112,武学奇术!$A:$ZZ,13,FALSE)+SUM(_xlfn.XLOOKUP(R112:AH112,增益!$A:$A,增益!$M:$M,0)))/100)</f>
        <v>0.08</v>
      </c>
      <c r="BF112" s="49" cm="1">
        <f t="array" ref="BF112">$G$13+VLOOKUP($Q112,武学奇术!$A:$ZZ,14,FALSE)+SUM(_xlfn.XLOOKUP(R112:AH112,增益!$A:$A,增益!$N:$N,0))</f>
        <v>0.15</v>
      </c>
      <c r="BG112">
        <f>$D$14*(1+$AT112)</f>
        <v>0</v>
      </c>
      <c r="BH112">
        <f>$E$14*(1+$AT112)</f>
        <v>0</v>
      </c>
      <c r="BI112" s="49" cm="1">
        <f t="array" ref="BI112">IF($F$14-$I$4+VLOOKUP($Q112,武学奇术!$A:$ZZ,15,FALSE)+SUM(_xlfn.XLOOKUP(R112:AH112,增益!$A:$A,增益!$O:$O,0))&gt;0,($F$14-$I$4+VLOOKUP($Q112,武学奇术!$A:$ZZ,15,FALSE)+SUM(_xlfn.XLOOKUP(R112:AH112,增益!$A:$A,增益!$O:$O,0)))/200,($F$14-$I$4+VLOOKUP($Q112,武学奇术!$A:$ZZ,15,FALSE)+SUM(_xlfn.XLOOKUP(R112:AH112,增益!$A:$A,增益!$O:$O,0)))/100)</f>
        <v>-0.14</v>
      </c>
      <c r="BJ112" s="49" cm="1">
        <f t="array" ref="BJ112">$G$14+VLOOKUP($Q112,武学奇术!$A:$ZZ,16,FALSE)+SUM(_xlfn.XLOOKUP(R112:AH112,增益!$A:$A,增益!$P:$P,0))</f>
        <v>0</v>
      </c>
      <c r="BK112" s="41">
        <f>MIN(IF(VLOOKUP($Q112,武学奇术!$A:$ZZ,23,FALSE)=1,100%,$B$8),100%)</f>
        <v>1</v>
      </c>
      <c r="BL112" s="41" cm="1">
        <f t="array" ref="BL112">IF(VLOOKUP($Q112,武学奇术!$A:$ZZ,23,FALSE)=1,100%,MIN(80%,$B$9+VLOOKUP($Q112,武学奇术!$A:$ZZ,17,FALSE)+SUM(_xlfn.XLOOKUP(R112:AH112,增益!$A:$A,增益!$Q:$Q,0)))+$B$11+SUM(_xlfn.XLOOKUP(R112:AH112,增益!$A:$A,增益!$U:$U,0)))*IF(VLOOKUP($Q112,武学奇术!$A:$ZZ,24,FALSE)=1,0,1)</f>
        <v>0.9045</v>
      </c>
      <c r="BM112" s="41" cm="1">
        <f t="array" ref="BM112">1+$B$13+VLOOKUP($Q112,武学奇术!$A:$ZZ,18,FALSE)+SUM(_xlfn.XLOOKUP(R112:AH112,增益!$A:$A,增益!$R:$R,0))</f>
        <v>1.6</v>
      </c>
      <c r="BN112" s="41" cm="1">
        <f t="array" ref="BN112">IF(VLOOKUP($Q112,武学奇术!$A:$ZZ,24,FALSE)=1,100%,MIN(40%,$B$10+VLOOKUP($Q112,武学奇术!$A:$ZZ,19,FALSE)+SUM(_xlfn.XLOOKUP(R112:AH112,增益!$A:$A,增益!$S:$S,0)))+$B$12+SUM(_xlfn.XLOOKUP(R112:AH112,增益!$A:$A,增益!$V:$V,0)))*IF(VLOOKUP($Q112,武学奇术!$A:$ZZ,23,FALSE)=1,0,1)</f>
        <v>0.0929</v>
      </c>
      <c r="BO112" s="41" cm="1">
        <f t="array" ref="BO112">1+$B$14+VLOOKUP($Q112,武学奇术!$A:$ZZ,20,FALSE)+SUM(_xlfn.XLOOKUP(R112:AH112,增益!$A:$A,增益!$T:$T,0))</f>
        <v>1.35</v>
      </c>
      <c r="BP112" s="41">
        <f>MIN((1-BN112)*BK112,BK112*BL112)</f>
        <v>0.9045</v>
      </c>
      <c r="BQ112" s="41">
        <f>1-BN112-BP112-BR112</f>
        <v>0.00260000000000005</v>
      </c>
      <c r="BR112" s="41">
        <f>IF(VLOOKUP($Q112,武学奇术!$A:$ZZ,22,FALSE)=1,0,(1-$BK112))*(1-$BN112)</f>
        <v>0</v>
      </c>
      <c r="BS112" s="41" cm="1">
        <f t="array" ref="BS112">SUM(_xlfn.XLOOKUP(R112:AH112,增益!$A:$A,增益!$W:$W,0))+$I$5</f>
        <v>0.11</v>
      </c>
    </row>
    <row r="113" spans="1:71">
      <c r="K113" s="55">
        <f>($L113*$BP113+$M113*$BN113+$N113*$BQ113+$O113*$BR113)</f>
        <v>411918.99785989</v>
      </c>
      <c r="L113" s="55">
        <f>((($AP113+$AQ113)/2*$AJ113+$AK113)*(1+$AR113)*(1+$AS113)+(($AU113+$AV113)/2*IF($G$1="鸣金",$AL113,$AJ113)+IF($G$1="鸣金",$AM113*1.5,0))*(1+$AW113)*(1+$AX113)+(($AY113+$AZ113)/2*IF($G$1="裂石",$AL113,$AJ113)+IF($G$1="裂石",$AM113*1.5,0))*(1+$BA113)*(1+$BB113)+(($BC113+$BD113)/2*IF($G$1="牵丝",$AL113,$AJ113)+IF($G$1="牵丝",$AM113*1.5,0))*(1+$BE113)*(1+$BF113)+(($BG113+$BH113)/2*IF($G$1="破竹",$AL113,$AJ113)+IF($G$1="破竹",$AM113*1.5,0))*(1+$BI113)*(1+$BJ113))*(1+$AN113)*$BM113*$P113*(1+IF(VLOOKUP($Q113,武学奇术!$A:$ZZ,30,FALSE)="弹道",$B$21,0))*(1+$BS113)</f>
        <v>417896.38674087</v>
      </c>
      <c r="M113" s="55">
        <f>(($AQ113*$AJ113+$AK113)*(1+$AR113)*(1+$AS113)+($AV113*IF($G$1="鸣金",$AL113,$AJ113)+IF($G$1="鸣金",$AM113*1.5,0))*(1+$AW113)*(1+$AX113)+($AZ113*IF($G$1="裂石",$AL113,$AJ113)+IF($G$1="裂石",$AM113*1.5,0))*(1+$BA113)*(1+$BB113)+($BD113*IF($G$1="牵丝",$AL113,$AJ113)+IF($G$1="牵丝",$AM113*1.5,0))*(1+$BE113)*(1+$BF113)+($BH113*IF($G$1="破竹",$AL113,$AJ113)+IF($G$1="破竹",$AM113*1.5,0))*(1+$BI113)*(1+$BJ113))*(1+$AN113)*$BO113*$P113*(1+IF(VLOOKUP($Q113,武学奇术!$A:$ZZ,30,FALSE)="弹道",$B$21,0))*(1+$BS113)</f>
        <v>359957.731376126</v>
      </c>
      <c r="N113" s="55">
        <f>((($AP113+$AQ113)/2*$AJ113+$AK113)*(1+$AR113)*(1+$AS113)+(($AU113+$AV113)/2*IF($G$1="鸣金",$AL113,$AJ113)+IF($G$1="鸣金",$AM113*1.5,0))*(1+$AW113)*(1+$AX113)+(($AY113+$AZ113)/2*IF($G$1="裂石",$AL113,$AJ113)+IF($G$1="裂石",$AM113*1.5,0))*(1+$BA113)*(1+$BB113)+(($BC113+$BD113)/2*IF($G$1="牵丝",$AL113,$AJ113)+IF($G$1="牵丝",$AM113*1.5,0))*(1+$BE113)*(1+$BF113)+(($BG113+$BH113)/2*IF($G$1="破竹",$AL113,$AJ113)+IF($G$1="破竹",$AM113*1.5,0))*(1+$BI113)*(1+$BJ113))*(1+$AN113)*$P113*(1+IF(VLOOKUP($Q113,武学奇术!$A:$ZZ,30,FALSE)="弹道",$B$21,0))*(1+$BS113)</f>
        <v>189093.387665552</v>
      </c>
      <c r="O113" s="55">
        <f>((($AP113*$AJ113+$AK113)*(1+$AR113)*(1+$AS113)+($AU113*IF($G$1="鸣金",$AL113,$AJ113)+IF($G$1="鸣金",$AM113*1.5,0))*(1+$AW113)*(1+$AX113)+($AY113*IF($G$1="裂石",$AL113,$AJ113)+IF($G$1="裂石",$AM113*1.5,0))*(1+$BA113)*(1+$BB113)+($BC113*IF($G$1="牵丝",$AL113,$AJ113)+IF($G$1="牵丝",$AM113*1.5,0))*(1+$BE113)*(1+$BF113)+($BG113*IF($G$1="破竹",$AL113,$AJ113)+IF($G$1="破竹",$AM113*1.5,0))*(1+$BI113)*(1+$BJ113))*(1+$AN113))*$P113*(1+IF(VLOOKUP($Q113,武学奇术!$A:$ZZ,30,FALSE)="弹道",$B$21,0))*(1+$BS113)</f>
        <v>111551.418756196</v>
      </c>
      <c r="P113" s="56">
        <v>5</v>
      </c>
      <c r="Q113" s="57" t="s">
        <v>102</v>
      </c>
      <c r="R113" s="57" t="s">
        <v>116</v>
      </c>
      <c r="S113" s="57" t="s">
        <v>153</v>
      </c>
      <c r="T113" s="57" t="s">
        <v>160</v>
      </c>
      <c r="U113" s="57" t="s">
        <v>157</v>
      </c>
      <c r="V113" s="57" t="s">
        <v>86</v>
      </c>
      <c r="W113" s="57" t="s">
        <v>72</v>
      </c>
      <c r="X113" s="57" t="s">
        <v>72</v>
      </c>
      <c r="Y113" s="57" t="s">
        <v>161</v>
      </c>
      <c r="Z113" s="57" t="s">
        <v>113</v>
      </c>
      <c r="AA113" s="57" t="s">
        <v>72</v>
      </c>
      <c r="AB113" s="57" t="s">
        <v>96</v>
      </c>
      <c r="AC113" s="57" t="s">
        <v>72</v>
      </c>
      <c r="AD113" s="57" t="s">
        <v>72</v>
      </c>
      <c r="AE113" s="57" t="s">
        <v>72</v>
      </c>
      <c r="AF113" s="57" t="s">
        <v>72</v>
      </c>
      <c r="AG113" s="57" t="s">
        <v>72</v>
      </c>
      <c r="AH113" s="57" t="s">
        <v>87</v>
      </c>
      <c r="AI113" t="str">
        <f>VLOOKUP($Q113,武学奇术!$A:$ZZ,25,FALSE)</f>
        <v>伞</v>
      </c>
      <c r="AJ113" s="41">
        <f>VLOOKUP($Q113,武学奇术!$A:$ZZ,26,FALSE)</f>
        <v>1.174955</v>
      </c>
      <c r="AK113" s="42">
        <f>VLOOKUP($Q113,武学奇术!$A:$ZZ,27,FALSE)*(1+IF(OR($AI113=$F$4,$AI113=$F$5),$B$22,0))</f>
        <v>454.02</v>
      </c>
      <c r="AL113" s="41">
        <f>VLOOKUP($Q113,武学奇术!$A:$ZZ,28,FALSE)</f>
        <v>1.762375</v>
      </c>
      <c r="AM113" s="42">
        <f>VLOOKUP($Q113,武学奇术!$A:$ZZ,29,FALSE)*(1+IF(OR($AI113=$F$4,$AI113=$F$5),$B$22,0))</f>
        <v>247.94</v>
      </c>
      <c r="AN113" s="41" cm="1">
        <f t="array" ref="AN113">$G$3+IFERROR(VLOOKUP($AI113,$F$4:$G$7,2,FALSE),0)+VLOOKUP($Q113,武学奇术!$A:$ZZ,2,FALSE)+SUM(_xlfn.XLOOKUP($R113:$AH113,增益!$A:$A,增益!$B:$B,0))</f>
        <v>1.2541</v>
      </c>
      <c r="AO113" s="41" cm="1">
        <f t="array" ref="AO113">VLOOKUP($Q113,武学奇术!$A:$ZZ,5,FALSE)+SUM(_xlfn.XLOOKUP($R113:$AH113,增益!$A:$A,增益!$E:$E,0))</f>
        <v>0.15</v>
      </c>
      <c r="AP113" cm="1">
        <f t="array" ref="AP113">$D$10*(1+$AO113)+VLOOKUP($Q113,武学奇术!$A:$ZZ,3,FALSE)+SUM(_xlfn.XLOOKUP($R113:$AH113,增益!$A:$A,增益!$C:$C,0))-$I$2</f>
        <v>2150.71</v>
      </c>
      <c r="AQ113" cm="1">
        <f t="array" ref="AQ113">$E$10*(1+$AO113)+VLOOKUP($Q113,武学奇术!$A:$ZZ,4,FALSE)+SUM(_xlfn.XLOOKUP($R113:$AH113,增益!$A:$A,增益!$D:$D,0))-$I$2</f>
        <v>6394.9</v>
      </c>
      <c r="AR113" s="49" cm="1">
        <f t="array" ref="AR113">IF($F$10-$I$3+VLOOKUP($Q113,武学奇术!$A:$ZZ,6,FALSE)+SUM(_xlfn.XLOOKUP(R113:AH113,增益!$A:$A,增益!$F:$F,0))&gt;0,($F$10-$I$3+VLOOKUP($Q113,武学奇术!$A:$ZZ,6,FALSE)+SUM(_xlfn.XLOOKUP(R113:AH113,增益!$A:$A,增益!$F:$F,0)))/200,($F$10-$I$3+VLOOKUP($Q113,武学奇术!$A:$ZZ,6,FALSE)+SUM(_xlfn.XLOOKUP(R113:AH113,增益!$A:$A,增益!$F:$F,0)))/100)</f>
        <v>0.4925</v>
      </c>
      <c r="AS113" s="49" cm="1">
        <f t="array" ref="AS113">$G$10+VLOOKUP($Q113,武学奇术!$A:$ZZ,7,FALSE)+SUM(_xlfn.XLOOKUP(R113:AH113,增益!$A:$A,增益!$G:$G,0))</f>
        <v>0.1</v>
      </c>
      <c r="AT113" s="41" cm="1">
        <f t="array" ref="AT113">VLOOKUP($Q113,武学奇术!$A:$ZZ,8,FALSE)+SUM(_xlfn.XLOOKUP(R113:AH113,增益!$A:$A,增益!$H:$H,0))</f>
        <v>0</v>
      </c>
      <c r="AU113">
        <f>$D$11*(1+$AT113)</f>
        <v>0</v>
      </c>
      <c r="AV113">
        <f>$E$11*(1+$AT113)</f>
        <v>0</v>
      </c>
      <c r="AW113" s="49" cm="1">
        <f t="array" ref="AW113">IF($F$11-$I$4+VLOOKUP($Q113,武学奇术!$A:$ZZ,9,FALSE)+SUM(_xlfn.XLOOKUP(R113:AH113,增益!$A:$A,增益!$I:$I,0))&gt;0,($F$11-$I$4+VLOOKUP($Q113,武学奇术!$A:$ZZ,9,FALSE)+SUM(_xlfn.XLOOKUP(R113:AH113,增益!$A:$A,增益!$I:$I,0)))/200,($F$11-$I$4+VLOOKUP($Q113,武学奇术!$A:$ZZ,9,FALSE)+SUM(_xlfn.XLOOKUP(R113:AH113,增益!$A:$A,增益!$I:$I,0)))/100)</f>
        <v>-0.14</v>
      </c>
      <c r="AX113" s="49" cm="1">
        <f t="array" ref="AX113">$G$11+VLOOKUP($Q113,武学奇术!$A:$ZZ,10,FALSE)+SUM(_xlfn.XLOOKUP(R113:AH113,增益!$A:$A,增益!$J:$J,0))</f>
        <v>0</v>
      </c>
      <c r="AY113">
        <f>$D$12*(1+$AT113)</f>
        <v>0</v>
      </c>
      <c r="AZ113">
        <f>$E$12*(1+$AT113)</f>
        <v>0</v>
      </c>
      <c r="BA113" s="49" cm="1">
        <f t="array" ref="BA113">IF($F$12-$I$4+VLOOKUP($Q113,武学奇术!$A:$ZZ,11,FALSE)+SUM(_xlfn.XLOOKUP(R113:AH113,增益!$A:$A,增益!$K:$K,0))&gt;0,($F$12-$I$4+VLOOKUP($Q113,武学奇术!$A:$ZZ,11,FALSE)+SUM(_xlfn.XLOOKUP(R113:AH113,增益!$A:$A,增益!$K:$K,0)))/200,($F$12-$I$4+VLOOKUP($Q113,武学奇术!$A:$ZZ,11,FALSE)+SUM(_xlfn.XLOOKUP(R113:AH113,增益!$A:$A,增益!$K:$K,0)))/100)</f>
        <v>-0.14</v>
      </c>
      <c r="BB113" s="49" cm="1">
        <f t="array" ref="BB113">$G$12+VLOOKUP($Q113,武学奇术!$A:$ZZ,12,FALSE)+SUM(_xlfn.XLOOKUP(R113:AH113,增益!$A:$A,增益!$L:$L,0))</f>
        <v>0</v>
      </c>
      <c r="BC113">
        <f>$D$13*(1+$AT113)</f>
        <v>571.2</v>
      </c>
      <c r="BD113">
        <f>$E$13*(1+$AT113)</f>
        <v>1077.4</v>
      </c>
      <c r="BE113" s="49" cm="1">
        <f t="array" ref="BE113">IF($F$13-$I$4+VLOOKUP($Q113,武学奇术!$A:$ZZ,13,FALSE)+SUM(_xlfn.XLOOKUP(R113:AH113,增益!$A:$A,增益!$M:$M,0))&gt;0,($F$13-$I$4+VLOOKUP($Q113,武学奇术!$A:$ZZ,13,FALSE)+SUM(_xlfn.XLOOKUP(R113:AH113,增益!$A:$A,增益!$K:$K,0)))/200,($F$13-$I$4+VLOOKUP($Q113,武学奇术!$A:$ZZ,13,FALSE)+SUM(_xlfn.XLOOKUP(R113:AH113,增益!$A:$A,增益!$M:$M,0)))/100)</f>
        <v>0.08</v>
      </c>
      <c r="BF113" s="49" cm="1">
        <f t="array" ref="BF113">$G$13+VLOOKUP($Q113,武学奇术!$A:$ZZ,14,FALSE)+SUM(_xlfn.XLOOKUP(R113:AH113,增益!$A:$A,增益!$N:$N,0))</f>
        <v>0.25</v>
      </c>
      <c r="BG113">
        <f>$D$14*(1+$AT113)</f>
        <v>0</v>
      </c>
      <c r="BH113">
        <f>$E$14*(1+$AT113)</f>
        <v>0</v>
      </c>
      <c r="BI113" s="49" cm="1">
        <f t="array" ref="BI113">IF($F$14-$I$4+VLOOKUP($Q113,武学奇术!$A:$ZZ,15,FALSE)+SUM(_xlfn.XLOOKUP(R113:AH113,增益!$A:$A,增益!$O:$O,0))&gt;0,($F$14-$I$4+VLOOKUP($Q113,武学奇术!$A:$ZZ,15,FALSE)+SUM(_xlfn.XLOOKUP(R113:AH113,增益!$A:$A,增益!$O:$O,0)))/200,($F$14-$I$4+VLOOKUP($Q113,武学奇术!$A:$ZZ,15,FALSE)+SUM(_xlfn.XLOOKUP(R113:AH113,增益!$A:$A,增益!$O:$O,0)))/100)</f>
        <v>-0.14</v>
      </c>
      <c r="BJ113" s="49" cm="1">
        <f t="array" ref="BJ113">$G$14+VLOOKUP($Q113,武学奇术!$A:$ZZ,16,FALSE)+SUM(_xlfn.XLOOKUP(R113:AH113,增益!$A:$A,增益!$P:$P,0))</f>
        <v>0</v>
      </c>
      <c r="BK113" s="41">
        <f>MIN(IF(VLOOKUP($Q113,武学奇术!$A:$ZZ,23,FALSE)=1,100%,$B$8),100%)</f>
        <v>1</v>
      </c>
      <c r="BL113" s="41" cm="1">
        <f t="array" ref="BL113">IF(VLOOKUP($Q113,武学奇术!$A:$ZZ,23,FALSE)=1,100%,MIN(80%,$B$9+VLOOKUP($Q113,武学奇术!$A:$ZZ,17,FALSE)+SUM(_xlfn.XLOOKUP(R113:AH113,增益!$A:$A,增益!$Q:$Q,0)))+$B$11+SUM(_xlfn.XLOOKUP(R113:AH113,增益!$A:$A,增益!$U:$U,0)))*IF(VLOOKUP($Q113,武学奇术!$A:$ZZ,24,FALSE)=1,0,1)</f>
        <v>0.9045</v>
      </c>
      <c r="BM113" s="41" cm="1">
        <f t="array" ref="BM113">1+$B$13+VLOOKUP($Q113,武学奇术!$A:$ZZ,18,FALSE)+SUM(_xlfn.XLOOKUP(R113:AH113,增益!$A:$A,增益!$R:$R,0))</f>
        <v>2.21</v>
      </c>
      <c r="BN113" s="41" cm="1">
        <f t="array" ref="BN113">IF(VLOOKUP($Q113,武学奇术!$A:$ZZ,24,FALSE)=1,100%,MIN(40%,$B$10+VLOOKUP($Q113,武学奇术!$A:$ZZ,19,FALSE)+SUM(_xlfn.XLOOKUP(R113:AH113,增益!$A:$A,增益!$S:$S,0)))+$B$12+SUM(_xlfn.XLOOKUP(R113:AH113,增益!$A:$A,增益!$V:$V,0)))*IF(VLOOKUP($Q113,武学奇术!$A:$ZZ,23,FALSE)=1,0,1)</f>
        <v>0.0929</v>
      </c>
      <c r="BO113" s="41" cm="1">
        <f t="array" ref="BO113">1+$B$14+VLOOKUP($Q113,武学奇术!$A:$ZZ,20,FALSE)+SUM(_xlfn.XLOOKUP(R113:AH113,增益!$A:$A,增益!$T:$T,0))</f>
        <v>1.35</v>
      </c>
      <c r="BP113" s="41">
        <f>MIN((1-BN113)*BK113,BK113*BL113)</f>
        <v>0.9045</v>
      </c>
      <c r="BQ113" s="41">
        <f>1-BN113-BP113-BR113</f>
        <v>0.00260000000000005</v>
      </c>
      <c r="BR113" s="41">
        <f>IF(VLOOKUP($Q113,武学奇术!$A:$ZZ,22,FALSE)=1,0,(1-$BK113))*(1-$BN113)</f>
        <v>0</v>
      </c>
      <c r="BS113" s="41" cm="1">
        <f t="array" ref="BS113">SUM(_xlfn.XLOOKUP(R113:AH113,增益!$A:$A,增益!$W:$W,0))+$I$5</f>
        <v>0.11</v>
      </c>
    </row>
    <row r="114" spans="1:71">
      <c r="A114" s="4"/>
      <c r="B114" s="109"/>
      <c r="K114" s="55">
        <f>($L114*$BP114+$M114*$BN114+$N114*$BQ114+$O114*$BR114)</f>
        <v>453788.344062556</v>
      </c>
      <c r="L114" s="55">
        <f>((($AP114+$AQ114)/2*$AJ114+$AK114)*(1+$AR114)*(1+$AS114)+(($AU114+$AV114)/2*IF($G$1="鸣金",$AL114,$AJ114)+IF($G$1="鸣金",$AM114*1.5,0))*(1+$AW114)*(1+$AX114)+(($AY114+$AZ114)/2*IF($G$1="裂石",$AL114,$AJ114)+IF($G$1="裂石",$AM114*1.5,0))*(1+$BA114)*(1+$BB114)+(($BC114+$BD114)/2*IF($G$1="牵丝",$AL114,$AJ114)+IF($G$1="牵丝",$AM114*1.5,0))*(1+$BE114)*(1+$BF114)+(($BG114+$BH114)/2*IF($G$1="破竹",$AL114,$AJ114)+IF($G$1="破竹",$AM114*1.5,0))*(1+$BI114)*(1+$BJ114))*(1+$AN114)*$BM114*$P114*(1+IF(VLOOKUP($Q114,武学奇术!$A:$ZZ,30,FALSE)="弹道",$B$21,0))*(1+$BS114)</f>
        <v>460373.302309713</v>
      </c>
      <c r="M114" s="55">
        <f>(($AQ114*$AJ114+$AK114)*(1+$AR114)*(1+$AS114)+($AV114*IF($G$1="鸣金",$AL114,$AJ114)+IF($G$1="鸣金",$AM114*1.5,0))*(1+$AW114)*(1+$AX114)+($AZ114*IF($G$1="裂石",$AL114,$AJ114)+IF($G$1="裂石",$AM114*1.5,0))*(1+$BA114)*(1+$BB114)+($BD114*IF($G$1="牵丝",$AL114,$AJ114)+IF($G$1="牵丝",$AM114*1.5,0))*(1+$BE114)*(1+$BF114)+($BH114*IF($G$1="破竹",$AL114,$AJ114)+IF($G$1="破竹",$AM114*1.5,0))*(1+$BI114)*(1+$BJ114))*(1+$AN114)*$BO114*$P114*(1+IF(VLOOKUP($Q114,武学奇术!$A:$ZZ,30,FALSE)="弹道",$B$21,0))*(1+$BS114)</f>
        <v>396545.494872384</v>
      </c>
      <c r="N114" s="55">
        <f>((($AP114+$AQ114)/2*$AJ114+$AK114)*(1+$AR114)*(1+$AS114)+(($AU114+$AV114)/2*IF($G$1="鸣金",$AL114,$AJ114)+IF($G$1="鸣金",$AM114*1.5,0))*(1+$AW114)*(1+$AX114)+(($AY114+$AZ114)/2*IF($G$1="裂石",$AL114,$AJ114)+IF($G$1="裂石",$AM114*1.5,0))*(1+$BA114)*(1+$BB114)+(($BC114+$BD114)/2*IF($G$1="牵丝",$AL114,$AJ114)+IF($G$1="牵丝",$AM114*1.5,0))*(1+$BE114)*(1+$BF114)+(($BG114+$BH114)/2*IF($G$1="破竹",$AL114,$AJ114)+IF($G$1="破竹",$AM114*1.5,0))*(1+$BI114)*(1+$BJ114))*(1+$AN114)*$P114*(1+IF(VLOOKUP($Q114,武学奇术!$A:$ZZ,30,FALSE)="弹道",$B$21,0))*(1+$BS114)</f>
        <v>208313.711452359</v>
      </c>
      <c r="O114" s="55">
        <f>((($AP114*$AJ114+$AK114)*(1+$AR114)*(1+$AS114)+($AU114*IF($G$1="鸣金",$AL114,$AJ114)+IF($G$1="鸣金",$AM114*1.5,0))*(1+$AW114)*(1+$AX114)+($AY114*IF($G$1="裂石",$AL114,$AJ114)+IF($G$1="裂石",$AM114*1.5,0))*(1+$BA114)*(1+$BB114)+($BC114*IF($G$1="牵丝",$AL114,$AJ114)+IF($G$1="牵丝",$AM114*1.5,0))*(1+$BE114)*(1+$BF114)+($BG114*IF($G$1="破竹",$AL114,$AJ114)+IF($G$1="破竹",$AM114*1.5,0))*(1+$BI114)*(1+$BJ114))*(1+$AN114))*$P114*(1+IF(VLOOKUP($Q114,武学奇术!$A:$ZZ,30,FALSE)="弹道",$B$21,0))*(1+$BS114)</f>
        <v>122890.019295544</v>
      </c>
      <c r="P114" s="56">
        <v>5</v>
      </c>
      <c r="Q114" s="57" t="s">
        <v>102</v>
      </c>
      <c r="R114" s="57" t="s">
        <v>116</v>
      </c>
      <c r="S114" s="57" t="s">
        <v>153</v>
      </c>
      <c r="T114" s="57" t="s">
        <v>160</v>
      </c>
      <c r="U114" s="57" t="s">
        <v>157</v>
      </c>
      <c r="V114" s="57" t="s">
        <v>86</v>
      </c>
      <c r="W114" s="57" t="s">
        <v>72</v>
      </c>
      <c r="X114" s="57" t="s">
        <v>72</v>
      </c>
      <c r="Y114" s="57" t="s">
        <v>161</v>
      </c>
      <c r="Z114" s="57" t="s">
        <v>72</v>
      </c>
      <c r="AA114" s="57" t="s">
        <v>72</v>
      </c>
      <c r="AB114" s="57" t="s">
        <v>96</v>
      </c>
      <c r="AC114" s="57" t="s">
        <v>162</v>
      </c>
      <c r="AD114" s="57" t="s">
        <v>163</v>
      </c>
      <c r="AE114" s="57" t="s">
        <v>72</v>
      </c>
      <c r="AF114" s="57" t="s">
        <v>72</v>
      </c>
      <c r="AG114" s="57" t="s">
        <v>72</v>
      </c>
      <c r="AH114" s="57" t="s">
        <v>87</v>
      </c>
      <c r="AI114" t="str">
        <f>VLOOKUP($Q114,武学奇术!$A:$ZZ,25,FALSE)</f>
        <v>伞</v>
      </c>
      <c r="AJ114" s="41">
        <f>VLOOKUP($Q114,武学奇术!$A:$ZZ,26,FALSE)</f>
        <v>1.174955</v>
      </c>
      <c r="AK114" s="42">
        <f>VLOOKUP($Q114,武学奇术!$A:$ZZ,27,FALSE)*(1+IF(OR($AI114=$F$4,$AI114=$F$5),$B$22,0))</f>
        <v>454.02</v>
      </c>
      <c r="AL114" s="41">
        <f>VLOOKUP($Q114,武学奇术!$A:$ZZ,28,FALSE)</f>
        <v>1.762375</v>
      </c>
      <c r="AM114" s="42">
        <f>VLOOKUP($Q114,武学奇术!$A:$ZZ,29,FALSE)*(1+IF(OR($AI114=$F$4,$AI114=$F$5),$B$22,0))</f>
        <v>247.94</v>
      </c>
      <c r="AN114" s="41" cm="1">
        <f t="array" ref="AN114">$G$3+IFERROR(VLOOKUP($AI114,$F$4:$G$7,2,FALSE),0)+VLOOKUP($Q114,武学奇术!$A:$ZZ,2,FALSE)+SUM(_xlfn.XLOOKUP($R114:$AH114,增益!$A:$A,增益!$B:$B,0))</f>
        <v>1.1041</v>
      </c>
      <c r="AO114" s="41" cm="1">
        <f t="array" ref="AO114">VLOOKUP($Q114,武学奇术!$A:$ZZ,5,FALSE)+SUM(_xlfn.XLOOKUP($R114:$AH114,增益!$A:$A,增益!$E:$E,0))</f>
        <v>0.15</v>
      </c>
      <c r="AP114" cm="1">
        <f t="array" ref="AP114">$D$10*(1+$AO114)+VLOOKUP($Q114,武学奇术!$A:$ZZ,3,FALSE)+SUM(_xlfn.XLOOKUP($R114:$AH114,增益!$A:$A,增益!$C:$C,0))-$I$2</f>
        <v>2150.71</v>
      </c>
      <c r="AQ114" cm="1">
        <f t="array" ref="AQ114">$E$10*(1+$AO114)+VLOOKUP($Q114,武学奇术!$A:$ZZ,4,FALSE)+SUM(_xlfn.XLOOKUP($R114:$AH114,增益!$A:$A,增益!$D:$D,0))-$I$2</f>
        <v>6394.9</v>
      </c>
      <c r="AR114" s="49" cm="1">
        <f t="array" ref="AR114">IF($F$10-$I$3+VLOOKUP($Q114,武学奇术!$A:$ZZ,6,FALSE)+SUM(_xlfn.XLOOKUP(R114:AH114,增益!$A:$A,增益!$F:$F,0))&gt;0,($F$10-$I$3+VLOOKUP($Q114,武学奇术!$A:$ZZ,6,FALSE)+SUM(_xlfn.XLOOKUP(R114:AH114,增益!$A:$A,增益!$F:$F,0)))/200,($F$10-$I$3+VLOOKUP($Q114,武学奇术!$A:$ZZ,6,FALSE)+SUM(_xlfn.XLOOKUP(R114:AH114,增益!$A:$A,增益!$F:$F,0)))/100)</f>
        <v>0.4925</v>
      </c>
      <c r="AS114" s="49" cm="1">
        <f t="array" ref="AS114">$G$10+VLOOKUP($Q114,武学奇术!$A:$ZZ,7,FALSE)+SUM(_xlfn.XLOOKUP(R114:AH114,增益!$A:$A,增益!$G:$G,0))</f>
        <v>0.1</v>
      </c>
      <c r="AT114" s="41" cm="1">
        <f t="array" ref="AT114">VLOOKUP($Q114,武学奇术!$A:$ZZ,8,FALSE)+SUM(_xlfn.XLOOKUP(R114:AH114,增益!$A:$A,增益!$H:$H,0))</f>
        <v>0</v>
      </c>
      <c r="AU114">
        <f>$D$11*(1+$AT114)</f>
        <v>0</v>
      </c>
      <c r="AV114">
        <f>$E$11*(1+$AT114)</f>
        <v>0</v>
      </c>
      <c r="AW114" s="49" cm="1">
        <f t="array" ref="AW114">IF($F$11-$I$4+VLOOKUP($Q114,武学奇术!$A:$ZZ,9,FALSE)+SUM(_xlfn.XLOOKUP(R114:AH114,增益!$A:$A,增益!$I:$I,0))&gt;0,($F$11-$I$4+VLOOKUP($Q114,武学奇术!$A:$ZZ,9,FALSE)+SUM(_xlfn.XLOOKUP(R114:AH114,增益!$A:$A,增益!$I:$I,0)))/200,($F$11-$I$4+VLOOKUP($Q114,武学奇术!$A:$ZZ,9,FALSE)+SUM(_xlfn.XLOOKUP(R114:AH114,增益!$A:$A,增益!$I:$I,0)))/100)</f>
        <v>-0.14</v>
      </c>
      <c r="AX114" s="49" cm="1">
        <f t="array" ref="AX114">$G$11+VLOOKUP($Q114,武学奇术!$A:$ZZ,10,FALSE)+SUM(_xlfn.XLOOKUP(R114:AH114,增益!$A:$A,增益!$J:$J,0))</f>
        <v>0.1</v>
      </c>
      <c r="AY114">
        <f>$D$12*(1+$AT114)</f>
        <v>0</v>
      </c>
      <c r="AZ114">
        <f>$E$12*(1+$AT114)</f>
        <v>0</v>
      </c>
      <c r="BA114" s="49" cm="1">
        <f t="array" ref="BA114">IF($F$12-$I$4+VLOOKUP($Q114,武学奇术!$A:$ZZ,11,FALSE)+SUM(_xlfn.XLOOKUP(R114:AH114,增益!$A:$A,增益!$K:$K,0))&gt;0,($F$12-$I$4+VLOOKUP($Q114,武学奇术!$A:$ZZ,11,FALSE)+SUM(_xlfn.XLOOKUP(R114:AH114,增益!$A:$A,增益!$K:$K,0)))/200,($F$12-$I$4+VLOOKUP($Q114,武学奇术!$A:$ZZ,11,FALSE)+SUM(_xlfn.XLOOKUP(R114:AH114,增益!$A:$A,增益!$K:$K,0)))/100)</f>
        <v>-0.14</v>
      </c>
      <c r="BB114" s="49" cm="1">
        <f t="array" ref="BB114">$G$12+VLOOKUP($Q114,武学奇术!$A:$ZZ,12,FALSE)+SUM(_xlfn.XLOOKUP(R114:AH114,增益!$A:$A,增益!$L:$L,0))</f>
        <v>0</v>
      </c>
      <c r="BC114">
        <f>$D$13*(1+$AT114)</f>
        <v>571.2</v>
      </c>
      <c r="BD114">
        <f>$E$13*(1+$AT114)</f>
        <v>1077.4</v>
      </c>
      <c r="BE114" s="49" cm="1">
        <f t="array" ref="BE114">IF($F$13-$I$4+VLOOKUP($Q114,武学奇术!$A:$ZZ,13,FALSE)+SUM(_xlfn.XLOOKUP(R114:AH114,增益!$A:$A,增益!$M:$M,0))&gt;0,($F$13-$I$4+VLOOKUP($Q114,武学奇术!$A:$ZZ,13,FALSE)+SUM(_xlfn.XLOOKUP(R114:AH114,增益!$A:$A,增益!$K:$K,0)))/200,($F$13-$I$4+VLOOKUP($Q114,武学奇术!$A:$ZZ,13,FALSE)+SUM(_xlfn.XLOOKUP(R114:AH114,增益!$A:$A,增益!$M:$M,0)))/100)</f>
        <v>0.08</v>
      </c>
      <c r="BF114" s="49" cm="1">
        <f t="array" ref="BF114">$G$13+VLOOKUP($Q114,武学奇术!$A:$ZZ,14,FALSE)+SUM(_xlfn.XLOOKUP(R114:AH114,增益!$A:$A,增益!$N:$N,0))</f>
        <v>0.25</v>
      </c>
      <c r="BG114">
        <f>$D$14*(1+$AT114)</f>
        <v>0</v>
      </c>
      <c r="BH114">
        <f>$E$14*(1+$AT114)</f>
        <v>0</v>
      </c>
      <c r="BI114" s="49" cm="1">
        <f t="array" ref="BI114">IF($F$14-$I$4+VLOOKUP($Q114,武学奇术!$A:$ZZ,15,FALSE)+SUM(_xlfn.XLOOKUP(R114:AH114,增益!$A:$A,增益!$O:$O,0))&gt;0,($F$14-$I$4+VLOOKUP($Q114,武学奇术!$A:$ZZ,15,FALSE)+SUM(_xlfn.XLOOKUP(R114:AH114,增益!$A:$A,增益!$O:$O,0)))/200,($F$14-$I$4+VLOOKUP($Q114,武学奇术!$A:$ZZ,15,FALSE)+SUM(_xlfn.XLOOKUP(R114:AH114,增益!$A:$A,增益!$O:$O,0)))/100)</f>
        <v>-0.14</v>
      </c>
      <c r="BJ114" s="49" cm="1">
        <f t="array" ref="BJ114">$G$14+VLOOKUP($Q114,武学奇术!$A:$ZZ,16,FALSE)+SUM(_xlfn.XLOOKUP(R114:AH114,增益!$A:$A,增益!$P:$P,0))</f>
        <v>0</v>
      </c>
      <c r="BK114" s="41">
        <f>MIN(IF(VLOOKUP($Q114,武学奇术!$A:$ZZ,23,FALSE)=1,100%,$B$8),100%)</f>
        <v>1</v>
      </c>
      <c r="BL114" s="41" cm="1">
        <f t="array" ref="BL114">IF(VLOOKUP($Q114,武学奇术!$A:$ZZ,23,FALSE)=1,100%,MIN(80%,$B$9+VLOOKUP($Q114,武学奇术!$A:$ZZ,17,FALSE)+SUM(_xlfn.XLOOKUP(R114:AH114,增益!$A:$A,增益!$Q:$Q,0)))+$B$11+SUM(_xlfn.XLOOKUP(R114:AH114,增益!$A:$A,增益!$U:$U,0)))*IF(VLOOKUP($Q114,武学奇术!$A:$ZZ,24,FALSE)=1,0,1)</f>
        <v>0.9045</v>
      </c>
      <c r="BM114" s="41" cm="1">
        <f t="array" ref="BM114">1+$B$13+VLOOKUP($Q114,武学奇术!$A:$ZZ,18,FALSE)+SUM(_xlfn.XLOOKUP(R114:AH114,增益!$A:$A,增益!$R:$R,0))</f>
        <v>2.21</v>
      </c>
      <c r="BN114" s="41" cm="1">
        <f t="array" ref="BN114">IF(VLOOKUP($Q114,武学奇术!$A:$ZZ,24,FALSE)=1,100%,MIN(40%,$B$10+VLOOKUP($Q114,武学奇术!$A:$ZZ,19,FALSE)+SUM(_xlfn.XLOOKUP(R114:AH114,增益!$A:$A,增益!$S:$S,0)))+$B$12+SUM(_xlfn.XLOOKUP(R114:AH114,增益!$A:$A,增益!$V:$V,0)))*IF(VLOOKUP($Q114,武学奇术!$A:$ZZ,23,FALSE)=1,0,1)</f>
        <v>0.0929</v>
      </c>
      <c r="BO114" s="41" cm="1">
        <f t="array" ref="BO114">1+$B$14+VLOOKUP($Q114,武学奇术!$A:$ZZ,20,FALSE)+SUM(_xlfn.XLOOKUP(R114:AH114,增益!$A:$A,增益!$T:$T,0))</f>
        <v>1.35</v>
      </c>
      <c r="BP114" s="41">
        <f>MIN((1-BN114)*BK114,BK114*BL114)</f>
        <v>0.9045</v>
      </c>
      <c r="BQ114" s="41">
        <f>1-BN114-BP114-BR114</f>
        <v>0.00260000000000005</v>
      </c>
      <c r="BR114" s="41">
        <f>IF(VLOOKUP($Q114,武学奇术!$A:$ZZ,22,FALSE)=1,0,(1-$BK114))*(1-$BN114)</f>
        <v>0</v>
      </c>
      <c r="BS114" s="41" cm="1">
        <f t="array" ref="BS114">SUM(_xlfn.XLOOKUP(R114:AH114,增益!$A:$A,增益!$W:$W,0))+$I$5</f>
        <v>0.31</v>
      </c>
    </row>
    <row r="115" spans="1:71">
      <c r="A115" s="4"/>
      <c r="B115" s="109"/>
      <c r="K115" s="55">
        <f>($L115*$BP115+$M115*$BN115+$N115*$BQ115+$O115*$BR115)</f>
        <v>37927.2307937191</v>
      </c>
      <c r="L115" s="55">
        <f>((($AP115+$AQ115)/2*$AJ115+$AK115)*(1+$AR115)*(1+$AS115)+(($AU115+$AV115)/2*IF($G$1="鸣金",$AL115,$AJ115)+IF($G$1="鸣金",$AM115*1.5,0))*(1+$AW115)*(1+$AX115)+(($AY115+$AZ115)/2*IF($G$1="裂石",$AL115,$AJ115)+IF($G$1="裂石",$AM115*1.5,0))*(1+$BA115)*(1+$BB115)+(($BC115+$BD115)/2*IF($G$1="牵丝",$AL115,$AJ115)+IF($G$1="牵丝",$AM115*1.5,0))*(1+$BE115)*(1+$BF115)+(($BG115+$BH115)/2*IF($G$1="破竹",$AL115,$AJ115)+IF($G$1="破竹",$AM115*1.5,0))*(1+$BI115)*(1+$BJ115))*(1+$AN115)*$BM115*$P115*(1+IF(VLOOKUP($Q115,武学奇术!$A:$ZZ,30,FALSE)="弹道",$B$21,0))*(1+$BS115)</f>
        <v>37784.6043328284</v>
      </c>
      <c r="M115" s="55">
        <f>(($AQ115*$AJ115+$AK115)*(1+$AR115)*(1+$AS115)+($AV115*IF($G$1="鸣金",$AL115,$AJ115)+IF($G$1="鸣金",$AM115*1.5,0))*(1+$AW115)*(1+$AX115)+($AZ115*IF($G$1="裂石",$AL115,$AJ115)+IF($G$1="裂石",$AM115*1.5,0))*(1+$BA115)*(1+$BB115)+($BD115*IF($G$1="牵丝",$AL115,$AJ115)+IF($G$1="牵丝",$AM115*1.5,0))*(1+$BE115)*(1+$BF115)+($BH115*IF($G$1="破竹",$AL115,$AJ115)+IF($G$1="破竹",$AM115*1.5,0))*(1+$BI115)*(1+$BJ115))*(1+$AN115)*$BO115*$P115*(1+IF(VLOOKUP($Q115,武学奇术!$A:$ZZ,30,FALSE)="弹道",$B$21,0))*(1+$BS115)</f>
        <v>39805.7425996262</v>
      </c>
      <c r="N115" s="55">
        <f>((($AP115+$AQ115)/2*$AJ115+$AK115)*(1+$AR115)*(1+$AS115)+(($AU115+$AV115)/2*IF($G$1="鸣金",$AL115,$AJ115)+IF($G$1="鸣金",$AM115*1.5,0))*(1+$AW115)*(1+$AX115)+(($AY115+$AZ115)/2*IF($G$1="裂石",$AL115,$AJ115)+IF($G$1="裂石",$AM115*1.5,0))*(1+$BA115)*(1+$BB115)+(($BC115+$BD115)/2*IF($G$1="牵丝",$AL115,$AJ115)+IF($G$1="牵丝",$AM115*1.5,0))*(1+$BE115)*(1+$BF115)+(($BG115+$BH115)/2*IF($G$1="破竹",$AL115,$AJ115)+IF($G$1="破竹",$AM115*1.5,0))*(1+$BI115)*(1+$BJ115))*(1+$AN115)*$P115*(1+IF(VLOOKUP($Q115,武学奇术!$A:$ZZ,30,FALSE)="弹道",$B$21,0))*(1+$BS115)</f>
        <v>20424.1104501775</v>
      </c>
      <c r="O115" s="55">
        <f>((($AP115*$AJ115+$AK115)*(1+$AR115)*(1+$AS115)+($AU115*IF($G$1="鸣金",$AL115,$AJ115)+IF($G$1="鸣金",$AM115*1.5,0))*(1+$AW115)*(1+$AX115)+($AY115*IF($G$1="裂石",$AL115,$AJ115)+IF($G$1="裂石",$AM115*1.5,0))*(1+$BA115)*(1+$BB115)+($BC115*IF($G$1="牵丝",$AL115,$AJ115)+IF($G$1="牵丝",$AM115*1.5,0))*(1+$BE115)*(1+$BF115)+($BG115*IF($G$1="破竹",$AL115,$AJ115)+IF($G$1="破竹",$AM115*1.5,0))*(1+$BI115)*(1+$BJ115))*(1+$AN115))*$P115*(1+IF(VLOOKUP($Q115,武学奇术!$A:$ZZ,30,FALSE)="弹道",$B$21,0))*(1+$BS115)</f>
        <v>11362.4856413727</v>
      </c>
      <c r="P115" s="56">
        <v>1</v>
      </c>
      <c r="Q115" s="57" t="s">
        <v>169</v>
      </c>
      <c r="R115" s="57" t="s">
        <v>116</v>
      </c>
      <c r="S115" s="57" t="s">
        <v>153</v>
      </c>
      <c r="T115" s="57" t="s">
        <v>72</v>
      </c>
      <c r="U115" s="57" t="s">
        <v>157</v>
      </c>
      <c r="V115" s="57" t="s">
        <v>72</v>
      </c>
      <c r="W115" s="57" t="s">
        <v>72</v>
      </c>
      <c r="X115" s="57" t="s">
        <v>72</v>
      </c>
      <c r="Y115" s="57" t="s">
        <v>161</v>
      </c>
      <c r="Z115" s="57" t="s">
        <v>72</v>
      </c>
      <c r="AA115" s="57" t="s">
        <v>72</v>
      </c>
      <c r="AB115" s="57" t="s">
        <v>96</v>
      </c>
      <c r="AC115" s="57" t="s">
        <v>162</v>
      </c>
      <c r="AD115" s="57" t="s">
        <v>163</v>
      </c>
      <c r="AE115" s="57" t="s">
        <v>72</v>
      </c>
      <c r="AF115" s="57" t="s">
        <v>72</v>
      </c>
      <c r="AG115" s="57" t="s">
        <v>72</v>
      </c>
      <c r="AH115" s="57" t="s">
        <v>87</v>
      </c>
      <c r="AI115" t="str">
        <f>VLOOKUP($Q115,武学奇术!$A:$ZZ,25,FALSE)</f>
        <v>单体奇术</v>
      </c>
      <c r="AJ115" s="41">
        <f>VLOOKUP($Q115,武学奇术!$A:$ZZ,26,FALSE)</f>
        <v>1.2848</v>
      </c>
      <c r="AK115" s="42">
        <f>VLOOKUP($Q115,武学奇术!$A:$ZZ,27,FALSE)*(1+IF(OR($AI115=$F$4,$AI115=$F$5),$B$22,0))</f>
        <v>241.5</v>
      </c>
      <c r="AL115" s="41">
        <f>VLOOKUP($Q115,武学奇术!$A:$ZZ,28,FALSE)</f>
        <v>1.9272</v>
      </c>
      <c r="AM115" s="42">
        <f>VLOOKUP($Q115,武学奇术!$A:$ZZ,29,FALSE)*(1+IF(OR($AI115=$F$4,$AI115=$F$5),$B$22,0))</f>
        <v>0</v>
      </c>
      <c r="AN115" s="41" cm="1">
        <f t="array" ref="AN115">$G$3+IFERROR(VLOOKUP($AI115,$F$4:$G$7,2,FALSE),0)+VLOOKUP($Q115,武学奇术!$A:$ZZ,2,FALSE)+SUM(_xlfn.XLOOKUP($R115:$AH115,增益!$A:$A,增益!$B:$B,0))</f>
        <v>0.5015</v>
      </c>
      <c r="AO115" s="41" cm="1">
        <f t="array" ref="AO115">VLOOKUP($Q115,武学奇术!$A:$ZZ,5,FALSE)+SUM(_xlfn.XLOOKUP($R115:$AH115,增益!$A:$A,增益!$E:$E,0))</f>
        <v>0.15</v>
      </c>
      <c r="AP115" cm="1">
        <f t="array" ref="AP115">$D$10*(1+$AO115)+VLOOKUP($Q115,武学奇术!$A:$ZZ,3,FALSE)+SUM(_xlfn.XLOOKUP($R115:$AH115,增益!$A:$A,增益!$C:$C,0))-$I$2</f>
        <v>2150.71</v>
      </c>
      <c r="AQ115" cm="1">
        <f t="array" ref="AQ115">$E$10*(1+$AO115)+VLOOKUP($Q115,武学奇术!$A:$ZZ,4,FALSE)+SUM(_xlfn.XLOOKUP($R115:$AH115,增益!$A:$A,增益!$D:$D,0))-$I$2</f>
        <v>6394.9</v>
      </c>
      <c r="AR115" s="49" cm="1">
        <f t="array" ref="AR115">IF($F$10-$I$3+VLOOKUP($Q115,武学奇术!$A:$ZZ,6,FALSE)+SUM(_xlfn.XLOOKUP(R115:AH115,增益!$A:$A,增益!$F:$F,0))&gt;0,($F$10-$I$3+VLOOKUP($Q115,武学奇术!$A:$ZZ,6,FALSE)+SUM(_xlfn.XLOOKUP(R115:AH115,增益!$A:$A,增益!$F:$F,0)))/200,($F$10-$I$3+VLOOKUP($Q115,武学奇术!$A:$ZZ,6,FALSE)+SUM(_xlfn.XLOOKUP(R115:AH115,增益!$A:$A,增益!$F:$F,0)))/100)</f>
        <v>0.4675</v>
      </c>
      <c r="AS115" s="49" cm="1">
        <f t="array" ref="AS115">$G$10+VLOOKUP($Q115,武学奇术!$A:$ZZ,7,FALSE)+SUM(_xlfn.XLOOKUP(R115:AH115,增益!$A:$A,增益!$G:$G,0))</f>
        <v>0</v>
      </c>
      <c r="AT115" s="41" cm="1">
        <f t="array" ref="AT115">VLOOKUP($Q115,武学奇术!$A:$ZZ,8,FALSE)+SUM(_xlfn.XLOOKUP(R115:AH115,增益!$A:$A,增益!$H:$H,0))</f>
        <v>0</v>
      </c>
      <c r="AU115">
        <f>$D$11*(1+$AT115)</f>
        <v>0</v>
      </c>
      <c r="AV115">
        <f>$E$11*(1+$AT115)</f>
        <v>0</v>
      </c>
      <c r="AW115" s="49" cm="1">
        <f t="array" ref="AW115">IF($F$11-$I$4+VLOOKUP($Q115,武学奇术!$A:$ZZ,9,FALSE)+SUM(_xlfn.XLOOKUP(R115:AH115,增益!$A:$A,增益!$I:$I,0))&gt;0,($F$11-$I$4+VLOOKUP($Q115,武学奇术!$A:$ZZ,9,FALSE)+SUM(_xlfn.XLOOKUP(R115:AH115,增益!$A:$A,增益!$I:$I,0)))/200,($F$11-$I$4+VLOOKUP($Q115,武学奇术!$A:$ZZ,9,FALSE)+SUM(_xlfn.XLOOKUP(R115:AH115,增益!$A:$A,增益!$I:$I,0)))/100)</f>
        <v>-0.14</v>
      </c>
      <c r="AX115" s="49" cm="1">
        <f t="array" ref="AX115">$G$11+VLOOKUP($Q115,武学奇术!$A:$ZZ,10,FALSE)+SUM(_xlfn.XLOOKUP(R115:AH115,增益!$A:$A,增益!$J:$J,0))</f>
        <v>0.1</v>
      </c>
      <c r="AY115">
        <f>$D$12*(1+$AT115)</f>
        <v>0</v>
      </c>
      <c r="AZ115">
        <f>$E$12*(1+$AT115)</f>
        <v>0</v>
      </c>
      <c r="BA115" s="49" cm="1">
        <f t="array" ref="BA115">IF($F$12-$I$4+VLOOKUP($Q115,武学奇术!$A:$ZZ,11,FALSE)+SUM(_xlfn.XLOOKUP(R115:AH115,增益!$A:$A,增益!$K:$K,0))&gt;0,($F$12-$I$4+VLOOKUP($Q115,武学奇术!$A:$ZZ,11,FALSE)+SUM(_xlfn.XLOOKUP(R115:AH115,增益!$A:$A,增益!$K:$K,0)))/200,($F$12-$I$4+VLOOKUP($Q115,武学奇术!$A:$ZZ,11,FALSE)+SUM(_xlfn.XLOOKUP(R115:AH115,增益!$A:$A,增益!$K:$K,0)))/100)</f>
        <v>-0.14</v>
      </c>
      <c r="BB115" s="49" cm="1">
        <f t="array" ref="BB115">$G$12+VLOOKUP($Q115,武学奇术!$A:$ZZ,12,FALSE)+SUM(_xlfn.XLOOKUP(R115:AH115,增益!$A:$A,增益!$L:$L,0))</f>
        <v>0</v>
      </c>
      <c r="BC115">
        <f>$D$13*(1+$AT115)</f>
        <v>571.2</v>
      </c>
      <c r="BD115">
        <f>$E$13*(1+$AT115)</f>
        <v>1077.4</v>
      </c>
      <c r="BE115" s="49" cm="1">
        <f t="array" ref="BE115">IF($F$13-$I$4+VLOOKUP($Q115,武学奇术!$A:$ZZ,13,FALSE)+SUM(_xlfn.XLOOKUP(R115:AH115,增益!$A:$A,增益!$M:$M,0))&gt;0,($F$13-$I$4+VLOOKUP($Q115,武学奇术!$A:$ZZ,13,FALSE)+SUM(_xlfn.XLOOKUP(R115:AH115,增益!$A:$A,增益!$K:$K,0)))/200,($F$13-$I$4+VLOOKUP($Q115,武学奇术!$A:$ZZ,13,FALSE)+SUM(_xlfn.XLOOKUP(R115:AH115,增益!$A:$A,增益!$M:$M,0)))/100)</f>
        <v>0.08</v>
      </c>
      <c r="BF115" s="49" cm="1">
        <f t="array" ref="BF115">$G$13+VLOOKUP($Q115,武学奇术!$A:$ZZ,14,FALSE)+SUM(_xlfn.XLOOKUP(R115:AH115,增益!$A:$A,增益!$N:$N,0))</f>
        <v>0.15</v>
      </c>
      <c r="BG115">
        <f>$D$14*(1+$AT115)</f>
        <v>0</v>
      </c>
      <c r="BH115">
        <f>$E$14*(1+$AT115)</f>
        <v>0</v>
      </c>
      <c r="BI115" s="49" cm="1">
        <f t="array" ref="BI115">IF($F$14-$I$4+VLOOKUP($Q115,武学奇术!$A:$ZZ,15,FALSE)+SUM(_xlfn.XLOOKUP(R115:AH115,增益!$A:$A,增益!$O:$O,0))&gt;0,($F$14-$I$4+VLOOKUP($Q115,武学奇术!$A:$ZZ,15,FALSE)+SUM(_xlfn.XLOOKUP(R115:AH115,增益!$A:$A,增益!$O:$O,0)))/200,($F$14-$I$4+VLOOKUP($Q115,武学奇术!$A:$ZZ,15,FALSE)+SUM(_xlfn.XLOOKUP(R115:AH115,增益!$A:$A,增益!$O:$O,0)))/100)</f>
        <v>-0.14</v>
      </c>
      <c r="BJ115" s="49" cm="1">
        <f t="array" ref="BJ115">$G$14+VLOOKUP($Q115,武学奇术!$A:$ZZ,16,FALSE)+SUM(_xlfn.XLOOKUP(R115:AH115,增益!$A:$A,增益!$P:$P,0))</f>
        <v>0</v>
      </c>
      <c r="BK115" s="41">
        <f>MIN(IF(VLOOKUP($Q115,武学奇术!$A:$ZZ,23,FALSE)=1,100%,$B$8),100%)</f>
        <v>1</v>
      </c>
      <c r="BL115" s="41" cm="1">
        <f t="array" ref="BL115">IF(VLOOKUP($Q115,武学奇术!$A:$ZZ,23,FALSE)=1,100%,MIN(80%,$B$9+VLOOKUP($Q115,武学奇术!$A:$ZZ,17,FALSE)+SUM(_xlfn.XLOOKUP(R115:AH115,增益!$A:$A,增益!$Q:$Q,0)))+$B$11+SUM(_xlfn.XLOOKUP(R115:AH115,增益!$A:$A,增益!$U:$U,0)))*IF(VLOOKUP($Q115,武学奇术!$A:$ZZ,24,FALSE)=1,0,1)</f>
        <v>0.9045</v>
      </c>
      <c r="BM115" s="41" cm="1">
        <f t="array" ref="BM115">1+$B$13+VLOOKUP($Q115,武学奇术!$A:$ZZ,18,FALSE)+SUM(_xlfn.XLOOKUP(R115:AH115,增益!$A:$A,增益!$R:$R,0))</f>
        <v>1.85</v>
      </c>
      <c r="BN115" s="41" cm="1">
        <f t="array" ref="BN115">IF(VLOOKUP($Q115,武学奇术!$A:$ZZ,24,FALSE)=1,100%,MIN(40%,$B$10+VLOOKUP($Q115,武学奇术!$A:$ZZ,19,FALSE)+SUM(_xlfn.XLOOKUP(R115:AH115,增益!$A:$A,增益!$S:$S,0)))+$B$12+SUM(_xlfn.XLOOKUP(R115:AH115,增益!$A:$A,增益!$V:$V,0)))*IF(VLOOKUP($Q115,武学奇术!$A:$ZZ,23,FALSE)=1,0,1)</f>
        <v>0.0929</v>
      </c>
      <c r="BO115" s="41" cm="1">
        <f t="array" ref="BO115">1+$B$14+VLOOKUP($Q115,武学奇术!$A:$ZZ,20,FALSE)+SUM(_xlfn.XLOOKUP(R115:AH115,增益!$A:$A,增益!$T:$T,0))</f>
        <v>1.35</v>
      </c>
      <c r="BP115" s="41">
        <f>MIN((1-BN115)*BK115,BK115*BL115)</f>
        <v>0.9045</v>
      </c>
      <c r="BQ115" s="41">
        <f>1-BN115-BP115-BR115</f>
        <v>0.00260000000000005</v>
      </c>
      <c r="BR115" s="41">
        <f>IF(VLOOKUP($Q115,武学奇术!$A:$ZZ,22,FALSE)=1,0,(1-$BK115))*(1-$BN115)</f>
        <v>0</v>
      </c>
      <c r="BS115" s="41" cm="1">
        <f t="array" ref="BS115">SUM(_xlfn.XLOOKUP(R115:AH115,增益!$A:$A,增益!$W:$W,0))+$I$5</f>
        <v>0.31</v>
      </c>
    </row>
    <row r="116" spans="1:71">
      <c r="A116" s="4"/>
      <c r="B116" s="4"/>
      <c r="K116" s="55">
        <f>($L116*$BP116+$M116*$BN116+$N116*$BQ116+$O116*$BR116)</f>
        <v>69808.1891671733</v>
      </c>
      <c r="L116" s="55">
        <f>((($AP116+$AQ116)/2*$AJ116+$AK116)*(1+$AR116)*(1+$AS116)+(($AU116+$AV116)/2*IF($G$1="鸣金",$AL116,$AJ116)+IF($G$1="鸣金",$AM116*1.5,0))*(1+$AW116)*(1+$AX116)+(($AY116+$AZ116)/2*IF($G$1="裂石",$AL116,$AJ116)+IF($G$1="裂石",$AM116*1.5,0))*(1+$BA116)*(1+$BB116)+(($BC116+$BD116)/2*IF($G$1="牵丝",$AL116,$AJ116)+IF($G$1="牵丝",$AM116*1.5,0))*(1+$BE116)*(1+$BF116)+(($BG116+$BH116)/2*IF($G$1="破竹",$AL116,$AJ116)+IF($G$1="破竹",$AM116*1.5,0))*(1+$BI116)*(1+$BJ116))*(1+$AN116)*$BM116*$P116*(1+IF(VLOOKUP($Q116,武学奇术!$A:$ZZ,30,FALSE)="弹道",$B$21,0))*(1+$BS116)</f>
        <v>69544.9286195277</v>
      </c>
      <c r="M116" s="55">
        <f>(($AQ116*$AJ116+$AK116)*(1+$AR116)*(1+$AS116)+($AV116*IF($G$1="鸣金",$AL116,$AJ116)+IF($G$1="鸣金",$AM116*1.5,0))*(1+$AW116)*(1+$AX116)+($AZ116*IF($G$1="裂石",$AL116,$AJ116)+IF($G$1="裂石",$AM116*1.5,0))*(1+$BA116)*(1+$BB116)+($BD116*IF($G$1="牵丝",$AL116,$AJ116)+IF($G$1="牵丝",$AM116*1.5,0))*(1+$BE116)*(1+$BF116)+($BH116*IF($G$1="破竹",$AL116,$AJ116)+IF($G$1="破竹",$AM116*1.5,0))*(1+$BI116)*(1+$BJ116))*(1+$AN116)*$BO116*$P116*(1+IF(VLOOKUP($Q116,武学奇术!$A:$ZZ,30,FALSE)="弹道",$B$21,0))*(1+$BS116)</f>
        <v>73273.0076664161</v>
      </c>
      <c r="N116" s="55">
        <f>((($AP116+$AQ116)/2*$AJ116+$AK116)*(1+$AR116)*(1+$AS116)+(($AU116+$AV116)/2*IF($G$1="鸣金",$AL116,$AJ116)+IF($G$1="鸣金",$AM116*1.5,0))*(1+$AW116)*(1+$AX116)+(($AY116+$AZ116)/2*IF($G$1="裂石",$AL116,$AJ116)+IF($G$1="裂石",$AM116*1.5,0))*(1+$BA116)*(1+$BB116)+(($BC116+$BD116)/2*IF($G$1="牵丝",$AL116,$AJ116)+IF($G$1="牵丝",$AM116*1.5,0))*(1+$BE116)*(1+$BF116)+(($BG116+$BH116)/2*IF($G$1="破竹",$AL116,$AJ116)+IF($G$1="破竹",$AM116*1.5,0))*(1+$BI116)*(1+$BJ116))*(1+$AN116)*$P116*(1+IF(VLOOKUP($Q116,武学奇术!$A:$ZZ,30,FALSE)="弹道",$B$21,0))*(1+$BS116)</f>
        <v>37591.8533078528</v>
      </c>
      <c r="O116" s="55">
        <f>((($AP116*$AJ116+$AK116)*(1+$AR116)*(1+$AS116)+($AU116*IF($G$1="鸣金",$AL116,$AJ116)+IF($G$1="鸣金",$AM116*1.5,0))*(1+$AW116)*(1+$AX116)+($AY116*IF($G$1="裂石",$AL116,$AJ116)+IF($G$1="裂石",$AM116*1.5,0))*(1+$BA116)*(1+$BB116)+($BC116*IF($G$1="牵丝",$AL116,$AJ116)+IF($G$1="牵丝",$AM116*1.5,0))*(1+$BE116)*(1+$BF116)+($BG116*IF($G$1="破竹",$AL116,$AJ116)+IF($G$1="破竹",$AM116*1.5,0))*(1+$BI116)*(1+$BJ116))*(1+$AN116))*$P116*(1+IF(VLOOKUP($Q116,武学奇术!$A:$ZZ,30,FALSE)="弹道",$B$21,0))*(1+$BS116)</f>
        <v>20907.4046405826</v>
      </c>
      <c r="P116" s="56">
        <v>8</v>
      </c>
      <c r="Q116" s="57" t="s">
        <v>170</v>
      </c>
      <c r="R116" s="57" t="s">
        <v>116</v>
      </c>
      <c r="S116" s="57" t="s">
        <v>153</v>
      </c>
      <c r="T116" s="57" t="s">
        <v>72</v>
      </c>
      <c r="U116" s="57" t="s">
        <v>157</v>
      </c>
      <c r="V116" s="57" t="s">
        <v>72</v>
      </c>
      <c r="W116" s="57" t="s">
        <v>72</v>
      </c>
      <c r="X116" s="57" t="s">
        <v>72</v>
      </c>
      <c r="Y116" s="57" t="s">
        <v>161</v>
      </c>
      <c r="Z116" s="57" t="s">
        <v>72</v>
      </c>
      <c r="AA116" s="57" t="s">
        <v>72</v>
      </c>
      <c r="AB116" s="57" t="s">
        <v>96</v>
      </c>
      <c r="AC116" s="57" t="s">
        <v>162</v>
      </c>
      <c r="AD116" s="57" t="s">
        <v>163</v>
      </c>
      <c r="AE116" s="57" t="s">
        <v>72</v>
      </c>
      <c r="AF116" s="57" t="s">
        <v>72</v>
      </c>
      <c r="AG116" s="57" t="s">
        <v>72</v>
      </c>
      <c r="AH116" s="57" t="s">
        <v>87</v>
      </c>
      <c r="AI116" t="str">
        <f>VLOOKUP($Q116,武学奇术!$A:$ZZ,25,FALSE)</f>
        <v>单体奇术</v>
      </c>
      <c r="AJ116" s="41">
        <f>VLOOKUP($Q116,武学奇术!$A:$ZZ,26,FALSE)</f>
        <v>0.2957</v>
      </c>
      <c r="AK116" s="42">
        <f>VLOOKUP($Q116,武学奇术!$A:$ZZ,27,FALSE)*(1+IF(OR($AI116=$F$4,$AI116=$F$5),$B$22,0))</f>
        <v>55</v>
      </c>
      <c r="AL116" s="41">
        <f>VLOOKUP($Q116,武学奇术!$A:$ZZ,28,FALSE)</f>
        <v>0.44355</v>
      </c>
      <c r="AM116" s="42">
        <f>VLOOKUP($Q116,武学奇术!$A:$ZZ,29,FALSE)*(1+IF(OR($AI116=$F$4,$AI116=$F$5),$B$22,0))</f>
        <v>0</v>
      </c>
      <c r="AN116" s="41" cm="1">
        <f t="array" ref="AN116">$G$3+IFERROR(VLOOKUP($AI116,$F$4:$G$7,2,FALSE),0)+VLOOKUP($Q116,武学奇术!$A:$ZZ,2,FALSE)+SUM(_xlfn.XLOOKUP($R116:$AH116,增益!$A:$A,增益!$B:$B,0))</f>
        <v>0.5015</v>
      </c>
      <c r="AO116" s="41" cm="1">
        <f t="array" ref="AO116">VLOOKUP($Q116,武学奇术!$A:$ZZ,5,FALSE)+SUM(_xlfn.XLOOKUP($R116:$AH116,增益!$A:$A,增益!$E:$E,0))</f>
        <v>0.15</v>
      </c>
      <c r="AP116" cm="1">
        <f t="array" ref="AP116">$D$10*(1+$AO116)+VLOOKUP($Q116,武学奇术!$A:$ZZ,3,FALSE)+SUM(_xlfn.XLOOKUP($R116:$AH116,增益!$A:$A,增益!$C:$C,0))-$I$2</f>
        <v>2150.71</v>
      </c>
      <c r="AQ116" cm="1">
        <f t="array" ref="AQ116">$E$10*(1+$AO116)+VLOOKUP($Q116,武学奇术!$A:$ZZ,4,FALSE)+SUM(_xlfn.XLOOKUP($R116:$AH116,增益!$A:$A,增益!$D:$D,0))-$I$2</f>
        <v>6394.9</v>
      </c>
      <c r="AR116" s="49" cm="1">
        <f t="array" ref="AR116">IF($F$10-$I$3+VLOOKUP($Q116,武学奇术!$A:$ZZ,6,FALSE)+SUM(_xlfn.XLOOKUP(R116:AH116,增益!$A:$A,增益!$F:$F,0))&gt;0,($F$10-$I$3+VLOOKUP($Q116,武学奇术!$A:$ZZ,6,FALSE)+SUM(_xlfn.XLOOKUP(R116:AH116,增益!$A:$A,增益!$F:$F,0)))/200,($F$10-$I$3+VLOOKUP($Q116,武学奇术!$A:$ZZ,6,FALSE)+SUM(_xlfn.XLOOKUP(R116:AH116,增益!$A:$A,增益!$F:$F,0)))/100)</f>
        <v>0.4675</v>
      </c>
      <c r="AS116" s="49" cm="1">
        <f t="array" ref="AS116">$G$10+VLOOKUP($Q116,武学奇术!$A:$ZZ,7,FALSE)+SUM(_xlfn.XLOOKUP(R116:AH116,增益!$A:$A,增益!$G:$G,0))</f>
        <v>0</v>
      </c>
      <c r="AT116" s="41" cm="1">
        <f t="array" ref="AT116">VLOOKUP($Q116,武学奇术!$A:$ZZ,8,FALSE)+SUM(_xlfn.XLOOKUP(R116:AH116,增益!$A:$A,增益!$H:$H,0))</f>
        <v>0</v>
      </c>
      <c r="AU116">
        <f>$D$11*(1+$AT116)</f>
        <v>0</v>
      </c>
      <c r="AV116">
        <f>$E$11*(1+$AT116)</f>
        <v>0</v>
      </c>
      <c r="AW116" s="49" cm="1">
        <f t="array" ref="AW116">IF($F$11-$I$4+VLOOKUP($Q116,武学奇术!$A:$ZZ,9,FALSE)+SUM(_xlfn.XLOOKUP(R116:AH116,增益!$A:$A,增益!$I:$I,0))&gt;0,($F$11-$I$4+VLOOKUP($Q116,武学奇术!$A:$ZZ,9,FALSE)+SUM(_xlfn.XLOOKUP(R116:AH116,增益!$A:$A,增益!$I:$I,0)))/200,($F$11-$I$4+VLOOKUP($Q116,武学奇术!$A:$ZZ,9,FALSE)+SUM(_xlfn.XLOOKUP(R116:AH116,增益!$A:$A,增益!$I:$I,0)))/100)</f>
        <v>-0.14</v>
      </c>
      <c r="AX116" s="49" cm="1">
        <f t="array" ref="AX116">$G$11+VLOOKUP($Q116,武学奇术!$A:$ZZ,10,FALSE)+SUM(_xlfn.XLOOKUP(R116:AH116,增益!$A:$A,增益!$J:$J,0))</f>
        <v>0.1</v>
      </c>
      <c r="AY116">
        <f>$D$12*(1+$AT116)</f>
        <v>0</v>
      </c>
      <c r="AZ116">
        <f>$E$12*(1+$AT116)</f>
        <v>0</v>
      </c>
      <c r="BA116" s="49" cm="1">
        <f t="array" ref="BA116">IF($F$12-$I$4+VLOOKUP($Q116,武学奇术!$A:$ZZ,11,FALSE)+SUM(_xlfn.XLOOKUP(R116:AH116,增益!$A:$A,增益!$K:$K,0))&gt;0,($F$12-$I$4+VLOOKUP($Q116,武学奇术!$A:$ZZ,11,FALSE)+SUM(_xlfn.XLOOKUP(R116:AH116,增益!$A:$A,增益!$K:$K,0)))/200,($F$12-$I$4+VLOOKUP($Q116,武学奇术!$A:$ZZ,11,FALSE)+SUM(_xlfn.XLOOKUP(R116:AH116,增益!$A:$A,增益!$K:$K,0)))/100)</f>
        <v>-0.14</v>
      </c>
      <c r="BB116" s="49" cm="1">
        <f t="array" ref="BB116">$G$12+VLOOKUP($Q116,武学奇术!$A:$ZZ,12,FALSE)+SUM(_xlfn.XLOOKUP(R116:AH116,增益!$A:$A,增益!$L:$L,0))</f>
        <v>0</v>
      </c>
      <c r="BC116">
        <f>$D$13*(1+$AT116)</f>
        <v>571.2</v>
      </c>
      <c r="BD116">
        <f>$E$13*(1+$AT116)</f>
        <v>1077.4</v>
      </c>
      <c r="BE116" s="49" cm="1">
        <f t="array" ref="BE116">IF($F$13-$I$4+VLOOKUP($Q116,武学奇术!$A:$ZZ,13,FALSE)+SUM(_xlfn.XLOOKUP(R116:AH116,增益!$A:$A,增益!$M:$M,0))&gt;0,($F$13-$I$4+VLOOKUP($Q116,武学奇术!$A:$ZZ,13,FALSE)+SUM(_xlfn.XLOOKUP(R116:AH116,增益!$A:$A,增益!$K:$K,0)))/200,($F$13-$I$4+VLOOKUP($Q116,武学奇术!$A:$ZZ,13,FALSE)+SUM(_xlfn.XLOOKUP(R116:AH116,增益!$A:$A,增益!$M:$M,0)))/100)</f>
        <v>0.08</v>
      </c>
      <c r="BF116" s="49" cm="1">
        <f t="array" ref="BF116">$G$13+VLOOKUP($Q116,武学奇术!$A:$ZZ,14,FALSE)+SUM(_xlfn.XLOOKUP(R116:AH116,增益!$A:$A,增益!$N:$N,0))</f>
        <v>0.15</v>
      </c>
      <c r="BG116">
        <f>$D$14*(1+$AT116)</f>
        <v>0</v>
      </c>
      <c r="BH116">
        <f>$E$14*(1+$AT116)</f>
        <v>0</v>
      </c>
      <c r="BI116" s="49" cm="1">
        <f t="array" ref="BI116">IF($F$14-$I$4+VLOOKUP($Q116,武学奇术!$A:$ZZ,15,FALSE)+SUM(_xlfn.XLOOKUP(R116:AH116,增益!$A:$A,增益!$O:$O,0))&gt;0,($F$14-$I$4+VLOOKUP($Q116,武学奇术!$A:$ZZ,15,FALSE)+SUM(_xlfn.XLOOKUP(R116:AH116,增益!$A:$A,增益!$O:$O,0)))/200,($F$14-$I$4+VLOOKUP($Q116,武学奇术!$A:$ZZ,15,FALSE)+SUM(_xlfn.XLOOKUP(R116:AH116,增益!$A:$A,增益!$O:$O,0)))/100)</f>
        <v>-0.14</v>
      </c>
      <c r="BJ116" s="49" cm="1">
        <f t="array" ref="BJ116">$G$14+VLOOKUP($Q116,武学奇术!$A:$ZZ,16,FALSE)+SUM(_xlfn.XLOOKUP(R116:AH116,增益!$A:$A,增益!$P:$P,0))</f>
        <v>0</v>
      </c>
      <c r="BK116" s="41">
        <f>MIN(IF(VLOOKUP($Q116,武学奇术!$A:$ZZ,23,FALSE)=1,100%,$B$8),100%)</f>
        <v>1</v>
      </c>
      <c r="BL116" s="41" cm="1">
        <f t="array" ref="BL116">IF(VLOOKUP($Q116,武学奇术!$A:$ZZ,23,FALSE)=1,100%,MIN(80%,$B$9+VLOOKUP($Q116,武学奇术!$A:$ZZ,17,FALSE)+SUM(_xlfn.XLOOKUP(R116:AH116,增益!$A:$A,增益!$Q:$Q,0)))+$B$11+SUM(_xlfn.XLOOKUP(R116:AH116,增益!$A:$A,增益!$U:$U,0)))*IF(VLOOKUP($Q116,武学奇术!$A:$ZZ,24,FALSE)=1,0,1)</f>
        <v>0.9045</v>
      </c>
      <c r="BM116" s="41" cm="1">
        <f t="array" ref="BM116">1+$B$13+VLOOKUP($Q116,武学奇术!$A:$ZZ,18,FALSE)+SUM(_xlfn.XLOOKUP(R116:AH116,增益!$A:$A,增益!$R:$R,0))</f>
        <v>1.85</v>
      </c>
      <c r="BN116" s="41" cm="1">
        <f t="array" ref="BN116">IF(VLOOKUP($Q116,武学奇术!$A:$ZZ,24,FALSE)=1,100%,MIN(40%,$B$10+VLOOKUP($Q116,武学奇术!$A:$ZZ,19,FALSE)+SUM(_xlfn.XLOOKUP(R116:AH116,增益!$A:$A,增益!$S:$S,0)))+$B$12+SUM(_xlfn.XLOOKUP(R116:AH116,增益!$A:$A,增益!$V:$V,0)))*IF(VLOOKUP($Q116,武学奇术!$A:$ZZ,23,FALSE)=1,0,1)</f>
        <v>0.0929</v>
      </c>
      <c r="BO116" s="41" cm="1">
        <f t="array" ref="BO116">1+$B$14+VLOOKUP($Q116,武学奇术!$A:$ZZ,20,FALSE)+SUM(_xlfn.XLOOKUP(R116:AH116,增益!$A:$A,增益!$T:$T,0))</f>
        <v>1.35</v>
      </c>
      <c r="BP116" s="41">
        <f>MIN((1-BN116)*BK116,BK116*BL116)</f>
        <v>0.9045</v>
      </c>
      <c r="BQ116" s="41">
        <f>1-BN116-BP116-BR116</f>
        <v>0.00260000000000005</v>
      </c>
      <c r="BR116" s="41">
        <f>IF(VLOOKUP($Q116,武学奇术!$A:$ZZ,22,FALSE)=1,0,(1-$BK116))*(1-$BN116)</f>
        <v>0</v>
      </c>
      <c r="BS116" s="41" cm="1">
        <f t="array" ref="BS116">SUM(_xlfn.XLOOKUP(R116:AH116,增益!$A:$A,增益!$W:$W,0))+$I$5</f>
        <v>0.31</v>
      </c>
    </row>
    <row r="117" spans="1:71">
      <c r="A117" s="4"/>
      <c r="B117" s="4"/>
      <c r="K117" s="55">
        <f t="shared" ref="K117:K147" si="31">($L117*$BP117+$M117*$BN117+$N117*$BQ117+$O117*$BR117)</f>
        <v>181227.805238244</v>
      </c>
      <c r="L117" s="55">
        <f>((($AP117+$AQ117)/2*$AJ117+$AK117)*(1+$AR117)*(1+$AS117)+(($AU117+$AV117)/2*IF($G$1="鸣金",$AL117,$AJ117)+IF($G$1="鸣金",$AM117*1.5,0))*(1+$AW117)*(1+$AX117)+(($AY117+$AZ117)/2*IF($G$1="裂石",$AL117,$AJ117)+IF($G$1="裂石",$AM117*1.5,0))*(1+$BA117)*(1+$BB117)+(($BC117+$BD117)/2*IF($G$1="牵丝",$AL117,$AJ117)+IF($G$1="牵丝",$AM117*1.5,0))*(1+$BE117)*(1+$BF117)+(($BG117+$BH117)/2*IF($G$1="破竹",$AL117,$AJ117)+IF($G$1="破竹",$AM117*1.5,0))*(1+$BI117)*(1+$BJ117))*(1+$AN117)*$BM117*$P117*(1+IF(VLOOKUP($Q117,武学奇术!$A:$ZZ,30,FALSE)="弹道",$B$21,0))*(1+$BS117)</f>
        <v>180542.98955126</v>
      </c>
      <c r="M117" s="55">
        <f>(($AQ117*$AJ117+$AK117)*(1+$AR117)*(1+$AS117)+($AV117*IF($G$1="鸣金",$AL117,$AJ117)+IF($G$1="鸣金",$AM117*1.5,0))*(1+$AW117)*(1+$AX117)+($AZ117*IF($G$1="裂石",$AL117,$AJ117)+IF($G$1="裂石",$AM117*1.5,0))*(1+$BA117)*(1+$BB117)+($BD117*IF($G$1="牵丝",$AL117,$AJ117)+IF($G$1="牵丝",$AM117*1.5,0))*(1+$BE117)*(1+$BF117)+($BH117*IF($G$1="破竹",$AL117,$AJ117)+IF($G$1="破竹",$AM117*1.5,0))*(1+$BI117)*(1+$BJ117))*(1+$AN117)*$BO117*$P117*(1+IF(VLOOKUP($Q117,武学奇术!$A:$ZZ,30,FALSE)="弹道",$B$21,0))*(1+$BS117)</f>
        <v>190236.115131389</v>
      </c>
      <c r="N117" s="55">
        <f>((($AP117+$AQ117)/2*$AJ117+$AK117)*(1+$AR117)*(1+$AS117)+(($AU117+$AV117)/2*IF($G$1="鸣金",$AL117,$AJ117)+IF($G$1="鸣金",$AM117*1.5,0))*(1+$AW117)*(1+$AX117)+(($AY117+$AZ117)/2*IF($G$1="裂石",$AL117,$AJ117)+IF($G$1="裂石",$AM117*1.5,0))*(1+$BA117)*(1+$BB117)+(($BC117+$BD117)/2*IF($G$1="牵丝",$AL117,$AJ117)+IF($G$1="牵丝",$AM117*1.5,0))*(1+$BE117)*(1+$BF117)+(($BG117+$BH117)/2*IF($G$1="破竹",$AL117,$AJ117)+IF($G$1="破竹",$AM117*1.5,0))*(1+$BI117)*(1+$BJ117))*(1+$AN117)*$P117*(1+IF(VLOOKUP($Q117,武学奇术!$A:$ZZ,30,FALSE)="弹道",$B$21,0))*(1+$BS117)</f>
        <v>97590.805162843</v>
      </c>
      <c r="O117" s="55">
        <f>((($AP117*$AJ117+$AK117)*(1+$AR117)*(1+$AS117)+($AU117*IF($G$1="鸣金",$AL117,$AJ117)+IF($G$1="鸣金",$AM117*1.5,0))*(1+$AW117)*(1+$AX117)+($AY117*IF($G$1="裂石",$AL117,$AJ117)+IF($G$1="裂石",$AM117*1.5,0))*(1+$BA117)*(1+$BB117)+($BC117*IF($G$1="牵丝",$AL117,$AJ117)+IF($G$1="牵丝",$AM117*1.5,0))*(1+$BE117)*(1+$BF117)+($BG117*IF($G$1="破竹",$AL117,$AJ117)+IF($G$1="破竹",$AM117*1.5,0))*(1+$BI117)*(1+$BJ117))*(1+$AN117))*$P117*(1+IF(VLOOKUP($Q117,武学奇术!$A:$ZZ,30,FALSE)="弹道",$B$21,0))*(1+$BS117)</f>
        <v>54265.9694876199</v>
      </c>
      <c r="P117" s="56">
        <v>6</v>
      </c>
      <c r="Q117" s="57" t="s">
        <v>164</v>
      </c>
      <c r="R117" s="57" t="s">
        <v>116</v>
      </c>
      <c r="S117" s="57" t="s">
        <v>153</v>
      </c>
      <c r="T117" s="57" t="s">
        <v>72</v>
      </c>
      <c r="U117" s="57" t="s">
        <v>157</v>
      </c>
      <c r="V117" s="57" t="s">
        <v>72</v>
      </c>
      <c r="W117" s="57" t="s">
        <v>72</v>
      </c>
      <c r="X117" s="57" t="s">
        <v>72</v>
      </c>
      <c r="Y117" s="57" t="s">
        <v>161</v>
      </c>
      <c r="Z117" s="57" t="s">
        <v>72</v>
      </c>
      <c r="AA117" s="57" t="s">
        <v>72</v>
      </c>
      <c r="AB117" s="57" t="s">
        <v>96</v>
      </c>
      <c r="AC117" s="57" t="s">
        <v>162</v>
      </c>
      <c r="AD117" s="57" t="s">
        <v>163</v>
      </c>
      <c r="AE117" s="57" t="s">
        <v>72</v>
      </c>
      <c r="AF117" s="57" t="s">
        <v>72</v>
      </c>
      <c r="AG117" s="57" t="s">
        <v>72</v>
      </c>
      <c r="AH117" s="57" t="s">
        <v>87</v>
      </c>
      <c r="AI117" t="str">
        <f>VLOOKUP($Q117,武学奇术!$A:$ZZ,25,FALSE)</f>
        <v>单体奇术</v>
      </c>
      <c r="AJ117" s="41">
        <f>VLOOKUP($Q117,武学奇术!$A:$ZZ,26,FALSE)</f>
        <v>1.0238</v>
      </c>
      <c r="AK117" s="42">
        <f>VLOOKUP($Q117,武学奇术!$A:$ZZ,27,FALSE)*(1+IF(OR($AI117=$F$4,$AI117=$F$5),$B$22,0))</f>
        <v>189</v>
      </c>
      <c r="AL117" s="41">
        <f>VLOOKUP($Q117,武学奇术!$A:$ZZ,28,FALSE)</f>
        <v>1.5357</v>
      </c>
      <c r="AM117" s="42">
        <f>VLOOKUP($Q117,武学奇术!$A:$ZZ,29,FALSE)*(1+IF(OR($AI117=$F$4,$AI117=$F$5),$B$22,0))</f>
        <v>0</v>
      </c>
      <c r="AN117" s="41" cm="1">
        <f t="array" ref="AN117">$G$3+IFERROR(VLOOKUP($AI117,$F$4:$G$7,2,FALSE),0)+VLOOKUP($Q117,武学奇术!$A:$ZZ,2,FALSE)+SUM(_xlfn.XLOOKUP($R117:$AH117,增益!$A:$A,增益!$B:$B,0))</f>
        <v>0.5015</v>
      </c>
      <c r="AO117" s="41" cm="1">
        <f t="array" ref="AO117">VLOOKUP($Q117,武学奇术!$A:$ZZ,5,FALSE)+SUM(_xlfn.XLOOKUP($R117:$AH117,增益!$A:$A,增益!$E:$E,0))</f>
        <v>0.15</v>
      </c>
      <c r="AP117" cm="1">
        <f t="array" ref="AP117">$D$10*(1+$AO117)+VLOOKUP($Q117,武学奇术!$A:$ZZ,3,FALSE)+SUM(_xlfn.XLOOKUP($R117:$AH117,增益!$A:$A,增益!$C:$C,0))-$I$2</f>
        <v>2150.71</v>
      </c>
      <c r="AQ117" cm="1">
        <f t="array" ref="AQ117">$E$10*(1+$AO117)+VLOOKUP($Q117,武学奇术!$A:$ZZ,4,FALSE)+SUM(_xlfn.XLOOKUP($R117:$AH117,增益!$A:$A,增益!$D:$D,0))-$I$2</f>
        <v>6394.9</v>
      </c>
      <c r="AR117" s="49" cm="1">
        <f t="array" ref="AR117">IF($F$10-$I$3+VLOOKUP($Q117,武学奇术!$A:$ZZ,6,FALSE)+SUM(_xlfn.XLOOKUP(R117:AH117,增益!$A:$A,增益!$F:$F,0))&gt;0,($F$10-$I$3+VLOOKUP($Q117,武学奇术!$A:$ZZ,6,FALSE)+SUM(_xlfn.XLOOKUP(R117:AH117,增益!$A:$A,增益!$F:$F,0)))/200,($F$10-$I$3+VLOOKUP($Q117,武学奇术!$A:$ZZ,6,FALSE)+SUM(_xlfn.XLOOKUP(R117:AH117,增益!$A:$A,增益!$F:$F,0)))/100)</f>
        <v>0.4675</v>
      </c>
      <c r="AS117" s="49" cm="1">
        <f t="array" ref="AS117">$G$10+VLOOKUP($Q117,武学奇术!$A:$ZZ,7,FALSE)+SUM(_xlfn.XLOOKUP(R117:AH117,增益!$A:$A,增益!$G:$G,0))</f>
        <v>0</v>
      </c>
      <c r="AT117" s="41" cm="1">
        <f t="array" ref="AT117">VLOOKUP($Q117,武学奇术!$A:$ZZ,8,FALSE)+SUM(_xlfn.XLOOKUP(R117:AH117,增益!$A:$A,增益!$H:$H,0))</f>
        <v>0</v>
      </c>
      <c r="AU117">
        <f t="shared" ref="AU117:AU147" si="32">$D$11*(1+$AT117)</f>
        <v>0</v>
      </c>
      <c r="AV117">
        <f t="shared" ref="AV117:AV147" si="33">$E$11*(1+$AT117)</f>
        <v>0</v>
      </c>
      <c r="AW117" s="49" cm="1">
        <f t="array" ref="AW117">IF($F$11-$I$4+VLOOKUP($Q117,武学奇术!$A:$ZZ,9,FALSE)+SUM(_xlfn.XLOOKUP(R117:AH117,增益!$A:$A,增益!$I:$I,0))&gt;0,($F$11-$I$4+VLOOKUP($Q117,武学奇术!$A:$ZZ,9,FALSE)+SUM(_xlfn.XLOOKUP(R117:AH117,增益!$A:$A,增益!$I:$I,0)))/200,($F$11-$I$4+VLOOKUP($Q117,武学奇术!$A:$ZZ,9,FALSE)+SUM(_xlfn.XLOOKUP(R117:AH117,增益!$A:$A,增益!$I:$I,0)))/100)</f>
        <v>-0.14</v>
      </c>
      <c r="AX117" s="49" cm="1">
        <f t="array" ref="AX117">$G$11+VLOOKUP($Q117,武学奇术!$A:$ZZ,10,FALSE)+SUM(_xlfn.XLOOKUP(R117:AH117,增益!$A:$A,增益!$J:$J,0))</f>
        <v>0.1</v>
      </c>
      <c r="AY117">
        <f t="shared" ref="AY117:AY147" si="34">$D$12*(1+$AT117)</f>
        <v>0</v>
      </c>
      <c r="AZ117">
        <f t="shared" ref="AZ117:AZ147" si="35">$E$12*(1+$AT117)</f>
        <v>0</v>
      </c>
      <c r="BA117" s="49" cm="1">
        <f t="array" ref="BA117">IF($F$12-$I$4+VLOOKUP($Q117,武学奇术!$A:$ZZ,11,FALSE)+SUM(_xlfn.XLOOKUP(R117:AH117,增益!$A:$A,增益!$K:$K,0))&gt;0,($F$12-$I$4+VLOOKUP($Q117,武学奇术!$A:$ZZ,11,FALSE)+SUM(_xlfn.XLOOKUP(R117:AH117,增益!$A:$A,增益!$K:$K,0)))/200,($F$12-$I$4+VLOOKUP($Q117,武学奇术!$A:$ZZ,11,FALSE)+SUM(_xlfn.XLOOKUP(R117:AH117,增益!$A:$A,增益!$K:$K,0)))/100)</f>
        <v>-0.14</v>
      </c>
      <c r="BB117" s="49" cm="1">
        <f t="array" ref="BB117">$G$12+VLOOKUP($Q117,武学奇术!$A:$ZZ,12,FALSE)+SUM(_xlfn.XLOOKUP(R117:AH117,增益!$A:$A,增益!$L:$L,0))</f>
        <v>0</v>
      </c>
      <c r="BC117">
        <f t="shared" ref="BC117:BC147" si="36">$D$13*(1+$AT117)</f>
        <v>571.2</v>
      </c>
      <c r="BD117">
        <f t="shared" ref="BD117:BD147" si="37">$E$13*(1+$AT117)</f>
        <v>1077.4</v>
      </c>
      <c r="BE117" s="49" cm="1">
        <f t="array" ref="BE117">IF($F$13-$I$4+VLOOKUP($Q117,武学奇术!$A:$ZZ,13,FALSE)+SUM(_xlfn.XLOOKUP(R117:AH117,增益!$A:$A,增益!$M:$M,0))&gt;0,($F$13-$I$4+VLOOKUP($Q117,武学奇术!$A:$ZZ,13,FALSE)+SUM(_xlfn.XLOOKUP(R117:AH117,增益!$A:$A,增益!$K:$K,0)))/200,($F$13-$I$4+VLOOKUP($Q117,武学奇术!$A:$ZZ,13,FALSE)+SUM(_xlfn.XLOOKUP(R117:AH117,增益!$A:$A,增益!$M:$M,0)))/100)</f>
        <v>0.08</v>
      </c>
      <c r="BF117" s="49" cm="1">
        <f t="array" ref="BF117">$G$13+VLOOKUP($Q117,武学奇术!$A:$ZZ,14,FALSE)+SUM(_xlfn.XLOOKUP(R117:AH117,增益!$A:$A,增益!$N:$N,0))</f>
        <v>0.15</v>
      </c>
      <c r="BG117">
        <f t="shared" ref="BG117:BG147" si="38">$D$14*(1+$AT117)</f>
        <v>0</v>
      </c>
      <c r="BH117">
        <f t="shared" ref="BH117:BH147" si="39">$E$14*(1+$AT117)</f>
        <v>0</v>
      </c>
      <c r="BI117" s="49" cm="1">
        <f t="array" ref="BI117">IF($F$14-$I$4+VLOOKUP($Q117,武学奇术!$A:$ZZ,15,FALSE)+SUM(_xlfn.XLOOKUP(R117:AH117,增益!$A:$A,增益!$O:$O,0))&gt;0,($F$14-$I$4+VLOOKUP($Q117,武学奇术!$A:$ZZ,15,FALSE)+SUM(_xlfn.XLOOKUP(R117:AH117,增益!$A:$A,增益!$O:$O,0)))/200,($F$14-$I$4+VLOOKUP($Q117,武学奇术!$A:$ZZ,15,FALSE)+SUM(_xlfn.XLOOKUP(R117:AH117,增益!$A:$A,增益!$O:$O,0)))/100)</f>
        <v>-0.14</v>
      </c>
      <c r="BJ117" s="49" cm="1">
        <f t="array" ref="BJ117">$G$14+VLOOKUP($Q117,武学奇术!$A:$ZZ,16,FALSE)+SUM(_xlfn.XLOOKUP(R117:AH117,增益!$A:$A,增益!$P:$P,0))</f>
        <v>0</v>
      </c>
      <c r="BK117" s="41">
        <f>MIN(IF(VLOOKUP($Q117,武学奇术!$A:$ZZ,23,FALSE)=1,100%,$B$8),100%)</f>
        <v>1</v>
      </c>
      <c r="BL117" s="41" cm="1">
        <f t="array" ref="BL117">IF(VLOOKUP($Q117,武学奇术!$A:$ZZ,23,FALSE)=1,100%,MIN(80%,$B$9+VLOOKUP($Q117,武学奇术!$A:$ZZ,17,FALSE)+SUM(_xlfn.XLOOKUP(R117:AH117,增益!$A:$A,增益!$Q:$Q,0)))+$B$11+SUM(_xlfn.XLOOKUP(R117:AH117,增益!$A:$A,增益!$U:$U,0)))*IF(VLOOKUP($Q117,武学奇术!$A:$ZZ,24,FALSE)=1,0,1)</f>
        <v>0.9045</v>
      </c>
      <c r="BM117" s="41" cm="1">
        <f t="array" ref="BM117">1+$B$13+VLOOKUP($Q117,武学奇术!$A:$ZZ,18,FALSE)+SUM(_xlfn.XLOOKUP(R117:AH117,增益!$A:$A,增益!$R:$R,0))</f>
        <v>1.85</v>
      </c>
      <c r="BN117" s="41" cm="1">
        <f t="array" ref="BN117">IF(VLOOKUP($Q117,武学奇术!$A:$ZZ,24,FALSE)=1,100%,MIN(40%,$B$10+VLOOKUP($Q117,武学奇术!$A:$ZZ,19,FALSE)+SUM(_xlfn.XLOOKUP(R117:AH117,增益!$A:$A,增益!$S:$S,0)))+$B$12+SUM(_xlfn.XLOOKUP(R117:AH117,增益!$A:$A,增益!$V:$V,0)))*IF(VLOOKUP($Q117,武学奇术!$A:$ZZ,23,FALSE)=1,0,1)</f>
        <v>0.0929</v>
      </c>
      <c r="BO117" s="41" cm="1">
        <f t="array" ref="BO117">1+$B$14+VLOOKUP($Q117,武学奇术!$A:$ZZ,20,FALSE)+SUM(_xlfn.XLOOKUP(R117:AH117,增益!$A:$A,增益!$T:$T,0))</f>
        <v>1.35</v>
      </c>
      <c r="BP117" s="41">
        <f t="shared" ref="BP117:BP134" si="40">MIN((1-BN117)*BK117,BK117*BL117)</f>
        <v>0.9045</v>
      </c>
      <c r="BQ117" s="41">
        <f t="shared" ref="BQ117:BQ141" si="41">1-BN117-BP117-BR117</f>
        <v>0.00260000000000005</v>
      </c>
      <c r="BR117" s="41">
        <f>IF(VLOOKUP($Q117,武学奇术!$A:$ZZ,22,FALSE)=1,0,(1-$BK117))*(1-$BN117)</f>
        <v>0</v>
      </c>
      <c r="BS117" s="41" cm="1">
        <f t="array" ref="BS117">SUM(_xlfn.XLOOKUP(R117:AH117,增益!$A:$A,增益!$W:$W,0))+$I$5</f>
        <v>0.31</v>
      </c>
    </row>
    <row r="118" spans="1:71">
      <c r="A118" s="4"/>
      <c r="B118" s="4"/>
      <c r="K118" s="55">
        <f t="shared" si="31"/>
        <v>77161.3406708021</v>
      </c>
      <c r="L118" s="55">
        <f>((($AP118+$AQ118)/2*$AJ118+$AK118)*(1+$AR118)*(1+$AS118)+(($AU118+$AV118)/2*IF($G$1="鸣金",$AL118,$AJ118)+IF($G$1="鸣金",$AM118*1.5,0))*(1+$AW118)*(1+$AX118)+(($AY118+$AZ118)/2*IF($G$1="裂石",$AL118,$AJ118)+IF($G$1="裂石",$AM118*1.5,0))*(1+$BA118)*(1+$BB118)+(($BC118+$BD118)/2*IF($G$1="牵丝",$AL118,$AJ118)+IF($G$1="牵丝",$AM118*1.5,0))*(1+$BE118)*(1+$BF118)+(($BG118+$BH118)/2*IF($G$1="破竹",$AL118,$AJ118)+IF($G$1="破竹",$AM118*1.5,0))*(1+$BI118)*(1+$BJ118))*(1+$AN118)*$BM118*$P118*(1+IF(VLOOKUP($Q118,武学奇术!$A:$ZZ,30,FALSE)="弹道",$B$21,0))*(1+$BS118)</f>
        <v>76869.7682889037</v>
      </c>
      <c r="M118" s="55">
        <f>(($AQ118*$AJ118+$AK118)*(1+$AR118)*(1+$AS118)+($AV118*IF($G$1="鸣金",$AL118,$AJ118)+IF($G$1="鸣金",$AM118*1.5,0))*(1+$AW118)*(1+$AX118)+($AZ118*IF($G$1="裂石",$AL118,$AJ118)+IF($G$1="裂石",$AM118*1.5,0))*(1+$BA118)*(1+$BB118)+($BD118*IF($G$1="牵丝",$AL118,$AJ118)+IF($G$1="牵丝",$AM118*1.5,0))*(1+$BE118)*(1+$BF118)+($BH118*IF($G$1="破竹",$AL118,$AJ118)+IF($G$1="破竹",$AM118*1.5,0))*(1+$BI118)*(1+$BJ118))*(1+$AN118)*$BO118*$P118*(1+IF(VLOOKUP($Q118,武学奇术!$A:$ZZ,30,FALSE)="弹道",$B$21,0))*(1+$BS118)</f>
        <v>80996.7929561167</v>
      </c>
      <c r="N118" s="55">
        <f>((($AP118+$AQ118)/2*$AJ118+$AK118)*(1+$AR118)*(1+$AS118)+(($AU118+$AV118)/2*IF($G$1="鸣金",$AL118,$AJ118)+IF($G$1="鸣金",$AM118*1.5,0))*(1+$AW118)*(1+$AX118)+(($AY118+$AZ118)/2*IF($G$1="裂石",$AL118,$AJ118)+IF($G$1="裂石",$AM118*1.5,0))*(1+$BA118)*(1+$BB118)+(($BC118+$BD118)/2*IF($G$1="牵丝",$AL118,$AJ118)+IF($G$1="牵丝",$AM118*1.5,0))*(1+$BE118)*(1+$BF118)+(($BG118+$BH118)/2*IF($G$1="破竹",$AL118,$AJ118)+IF($G$1="破竹",$AM118*1.5,0))*(1+$BI118)*(1+$BJ118))*(1+$AN118)*$P118*(1+IF(VLOOKUP($Q118,武学奇术!$A:$ZZ,30,FALSE)="弹道",$B$21,0))*(1+$BS118)</f>
        <v>41551.2261021101</v>
      </c>
      <c r="O118" s="55">
        <f>((($AP118*$AJ118+$AK118)*(1+$AR118)*(1+$AS118)+($AU118*IF($G$1="鸣金",$AL118,$AJ118)+IF($G$1="鸣金",$AM118*1.5,0))*(1+$AW118)*(1+$AX118)+($AY118*IF($G$1="裂石",$AL118,$AJ118)+IF($G$1="裂石",$AM118*1.5,0))*(1+$BA118)*(1+$BB118)+($BC118*IF($G$1="牵丝",$AL118,$AJ118)+IF($G$1="牵丝",$AM118*1.5,0))*(1+$BE118)*(1+$BF118)+($BG118*IF($G$1="破竹",$AL118,$AJ118)+IF($G$1="破竹",$AM118*1.5,0))*(1+$BI118)*(1+$BJ118))*(1+$AN118))*$P118*(1+IF(VLOOKUP($Q118,武学奇术!$A:$ZZ,30,FALSE)="弹道",$B$21,0))*(1+$BS118)</f>
        <v>23104.827792282</v>
      </c>
      <c r="P118" s="56">
        <v>1</v>
      </c>
      <c r="Q118" s="57" t="s">
        <v>165</v>
      </c>
      <c r="R118" s="57" t="s">
        <v>116</v>
      </c>
      <c r="S118" s="57" t="s">
        <v>153</v>
      </c>
      <c r="T118" s="57" t="s">
        <v>72</v>
      </c>
      <c r="U118" s="57" t="s">
        <v>157</v>
      </c>
      <c r="V118" s="57" t="s">
        <v>72</v>
      </c>
      <c r="W118" s="57" t="s">
        <v>72</v>
      </c>
      <c r="X118" s="57" t="s">
        <v>72</v>
      </c>
      <c r="Y118" s="57" t="s">
        <v>161</v>
      </c>
      <c r="Z118" s="57" t="s">
        <v>72</v>
      </c>
      <c r="AA118" s="57" t="s">
        <v>72</v>
      </c>
      <c r="AB118" s="57" t="s">
        <v>96</v>
      </c>
      <c r="AC118" s="57" t="s">
        <v>162</v>
      </c>
      <c r="AD118" s="57" t="s">
        <v>163</v>
      </c>
      <c r="AE118" s="57" t="s">
        <v>72</v>
      </c>
      <c r="AF118" s="57" t="s">
        <v>72</v>
      </c>
      <c r="AG118" s="57" t="s">
        <v>72</v>
      </c>
      <c r="AH118" s="57" t="s">
        <v>87</v>
      </c>
      <c r="AI118" t="str">
        <f>VLOOKUP($Q118,武学奇术!$A:$ZZ,25,FALSE)</f>
        <v>单体奇术</v>
      </c>
      <c r="AJ118" s="41">
        <f>VLOOKUP($Q118,武学奇术!$A:$ZZ,26,FALSE)</f>
        <v>1.7063</v>
      </c>
      <c r="AK118" s="42">
        <f>VLOOKUP($Q118,武学奇术!$A:$ZZ,27,FALSE)*(1+IF(OR($AI118=$F$4,$AI118=$F$5),$B$22,0))</f>
        <v>315</v>
      </c>
      <c r="AL118" s="41">
        <f>VLOOKUP($Q118,武学奇术!$A:$ZZ,28,FALSE)</f>
        <v>2.55945</v>
      </c>
      <c r="AM118" s="42">
        <f>VLOOKUP($Q118,武学奇术!$A:$ZZ,29,FALSE)*(1+IF(OR($AI118=$F$4,$AI118=$F$5),$B$22,0))</f>
        <v>0</v>
      </c>
      <c r="AN118" s="41" cm="1">
        <f t="array" ref="AN118">$G$3+IFERROR(VLOOKUP($AI118,$F$4:$G$7,2,FALSE),0)+VLOOKUP($Q118,武学奇术!$A:$ZZ,2,FALSE)+SUM(_xlfn.XLOOKUP($R118:$AH118,增益!$A:$A,增益!$B:$B,0))</f>
        <v>1.3015</v>
      </c>
      <c r="AO118" s="41" cm="1">
        <f t="array" ref="AO118">VLOOKUP($Q118,武学奇术!$A:$ZZ,5,FALSE)+SUM(_xlfn.XLOOKUP($R118:$AH118,增益!$A:$A,增益!$E:$E,0))</f>
        <v>0.15</v>
      </c>
      <c r="AP118" cm="1">
        <f t="array" ref="AP118">$D$10*(1+$AO118)+VLOOKUP($Q118,武学奇术!$A:$ZZ,3,FALSE)+SUM(_xlfn.XLOOKUP($R118:$AH118,增益!$A:$A,增益!$C:$C,0))-$I$2</f>
        <v>2150.71</v>
      </c>
      <c r="AQ118" cm="1">
        <f t="array" ref="AQ118">$E$10*(1+$AO118)+VLOOKUP($Q118,武学奇术!$A:$ZZ,4,FALSE)+SUM(_xlfn.XLOOKUP($R118:$AH118,增益!$A:$A,增益!$D:$D,0))-$I$2</f>
        <v>6394.9</v>
      </c>
      <c r="AR118" s="49" cm="1">
        <f t="array" ref="AR118">IF($F$10-$I$3+VLOOKUP($Q118,武学奇术!$A:$ZZ,6,FALSE)+SUM(_xlfn.XLOOKUP(R118:AH118,增益!$A:$A,增益!$F:$F,0))&gt;0,($F$10-$I$3+VLOOKUP($Q118,武学奇术!$A:$ZZ,6,FALSE)+SUM(_xlfn.XLOOKUP(R118:AH118,增益!$A:$A,增益!$F:$F,0)))/200,($F$10-$I$3+VLOOKUP($Q118,武学奇术!$A:$ZZ,6,FALSE)+SUM(_xlfn.XLOOKUP(R118:AH118,增益!$A:$A,增益!$F:$F,0)))/100)</f>
        <v>0.4675</v>
      </c>
      <c r="AS118" s="49" cm="1">
        <f t="array" ref="AS118">$G$10+VLOOKUP($Q118,武学奇术!$A:$ZZ,7,FALSE)+SUM(_xlfn.XLOOKUP(R118:AH118,增益!$A:$A,增益!$G:$G,0))</f>
        <v>0</v>
      </c>
      <c r="AT118" s="41" cm="1">
        <f t="array" ref="AT118">VLOOKUP($Q118,武学奇术!$A:$ZZ,8,FALSE)+SUM(_xlfn.XLOOKUP(R118:AH118,增益!$A:$A,增益!$H:$H,0))</f>
        <v>0</v>
      </c>
      <c r="AU118">
        <f t="shared" si="32"/>
        <v>0</v>
      </c>
      <c r="AV118">
        <f t="shared" si="33"/>
        <v>0</v>
      </c>
      <c r="AW118" s="49" cm="1">
        <f t="array" ref="AW118">IF($F$11-$I$4+VLOOKUP($Q118,武学奇术!$A:$ZZ,9,FALSE)+SUM(_xlfn.XLOOKUP(R118:AH118,增益!$A:$A,增益!$I:$I,0))&gt;0,($F$11-$I$4+VLOOKUP($Q118,武学奇术!$A:$ZZ,9,FALSE)+SUM(_xlfn.XLOOKUP(R118:AH118,增益!$A:$A,增益!$I:$I,0)))/200,($F$11-$I$4+VLOOKUP($Q118,武学奇术!$A:$ZZ,9,FALSE)+SUM(_xlfn.XLOOKUP(R118:AH118,增益!$A:$A,增益!$I:$I,0)))/100)</f>
        <v>-0.14</v>
      </c>
      <c r="AX118" s="49" cm="1">
        <f t="array" ref="AX118">$G$11+VLOOKUP($Q118,武学奇术!$A:$ZZ,10,FALSE)+SUM(_xlfn.XLOOKUP(R118:AH118,增益!$A:$A,增益!$J:$J,0))</f>
        <v>0.1</v>
      </c>
      <c r="AY118">
        <f t="shared" si="34"/>
        <v>0</v>
      </c>
      <c r="AZ118">
        <f t="shared" si="35"/>
        <v>0</v>
      </c>
      <c r="BA118" s="49" cm="1">
        <f t="array" ref="BA118">IF($F$12-$I$4+VLOOKUP($Q118,武学奇术!$A:$ZZ,11,FALSE)+SUM(_xlfn.XLOOKUP(R118:AH118,增益!$A:$A,增益!$K:$K,0))&gt;0,($F$12-$I$4+VLOOKUP($Q118,武学奇术!$A:$ZZ,11,FALSE)+SUM(_xlfn.XLOOKUP(R118:AH118,增益!$A:$A,增益!$K:$K,0)))/200,($F$12-$I$4+VLOOKUP($Q118,武学奇术!$A:$ZZ,11,FALSE)+SUM(_xlfn.XLOOKUP(R118:AH118,增益!$A:$A,增益!$K:$K,0)))/100)</f>
        <v>-0.14</v>
      </c>
      <c r="BB118" s="49" cm="1">
        <f t="array" ref="BB118">$G$12+VLOOKUP($Q118,武学奇术!$A:$ZZ,12,FALSE)+SUM(_xlfn.XLOOKUP(R118:AH118,增益!$A:$A,增益!$L:$L,0))</f>
        <v>0</v>
      </c>
      <c r="BC118">
        <f t="shared" si="36"/>
        <v>571.2</v>
      </c>
      <c r="BD118">
        <f t="shared" si="37"/>
        <v>1077.4</v>
      </c>
      <c r="BE118" s="49" cm="1">
        <f t="array" ref="BE118">IF($F$13-$I$4+VLOOKUP($Q118,武学奇术!$A:$ZZ,13,FALSE)+SUM(_xlfn.XLOOKUP(R118:AH118,增益!$A:$A,增益!$M:$M,0))&gt;0,($F$13-$I$4+VLOOKUP($Q118,武学奇术!$A:$ZZ,13,FALSE)+SUM(_xlfn.XLOOKUP(R118:AH118,增益!$A:$A,增益!$K:$K,0)))/200,($F$13-$I$4+VLOOKUP($Q118,武学奇术!$A:$ZZ,13,FALSE)+SUM(_xlfn.XLOOKUP(R118:AH118,增益!$A:$A,增益!$M:$M,0)))/100)</f>
        <v>0.08</v>
      </c>
      <c r="BF118" s="49" cm="1">
        <f t="array" ref="BF118">$G$13+VLOOKUP($Q118,武学奇术!$A:$ZZ,14,FALSE)+SUM(_xlfn.XLOOKUP(R118:AH118,增益!$A:$A,增益!$N:$N,0))</f>
        <v>0.15</v>
      </c>
      <c r="BG118">
        <f t="shared" si="38"/>
        <v>0</v>
      </c>
      <c r="BH118">
        <f t="shared" si="39"/>
        <v>0</v>
      </c>
      <c r="BI118" s="49" cm="1">
        <f t="array" ref="BI118">IF($F$14-$I$4+VLOOKUP($Q118,武学奇术!$A:$ZZ,15,FALSE)+SUM(_xlfn.XLOOKUP(R118:AH118,增益!$A:$A,增益!$O:$O,0))&gt;0,($F$14-$I$4+VLOOKUP($Q118,武学奇术!$A:$ZZ,15,FALSE)+SUM(_xlfn.XLOOKUP(R118:AH118,增益!$A:$A,增益!$O:$O,0)))/200,($F$14-$I$4+VLOOKUP($Q118,武学奇术!$A:$ZZ,15,FALSE)+SUM(_xlfn.XLOOKUP(R118:AH118,增益!$A:$A,增益!$O:$O,0)))/100)</f>
        <v>-0.14</v>
      </c>
      <c r="BJ118" s="49" cm="1">
        <f t="array" ref="BJ118">$G$14+VLOOKUP($Q118,武学奇术!$A:$ZZ,16,FALSE)+SUM(_xlfn.XLOOKUP(R118:AH118,增益!$A:$A,增益!$P:$P,0))</f>
        <v>0</v>
      </c>
      <c r="BK118" s="41">
        <f>MIN(IF(VLOOKUP($Q118,武学奇术!$A:$ZZ,23,FALSE)=1,100%,$B$8),100%)</f>
        <v>1</v>
      </c>
      <c r="BL118" s="41" cm="1">
        <f t="array" ref="BL118">IF(VLOOKUP($Q118,武学奇术!$A:$ZZ,23,FALSE)=1,100%,MIN(80%,$B$9+VLOOKUP($Q118,武学奇术!$A:$ZZ,17,FALSE)+SUM(_xlfn.XLOOKUP(R118:AH118,增益!$A:$A,增益!$Q:$Q,0)))+$B$11+SUM(_xlfn.XLOOKUP(R118:AH118,增益!$A:$A,增益!$U:$U,0)))*IF(VLOOKUP($Q118,武学奇术!$A:$ZZ,24,FALSE)=1,0,1)</f>
        <v>0.9045</v>
      </c>
      <c r="BM118" s="41" cm="1">
        <f t="array" ref="BM118">1+$B$13+VLOOKUP($Q118,武学奇术!$A:$ZZ,18,FALSE)+SUM(_xlfn.XLOOKUP(R118:AH118,增益!$A:$A,增益!$R:$R,0))</f>
        <v>1.85</v>
      </c>
      <c r="BN118" s="41" cm="1">
        <f t="array" ref="BN118">IF(VLOOKUP($Q118,武学奇术!$A:$ZZ,24,FALSE)=1,100%,MIN(40%,$B$10+VLOOKUP($Q118,武学奇术!$A:$ZZ,19,FALSE)+SUM(_xlfn.XLOOKUP(R118:AH118,增益!$A:$A,增益!$S:$S,0)))+$B$12+SUM(_xlfn.XLOOKUP(R118:AH118,增益!$A:$A,增益!$V:$V,0)))*IF(VLOOKUP($Q118,武学奇术!$A:$ZZ,23,FALSE)=1,0,1)</f>
        <v>0.0929</v>
      </c>
      <c r="BO118" s="41" cm="1">
        <f t="array" ref="BO118">1+$B$14+VLOOKUP($Q118,武学奇术!$A:$ZZ,20,FALSE)+SUM(_xlfn.XLOOKUP(R118:AH118,增益!$A:$A,增益!$T:$T,0))</f>
        <v>1.35</v>
      </c>
      <c r="BP118" s="41">
        <f t="shared" si="40"/>
        <v>0.9045</v>
      </c>
      <c r="BQ118" s="41">
        <f t="shared" si="41"/>
        <v>0.00260000000000005</v>
      </c>
      <c r="BR118" s="41">
        <f>IF(VLOOKUP($Q118,武学奇术!$A:$ZZ,22,FALSE)=1,0,(1-$BK118))*(1-$BN118)</f>
        <v>0</v>
      </c>
      <c r="BS118" s="41" cm="1">
        <f t="array" ref="BS118">SUM(_xlfn.XLOOKUP(R118:AH118,增益!$A:$A,增益!$W:$W,0))+$I$5</f>
        <v>0.31</v>
      </c>
    </row>
    <row r="119" spans="1:71">
      <c r="A119" s="4"/>
      <c r="B119" s="4"/>
      <c r="K119" s="55">
        <f t="shared" si="31"/>
        <v>332245.26775113</v>
      </c>
      <c r="L119" s="55">
        <f>((($AP119+$AQ119)/2*$AJ119+$AK119)*(1+$AR119)*(1+$AS119)+(($AU119+$AV119)/2*IF($G$1="鸣金",$AL119,$AJ119)+IF($G$1="鸣金",$AM119*1.5,0))*(1+$AW119)*(1+$AX119)+(($AY119+$AZ119)/2*IF($G$1="裂石",$AL119,$AJ119)+IF($G$1="裂石",$AM119*1.5,0))*(1+$BA119)*(1+$BB119)+(($BC119+$BD119)/2*IF($G$1="牵丝",$AL119,$AJ119)+IF($G$1="牵丝",$AM119*1.5,0))*(1+$BE119)*(1+$BF119)+(($BG119+$BH119)/2*IF($G$1="破竹",$AL119,$AJ119)+IF($G$1="破竹",$AM119*1.5,0))*(1+$BI119)*(1+$BJ119))*(1+$AN119)*$BM119*$P119*(1+IF(VLOOKUP($Q119,武学奇术!$A:$ZZ,30,FALSE)="弹道",$B$21,0))*(1+$BS119)</f>
        <v>330989.799807417</v>
      </c>
      <c r="M119" s="55">
        <f>(($AQ119*$AJ119+$AK119)*(1+$AR119)*(1+$AS119)+($AV119*IF($G$1="鸣金",$AL119,$AJ119)+IF($G$1="鸣金",$AM119*1.5,0))*(1+$AW119)*(1+$AX119)+($AZ119*IF($G$1="裂石",$AL119,$AJ119)+IF($G$1="裂石",$AM119*1.5,0))*(1+$BA119)*(1+$BB119)+($BD119*IF($G$1="牵丝",$AL119,$AJ119)+IF($G$1="牵丝",$AM119*1.5,0))*(1+$BE119)*(1+$BF119)+($BH119*IF($G$1="破竹",$AL119,$AJ119)+IF($G$1="破竹",$AM119*1.5,0))*(1+$BI119)*(1+$BJ119))*(1+$AN119)*$BO119*$P119*(1+IF(VLOOKUP($Q119,武学奇术!$A:$ZZ,30,FALSE)="弹道",$B$21,0))*(1+$BS119)</f>
        <v>348760.161157566</v>
      </c>
      <c r="N119" s="55">
        <f>((($AP119+$AQ119)/2*$AJ119+$AK119)*(1+$AR119)*(1+$AS119)+(($AU119+$AV119)/2*IF($G$1="鸣金",$AL119,$AJ119)+IF($G$1="鸣金",$AM119*1.5,0))*(1+$AW119)*(1+$AX119)+(($AY119+$AZ119)/2*IF($G$1="裂石",$AL119,$AJ119)+IF($G$1="裂石",$AM119*1.5,0))*(1+$BA119)*(1+$BB119)+(($BC119+$BD119)/2*IF($G$1="牵丝",$AL119,$AJ119)+IF($G$1="牵丝",$AM119*1.5,0))*(1+$BE119)*(1+$BF119)+(($BG119+$BH119)/2*IF($G$1="破竹",$AL119,$AJ119)+IF($G$1="破竹",$AM119*1.5,0))*(1+$BI119)*(1+$BJ119))*(1+$AN119)*$P119*(1+IF(VLOOKUP($Q119,武学奇术!$A:$ZZ,30,FALSE)="弹道",$B$21,0))*(1+$BS119)</f>
        <v>178913.405301307</v>
      </c>
      <c r="O119" s="55">
        <f>((($AP119*$AJ119+$AK119)*(1+$AR119)*(1+$AS119)+($AU119*IF($G$1="鸣金",$AL119,$AJ119)+IF($G$1="鸣金",$AM119*1.5,0))*(1+$AW119)*(1+$AX119)+($AY119*IF($G$1="裂石",$AL119,$AJ119)+IF($G$1="裂石",$AM119*1.5,0))*(1+$BA119)*(1+$BB119)+($BC119*IF($G$1="牵丝",$AL119,$AJ119)+IF($G$1="牵丝",$AM119*1.5,0))*(1+$BE119)*(1+$BF119)+($BG119*IF($G$1="破竹",$AL119,$AJ119)+IF($G$1="破竹",$AM119*1.5,0))*(1+$BI119)*(1+$BJ119))*(1+$AN119))*$P119*(1+IF(VLOOKUP($Q119,武学奇术!$A:$ZZ,30,FALSE)="弹道",$B$21,0))*(1+$BS119)</f>
        <v>99485.9504858981</v>
      </c>
      <c r="P119" s="56">
        <v>7</v>
      </c>
      <c r="Q119" s="57" t="s">
        <v>166</v>
      </c>
      <c r="R119" s="57" t="s">
        <v>116</v>
      </c>
      <c r="S119" s="57" t="s">
        <v>153</v>
      </c>
      <c r="T119" s="57" t="s">
        <v>72</v>
      </c>
      <c r="U119" s="57" t="s">
        <v>157</v>
      </c>
      <c r="V119" s="57" t="s">
        <v>72</v>
      </c>
      <c r="W119" s="57" t="s">
        <v>72</v>
      </c>
      <c r="X119" s="57" t="s">
        <v>72</v>
      </c>
      <c r="Y119" s="57" t="s">
        <v>161</v>
      </c>
      <c r="Z119" s="57" t="s">
        <v>72</v>
      </c>
      <c r="AA119" s="57" t="s">
        <v>72</v>
      </c>
      <c r="AB119" s="57" t="s">
        <v>96</v>
      </c>
      <c r="AC119" s="57" t="s">
        <v>162</v>
      </c>
      <c r="AD119" s="57" t="s">
        <v>163</v>
      </c>
      <c r="AE119" s="57" t="s">
        <v>72</v>
      </c>
      <c r="AF119" s="57" t="s">
        <v>72</v>
      </c>
      <c r="AG119" s="57" t="s">
        <v>72</v>
      </c>
      <c r="AH119" s="57" t="s">
        <v>87</v>
      </c>
      <c r="AI119" t="str">
        <f>VLOOKUP($Q119,武学奇术!$A:$ZZ,25,FALSE)</f>
        <v>单体奇术</v>
      </c>
      <c r="AJ119" s="41">
        <f>VLOOKUP($Q119,武学奇术!$A:$ZZ,26,FALSE)</f>
        <v>1.6088</v>
      </c>
      <c r="AK119" s="42">
        <f>VLOOKUP($Q119,武学奇术!$A:$ZZ,27,FALSE)*(1+IF(OR($AI119=$F$4,$AI119=$F$5),$B$22,0))</f>
        <v>297</v>
      </c>
      <c r="AL119" s="41">
        <f>VLOOKUP($Q119,武学奇术!$A:$ZZ,28,FALSE)</f>
        <v>2.4132</v>
      </c>
      <c r="AM119" s="42">
        <f>VLOOKUP($Q119,武学奇术!$A:$ZZ,29,FALSE)*(1+IF(OR($AI119=$F$4,$AI119=$F$5),$B$22,0))</f>
        <v>0</v>
      </c>
      <c r="AN119" s="41" cm="1">
        <f t="array" ref="AN119">$G$3+IFERROR(VLOOKUP($AI119,$F$4:$G$7,2,FALSE),0)+VLOOKUP($Q119,武学奇术!$A:$ZZ,2,FALSE)+SUM(_xlfn.XLOOKUP($R119:$AH119,增益!$A:$A,增益!$B:$B,0))</f>
        <v>0.5015</v>
      </c>
      <c r="AO119" s="41" cm="1">
        <f t="array" ref="AO119">VLOOKUP($Q119,武学奇术!$A:$ZZ,5,FALSE)+SUM(_xlfn.XLOOKUP($R119:$AH119,增益!$A:$A,增益!$E:$E,0))</f>
        <v>0.15</v>
      </c>
      <c r="AP119" cm="1">
        <f t="array" ref="AP119">$D$10*(1+$AO119)+VLOOKUP($Q119,武学奇术!$A:$ZZ,3,FALSE)+SUM(_xlfn.XLOOKUP($R119:$AH119,增益!$A:$A,增益!$C:$C,0))-$I$2</f>
        <v>2150.71</v>
      </c>
      <c r="AQ119" cm="1">
        <f t="array" ref="AQ119">$E$10*(1+$AO119)+VLOOKUP($Q119,武学奇术!$A:$ZZ,4,FALSE)+SUM(_xlfn.XLOOKUP($R119:$AH119,增益!$A:$A,增益!$D:$D,0))-$I$2</f>
        <v>6394.9</v>
      </c>
      <c r="AR119" s="49" cm="1">
        <f t="array" ref="AR119">IF($F$10-$I$3+VLOOKUP($Q119,武学奇术!$A:$ZZ,6,FALSE)+SUM(_xlfn.XLOOKUP(R119:AH119,增益!$A:$A,增益!$F:$F,0))&gt;0,($F$10-$I$3+VLOOKUP($Q119,武学奇术!$A:$ZZ,6,FALSE)+SUM(_xlfn.XLOOKUP(R119:AH119,增益!$A:$A,增益!$F:$F,0)))/200,($F$10-$I$3+VLOOKUP($Q119,武学奇术!$A:$ZZ,6,FALSE)+SUM(_xlfn.XLOOKUP(R119:AH119,增益!$A:$A,增益!$F:$F,0)))/100)</f>
        <v>0.4675</v>
      </c>
      <c r="AS119" s="49" cm="1">
        <f t="array" ref="AS119">$G$10+VLOOKUP($Q119,武学奇术!$A:$ZZ,7,FALSE)+SUM(_xlfn.XLOOKUP(R119:AH119,增益!$A:$A,增益!$G:$G,0))</f>
        <v>0</v>
      </c>
      <c r="AT119" s="41" cm="1">
        <f t="array" ref="AT119">VLOOKUP($Q119,武学奇术!$A:$ZZ,8,FALSE)+SUM(_xlfn.XLOOKUP(R119:AH119,增益!$A:$A,增益!$H:$H,0))</f>
        <v>0</v>
      </c>
      <c r="AU119">
        <f t="shared" si="32"/>
        <v>0</v>
      </c>
      <c r="AV119">
        <f t="shared" si="33"/>
        <v>0</v>
      </c>
      <c r="AW119" s="49" cm="1">
        <f t="array" ref="AW119">IF($F$11-$I$4+VLOOKUP($Q119,武学奇术!$A:$ZZ,9,FALSE)+SUM(_xlfn.XLOOKUP(R119:AH119,增益!$A:$A,增益!$I:$I,0))&gt;0,($F$11-$I$4+VLOOKUP($Q119,武学奇术!$A:$ZZ,9,FALSE)+SUM(_xlfn.XLOOKUP(R119:AH119,增益!$A:$A,增益!$I:$I,0)))/200,($F$11-$I$4+VLOOKUP($Q119,武学奇术!$A:$ZZ,9,FALSE)+SUM(_xlfn.XLOOKUP(R119:AH119,增益!$A:$A,增益!$I:$I,0)))/100)</f>
        <v>-0.14</v>
      </c>
      <c r="AX119" s="49" cm="1">
        <f t="array" ref="AX119">$G$11+VLOOKUP($Q119,武学奇术!$A:$ZZ,10,FALSE)+SUM(_xlfn.XLOOKUP(R119:AH119,增益!$A:$A,增益!$J:$J,0))</f>
        <v>0.1</v>
      </c>
      <c r="AY119">
        <f t="shared" si="34"/>
        <v>0</v>
      </c>
      <c r="AZ119">
        <f t="shared" si="35"/>
        <v>0</v>
      </c>
      <c r="BA119" s="49" cm="1">
        <f t="array" ref="BA119">IF($F$12-$I$4+VLOOKUP($Q119,武学奇术!$A:$ZZ,11,FALSE)+SUM(_xlfn.XLOOKUP(R119:AH119,增益!$A:$A,增益!$K:$K,0))&gt;0,($F$12-$I$4+VLOOKUP($Q119,武学奇术!$A:$ZZ,11,FALSE)+SUM(_xlfn.XLOOKUP(R119:AH119,增益!$A:$A,增益!$K:$K,0)))/200,($F$12-$I$4+VLOOKUP($Q119,武学奇术!$A:$ZZ,11,FALSE)+SUM(_xlfn.XLOOKUP(R119:AH119,增益!$A:$A,增益!$K:$K,0)))/100)</f>
        <v>-0.14</v>
      </c>
      <c r="BB119" s="49" cm="1">
        <f t="array" ref="BB119">$G$12+VLOOKUP($Q119,武学奇术!$A:$ZZ,12,FALSE)+SUM(_xlfn.XLOOKUP(R119:AH119,增益!$A:$A,增益!$L:$L,0))</f>
        <v>0</v>
      </c>
      <c r="BC119">
        <f t="shared" si="36"/>
        <v>571.2</v>
      </c>
      <c r="BD119">
        <f t="shared" si="37"/>
        <v>1077.4</v>
      </c>
      <c r="BE119" s="49" cm="1">
        <f t="array" ref="BE119">IF($F$13-$I$4+VLOOKUP($Q119,武学奇术!$A:$ZZ,13,FALSE)+SUM(_xlfn.XLOOKUP(R119:AH119,增益!$A:$A,增益!$M:$M,0))&gt;0,($F$13-$I$4+VLOOKUP($Q119,武学奇术!$A:$ZZ,13,FALSE)+SUM(_xlfn.XLOOKUP(R119:AH119,增益!$A:$A,增益!$K:$K,0)))/200,($F$13-$I$4+VLOOKUP($Q119,武学奇术!$A:$ZZ,13,FALSE)+SUM(_xlfn.XLOOKUP(R119:AH119,增益!$A:$A,增益!$M:$M,0)))/100)</f>
        <v>0.08</v>
      </c>
      <c r="BF119" s="49" cm="1">
        <f t="array" ref="BF119">$G$13+VLOOKUP($Q119,武学奇术!$A:$ZZ,14,FALSE)+SUM(_xlfn.XLOOKUP(R119:AH119,增益!$A:$A,增益!$N:$N,0))</f>
        <v>0.15</v>
      </c>
      <c r="BG119">
        <f t="shared" si="38"/>
        <v>0</v>
      </c>
      <c r="BH119">
        <f t="shared" si="39"/>
        <v>0</v>
      </c>
      <c r="BI119" s="49" cm="1">
        <f t="array" ref="BI119">IF($F$14-$I$4+VLOOKUP($Q119,武学奇术!$A:$ZZ,15,FALSE)+SUM(_xlfn.XLOOKUP(R119:AH119,增益!$A:$A,增益!$O:$O,0))&gt;0,($F$14-$I$4+VLOOKUP($Q119,武学奇术!$A:$ZZ,15,FALSE)+SUM(_xlfn.XLOOKUP(R119:AH119,增益!$A:$A,增益!$O:$O,0)))/200,($F$14-$I$4+VLOOKUP($Q119,武学奇术!$A:$ZZ,15,FALSE)+SUM(_xlfn.XLOOKUP(R119:AH119,增益!$A:$A,增益!$O:$O,0)))/100)</f>
        <v>-0.14</v>
      </c>
      <c r="BJ119" s="49" cm="1">
        <f t="array" ref="BJ119">$G$14+VLOOKUP($Q119,武学奇术!$A:$ZZ,16,FALSE)+SUM(_xlfn.XLOOKUP(R119:AH119,增益!$A:$A,增益!$P:$P,0))</f>
        <v>0</v>
      </c>
      <c r="BK119" s="41">
        <f>MIN(IF(VLOOKUP($Q119,武学奇术!$A:$ZZ,23,FALSE)=1,100%,$B$8),100%)</f>
        <v>1</v>
      </c>
      <c r="BL119" s="41" cm="1">
        <f t="array" ref="BL119">IF(VLOOKUP($Q119,武学奇术!$A:$ZZ,23,FALSE)=1,100%,MIN(80%,$B$9+VLOOKUP($Q119,武学奇术!$A:$ZZ,17,FALSE)+SUM(_xlfn.XLOOKUP(R119:AH119,增益!$A:$A,增益!$Q:$Q,0)))+$B$11+SUM(_xlfn.XLOOKUP(R119:AH119,增益!$A:$A,增益!$U:$U,0)))*IF(VLOOKUP($Q119,武学奇术!$A:$ZZ,24,FALSE)=1,0,1)</f>
        <v>0.9045</v>
      </c>
      <c r="BM119" s="41" cm="1">
        <f t="array" ref="BM119">1+$B$13+VLOOKUP($Q119,武学奇术!$A:$ZZ,18,FALSE)+SUM(_xlfn.XLOOKUP(R119:AH119,增益!$A:$A,增益!$R:$R,0))</f>
        <v>1.85</v>
      </c>
      <c r="BN119" s="41" cm="1">
        <f t="array" ref="BN119">IF(VLOOKUP($Q119,武学奇术!$A:$ZZ,24,FALSE)=1,100%,MIN(40%,$B$10+VLOOKUP($Q119,武学奇术!$A:$ZZ,19,FALSE)+SUM(_xlfn.XLOOKUP(R119:AH119,增益!$A:$A,增益!$S:$S,0)))+$B$12+SUM(_xlfn.XLOOKUP(R119:AH119,增益!$A:$A,增益!$V:$V,0)))*IF(VLOOKUP($Q119,武学奇术!$A:$ZZ,23,FALSE)=1,0,1)</f>
        <v>0.0929</v>
      </c>
      <c r="BO119" s="41" cm="1">
        <f t="array" ref="BO119">1+$B$14+VLOOKUP($Q119,武学奇术!$A:$ZZ,20,FALSE)+SUM(_xlfn.XLOOKUP(R119:AH119,增益!$A:$A,增益!$T:$T,0))</f>
        <v>1.35</v>
      </c>
      <c r="BP119" s="41">
        <f t="shared" si="40"/>
        <v>0.9045</v>
      </c>
      <c r="BQ119" s="41">
        <f t="shared" si="41"/>
        <v>0.00260000000000005</v>
      </c>
      <c r="BR119" s="41">
        <f>IF(VLOOKUP($Q119,武学奇术!$A:$ZZ,22,FALSE)=1,0,(1-$BK119))*(1-$BN119)</f>
        <v>0</v>
      </c>
      <c r="BS119" s="41" cm="1">
        <f t="array" ref="BS119">SUM(_xlfn.XLOOKUP(R119:AH119,增益!$A:$A,增益!$W:$W,0))+$I$5</f>
        <v>0.31</v>
      </c>
    </row>
    <row r="120" spans="1:71">
      <c r="A120" s="4"/>
      <c r="B120" s="4"/>
      <c r="K120" s="55">
        <f t="shared" si="31"/>
        <v>0</v>
      </c>
      <c r="L120" s="55">
        <f>((($AP120+$AQ120)/2*$AJ120+$AK120)*(1+$AR120)*(1+$AS120)+(($AU120+$AV120)/2*IF($G$1="鸣金",$AL120,$AJ120)+IF($G$1="鸣金",$AM120*1.5,0))*(1+$AW120)*(1+$AX120)+(($AY120+$AZ120)/2*IF($G$1="裂石",$AL120,$AJ120)+IF($G$1="裂石",$AM120*1.5,0))*(1+$BA120)*(1+$BB120)+(($BC120+$BD120)/2*IF($G$1="牵丝",$AL120,$AJ120)+IF($G$1="牵丝",$AM120*1.5,0))*(1+$BE120)*(1+$BF120)+(($BG120+$BH120)/2*IF($G$1="破竹",$AL120,$AJ120)+IF($G$1="破竹",$AM120*1.5,0))*(1+$BI120)*(1+$BJ120))*(1+$AN120)*$BM120*$P120*(1+IF(VLOOKUP($Q120,武学奇术!$A:$ZZ,30,FALSE)="弹道",$B$21,0))*(1+$BS120)</f>
        <v>0</v>
      </c>
      <c r="M120" s="55">
        <f>(($AQ120*$AJ120+$AK120)*(1+$AR120)*(1+$AS120)+($AV120*IF($G$1="鸣金",$AL120,$AJ120)+IF($G$1="鸣金",$AM120*1.5,0))*(1+$AW120)*(1+$AX120)+($AZ120*IF($G$1="裂石",$AL120,$AJ120)+IF($G$1="裂石",$AM120*1.5,0))*(1+$BA120)*(1+$BB120)+($BD120*IF($G$1="牵丝",$AL120,$AJ120)+IF($G$1="牵丝",$AM120*1.5,0))*(1+$BE120)*(1+$BF120)+($BH120*IF($G$1="破竹",$AL120,$AJ120)+IF($G$1="破竹",$AM120*1.5,0))*(1+$BI120)*(1+$BJ120))*(1+$AN120)*$BO120*$P120*(1+IF(VLOOKUP($Q120,武学奇术!$A:$ZZ,30,FALSE)="弹道",$B$21,0))*(1+$BS120)</f>
        <v>0</v>
      </c>
      <c r="N120" s="55">
        <f>((($AP120+$AQ120)/2*$AJ120+$AK120)*(1+$AR120)*(1+$AS120)+(($AU120+$AV120)/2*IF($G$1="鸣金",$AL120,$AJ120)+IF($G$1="鸣金",$AM120*1.5,0))*(1+$AW120)*(1+$AX120)+(($AY120+$AZ120)/2*IF($G$1="裂石",$AL120,$AJ120)+IF($G$1="裂石",$AM120*1.5,0))*(1+$BA120)*(1+$BB120)+(($BC120+$BD120)/2*IF($G$1="牵丝",$AL120,$AJ120)+IF($G$1="牵丝",$AM120*1.5,0))*(1+$BE120)*(1+$BF120)+(($BG120+$BH120)/2*IF($G$1="破竹",$AL120,$AJ120)+IF($G$1="破竹",$AM120*1.5,0))*(1+$BI120)*(1+$BJ120))*(1+$AN120)*$P120*(1+IF(VLOOKUP($Q120,武学奇术!$A:$ZZ,30,FALSE)="弹道",$B$21,0))*(1+$BS120)</f>
        <v>0</v>
      </c>
      <c r="O120" s="55">
        <f>((($AP120*$AJ120+$AK120)*(1+$AR120)*(1+$AS120)+($AU120*IF($G$1="鸣金",$AL120,$AJ120)+IF($G$1="鸣金",$AM120*1.5,0))*(1+$AW120)*(1+$AX120)+($AY120*IF($G$1="裂石",$AL120,$AJ120)+IF($G$1="裂石",$AM120*1.5,0))*(1+$BA120)*(1+$BB120)+($BC120*IF($G$1="牵丝",$AL120,$AJ120)+IF($G$1="牵丝",$AM120*1.5,0))*(1+$BE120)*(1+$BF120)+($BG120*IF($G$1="破竹",$AL120,$AJ120)+IF($G$1="破竹",$AM120*1.5,0))*(1+$BI120)*(1+$BJ120))*(1+$AN120))*$P120*(1+IF(VLOOKUP($Q120,武学奇术!$A:$ZZ,30,FALSE)="弹道",$B$21,0))*(1+$BS120)</f>
        <v>0</v>
      </c>
      <c r="P120" s="56">
        <v>1</v>
      </c>
      <c r="Q120" s="57" t="s">
        <v>72</v>
      </c>
      <c r="R120" s="57" t="s">
        <v>72</v>
      </c>
      <c r="S120" s="57" t="s">
        <v>72</v>
      </c>
      <c r="T120" s="57" t="s">
        <v>72</v>
      </c>
      <c r="U120" s="57" t="s">
        <v>72</v>
      </c>
      <c r="V120" s="57" t="s">
        <v>72</v>
      </c>
      <c r="W120" s="57" t="s">
        <v>72</v>
      </c>
      <c r="X120" s="57" t="s">
        <v>72</v>
      </c>
      <c r="Y120" s="57" t="s">
        <v>72</v>
      </c>
      <c r="Z120" s="57" t="s">
        <v>72</v>
      </c>
      <c r="AA120" s="57" t="s">
        <v>72</v>
      </c>
      <c r="AB120" s="57" t="s">
        <v>72</v>
      </c>
      <c r="AC120" s="57" t="s">
        <v>72</v>
      </c>
      <c r="AD120" s="57" t="s">
        <v>72</v>
      </c>
      <c r="AE120" s="57" t="s">
        <v>72</v>
      </c>
      <c r="AF120" s="57" t="s">
        <v>72</v>
      </c>
      <c r="AG120" s="57" t="s">
        <v>72</v>
      </c>
      <c r="AH120" s="57" t="s">
        <v>87</v>
      </c>
      <c r="AI120" t="str">
        <f>VLOOKUP($Q120,武学奇术!$A:$ZZ,25,FALSE)</f>
        <v>心法</v>
      </c>
      <c r="AJ120" s="41">
        <f>VLOOKUP($Q120,武学奇术!$A:$ZZ,26,FALSE)</f>
        <v>0</v>
      </c>
      <c r="AK120" s="42">
        <f>VLOOKUP($Q120,武学奇术!$A:$ZZ,27,FALSE)*(1+IF(OR($AI120=$F$4,$AI120=$F$5),$B$22,0))</f>
        <v>0</v>
      </c>
      <c r="AL120" s="41">
        <f>VLOOKUP($Q120,武学奇术!$A:$ZZ,28,FALSE)</f>
        <v>0</v>
      </c>
      <c r="AM120" s="42">
        <f>VLOOKUP($Q120,武学奇术!$A:$ZZ,29,FALSE)*(1+IF(OR($AI120=$F$4,$AI120=$F$5),$B$22,0))</f>
        <v>0</v>
      </c>
      <c r="AN120" s="41" cm="1">
        <f t="array" ref="AN120">$G$3+IFERROR(VLOOKUP($AI120,$F$4:$G$7,2,FALSE),0)+VLOOKUP($Q120,武学奇术!$A:$ZZ,2,FALSE)+SUM(_xlfn.XLOOKUP($R120:$AH120,增益!$A:$A,增益!$B:$B,0))</f>
        <v>0.1837</v>
      </c>
      <c r="AO120" s="41" cm="1">
        <f t="array" ref="AO120">VLOOKUP($Q120,武学奇术!$A:$ZZ,5,FALSE)+SUM(_xlfn.XLOOKUP($R120:$AH120,增益!$A:$A,增益!$E:$E,0))</f>
        <v>0</v>
      </c>
      <c r="AP120" cm="1">
        <f t="array" ref="AP120">$D$10*(1+$AO120)+VLOOKUP($Q120,武学奇术!$A:$ZZ,3,FALSE)+SUM(_xlfn.XLOOKUP($R120:$AH120,增益!$A:$A,增益!$C:$C,0))-$I$2</f>
        <v>1797.4</v>
      </c>
      <c r="AQ120" cm="1">
        <f t="array" ref="AQ120">$E$10*(1+$AO120)+VLOOKUP($Q120,武学奇术!$A:$ZZ,4,FALSE)+SUM(_xlfn.XLOOKUP($R120:$AH120,增益!$A:$A,增益!$D:$D,0))-$I$2</f>
        <v>5488</v>
      </c>
      <c r="AR120" s="49" cm="1">
        <f t="array" ref="AR120">IF($F$10-$I$3+VLOOKUP($Q120,武学奇术!$A:$ZZ,6,FALSE)+SUM(_xlfn.XLOOKUP(R120:AH120,增益!$A:$A,增益!$F:$F,0))&gt;0,($F$10-$I$3+VLOOKUP($Q120,武学奇术!$A:$ZZ,6,FALSE)+SUM(_xlfn.XLOOKUP(R120:AH120,增益!$A:$A,增益!$F:$F,0)))/200,($F$10-$I$3+VLOOKUP($Q120,武学奇术!$A:$ZZ,6,FALSE)+SUM(_xlfn.XLOOKUP(R120:AH120,增益!$A:$A,增益!$F:$F,0)))/100)</f>
        <v>0.2925</v>
      </c>
      <c r="AS120" s="49" cm="1">
        <f t="array" ref="AS120">$G$10+VLOOKUP($Q120,武学奇术!$A:$ZZ,7,FALSE)+SUM(_xlfn.XLOOKUP(R120:AH120,增益!$A:$A,增益!$G:$G,0))</f>
        <v>0</v>
      </c>
      <c r="AT120" s="41" cm="1">
        <f t="array" ref="AT120">VLOOKUP($Q120,武学奇术!$A:$ZZ,8,FALSE)+SUM(_xlfn.XLOOKUP(R120:AH120,增益!$A:$A,增益!$H:$H,0))</f>
        <v>0</v>
      </c>
      <c r="AU120">
        <f t="shared" si="32"/>
        <v>0</v>
      </c>
      <c r="AV120">
        <f t="shared" si="33"/>
        <v>0</v>
      </c>
      <c r="AW120" s="49" cm="1">
        <f t="array" ref="AW120">IF($F$11-$I$4+VLOOKUP($Q120,武学奇术!$A:$ZZ,9,FALSE)+SUM(_xlfn.XLOOKUP(R120:AH120,增益!$A:$A,增益!$I:$I,0))&gt;0,($F$11-$I$4+VLOOKUP($Q120,武学奇术!$A:$ZZ,9,FALSE)+SUM(_xlfn.XLOOKUP(R120:AH120,增益!$A:$A,增益!$I:$I,0)))/200,($F$11-$I$4+VLOOKUP($Q120,武学奇术!$A:$ZZ,9,FALSE)+SUM(_xlfn.XLOOKUP(R120:AH120,增益!$A:$A,增益!$I:$I,0)))/100)</f>
        <v>-0.3</v>
      </c>
      <c r="AX120" s="49" cm="1">
        <f t="array" ref="AX120">$G$11+VLOOKUP($Q120,武学奇术!$A:$ZZ,10,FALSE)+SUM(_xlfn.XLOOKUP(R120:AH120,增益!$A:$A,增益!$J:$J,0))</f>
        <v>0</v>
      </c>
      <c r="AY120">
        <f t="shared" si="34"/>
        <v>0</v>
      </c>
      <c r="AZ120">
        <f t="shared" si="35"/>
        <v>0</v>
      </c>
      <c r="BA120" s="49" cm="1">
        <f t="array" ref="BA120">IF($F$12-$I$4+VLOOKUP($Q120,武学奇术!$A:$ZZ,11,FALSE)+SUM(_xlfn.XLOOKUP(R120:AH120,增益!$A:$A,增益!$K:$K,0))&gt;0,($F$12-$I$4+VLOOKUP($Q120,武学奇术!$A:$ZZ,11,FALSE)+SUM(_xlfn.XLOOKUP(R120:AH120,增益!$A:$A,增益!$K:$K,0)))/200,($F$12-$I$4+VLOOKUP($Q120,武学奇术!$A:$ZZ,11,FALSE)+SUM(_xlfn.XLOOKUP(R120:AH120,增益!$A:$A,增益!$K:$K,0)))/100)</f>
        <v>-0.3</v>
      </c>
      <c r="BB120" s="49" cm="1">
        <f t="array" ref="BB120">$G$12+VLOOKUP($Q120,武学奇术!$A:$ZZ,12,FALSE)+SUM(_xlfn.XLOOKUP(R120:AH120,增益!$A:$A,增益!$L:$L,0))</f>
        <v>0</v>
      </c>
      <c r="BC120">
        <f t="shared" si="36"/>
        <v>571.2</v>
      </c>
      <c r="BD120">
        <f t="shared" si="37"/>
        <v>1077.4</v>
      </c>
      <c r="BE120" s="49" cm="1">
        <f t="array" ref="BE120">IF($F$13-$I$4+VLOOKUP($Q120,武学奇术!$A:$ZZ,13,FALSE)+SUM(_xlfn.XLOOKUP(R120:AH120,增益!$A:$A,增益!$M:$M,0))&gt;0,($F$13-$I$4+VLOOKUP($Q120,武学奇术!$A:$ZZ,13,FALSE)+SUM(_xlfn.XLOOKUP(R120:AH120,增益!$A:$A,增益!$K:$K,0)))/200,($F$13-$I$4+VLOOKUP($Q120,武学奇术!$A:$ZZ,13,FALSE)+SUM(_xlfn.XLOOKUP(R120:AH120,增益!$A:$A,增益!$M:$M,0)))/100)</f>
        <v>0</v>
      </c>
      <c r="BF120" s="49" cm="1">
        <f t="array" ref="BF120">$G$13+VLOOKUP($Q120,武学奇术!$A:$ZZ,14,FALSE)+SUM(_xlfn.XLOOKUP(R120:AH120,增益!$A:$A,增益!$N:$N,0))</f>
        <v>0.15</v>
      </c>
      <c r="BG120">
        <f t="shared" si="38"/>
        <v>0</v>
      </c>
      <c r="BH120">
        <f t="shared" si="39"/>
        <v>0</v>
      </c>
      <c r="BI120" s="49" cm="1">
        <f t="array" ref="BI120">IF($F$14-$I$4+VLOOKUP($Q120,武学奇术!$A:$ZZ,15,FALSE)+SUM(_xlfn.XLOOKUP(R120:AH120,增益!$A:$A,增益!$O:$O,0))&gt;0,($F$14-$I$4+VLOOKUP($Q120,武学奇术!$A:$ZZ,15,FALSE)+SUM(_xlfn.XLOOKUP(R120:AH120,增益!$A:$A,增益!$O:$O,0)))/200,($F$14-$I$4+VLOOKUP($Q120,武学奇术!$A:$ZZ,15,FALSE)+SUM(_xlfn.XLOOKUP(R120:AH120,增益!$A:$A,增益!$O:$O,0)))/100)</f>
        <v>-0.3</v>
      </c>
      <c r="BJ120" s="49" cm="1">
        <f t="array" ref="BJ120">$G$14+VLOOKUP($Q120,武学奇术!$A:$ZZ,16,FALSE)+SUM(_xlfn.XLOOKUP(R120:AH120,增益!$A:$A,增益!$P:$P,0))</f>
        <v>0</v>
      </c>
      <c r="BK120" s="41">
        <f>MIN(IF(VLOOKUP($Q120,武学奇术!$A:$ZZ,23,FALSE)=1,100%,$B$8),100%)</f>
        <v>1</v>
      </c>
      <c r="BL120" s="41" cm="1">
        <f t="array" ref="BL120">IF(VLOOKUP($Q120,武学奇术!$A:$ZZ,23,FALSE)=1,100%,MIN(80%,$B$9+VLOOKUP($Q120,武学奇术!$A:$ZZ,17,FALSE)+SUM(_xlfn.XLOOKUP(R120:AH120,增益!$A:$A,增益!$Q:$Q,0)))+$B$11+SUM(_xlfn.XLOOKUP(R120:AH120,增益!$A:$A,增益!$U:$U,0)))*IF(VLOOKUP($Q120,武学奇术!$A:$ZZ,24,FALSE)=1,0,1)</f>
        <v>0.9045</v>
      </c>
      <c r="BM120" s="41" cm="1">
        <f t="array" ref="BM120">1+$B$13+VLOOKUP($Q120,武学奇术!$A:$ZZ,18,FALSE)+SUM(_xlfn.XLOOKUP(R120:AH120,增益!$A:$A,增益!$R:$R,0))</f>
        <v>1.5</v>
      </c>
      <c r="BN120" s="41" cm="1">
        <f t="array" ref="BN120">IF(VLOOKUP($Q120,武学奇术!$A:$ZZ,24,FALSE)=1,100%,MIN(40%,$B$10+VLOOKUP($Q120,武学奇术!$A:$ZZ,19,FALSE)+SUM(_xlfn.XLOOKUP(R120:AH120,增益!$A:$A,增益!$S:$S,0)))+$B$12+SUM(_xlfn.XLOOKUP(R120:AH120,增益!$A:$A,增益!$V:$V,0)))*IF(VLOOKUP($Q120,武学奇术!$A:$ZZ,23,FALSE)=1,0,1)</f>
        <v>0.0929</v>
      </c>
      <c r="BO120" s="41" cm="1">
        <f t="array" ref="BO120">1+$B$14+VLOOKUP($Q120,武学奇术!$A:$ZZ,20,FALSE)+SUM(_xlfn.XLOOKUP(R120:AH120,增益!$A:$A,增益!$T:$T,0))</f>
        <v>1.35</v>
      </c>
      <c r="BP120" s="41">
        <f t="shared" si="40"/>
        <v>0.9045</v>
      </c>
      <c r="BQ120" s="41">
        <f t="shared" si="41"/>
        <v>0.00260000000000005</v>
      </c>
      <c r="BR120" s="41">
        <f>IF(VLOOKUP($Q120,武学奇术!$A:$ZZ,22,FALSE)=1,0,(1-$BK120))*(1-$BN120)</f>
        <v>0</v>
      </c>
      <c r="BS120" s="41" cm="1">
        <f t="array" ref="BS120">SUM(_xlfn.XLOOKUP(R120:AH120,增益!$A:$A,增益!$W:$W,0))+$I$5</f>
        <v>0.11</v>
      </c>
    </row>
    <row r="121" spans="1:71">
      <c r="A121" s="4"/>
      <c r="B121" s="109"/>
      <c r="C121"/>
      <c r="D121"/>
      <c r="K121" s="55">
        <f t="shared" si="31"/>
        <v>0</v>
      </c>
      <c r="L121" s="55">
        <f>((($AP121+$AQ121)/2*$AJ121+$AK121)*(1+$AR121)*(1+$AS121)+(($AU121+$AV121)/2*IF($G$1="鸣金",$AL121,$AJ121)+IF($G$1="鸣金",$AM121*1.5,0))*(1+$AW121)*(1+$AX121)+(($AY121+$AZ121)/2*IF($G$1="裂石",$AL121,$AJ121)+IF($G$1="裂石",$AM121*1.5,0))*(1+$BA121)*(1+$BB121)+(($BC121+$BD121)/2*IF($G$1="牵丝",$AL121,$AJ121)+IF($G$1="牵丝",$AM121*1.5,0))*(1+$BE121)*(1+$BF121)+(($BG121+$BH121)/2*IF($G$1="破竹",$AL121,$AJ121)+IF($G$1="破竹",$AM121*1.5,0))*(1+$BI121)*(1+$BJ121))*(1+$AN121)*$BM121*$P121*(1+IF(VLOOKUP($Q121,武学奇术!$A:$ZZ,30,FALSE)="弹道",$B$21,0))*(1+$BS121)</f>
        <v>0</v>
      </c>
      <c r="M121" s="55">
        <f>(($AQ121*$AJ121+$AK121)*(1+$AR121)*(1+$AS121)+($AV121*IF($G$1="鸣金",$AL121,$AJ121)+IF($G$1="鸣金",$AM121*1.5,0))*(1+$AW121)*(1+$AX121)+($AZ121*IF($G$1="裂石",$AL121,$AJ121)+IF($G$1="裂石",$AM121*1.5,0))*(1+$BA121)*(1+$BB121)+($BD121*IF($G$1="牵丝",$AL121,$AJ121)+IF($G$1="牵丝",$AM121*1.5,0))*(1+$BE121)*(1+$BF121)+($BH121*IF($G$1="破竹",$AL121,$AJ121)+IF($G$1="破竹",$AM121*1.5,0))*(1+$BI121)*(1+$BJ121))*(1+$AN121)*$BO121*$P121*(1+IF(VLOOKUP($Q121,武学奇术!$A:$ZZ,30,FALSE)="弹道",$B$21,0))*(1+$BS121)</f>
        <v>0</v>
      </c>
      <c r="N121" s="55">
        <f>((($AP121+$AQ121)/2*$AJ121+$AK121)*(1+$AR121)*(1+$AS121)+(($AU121+$AV121)/2*IF($G$1="鸣金",$AL121,$AJ121)+IF($G$1="鸣金",$AM121*1.5,0))*(1+$AW121)*(1+$AX121)+(($AY121+$AZ121)/2*IF($G$1="裂石",$AL121,$AJ121)+IF($G$1="裂石",$AM121*1.5,0))*(1+$BA121)*(1+$BB121)+(($BC121+$BD121)/2*IF($G$1="牵丝",$AL121,$AJ121)+IF($G$1="牵丝",$AM121*1.5,0))*(1+$BE121)*(1+$BF121)+(($BG121+$BH121)/2*IF($G$1="破竹",$AL121,$AJ121)+IF($G$1="破竹",$AM121*1.5,0))*(1+$BI121)*(1+$BJ121))*(1+$AN121)*$P121*(1+IF(VLOOKUP($Q121,武学奇术!$A:$ZZ,30,FALSE)="弹道",$B$21,0))*(1+$BS121)</f>
        <v>0</v>
      </c>
      <c r="O121" s="55">
        <f>((($AP121*$AJ121+$AK121)*(1+$AR121)*(1+$AS121)+($AU121*IF($G$1="鸣金",$AL121,$AJ121)+IF($G$1="鸣金",$AM121*1.5,0))*(1+$AW121)*(1+$AX121)+($AY121*IF($G$1="裂石",$AL121,$AJ121)+IF($G$1="裂石",$AM121*1.5,0))*(1+$BA121)*(1+$BB121)+($BC121*IF($G$1="牵丝",$AL121,$AJ121)+IF($G$1="牵丝",$AM121*1.5,0))*(1+$BE121)*(1+$BF121)+($BG121*IF($G$1="破竹",$AL121,$AJ121)+IF($G$1="破竹",$AM121*1.5,0))*(1+$BI121)*(1+$BJ121))*(1+$AN121))*$P121*(1+IF(VLOOKUP($Q121,武学奇术!$A:$ZZ,30,FALSE)="弹道",$B$21,0))*(1+$BS121)</f>
        <v>0</v>
      </c>
      <c r="P121" s="56">
        <v>1</v>
      </c>
      <c r="Q121" s="57" t="s">
        <v>72</v>
      </c>
      <c r="R121" s="57" t="s">
        <v>72</v>
      </c>
      <c r="S121" s="57" t="s">
        <v>72</v>
      </c>
      <c r="T121" s="57" t="s">
        <v>72</v>
      </c>
      <c r="U121" s="57" t="s">
        <v>72</v>
      </c>
      <c r="V121" s="57" t="s">
        <v>72</v>
      </c>
      <c r="W121" s="57" t="s">
        <v>72</v>
      </c>
      <c r="X121" s="57" t="s">
        <v>72</v>
      </c>
      <c r="Y121" s="57" t="s">
        <v>72</v>
      </c>
      <c r="Z121" s="57" t="s">
        <v>72</v>
      </c>
      <c r="AA121" s="57" t="s">
        <v>72</v>
      </c>
      <c r="AB121" s="57" t="s">
        <v>72</v>
      </c>
      <c r="AC121" s="57" t="s">
        <v>72</v>
      </c>
      <c r="AD121" s="57" t="s">
        <v>72</v>
      </c>
      <c r="AE121" s="57" t="s">
        <v>72</v>
      </c>
      <c r="AF121" s="57" t="s">
        <v>72</v>
      </c>
      <c r="AG121" s="57" t="s">
        <v>72</v>
      </c>
      <c r="AH121" s="57" t="s">
        <v>87</v>
      </c>
      <c r="AI121" t="str">
        <f>VLOOKUP($Q121,武学奇术!$A:$ZZ,25,FALSE)</f>
        <v>心法</v>
      </c>
      <c r="AJ121" s="41">
        <f>VLOOKUP($Q121,武学奇术!$A:$ZZ,26,FALSE)</f>
        <v>0</v>
      </c>
      <c r="AK121" s="42">
        <f>VLOOKUP($Q121,武学奇术!$A:$ZZ,27,FALSE)*(1+IF(OR($AI121=$F$4,$AI121=$F$5),$B$22,0))</f>
        <v>0</v>
      </c>
      <c r="AL121" s="41">
        <f>VLOOKUP($Q121,武学奇术!$A:$ZZ,28,FALSE)</f>
        <v>0</v>
      </c>
      <c r="AM121" s="42">
        <f>VLOOKUP($Q121,武学奇术!$A:$ZZ,29,FALSE)*(1+IF(OR($AI121=$F$4,$AI121=$F$5),$B$22,0))</f>
        <v>0</v>
      </c>
      <c r="AN121" s="41" cm="1">
        <f t="array" ref="AN121">$G$3+IFERROR(VLOOKUP($AI121,$F$4:$G$7,2,FALSE),0)+VLOOKUP($Q121,武学奇术!$A:$ZZ,2,FALSE)+SUM(_xlfn.XLOOKUP($R121:$AH121,增益!$A:$A,增益!$B:$B,0))</f>
        <v>0.1837</v>
      </c>
      <c r="AO121" s="41" cm="1">
        <f t="array" ref="AO121">VLOOKUP($Q121,武学奇术!$A:$ZZ,5,FALSE)+SUM(_xlfn.XLOOKUP($R121:$AH121,增益!$A:$A,增益!$E:$E,0))</f>
        <v>0</v>
      </c>
      <c r="AP121" cm="1">
        <f t="array" ref="AP121">$D$10*(1+$AO121)+VLOOKUP($Q121,武学奇术!$A:$ZZ,3,FALSE)+SUM(_xlfn.XLOOKUP($R121:$AH121,增益!$A:$A,增益!$C:$C,0))-$I$2</f>
        <v>1797.4</v>
      </c>
      <c r="AQ121" cm="1">
        <f t="array" ref="AQ121">$E$10*(1+$AO121)+VLOOKUP($Q121,武学奇术!$A:$ZZ,4,FALSE)+SUM(_xlfn.XLOOKUP($R121:$AH121,增益!$A:$A,增益!$D:$D,0))-$I$2</f>
        <v>5488</v>
      </c>
      <c r="AR121" s="49" cm="1">
        <f t="array" ref="AR121">IF($F$10-$I$3+VLOOKUP($Q121,武学奇术!$A:$ZZ,6,FALSE)+SUM(_xlfn.XLOOKUP(R121:AH121,增益!$A:$A,增益!$F:$F,0))&gt;0,($F$10-$I$3+VLOOKUP($Q121,武学奇术!$A:$ZZ,6,FALSE)+SUM(_xlfn.XLOOKUP(R121:AH121,增益!$A:$A,增益!$F:$F,0)))/200,($F$10-$I$3+VLOOKUP($Q121,武学奇术!$A:$ZZ,6,FALSE)+SUM(_xlfn.XLOOKUP(R121:AH121,增益!$A:$A,增益!$F:$F,0)))/100)</f>
        <v>0.2925</v>
      </c>
      <c r="AS121" s="49" cm="1">
        <f t="array" ref="AS121">$G$10+VLOOKUP($Q121,武学奇术!$A:$ZZ,7,FALSE)+SUM(_xlfn.XLOOKUP(R121:AH121,增益!$A:$A,增益!$G:$G,0))</f>
        <v>0</v>
      </c>
      <c r="AT121" s="41" cm="1">
        <f t="array" ref="AT121">VLOOKUP($Q121,武学奇术!$A:$ZZ,8,FALSE)+SUM(_xlfn.XLOOKUP(R121:AH121,增益!$A:$A,增益!$H:$H,0))</f>
        <v>0</v>
      </c>
      <c r="AU121">
        <f t="shared" si="32"/>
        <v>0</v>
      </c>
      <c r="AV121">
        <f t="shared" si="33"/>
        <v>0</v>
      </c>
      <c r="AW121" s="49" cm="1">
        <f t="array" ref="AW121">IF($F$11-$I$4+VLOOKUP($Q121,武学奇术!$A:$ZZ,9,FALSE)+SUM(_xlfn.XLOOKUP(R121:AH121,增益!$A:$A,增益!$I:$I,0))&gt;0,($F$11-$I$4+VLOOKUP($Q121,武学奇术!$A:$ZZ,9,FALSE)+SUM(_xlfn.XLOOKUP(R121:AH121,增益!$A:$A,增益!$I:$I,0)))/200,($F$11-$I$4+VLOOKUP($Q121,武学奇术!$A:$ZZ,9,FALSE)+SUM(_xlfn.XLOOKUP(R121:AH121,增益!$A:$A,增益!$I:$I,0)))/100)</f>
        <v>-0.3</v>
      </c>
      <c r="AX121" s="49" cm="1">
        <f t="array" ref="AX121">$G$11+VLOOKUP($Q121,武学奇术!$A:$ZZ,10,FALSE)+SUM(_xlfn.XLOOKUP(R121:AH121,增益!$A:$A,增益!$J:$J,0))</f>
        <v>0</v>
      </c>
      <c r="AY121">
        <f t="shared" si="34"/>
        <v>0</v>
      </c>
      <c r="AZ121">
        <f t="shared" si="35"/>
        <v>0</v>
      </c>
      <c r="BA121" s="49" cm="1">
        <f t="array" ref="BA121">IF($F$12-$I$4+VLOOKUP($Q121,武学奇术!$A:$ZZ,11,FALSE)+SUM(_xlfn.XLOOKUP(R121:AH121,增益!$A:$A,增益!$K:$K,0))&gt;0,($F$12-$I$4+VLOOKUP($Q121,武学奇术!$A:$ZZ,11,FALSE)+SUM(_xlfn.XLOOKUP(R121:AH121,增益!$A:$A,增益!$K:$K,0)))/200,($F$12-$I$4+VLOOKUP($Q121,武学奇术!$A:$ZZ,11,FALSE)+SUM(_xlfn.XLOOKUP(R121:AH121,增益!$A:$A,增益!$K:$K,0)))/100)</f>
        <v>-0.3</v>
      </c>
      <c r="BB121" s="49" cm="1">
        <f t="array" ref="BB121">$G$12+VLOOKUP($Q121,武学奇术!$A:$ZZ,12,FALSE)+SUM(_xlfn.XLOOKUP(R121:AH121,增益!$A:$A,增益!$L:$L,0))</f>
        <v>0</v>
      </c>
      <c r="BC121">
        <f t="shared" si="36"/>
        <v>571.2</v>
      </c>
      <c r="BD121">
        <f t="shared" si="37"/>
        <v>1077.4</v>
      </c>
      <c r="BE121" s="49" cm="1">
        <f t="array" ref="BE121">IF($F$13-$I$4+VLOOKUP($Q121,武学奇术!$A:$ZZ,13,FALSE)+SUM(_xlfn.XLOOKUP(R121:AH121,增益!$A:$A,增益!$M:$M,0))&gt;0,($F$13-$I$4+VLOOKUP($Q121,武学奇术!$A:$ZZ,13,FALSE)+SUM(_xlfn.XLOOKUP(R121:AH121,增益!$A:$A,增益!$K:$K,0)))/200,($F$13-$I$4+VLOOKUP($Q121,武学奇术!$A:$ZZ,13,FALSE)+SUM(_xlfn.XLOOKUP(R121:AH121,增益!$A:$A,增益!$M:$M,0)))/100)</f>
        <v>0</v>
      </c>
      <c r="BF121" s="49" cm="1">
        <f t="array" ref="BF121">$G$13+VLOOKUP($Q121,武学奇术!$A:$ZZ,14,FALSE)+SUM(_xlfn.XLOOKUP(R121:AH121,增益!$A:$A,增益!$N:$N,0))</f>
        <v>0.15</v>
      </c>
      <c r="BG121">
        <f t="shared" si="38"/>
        <v>0</v>
      </c>
      <c r="BH121">
        <f t="shared" si="39"/>
        <v>0</v>
      </c>
      <c r="BI121" s="49" cm="1">
        <f t="array" ref="BI121">IF($F$14-$I$4+VLOOKUP($Q121,武学奇术!$A:$ZZ,15,FALSE)+SUM(_xlfn.XLOOKUP(R121:AH121,增益!$A:$A,增益!$O:$O,0))&gt;0,($F$14-$I$4+VLOOKUP($Q121,武学奇术!$A:$ZZ,15,FALSE)+SUM(_xlfn.XLOOKUP(R121:AH121,增益!$A:$A,增益!$O:$O,0)))/200,($F$14-$I$4+VLOOKUP($Q121,武学奇术!$A:$ZZ,15,FALSE)+SUM(_xlfn.XLOOKUP(R121:AH121,增益!$A:$A,增益!$O:$O,0)))/100)</f>
        <v>-0.3</v>
      </c>
      <c r="BJ121" s="49" cm="1">
        <f t="array" ref="BJ121">$G$14+VLOOKUP($Q121,武学奇术!$A:$ZZ,16,FALSE)+SUM(_xlfn.XLOOKUP(R121:AH121,增益!$A:$A,增益!$P:$P,0))</f>
        <v>0</v>
      </c>
      <c r="BK121" s="41">
        <f>MIN(IF(VLOOKUP($Q121,武学奇术!$A:$ZZ,23,FALSE)=1,100%,$B$8),100%)</f>
        <v>1</v>
      </c>
      <c r="BL121" s="41" cm="1">
        <f t="array" ref="BL121">IF(VLOOKUP($Q121,武学奇术!$A:$ZZ,23,FALSE)=1,100%,MIN(80%,$B$9+VLOOKUP($Q121,武学奇术!$A:$ZZ,17,FALSE)+SUM(_xlfn.XLOOKUP(R121:AH121,增益!$A:$A,增益!$Q:$Q,0)))+$B$11+SUM(_xlfn.XLOOKUP(R121:AH121,增益!$A:$A,增益!$U:$U,0)))*IF(VLOOKUP($Q121,武学奇术!$A:$ZZ,24,FALSE)=1,0,1)</f>
        <v>0.9045</v>
      </c>
      <c r="BM121" s="41" cm="1">
        <f t="array" ref="BM121">1+$B$13+VLOOKUP($Q121,武学奇术!$A:$ZZ,18,FALSE)+SUM(_xlfn.XLOOKUP(R121:AH121,增益!$A:$A,增益!$R:$R,0))</f>
        <v>1.5</v>
      </c>
      <c r="BN121" s="41" cm="1">
        <f t="array" ref="BN121">IF(VLOOKUP($Q121,武学奇术!$A:$ZZ,24,FALSE)=1,100%,MIN(40%,$B$10+VLOOKUP($Q121,武学奇术!$A:$ZZ,19,FALSE)+SUM(_xlfn.XLOOKUP(R121:AH121,增益!$A:$A,增益!$S:$S,0)))+$B$12+SUM(_xlfn.XLOOKUP(R121:AH121,增益!$A:$A,增益!$V:$V,0)))*IF(VLOOKUP($Q121,武学奇术!$A:$ZZ,23,FALSE)=1,0,1)</f>
        <v>0.0929</v>
      </c>
      <c r="BO121" s="41" cm="1">
        <f t="array" ref="BO121">1+$B$14+VLOOKUP($Q121,武学奇术!$A:$ZZ,20,FALSE)+SUM(_xlfn.XLOOKUP(R121:AH121,增益!$A:$A,增益!$T:$T,0))</f>
        <v>1.35</v>
      </c>
      <c r="BP121" s="41">
        <f t="shared" si="40"/>
        <v>0.9045</v>
      </c>
      <c r="BQ121" s="41">
        <f t="shared" si="41"/>
        <v>0.00260000000000005</v>
      </c>
      <c r="BR121" s="41">
        <f>IF(VLOOKUP($Q121,武学奇术!$A:$ZZ,22,FALSE)=1,0,(1-$BK121))*(1-$BN121)</f>
        <v>0</v>
      </c>
      <c r="BS121" s="41" cm="1">
        <f t="array" ref="BS121">SUM(_xlfn.XLOOKUP(R121:AH121,增益!$A:$A,增益!$W:$W,0))+$I$5</f>
        <v>0.11</v>
      </c>
    </row>
    <row r="122" spans="1:71">
      <c r="A122" s="4"/>
      <c r="B122" s="4"/>
      <c r="C122"/>
      <c r="K122" s="55">
        <f t="shared" si="31"/>
        <v>0</v>
      </c>
      <c r="L122" s="55">
        <f>((($AP122+$AQ122)/2*$AJ122+$AK122)*(1+$AR122)*(1+$AS122)+(($AU122+$AV122)/2*IF($G$1="鸣金",$AL122,$AJ122)+IF($G$1="鸣金",$AM122*1.5,0))*(1+$AW122)*(1+$AX122)+(($AY122+$AZ122)/2*IF($G$1="裂石",$AL122,$AJ122)+IF($G$1="裂石",$AM122*1.5,0))*(1+$BA122)*(1+$BB122)+(($BC122+$BD122)/2*IF($G$1="牵丝",$AL122,$AJ122)+IF($G$1="牵丝",$AM122*1.5,0))*(1+$BE122)*(1+$BF122)+(($BG122+$BH122)/2*IF($G$1="破竹",$AL122,$AJ122)+IF($G$1="破竹",$AM122*1.5,0))*(1+$BI122)*(1+$BJ122))*(1+$AN122)*$BM122*$P122*(1+IF(VLOOKUP($Q122,武学奇术!$A:$ZZ,30,FALSE)="弹道",$B$21,0))*(1+$BS122)</f>
        <v>0</v>
      </c>
      <c r="M122" s="55">
        <f>(($AQ122*$AJ122+$AK122)*(1+$AR122)*(1+$AS122)+($AV122*IF($G$1="鸣金",$AL122,$AJ122)+IF($G$1="鸣金",$AM122*1.5,0))*(1+$AW122)*(1+$AX122)+($AZ122*IF($G$1="裂石",$AL122,$AJ122)+IF($G$1="裂石",$AM122*1.5,0))*(1+$BA122)*(1+$BB122)+($BD122*IF($G$1="牵丝",$AL122,$AJ122)+IF($G$1="牵丝",$AM122*1.5,0))*(1+$BE122)*(1+$BF122)+($BH122*IF($G$1="破竹",$AL122,$AJ122)+IF($G$1="破竹",$AM122*1.5,0))*(1+$BI122)*(1+$BJ122))*(1+$AN122)*$BO122*$P122*(1+IF(VLOOKUP($Q122,武学奇术!$A:$ZZ,30,FALSE)="弹道",$B$21,0))*(1+$BS122)</f>
        <v>0</v>
      </c>
      <c r="N122" s="55">
        <f>((($AP122+$AQ122)/2*$AJ122+$AK122)*(1+$AR122)*(1+$AS122)+(($AU122+$AV122)/2*IF($G$1="鸣金",$AL122,$AJ122)+IF($G$1="鸣金",$AM122*1.5,0))*(1+$AW122)*(1+$AX122)+(($AY122+$AZ122)/2*IF($G$1="裂石",$AL122,$AJ122)+IF($G$1="裂石",$AM122*1.5,0))*(1+$BA122)*(1+$BB122)+(($BC122+$BD122)/2*IF($G$1="牵丝",$AL122,$AJ122)+IF($G$1="牵丝",$AM122*1.5,0))*(1+$BE122)*(1+$BF122)+(($BG122+$BH122)/2*IF($G$1="破竹",$AL122,$AJ122)+IF($G$1="破竹",$AM122*1.5,0))*(1+$BI122)*(1+$BJ122))*(1+$AN122)*$P122*(1+IF(VLOOKUP($Q122,武学奇术!$A:$ZZ,30,FALSE)="弹道",$B$21,0))*(1+$BS122)</f>
        <v>0</v>
      </c>
      <c r="O122" s="55">
        <f>((($AP122*$AJ122+$AK122)*(1+$AR122)*(1+$AS122)+($AU122*IF($G$1="鸣金",$AL122,$AJ122)+IF($G$1="鸣金",$AM122*1.5,0))*(1+$AW122)*(1+$AX122)+($AY122*IF($G$1="裂石",$AL122,$AJ122)+IF($G$1="裂石",$AM122*1.5,0))*(1+$BA122)*(1+$BB122)+($BC122*IF($G$1="牵丝",$AL122,$AJ122)+IF($G$1="牵丝",$AM122*1.5,0))*(1+$BE122)*(1+$BF122)+($BG122*IF($G$1="破竹",$AL122,$AJ122)+IF($G$1="破竹",$AM122*1.5,0))*(1+$BI122)*(1+$BJ122))*(1+$AN122))*$P122*(1+IF(VLOOKUP($Q122,武学奇术!$A:$ZZ,30,FALSE)="弹道",$B$21,0))*(1+$BS122)</f>
        <v>0</v>
      </c>
      <c r="P122" s="56">
        <v>1</v>
      </c>
      <c r="Q122" s="57" t="s">
        <v>72</v>
      </c>
      <c r="R122" s="57" t="s">
        <v>72</v>
      </c>
      <c r="S122" s="57" t="s">
        <v>72</v>
      </c>
      <c r="T122" s="57" t="s">
        <v>72</v>
      </c>
      <c r="U122" s="57" t="s">
        <v>72</v>
      </c>
      <c r="V122" s="57" t="s">
        <v>72</v>
      </c>
      <c r="W122" s="57" t="s">
        <v>72</v>
      </c>
      <c r="X122" s="57" t="s">
        <v>72</v>
      </c>
      <c r="Y122" s="57" t="s">
        <v>72</v>
      </c>
      <c r="Z122" s="57" t="s">
        <v>72</v>
      </c>
      <c r="AA122" s="57" t="s">
        <v>72</v>
      </c>
      <c r="AB122" s="57" t="s">
        <v>72</v>
      </c>
      <c r="AC122" s="57" t="s">
        <v>72</v>
      </c>
      <c r="AD122" s="57" t="s">
        <v>72</v>
      </c>
      <c r="AE122" s="57" t="s">
        <v>72</v>
      </c>
      <c r="AF122" s="57" t="s">
        <v>72</v>
      </c>
      <c r="AG122" s="57" t="s">
        <v>72</v>
      </c>
      <c r="AH122" s="57" t="s">
        <v>87</v>
      </c>
      <c r="AI122" t="str">
        <f>VLOOKUP($Q122,武学奇术!$A:$ZZ,25,FALSE)</f>
        <v>心法</v>
      </c>
      <c r="AJ122" s="41">
        <f>VLOOKUP($Q122,武学奇术!$A:$ZZ,26,FALSE)</f>
        <v>0</v>
      </c>
      <c r="AK122" s="42">
        <f>VLOOKUP($Q122,武学奇术!$A:$ZZ,27,FALSE)*(1+IF(OR($AI122=$F$4,$AI122=$F$5),$B$22,0))</f>
        <v>0</v>
      </c>
      <c r="AL122" s="41">
        <f>VLOOKUP($Q122,武学奇术!$A:$ZZ,28,FALSE)</f>
        <v>0</v>
      </c>
      <c r="AM122" s="42">
        <f>VLOOKUP($Q122,武学奇术!$A:$ZZ,29,FALSE)*(1+IF(OR($AI122=$F$4,$AI122=$F$5),$B$22,0))</f>
        <v>0</v>
      </c>
      <c r="AN122" s="41" cm="1">
        <f t="array" ref="AN122">$G$3+IFERROR(VLOOKUP($AI122,$F$4:$G$7,2,FALSE),0)+VLOOKUP($Q122,武学奇术!$A:$ZZ,2,FALSE)+SUM(_xlfn.XLOOKUP($R122:$AH122,增益!$A:$A,增益!$B:$B,0))</f>
        <v>0.1837</v>
      </c>
      <c r="AO122" s="41" cm="1">
        <f t="array" ref="AO122">VLOOKUP($Q122,武学奇术!$A:$ZZ,5,FALSE)+SUM(_xlfn.XLOOKUP($R122:$AH122,增益!$A:$A,增益!$E:$E,0))</f>
        <v>0</v>
      </c>
      <c r="AP122" cm="1">
        <f t="array" ref="AP122">$D$10*(1+$AO122)+VLOOKUP($Q122,武学奇术!$A:$ZZ,3,FALSE)+SUM(_xlfn.XLOOKUP($R122:$AH122,增益!$A:$A,增益!$C:$C,0))-$I$2</f>
        <v>1797.4</v>
      </c>
      <c r="AQ122" cm="1">
        <f t="array" ref="AQ122">$E$10*(1+$AO122)+VLOOKUP($Q122,武学奇术!$A:$ZZ,4,FALSE)+SUM(_xlfn.XLOOKUP($R122:$AH122,增益!$A:$A,增益!$D:$D,0))-$I$2</f>
        <v>5488</v>
      </c>
      <c r="AR122" s="49" cm="1">
        <f t="array" ref="AR122">IF($F$10-$I$3+VLOOKUP($Q122,武学奇术!$A:$ZZ,6,FALSE)+SUM(_xlfn.XLOOKUP(R122:AH122,增益!$A:$A,增益!$F:$F,0))&gt;0,($F$10-$I$3+VLOOKUP($Q122,武学奇术!$A:$ZZ,6,FALSE)+SUM(_xlfn.XLOOKUP(R122:AH122,增益!$A:$A,增益!$F:$F,0)))/200,($F$10-$I$3+VLOOKUP($Q122,武学奇术!$A:$ZZ,6,FALSE)+SUM(_xlfn.XLOOKUP(R122:AH122,增益!$A:$A,增益!$F:$F,0)))/100)</f>
        <v>0.2925</v>
      </c>
      <c r="AS122" s="49" cm="1">
        <f t="array" ref="AS122">$G$10+VLOOKUP($Q122,武学奇术!$A:$ZZ,7,FALSE)+SUM(_xlfn.XLOOKUP(R122:AH122,增益!$A:$A,增益!$G:$G,0))</f>
        <v>0</v>
      </c>
      <c r="AT122" s="41" cm="1">
        <f t="array" ref="AT122">VLOOKUP($Q122,武学奇术!$A:$ZZ,8,FALSE)+SUM(_xlfn.XLOOKUP(R122:AH122,增益!$A:$A,增益!$H:$H,0))</f>
        <v>0</v>
      </c>
      <c r="AU122">
        <f t="shared" si="32"/>
        <v>0</v>
      </c>
      <c r="AV122">
        <f t="shared" si="33"/>
        <v>0</v>
      </c>
      <c r="AW122" s="49" cm="1">
        <f t="array" ref="AW122">IF($F$11-$I$4+VLOOKUP($Q122,武学奇术!$A:$ZZ,9,FALSE)+SUM(_xlfn.XLOOKUP(R122:AH122,增益!$A:$A,增益!$I:$I,0))&gt;0,($F$11-$I$4+VLOOKUP($Q122,武学奇术!$A:$ZZ,9,FALSE)+SUM(_xlfn.XLOOKUP(R122:AH122,增益!$A:$A,增益!$I:$I,0)))/200,($F$11-$I$4+VLOOKUP($Q122,武学奇术!$A:$ZZ,9,FALSE)+SUM(_xlfn.XLOOKUP(R122:AH122,增益!$A:$A,增益!$I:$I,0)))/100)</f>
        <v>-0.3</v>
      </c>
      <c r="AX122" s="49" cm="1">
        <f t="array" ref="AX122">$G$11+VLOOKUP($Q122,武学奇术!$A:$ZZ,10,FALSE)+SUM(_xlfn.XLOOKUP(R122:AH122,增益!$A:$A,增益!$J:$J,0))</f>
        <v>0</v>
      </c>
      <c r="AY122">
        <f t="shared" si="34"/>
        <v>0</v>
      </c>
      <c r="AZ122">
        <f t="shared" si="35"/>
        <v>0</v>
      </c>
      <c r="BA122" s="49" cm="1">
        <f t="array" ref="BA122">IF($F$12-$I$4+VLOOKUP($Q122,武学奇术!$A:$ZZ,11,FALSE)+SUM(_xlfn.XLOOKUP(R122:AH122,增益!$A:$A,增益!$K:$K,0))&gt;0,($F$12-$I$4+VLOOKUP($Q122,武学奇术!$A:$ZZ,11,FALSE)+SUM(_xlfn.XLOOKUP(R122:AH122,增益!$A:$A,增益!$K:$K,0)))/200,($F$12-$I$4+VLOOKUP($Q122,武学奇术!$A:$ZZ,11,FALSE)+SUM(_xlfn.XLOOKUP(R122:AH122,增益!$A:$A,增益!$K:$K,0)))/100)</f>
        <v>-0.3</v>
      </c>
      <c r="BB122" s="49" cm="1">
        <f t="array" ref="BB122">$G$12+VLOOKUP($Q122,武学奇术!$A:$ZZ,12,FALSE)+SUM(_xlfn.XLOOKUP(R122:AH122,增益!$A:$A,增益!$L:$L,0))</f>
        <v>0</v>
      </c>
      <c r="BC122">
        <f t="shared" si="36"/>
        <v>571.2</v>
      </c>
      <c r="BD122">
        <f t="shared" si="37"/>
        <v>1077.4</v>
      </c>
      <c r="BE122" s="49" cm="1">
        <f t="array" ref="BE122">IF($F$13-$I$4+VLOOKUP($Q122,武学奇术!$A:$ZZ,13,FALSE)+SUM(_xlfn.XLOOKUP(R122:AH122,增益!$A:$A,增益!$M:$M,0))&gt;0,($F$13-$I$4+VLOOKUP($Q122,武学奇术!$A:$ZZ,13,FALSE)+SUM(_xlfn.XLOOKUP(R122:AH122,增益!$A:$A,增益!$K:$K,0)))/200,($F$13-$I$4+VLOOKUP($Q122,武学奇术!$A:$ZZ,13,FALSE)+SUM(_xlfn.XLOOKUP(R122:AH122,增益!$A:$A,增益!$M:$M,0)))/100)</f>
        <v>0</v>
      </c>
      <c r="BF122" s="49" cm="1">
        <f t="array" ref="BF122">$G$13+VLOOKUP($Q122,武学奇术!$A:$ZZ,14,FALSE)+SUM(_xlfn.XLOOKUP(R122:AH122,增益!$A:$A,增益!$N:$N,0))</f>
        <v>0.15</v>
      </c>
      <c r="BG122">
        <f t="shared" si="38"/>
        <v>0</v>
      </c>
      <c r="BH122">
        <f t="shared" si="39"/>
        <v>0</v>
      </c>
      <c r="BI122" s="49" cm="1">
        <f t="array" ref="BI122">IF($F$14-$I$4+VLOOKUP($Q122,武学奇术!$A:$ZZ,15,FALSE)+SUM(_xlfn.XLOOKUP(R122:AH122,增益!$A:$A,增益!$O:$O,0))&gt;0,($F$14-$I$4+VLOOKUP($Q122,武学奇术!$A:$ZZ,15,FALSE)+SUM(_xlfn.XLOOKUP(R122:AH122,增益!$A:$A,增益!$O:$O,0)))/200,($F$14-$I$4+VLOOKUP($Q122,武学奇术!$A:$ZZ,15,FALSE)+SUM(_xlfn.XLOOKUP(R122:AH122,增益!$A:$A,增益!$O:$O,0)))/100)</f>
        <v>-0.3</v>
      </c>
      <c r="BJ122" s="49" cm="1">
        <f t="array" ref="BJ122">$G$14+VLOOKUP($Q122,武学奇术!$A:$ZZ,16,FALSE)+SUM(_xlfn.XLOOKUP(R122:AH122,增益!$A:$A,增益!$P:$P,0))</f>
        <v>0</v>
      </c>
      <c r="BK122" s="41">
        <f>MIN(IF(VLOOKUP($Q122,武学奇术!$A:$ZZ,23,FALSE)=1,100%,$B$8),100%)</f>
        <v>1</v>
      </c>
      <c r="BL122" s="41" cm="1">
        <f t="array" ref="BL122">IF(VLOOKUP($Q122,武学奇术!$A:$ZZ,23,FALSE)=1,100%,MIN(80%,$B$9+VLOOKUP($Q122,武学奇术!$A:$ZZ,17,FALSE)+SUM(_xlfn.XLOOKUP(R122:AH122,增益!$A:$A,增益!$Q:$Q,0)))+$B$11+SUM(_xlfn.XLOOKUP(R122:AH122,增益!$A:$A,增益!$U:$U,0)))*IF(VLOOKUP($Q122,武学奇术!$A:$ZZ,24,FALSE)=1,0,1)</f>
        <v>0.9045</v>
      </c>
      <c r="BM122" s="41" cm="1">
        <f t="array" ref="BM122">1+$B$13+VLOOKUP($Q122,武学奇术!$A:$ZZ,18,FALSE)+SUM(_xlfn.XLOOKUP(R122:AH122,增益!$A:$A,增益!$R:$R,0))</f>
        <v>1.5</v>
      </c>
      <c r="BN122" s="41" cm="1">
        <f t="array" ref="BN122">IF(VLOOKUP($Q122,武学奇术!$A:$ZZ,24,FALSE)=1,100%,MIN(40%,$B$10+VLOOKUP($Q122,武学奇术!$A:$ZZ,19,FALSE)+SUM(_xlfn.XLOOKUP(R122:AH122,增益!$A:$A,增益!$S:$S,0)))+$B$12+SUM(_xlfn.XLOOKUP(R122:AH122,增益!$A:$A,增益!$V:$V,0)))*IF(VLOOKUP($Q122,武学奇术!$A:$ZZ,23,FALSE)=1,0,1)</f>
        <v>0.0929</v>
      </c>
      <c r="BO122" s="41" cm="1">
        <f t="array" ref="BO122">1+$B$14+VLOOKUP($Q122,武学奇术!$A:$ZZ,20,FALSE)+SUM(_xlfn.XLOOKUP(R122:AH122,增益!$A:$A,增益!$T:$T,0))</f>
        <v>1.35</v>
      </c>
      <c r="BP122" s="41">
        <f t="shared" si="40"/>
        <v>0.9045</v>
      </c>
      <c r="BQ122" s="41">
        <f t="shared" si="41"/>
        <v>0.00260000000000005</v>
      </c>
      <c r="BR122" s="41">
        <f>IF(VLOOKUP($Q122,武学奇术!$A:$ZZ,22,FALSE)=1,0,(1-$BK122))*(1-$BN122)</f>
        <v>0</v>
      </c>
      <c r="BS122" s="41" cm="1">
        <f t="array" ref="BS122">SUM(_xlfn.XLOOKUP(R122:AH122,增益!$A:$A,增益!$W:$W,0))+$I$5</f>
        <v>0.11</v>
      </c>
    </row>
    <row r="123" spans="1:71">
      <c r="A123" s="4"/>
      <c r="B123" s="4"/>
      <c r="C123"/>
      <c r="K123" s="55">
        <f t="shared" si="31"/>
        <v>0</v>
      </c>
      <c r="L123" s="55">
        <f>((($AP123+$AQ123)/2*$AJ123+$AK123)*(1+$AR123)*(1+$AS123)+(($AU123+$AV123)/2*IF($G$1="鸣金",$AL123,$AJ123)+IF($G$1="鸣金",$AM123*1.5,0))*(1+$AW123)*(1+$AX123)+(($AY123+$AZ123)/2*IF($G$1="裂石",$AL123,$AJ123)+IF($G$1="裂石",$AM123*1.5,0))*(1+$BA123)*(1+$BB123)+(($BC123+$BD123)/2*IF($G$1="牵丝",$AL123,$AJ123)+IF($G$1="牵丝",$AM123*1.5,0))*(1+$BE123)*(1+$BF123)+(($BG123+$BH123)/2*IF($G$1="破竹",$AL123,$AJ123)+IF($G$1="破竹",$AM123*1.5,0))*(1+$BI123)*(1+$BJ123))*(1+$AN123)*$BM123*$P123*(1+IF(VLOOKUP($Q123,武学奇术!$A:$ZZ,30,FALSE)="弹道",$B$21,0))*(1+$BS123)</f>
        <v>0</v>
      </c>
      <c r="M123" s="55">
        <f>(($AQ123*$AJ123+$AK123)*(1+$AR123)*(1+$AS123)+($AV123*IF($G$1="鸣金",$AL123,$AJ123)+IF($G$1="鸣金",$AM123*1.5,0))*(1+$AW123)*(1+$AX123)+($AZ123*IF($G$1="裂石",$AL123,$AJ123)+IF($G$1="裂石",$AM123*1.5,0))*(1+$BA123)*(1+$BB123)+($BD123*IF($G$1="牵丝",$AL123,$AJ123)+IF($G$1="牵丝",$AM123*1.5,0))*(1+$BE123)*(1+$BF123)+($BH123*IF($G$1="破竹",$AL123,$AJ123)+IF($G$1="破竹",$AM123*1.5,0))*(1+$BI123)*(1+$BJ123))*(1+$AN123)*$BO123*$P123*(1+IF(VLOOKUP($Q123,武学奇术!$A:$ZZ,30,FALSE)="弹道",$B$21,0))*(1+$BS123)</f>
        <v>0</v>
      </c>
      <c r="N123" s="55">
        <f>((($AP123+$AQ123)/2*$AJ123+$AK123)*(1+$AR123)*(1+$AS123)+(($AU123+$AV123)/2*IF($G$1="鸣金",$AL123,$AJ123)+IF($G$1="鸣金",$AM123*1.5,0))*(1+$AW123)*(1+$AX123)+(($AY123+$AZ123)/2*IF($G$1="裂石",$AL123,$AJ123)+IF($G$1="裂石",$AM123*1.5,0))*(1+$BA123)*(1+$BB123)+(($BC123+$BD123)/2*IF($G$1="牵丝",$AL123,$AJ123)+IF($G$1="牵丝",$AM123*1.5,0))*(1+$BE123)*(1+$BF123)+(($BG123+$BH123)/2*IF($G$1="破竹",$AL123,$AJ123)+IF($G$1="破竹",$AM123*1.5,0))*(1+$BI123)*(1+$BJ123))*(1+$AN123)*$P123*(1+IF(VLOOKUP($Q123,武学奇术!$A:$ZZ,30,FALSE)="弹道",$B$21,0))*(1+$BS123)</f>
        <v>0</v>
      </c>
      <c r="O123" s="55">
        <f>((($AP123*$AJ123+$AK123)*(1+$AR123)*(1+$AS123)+($AU123*IF($G$1="鸣金",$AL123,$AJ123)+IF($G$1="鸣金",$AM123*1.5,0))*(1+$AW123)*(1+$AX123)+($AY123*IF($G$1="裂石",$AL123,$AJ123)+IF($G$1="裂石",$AM123*1.5,0))*(1+$BA123)*(1+$BB123)+($BC123*IF($G$1="牵丝",$AL123,$AJ123)+IF($G$1="牵丝",$AM123*1.5,0))*(1+$BE123)*(1+$BF123)+($BG123*IF($G$1="破竹",$AL123,$AJ123)+IF($G$1="破竹",$AM123*1.5,0))*(1+$BI123)*(1+$BJ123))*(1+$AN123))*$P123*(1+IF(VLOOKUP($Q123,武学奇术!$A:$ZZ,30,FALSE)="弹道",$B$21,0))*(1+$BS123)</f>
        <v>0</v>
      </c>
      <c r="P123" s="56">
        <v>1</v>
      </c>
      <c r="Q123" s="57" t="s">
        <v>72</v>
      </c>
      <c r="R123" s="57" t="s">
        <v>72</v>
      </c>
      <c r="S123" s="57" t="s">
        <v>72</v>
      </c>
      <c r="T123" s="57" t="s">
        <v>72</v>
      </c>
      <c r="U123" s="57" t="s">
        <v>72</v>
      </c>
      <c r="V123" s="57" t="s">
        <v>72</v>
      </c>
      <c r="W123" s="57" t="s">
        <v>72</v>
      </c>
      <c r="X123" s="57" t="s">
        <v>72</v>
      </c>
      <c r="Y123" s="57" t="s">
        <v>72</v>
      </c>
      <c r="Z123" s="57" t="s">
        <v>72</v>
      </c>
      <c r="AA123" s="57" t="s">
        <v>72</v>
      </c>
      <c r="AB123" s="57" t="s">
        <v>72</v>
      </c>
      <c r="AC123" s="57" t="s">
        <v>72</v>
      </c>
      <c r="AD123" s="57" t="s">
        <v>72</v>
      </c>
      <c r="AE123" s="57" t="s">
        <v>72</v>
      </c>
      <c r="AF123" s="57" t="s">
        <v>72</v>
      </c>
      <c r="AG123" s="57" t="s">
        <v>72</v>
      </c>
      <c r="AH123" s="57" t="s">
        <v>87</v>
      </c>
      <c r="AI123" t="str">
        <f>VLOOKUP($Q123,武学奇术!$A:$ZZ,25,FALSE)</f>
        <v>心法</v>
      </c>
      <c r="AJ123" s="41">
        <f>VLOOKUP($Q123,武学奇术!$A:$ZZ,26,FALSE)</f>
        <v>0</v>
      </c>
      <c r="AK123" s="42">
        <f>VLOOKUP($Q123,武学奇术!$A:$ZZ,27,FALSE)*(1+IF(OR($AI123=$F$4,$AI123=$F$5),$B$22,0))</f>
        <v>0</v>
      </c>
      <c r="AL123" s="41">
        <f>VLOOKUP($Q123,武学奇术!$A:$ZZ,28,FALSE)</f>
        <v>0</v>
      </c>
      <c r="AM123" s="42">
        <f>VLOOKUP($Q123,武学奇术!$A:$ZZ,29,FALSE)*(1+IF(OR($AI123=$F$4,$AI123=$F$5),$B$22,0))</f>
        <v>0</v>
      </c>
      <c r="AN123" s="41" cm="1">
        <f t="array" ref="AN123">$G$3+IFERROR(VLOOKUP($AI123,$F$4:$G$7,2,FALSE),0)+VLOOKUP($Q123,武学奇术!$A:$ZZ,2,FALSE)+SUM(_xlfn.XLOOKUP($R123:$AH123,增益!$A:$A,增益!$B:$B,0))</f>
        <v>0.1837</v>
      </c>
      <c r="AO123" s="41" cm="1">
        <f t="array" ref="AO123">VLOOKUP($Q123,武学奇术!$A:$ZZ,5,FALSE)+SUM(_xlfn.XLOOKUP($R123:$AH123,增益!$A:$A,增益!$E:$E,0))</f>
        <v>0</v>
      </c>
      <c r="AP123" cm="1">
        <f t="array" ref="AP123">$D$10*(1+$AO123)+VLOOKUP($Q123,武学奇术!$A:$ZZ,3,FALSE)+SUM(_xlfn.XLOOKUP($R123:$AH123,增益!$A:$A,增益!$C:$C,0))-$I$2</f>
        <v>1797.4</v>
      </c>
      <c r="AQ123" cm="1">
        <f t="array" ref="AQ123">$E$10*(1+$AO123)+VLOOKUP($Q123,武学奇术!$A:$ZZ,4,FALSE)+SUM(_xlfn.XLOOKUP($R123:$AH123,增益!$A:$A,增益!$D:$D,0))-$I$2</f>
        <v>5488</v>
      </c>
      <c r="AR123" s="49" cm="1">
        <f t="array" ref="AR123">IF($F$10-$I$3+VLOOKUP($Q123,武学奇术!$A:$ZZ,6,FALSE)+SUM(_xlfn.XLOOKUP(R123:AH123,增益!$A:$A,增益!$F:$F,0))&gt;0,($F$10-$I$3+VLOOKUP($Q123,武学奇术!$A:$ZZ,6,FALSE)+SUM(_xlfn.XLOOKUP(R123:AH123,增益!$A:$A,增益!$F:$F,0)))/200,($F$10-$I$3+VLOOKUP($Q123,武学奇术!$A:$ZZ,6,FALSE)+SUM(_xlfn.XLOOKUP(R123:AH123,增益!$A:$A,增益!$F:$F,0)))/100)</f>
        <v>0.2925</v>
      </c>
      <c r="AS123" s="49" cm="1">
        <f t="array" ref="AS123">$G$10+VLOOKUP($Q123,武学奇术!$A:$ZZ,7,FALSE)+SUM(_xlfn.XLOOKUP(R123:AH123,增益!$A:$A,增益!$G:$G,0))</f>
        <v>0</v>
      </c>
      <c r="AT123" s="41" cm="1">
        <f t="array" ref="AT123">VLOOKUP($Q123,武学奇术!$A:$ZZ,8,FALSE)+SUM(_xlfn.XLOOKUP(R123:AH123,增益!$A:$A,增益!$H:$H,0))</f>
        <v>0</v>
      </c>
      <c r="AU123">
        <f t="shared" si="32"/>
        <v>0</v>
      </c>
      <c r="AV123">
        <f t="shared" si="33"/>
        <v>0</v>
      </c>
      <c r="AW123" s="49" cm="1">
        <f t="array" ref="AW123">IF($F$11-$I$4+VLOOKUP($Q123,武学奇术!$A:$ZZ,9,FALSE)+SUM(_xlfn.XLOOKUP(R123:AH123,增益!$A:$A,增益!$I:$I,0))&gt;0,($F$11-$I$4+VLOOKUP($Q123,武学奇术!$A:$ZZ,9,FALSE)+SUM(_xlfn.XLOOKUP(R123:AH123,增益!$A:$A,增益!$I:$I,0)))/200,($F$11-$I$4+VLOOKUP($Q123,武学奇术!$A:$ZZ,9,FALSE)+SUM(_xlfn.XLOOKUP(R123:AH123,增益!$A:$A,增益!$I:$I,0)))/100)</f>
        <v>-0.3</v>
      </c>
      <c r="AX123" s="49" cm="1">
        <f t="array" ref="AX123">$G$11+VLOOKUP($Q123,武学奇术!$A:$ZZ,10,FALSE)+SUM(_xlfn.XLOOKUP(R123:AH123,增益!$A:$A,增益!$J:$J,0))</f>
        <v>0</v>
      </c>
      <c r="AY123">
        <f t="shared" si="34"/>
        <v>0</v>
      </c>
      <c r="AZ123">
        <f t="shared" si="35"/>
        <v>0</v>
      </c>
      <c r="BA123" s="49" cm="1">
        <f t="array" ref="BA123">IF($F$12-$I$4+VLOOKUP($Q123,武学奇术!$A:$ZZ,11,FALSE)+SUM(_xlfn.XLOOKUP(R123:AH123,增益!$A:$A,增益!$K:$K,0))&gt;0,($F$12-$I$4+VLOOKUP($Q123,武学奇术!$A:$ZZ,11,FALSE)+SUM(_xlfn.XLOOKUP(R123:AH123,增益!$A:$A,增益!$K:$K,0)))/200,($F$12-$I$4+VLOOKUP($Q123,武学奇术!$A:$ZZ,11,FALSE)+SUM(_xlfn.XLOOKUP(R123:AH123,增益!$A:$A,增益!$K:$K,0)))/100)</f>
        <v>-0.3</v>
      </c>
      <c r="BB123" s="49" cm="1">
        <f t="array" ref="BB123">$G$12+VLOOKUP($Q123,武学奇术!$A:$ZZ,12,FALSE)+SUM(_xlfn.XLOOKUP(R123:AH123,增益!$A:$A,增益!$L:$L,0))</f>
        <v>0</v>
      </c>
      <c r="BC123">
        <f t="shared" si="36"/>
        <v>571.2</v>
      </c>
      <c r="BD123">
        <f t="shared" si="37"/>
        <v>1077.4</v>
      </c>
      <c r="BE123" s="49" cm="1">
        <f t="array" ref="BE123">IF($F$13-$I$4+VLOOKUP($Q123,武学奇术!$A:$ZZ,13,FALSE)+SUM(_xlfn.XLOOKUP(R123:AH123,增益!$A:$A,增益!$M:$M,0))&gt;0,($F$13-$I$4+VLOOKUP($Q123,武学奇术!$A:$ZZ,13,FALSE)+SUM(_xlfn.XLOOKUP(R123:AH123,增益!$A:$A,增益!$K:$K,0)))/200,($F$13-$I$4+VLOOKUP($Q123,武学奇术!$A:$ZZ,13,FALSE)+SUM(_xlfn.XLOOKUP(R123:AH123,增益!$A:$A,增益!$M:$M,0)))/100)</f>
        <v>0</v>
      </c>
      <c r="BF123" s="49" cm="1">
        <f t="array" ref="BF123">$G$13+VLOOKUP($Q123,武学奇术!$A:$ZZ,14,FALSE)+SUM(_xlfn.XLOOKUP(R123:AH123,增益!$A:$A,增益!$N:$N,0))</f>
        <v>0.15</v>
      </c>
      <c r="BG123">
        <f t="shared" si="38"/>
        <v>0</v>
      </c>
      <c r="BH123">
        <f t="shared" si="39"/>
        <v>0</v>
      </c>
      <c r="BI123" s="49" cm="1">
        <f t="array" ref="BI123">IF($F$14-$I$4+VLOOKUP($Q123,武学奇术!$A:$ZZ,15,FALSE)+SUM(_xlfn.XLOOKUP(R123:AH123,增益!$A:$A,增益!$O:$O,0))&gt;0,($F$14-$I$4+VLOOKUP($Q123,武学奇术!$A:$ZZ,15,FALSE)+SUM(_xlfn.XLOOKUP(R123:AH123,增益!$A:$A,增益!$O:$O,0)))/200,($F$14-$I$4+VLOOKUP($Q123,武学奇术!$A:$ZZ,15,FALSE)+SUM(_xlfn.XLOOKUP(R123:AH123,增益!$A:$A,增益!$O:$O,0)))/100)</f>
        <v>-0.3</v>
      </c>
      <c r="BJ123" s="49" cm="1">
        <f t="array" ref="BJ123">$G$14+VLOOKUP($Q123,武学奇术!$A:$ZZ,16,FALSE)+SUM(_xlfn.XLOOKUP(R123:AH123,增益!$A:$A,增益!$P:$P,0))</f>
        <v>0</v>
      </c>
      <c r="BK123" s="41">
        <f>MIN(IF(VLOOKUP($Q123,武学奇术!$A:$ZZ,23,FALSE)=1,100%,$B$8),100%)</f>
        <v>1</v>
      </c>
      <c r="BL123" s="41" cm="1">
        <f t="array" ref="BL123">IF(VLOOKUP($Q123,武学奇术!$A:$ZZ,23,FALSE)=1,100%,MIN(80%,$B$9+VLOOKUP($Q123,武学奇术!$A:$ZZ,17,FALSE)+SUM(_xlfn.XLOOKUP(R123:AH123,增益!$A:$A,增益!$Q:$Q,0)))+$B$11+SUM(_xlfn.XLOOKUP(R123:AH123,增益!$A:$A,增益!$U:$U,0)))*IF(VLOOKUP($Q123,武学奇术!$A:$ZZ,24,FALSE)=1,0,1)</f>
        <v>0.9045</v>
      </c>
      <c r="BM123" s="41" cm="1">
        <f t="array" ref="BM123">1+$B$13+VLOOKUP($Q123,武学奇术!$A:$ZZ,18,FALSE)+SUM(_xlfn.XLOOKUP(R123:AH123,增益!$A:$A,增益!$R:$R,0))</f>
        <v>1.5</v>
      </c>
      <c r="BN123" s="41" cm="1">
        <f t="array" ref="BN123">IF(VLOOKUP($Q123,武学奇术!$A:$ZZ,24,FALSE)=1,100%,MIN(40%,$B$10+VLOOKUP($Q123,武学奇术!$A:$ZZ,19,FALSE)+SUM(_xlfn.XLOOKUP(R123:AH123,增益!$A:$A,增益!$S:$S,0)))+$B$12+SUM(_xlfn.XLOOKUP(R123:AH123,增益!$A:$A,增益!$V:$V,0)))*IF(VLOOKUP($Q123,武学奇术!$A:$ZZ,23,FALSE)=1,0,1)</f>
        <v>0.0929</v>
      </c>
      <c r="BO123" s="41" cm="1">
        <f t="array" ref="BO123">1+$B$14+VLOOKUP($Q123,武学奇术!$A:$ZZ,20,FALSE)+SUM(_xlfn.XLOOKUP(R123:AH123,增益!$A:$A,增益!$T:$T,0))</f>
        <v>1.35</v>
      </c>
      <c r="BP123" s="41">
        <f t="shared" si="40"/>
        <v>0.9045</v>
      </c>
      <c r="BQ123" s="41">
        <f t="shared" si="41"/>
        <v>0.00260000000000005</v>
      </c>
      <c r="BR123" s="41">
        <f>IF(VLOOKUP($Q123,武学奇术!$A:$ZZ,22,FALSE)=1,0,(1-$BK123))*(1-$BN123)</f>
        <v>0</v>
      </c>
      <c r="BS123" s="41" cm="1">
        <f t="array" ref="BS123">SUM(_xlfn.XLOOKUP(R123:AH123,增益!$A:$A,增益!$W:$W,0))+$I$5</f>
        <v>0.11</v>
      </c>
    </row>
    <row r="124" spans="1:71">
      <c r="A124" s="4"/>
      <c r="B124" s="4"/>
      <c r="C124"/>
      <c r="K124" s="55">
        <f t="shared" si="31"/>
        <v>0</v>
      </c>
      <c r="L124" s="55">
        <f>((($AP124+$AQ124)/2*$AJ124+$AK124)*(1+$AR124)*(1+$AS124)+(($AU124+$AV124)/2*IF($G$1="鸣金",$AL124,$AJ124)+IF($G$1="鸣金",$AM124*1.5,0))*(1+$AW124)*(1+$AX124)+(($AY124+$AZ124)/2*IF($G$1="裂石",$AL124,$AJ124)+IF($G$1="裂石",$AM124*1.5,0))*(1+$BA124)*(1+$BB124)+(($BC124+$BD124)/2*IF($G$1="牵丝",$AL124,$AJ124)+IF($G$1="牵丝",$AM124*1.5,0))*(1+$BE124)*(1+$BF124)+(($BG124+$BH124)/2*IF($G$1="破竹",$AL124,$AJ124)+IF($G$1="破竹",$AM124*1.5,0))*(1+$BI124)*(1+$BJ124))*(1+$AN124)*$BM124*$P124*(1+IF(VLOOKUP($Q124,武学奇术!$A:$ZZ,30,FALSE)="弹道",$B$21,0))*(1+$BS124)</f>
        <v>0</v>
      </c>
      <c r="M124" s="55">
        <f>(($AQ124*$AJ124+$AK124)*(1+$AR124)*(1+$AS124)+($AV124*IF($G$1="鸣金",$AL124,$AJ124)+IF($G$1="鸣金",$AM124*1.5,0))*(1+$AW124)*(1+$AX124)+($AZ124*IF($G$1="裂石",$AL124,$AJ124)+IF($G$1="裂石",$AM124*1.5,0))*(1+$BA124)*(1+$BB124)+($BD124*IF($G$1="牵丝",$AL124,$AJ124)+IF($G$1="牵丝",$AM124*1.5,0))*(1+$BE124)*(1+$BF124)+($BH124*IF($G$1="破竹",$AL124,$AJ124)+IF($G$1="破竹",$AM124*1.5,0))*(1+$BI124)*(1+$BJ124))*(1+$AN124)*$BO124*$P124*(1+IF(VLOOKUP($Q124,武学奇术!$A:$ZZ,30,FALSE)="弹道",$B$21,0))*(1+$BS124)</f>
        <v>0</v>
      </c>
      <c r="N124" s="55">
        <f>((($AP124+$AQ124)/2*$AJ124+$AK124)*(1+$AR124)*(1+$AS124)+(($AU124+$AV124)/2*IF($G$1="鸣金",$AL124,$AJ124)+IF($G$1="鸣金",$AM124*1.5,0))*(1+$AW124)*(1+$AX124)+(($AY124+$AZ124)/2*IF($G$1="裂石",$AL124,$AJ124)+IF($G$1="裂石",$AM124*1.5,0))*(1+$BA124)*(1+$BB124)+(($BC124+$BD124)/2*IF($G$1="牵丝",$AL124,$AJ124)+IF($G$1="牵丝",$AM124*1.5,0))*(1+$BE124)*(1+$BF124)+(($BG124+$BH124)/2*IF($G$1="破竹",$AL124,$AJ124)+IF($G$1="破竹",$AM124*1.5,0))*(1+$BI124)*(1+$BJ124))*(1+$AN124)*$P124*(1+IF(VLOOKUP($Q124,武学奇术!$A:$ZZ,30,FALSE)="弹道",$B$21,0))*(1+$BS124)</f>
        <v>0</v>
      </c>
      <c r="O124" s="55">
        <f>((($AP124*$AJ124+$AK124)*(1+$AR124)*(1+$AS124)+($AU124*IF($G$1="鸣金",$AL124,$AJ124)+IF($G$1="鸣金",$AM124*1.5,0))*(1+$AW124)*(1+$AX124)+($AY124*IF($G$1="裂石",$AL124,$AJ124)+IF($G$1="裂石",$AM124*1.5,0))*(1+$BA124)*(1+$BB124)+($BC124*IF($G$1="牵丝",$AL124,$AJ124)+IF($G$1="牵丝",$AM124*1.5,0))*(1+$BE124)*(1+$BF124)+($BG124*IF($G$1="破竹",$AL124,$AJ124)+IF($G$1="破竹",$AM124*1.5,0))*(1+$BI124)*(1+$BJ124))*(1+$AN124))*$P124*(1+IF(VLOOKUP($Q124,武学奇术!$A:$ZZ,30,FALSE)="弹道",$B$21,0))*(1+$BS124)</f>
        <v>0</v>
      </c>
      <c r="P124" s="56">
        <f>IF($C$22="易水歌",1,0)</f>
        <v>1</v>
      </c>
      <c r="Q124" s="57" t="s">
        <v>72</v>
      </c>
      <c r="R124" s="57" t="s">
        <v>72</v>
      </c>
      <c r="S124" s="57" t="s">
        <v>72</v>
      </c>
      <c r="T124" s="57" t="s">
        <v>72</v>
      </c>
      <c r="U124" s="57" t="s">
        <v>72</v>
      </c>
      <c r="V124" s="57" t="s">
        <v>72</v>
      </c>
      <c r="W124" s="57" t="s">
        <v>72</v>
      </c>
      <c r="X124" s="57" t="s">
        <v>72</v>
      </c>
      <c r="Y124" s="57" t="s">
        <v>72</v>
      </c>
      <c r="Z124" s="57" t="s">
        <v>72</v>
      </c>
      <c r="AA124" s="57" t="s">
        <v>72</v>
      </c>
      <c r="AB124" s="57" t="s">
        <v>72</v>
      </c>
      <c r="AC124" s="57" t="s">
        <v>72</v>
      </c>
      <c r="AD124" s="57" t="s">
        <v>72</v>
      </c>
      <c r="AE124" s="57" t="s">
        <v>72</v>
      </c>
      <c r="AF124" s="57" t="s">
        <v>72</v>
      </c>
      <c r="AG124" s="57" t="s">
        <v>72</v>
      </c>
      <c r="AH124" s="57" t="s">
        <v>87</v>
      </c>
      <c r="AI124" t="str">
        <f>VLOOKUP($Q124,武学奇术!$A:$ZZ,25,FALSE)</f>
        <v>心法</v>
      </c>
      <c r="AJ124" s="41">
        <f>VLOOKUP($Q124,武学奇术!$A:$ZZ,26,FALSE)</f>
        <v>0</v>
      </c>
      <c r="AK124" s="42">
        <f>VLOOKUP($Q124,武学奇术!$A:$ZZ,27,FALSE)*(1+IF(OR($AI124=$F$4,$AI124=$F$5),$B$22,0))</f>
        <v>0</v>
      </c>
      <c r="AL124" s="41">
        <f>VLOOKUP($Q124,武学奇术!$A:$ZZ,28,FALSE)</f>
        <v>0</v>
      </c>
      <c r="AM124" s="42">
        <f>VLOOKUP($Q124,武学奇术!$A:$ZZ,29,FALSE)*(1+IF(OR($AI124=$F$4,$AI124=$F$5),$B$22,0))</f>
        <v>0</v>
      </c>
      <c r="AN124" s="41" cm="1">
        <f t="array" ref="AN124">$G$3+IFERROR(VLOOKUP($AI124,$F$4:$G$7,2,FALSE),0)+VLOOKUP($Q124,武学奇术!$A:$ZZ,2,FALSE)+SUM(_xlfn.XLOOKUP($R124:$AH124,增益!$A:$A,增益!$B:$B,0))</f>
        <v>0.1837</v>
      </c>
      <c r="AO124" s="41" cm="1">
        <f t="array" ref="AO124">VLOOKUP($Q124,武学奇术!$A:$ZZ,5,FALSE)+SUM(_xlfn.XLOOKUP($R124:$AH124,增益!$A:$A,增益!$E:$E,0))</f>
        <v>0</v>
      </c>
      <c r="AP124" cm="1">
        <f t="array" ref="AP124">$D$10*(1+$AO124)+VLOOKUP($Q124,武学奇术!$A:$ZZ,3,FALSE)+SUM(_xlfn.XLOOKUP($R124:$AH124,增益!$A:$A,增益!$C:$C,0))-$I$2</f>
        <v>1797.4</v>
      </c>
      <c r="AQ124" cm="1">
        <f t="array" ref="AQ124">$E$10*(1+$AO124)+VLOOKUP($Q124,武学奇术!$A:$ZZ,4,FALSE)+SUM(_xlfn.XLOOKUP($R124:$AH124,增益!$A:$A,增益!$D:$D,0))-$I$2</f>
        <v>5488</v>
      </c>
      <c r="AR124" s="49" cm="1">
        <f t="array" ref="AR124">IF($F$10-$I$3+VLOOKUP($Q124,武学奇术!$A:$ZZ,6,FALSE)+SUM(_xlfn.XLOOKUP(R124:AH124,增益!$A:$A,增益!$F:$F,0))&gt;0,($F$10-$I$3+VLOOKUP($Q124,武学奇术!$A:$ZZ,6,FALSE)+SUM(_xlfn.XLOOKUP(R124:AH124,增益!$A:$A,增益!$F:$F,0)))/200,($F$10-$I$3+VLOOKUP($Q124,武学奇术!$A:$ZZ,6,FALSE)+SUM(_xlfn.XLOOKUP(R124:AH124,增益!$A:$A,增益!$F:$F,0)))/100)</f>
        <v>0.2925</v>
      </c>
      <c r="AS124" s="49" cm="1">
        <f t="array" ref="AS124">$G$10+VLOOKUP($Q124,武学奇术!$A:$ZZ,7,FALSE)+SUM(_xlfn.XLOOKUP(R124:AH124,增益!$A:$A,增益!$G:$G,0))</f>
        <v>0</v>
      </c>
      <c r="AT124" s="41" cm="1">
        <f t="array" ref="AT124">VLOOKUP($Q124,武学奇术!$A:$ZZ,8,FALSE)+SUM(_xlfn.XLOOKUP(R124:AH124,增益!$A:$A,增益!$H:$H,0))</f>
        <v>0</v>
      </c>
      <c r="AU124">
        <f t="shared" si="32"/>
        <v>0</v>
      </c>
      <c r="AV124">
        <f t="shared" si="33"/>
        <v>0</v>
      </c>
      <c r="AW124" s="49" cm="1">
        <f t="array" ref="AW124">IF($F$11-$I$4+VLOOKUP($Q124,武学奇术!$A:$ZZ,9,FALSE)+SUM(_xlfn.XLOOKUP(R124:AH124,增益!$A:$A,增益!$I:$I,0))&gt;0,($F$11-$I$4+VLOOKUP($Q124,武学奇术!$A:$ZZ,9,FALSE)+SUM(_xlfn.XLOOKUP(R124:AH124,增益!$A:$A,增益!$I:$I,0)))/200,($F$11-$I$4+VLOOKUP($Q124,武学奇术!$A:$ZZ,9,FALSE)+SUM(_xlfn.XLOOKUP(R124:AH124,增益!$A:$A,增益!$I:$I,0)))/100)</f>
        <v>-0.3</v>
      </c>
      <c r="AX124" s="49" cm="1">
        <f t="array" ref="AX124">$G$11+VLOOKUP($Q124,武学奇术!$A:$ZZ,10,FALSE)+SUM(_xlfn.XLOOKUP(R124:AH124,增益!$A:$A,增益!$J:$J,0))</f>
        <v>0</v>
      </c>
      <c r="AY124">
        <f t="shared" si="34"/>
        <v>0</v>
      </c>
      <c r="AZ124">
        <f t="shared" si="35"/>
        <v>0</v>
      </c>
      <c r="BA124" s="49" cm="1">
        <f t="array" ref="BA124">IF($F$12-$I$4+VLOOKUP($Q124,武学奇术!$A:$ZZ,11,FALSE)+SUM(_xlfn.XLOOKUP(R124:AH124,增益!$A:$A,增益!$K:$K,0))&gt;0,($F$12-$I$4+VLOOKUP($Q124,武学奇术!$A:$ZZ,11,FALSE)+SUM(_xlfn.XLOOKUP(R124:AH124,增益!$A:$A,增益!$K:$K,0)))/200,($F$12-$I$4+VLOOKUP($Q124,武学奇术!$A:$ZZ,11,FALSE)+SUM(_xlfn.XLOOKUP(R124:AH124,增益!$A:$A,增益!$K:$K,0)))/100)</f>
        <v>-0.3</v>
      </c>
      <c r="BB124" s="49" cm="1">
        <f t="array" ref="BB124">$G$12+VLOOKUP($Q124,武学奇术!$A:$ZZ,12,FALSE)+SUM(_xlfn.XLOOKUP(R124:AH124,增益!$A:$A,增益!$L:$L,0))</f>
        <v>0</v>
      </c>
      <c r="BC124">
        <f t="shared" si="36"/>
        <v>571.2</v>
      </c>
      <c r="BD124">
        <f t="shared" si="37"/>
        <v>1077.4</v>
      </c>
      <c r="BE124" s="49" cm="1">
        <f t="array" ref="BE124">IF($F$13-$I$4+VLOOKUP($Q124,武学奇术!$A:$ZZ,13,FALSE)+SUM(_xlfn.XLOOKUP(R124:AH124,增益!$A:$A,增益!$M:$M,0))&gt;0,($F$13-$I$4+VLOOKUP($Q124,武学奇术!$A:$ZZ,13,FALSE)+SUM(_xlfn.XLOOKUP(R124:AH124,增益!$A:$A,增益!$K:$K,0)))/200,($F$13-$I$4+VLOOKUP($Q124,武学奇术!$A:$ZZ,13,FALSE)+SUM(_xlfn.XLOOKUP(R124:AH124,增益!$A:$A,增益!$M:$M,0)))/100)</f>
        <v>0</v>
      </c>
      <c r="BF124" s="49" cm="1">
        <f t="array" ref="BF124">$G$13+VLOOKUP($Q124,武学奇术!$A:$ZZ,14,FALSE)+SUM(_xlfn.XLOOKUP(R124:AH124,增益!$A:$A,增益!$N:$N,0))</f>
        <v>0.15</v>
      </c>
      <c r="BG124">
        <f t="shared" si="38"/>
        <v>0</v>
      </c>
      <c r="BH124">
        <f t="shared" si="39"/>
        <v>0</v>
      </c>
      <c r="BI124" s="49" cm="1">
        <f t="array" ref="BI124">IF($F$14-$I$4+VLOOKUP($Q124,武学奇术!$A:$ZZ,15,FALSE)+SUM(_xlfn.XLOOKUP(R124:AH124,增益!$A:$A,增益!$O:$O,0))&gt;0,($F$14-$I$4+VLOOKUP($Q124,武学奇术!$A:$ZZ,15,FALSE)+SUM(_xlfn.XLOOKUP(R124:AH124,增益!$A:$A,增益!$O:$O,0)))/200,($F$14-$I$4+VLOOKUP($Q124,武学奇术!$A:$ZZ,15,FALSE)+SUM(_xlfn.XLOOKUP(R124:AH124,增益!$A:$A,增益!$O:$O,0)))/100)</f>
        <v>-0.3</v>
      </c>
      <c r="BJ124" s="49" cm="1">
        <f t="array" ref="BJ124">$G$14+VLOOKUP($Q124,武学奇术!$A:$ZZ,16,FALSE)+SUM(_xlfn.XLOOKUP(R124:AH124,增益!$A:$A,增益!$P:$P,0))</f>
        <v>0</v>
      </c>
      <c r="BK124" s="41">
        <f>MIN(IF(VLOOKUP($Q124,武学奇术!$A:$ZZ,23,FALSE)=1,100%,$B$8),100%)</f>
        <v>1</v>
      </c>
      <c r="BL124" s="41" cm="1">
        <f t="array" ref="BL124">IF(VLOOKUP($Q124,武学奇术!$A:$ZZ,23,FALSE)=1,100%,MIN(80%,$B$9+VLOOKUP($Q124,武学奇术!$A:$ZZ,17,FALSE)+SUM(_xlfn.XLOOKUP(R124:AH124,增益!$A:$A,增益!$Q:$Q,0)))+$B$11+SUM(_xlfn.XLOOKUP(R124:AH124,增益!$A:$A,增益!$U:$U,0)))*IF(VLOOKUP($Q124,武学奇术!$A:$ZZ,24,FALSE)=1,0,1)</f>
        <v>0.9045</v>
      </c>
      <c r="BM124" s="41" cm="1">
        <f t="array" ref="BM124">1+$B$13+VLOOKUP($Q124,武学奇术!$A:$ZZ,18,FALSE)+SUM(_xlfn.XLOOKUP(R124:AH124,增益!$A:$A,增益!$R:$R,0))</f>
        <v>1.5</v>
      </c>
      <c r="BN124" s="41" cm="1">
        <f t="array" ref="BN124">IF(VLOOKUP($Q124,武学奇术!$A:$ZZ,24,FALSE)=1,100%,MIN(40%,$B$10+VLOOKUP($Q124,武学奇术!$A:$ZZ,19,FALSE)+SUM(_xlfn.XLOOKUP(R124:AH124,增益!$A:$A,增益!$S:$S,0)))+$B$12+SUM(_xlfn.XLOOKUP(R124:AH124,增益!$A:$A,增益!$V:$V,0)))*IF(VLOOKUP($Q124,武学奇术!$A:$ZZ,23,FALSE)=1,0,1)</f>
        <v>0.0929</v>
      </c>
      <c r="BO124" s="41" cm="1">
        <f t="array" ref="BO124">1+$B$14+VLOOKUP($Q124,武学奇术!$A:$ZZ,20,FALSE)+SUM(_xlfn.XLOOKUP(R124:AH124,增益!$A:$A,增益!$T:$T,0))</f>
        <v>1.35</v>
      </c>
      <c r="BP124" s="41">
        <f t="shared" si="40"/>
        <v>0.9045</v>
      </c>
      <c r="BQ124" s="41">
        <f t="shared" si="41"/>
        <v>0.00260000000000005</v>
      </c>
      <c r="BR124" s="41">
        <f>IF(VLOOKUP($Q124,武学奇术!$A:$ZZ,22,FALSE)=1,0,(1-$BK124))*(1-$BN124)</f>
        <v>0</v>
      </c>
      <c r="BS124" s="41" cm="1">
        <f t="array" ref="BS124">SUM(_xlfn.XLOOKUP(R124:AH124,增益!$A:$A,增益!$W:$W,0))+$I$5</f>
        <v>0.11</v>
      </c>
    </row>
    <row r="125" spans="1:71">
      <c r="A125" s="4"/>
      <c r="B125" s="4"/>
      <c r="C125"/>
      <c r="K125" s="55">
        <f t="shared" si="31"/>
        <v>0</v>
      </c>
      <c r="L125" s="55">
        <f>((($AP125+$AQ125)/2*$AJ125+$AK125)*(1+$AR125)*(1+$AS125)+(($AU125+$AV125)/2*IF($G$1="鸣金",$AL125,$AJ125)+IF($G$1="鸣金",$AM125*1.5,0))*(1+$AW125)*(1+$AX125)+(($AY125+$AZ125)/2*IF($G$1="裂石",$AL125,$AJ125)+IF($G$1="裂石",$AM125*1.5,0))*(1+$BA125)*(1+$BB125)+(($BC125+$BD125)/2*IF($G$1="牵丝",$AL125,$AJ125)+IF($G$1="牵丝",$AM125*1.5,0))*(1+$BE125)*(1+$BF125)+(($BG125+$BH125)/2*IF($G$1="破竹",$AL125,$AJ125)+IF($G$1="破竹",$AM125*1.5,0))*(1+$BI125)*(1+$BJ125))*(1+$AN125)*$BM125*$P125*(1+IF(VLOOKUP($Q125,武学奇术!$A:$ZZ,30,FALSE)="弹道",$B$21,0))*(1+$BS125)</f>
        <v>0</v>
      </c>
      <c r="M125" s="55">
        <f>(($AQ125*$AJ125+$AK125)*(1+$AR125)*(1+$AS125)+($AV125*IF($G$1="鸣金",$AL125,$AJ125)+IF($G$1="鸣金",$AM125*1.5,0))*(1+$AW125)*(1+$AX125)+($AZ125*IF($G$1="裂石",$AL125,$AJ125)+IF($G$1="裂石",$AM125*1.5,0))*(1+$BA125)*(1+$BB125)+($BD125*IF($G$1="牵丝",$AL125,$AJ125)+IF($G$1="牵丝",$AM125*1.5,0))*(1+$BE125)*(1+$BF125)+($BH125*IF($G$1="破竹",$AL125,$AJ125)+IF($G$1="破竹",$AM125*1.5,0))*(1+$BI125)*(1+$BJ125))*(1+$AN125)*$BO125*$P125*(1+IF(VLOOKUP($Q125,武学奇术!$A:$ZZ,30,FALSE)="弹道",$B$21,0))*(1+$BS125)</f>
        <v>0</v>
      </c>
      <c r="N125" s="55">
        <f>((($AP125+$AQ125)/2*$AJ125+$AK125)*(1+$AR125)*(1+$AS125)+(($AU125+$AV125)/2*IF($G$1="鸣金",$AL125,$AJ125)+IF($G$1="鸣金",$AM125*1.5,0))*(1+$AW125)*(1+$AX125)+(($AY125+$AZ125)/2*IF($G$1="裂石",$AL125,$AJ125)+IF($G$1="裂石",$AM125*1.5,0))*(1+$BA125)*(1+$BB125)+(($BC125+$BD125)/2*IF($G$1="牵丝",$AL125,$AJ125)+IF($G$1="牵丝",$AM125*1.5,0))*(1+$BE125)*(1+$BF125)+(($BG125+$BH125)/2*IF($G$1="破竹",$AL125,$AJ125)+IF($G$1="破竹",$AM125*1.5,0))*(1+$BI125)*(1+$BJ125))*(1+$AN125)*$P125*(1+IF(VLOOKUP($Q125,武学奇术!$A:$ZZ,30,FALSE)="弹道",$B$21,0))*(1+$BS125)</f>
        <v>0</v>
      </c>
      <c r="O125" s="55">
        <f>((($AP125*$AJ125+$AK125)*(1+$AR125)*(1+$AS125)+($AU125*IF($G$1="鸣金",$AL125,$AJ125)+IF($G$1="鸣金",$AM125*1.5,0))*(1+$AW125)*(1+$AX125)+($AY125*IF($G$1="裂石",$AL125,$AJ125)+IF($G$1="裂石",$AM125*1.5,0))*(1+$BA125)*(1+$BB125)+($BC125*IF($G$1="牵丝",$AL125,$AJ125)+IF($G$1="牵丝",$AM125*1.5,0))*(1+$BE125)*(1+$BF125)+($BG125*IF($G$1="破竹",$AL125,$AJ125)+IF($G$1="破竹",$AM125*1.5,0))*(1+$BI125)*(1+$BJ125))*(1+$AN125))*$P125*(1+IF(VLOOKUP($Q125,武学奇术!$A:$ZZ,30,FALSE)="弹道",$B$21,0))*(1+$BS125)</f>
        <v>0</v>
      </c>
      <c r="P125" s="56">
        <v>1</v>
      </c>
      <c r="Q125" s="57" t="s">
        <v>72</v>
      </c>
      <c r="R125" s="57" t="s">
        <v>72</v>
      </c>
      <c r="S125" s="57" t="s">
        <v>72</v>
      </c>
      <c r="T125" s="57" t="s">
        <v>72</v>
      </c>
      <c r="U125" s="57" t="s">
        <v>72</v>
      </c>
      <c r="V125" s="57" t="s">
        <v>72</v>
      </c>
      <c r="W125" s="57" t="s">
        <v>72</v>
      </c>
      <c r="X125" s="57" t="s">
        <v>72</v>
      </c>
      <c r="Y125" s="57" t="s">
        <v>72</v>
      </c>
      <c r="Z125" s="57" t="s">
        <v>72</v>
      </c>
      <c r="AA125" s="57" t="s">
        <v>72</v>
      </c>
      <c r="AB125" s="57" t="s">
        <v>72</v>
      </c>
      <c r="AC125" s="57" t="s">
        <v>72</v>
      </c>
      <c r="AD125" s="57" t="s">
        <v>72</v>
      </c>
      <c r="AE125" s="57" t="s">
        <v>72</v>
      </c>
      <c r="AF125" s="57" t="s">
        <v>72</v>
      </c>
      <c r="AG125" s="57" t="s">
        <v>72</v>
      </c>
      <c r="AH125" s="57" t="s">
        <v>87</v>
      </c>
      <c r="AI125" t="str">
        <f>VLOOKUP($Q125,武学奇术!$A:$ZZ,25,FALSE)</f>
        <v>心法</v>
      </c>
      <c r="AJ125" s="41">
        <f>VLOOKUP($Q125,武学奇术!$A:$ZZ,26,FALSE)</f>
        <v>0</v>
      </c>
      <c r="AK125" s="42">
        <f>VLOOKUP($Q125,武学奇术!$A:$ZZ,27,FALSE)*(1+IF(OR($AI125=$F$4,$AI125=$F$5),$B$22,0))</f>
        <v>0</v>
      </c>
      <c r="AL125" s="41">
        <f>VLOOKUP($Q125,武学奇术!$A:$ZZ,28,FALSE)</f>
        <v>0</v>
      </c>
      <c r="AM125" s="42">
        <f>VLOOKUP($Q125,武学奇术!$A:$ZZ,29,FALSE)*(1+IF(OR($AI125=$F$4,$AI125=$F$5),$B$22,0))</f>
        <v>0</v>
      </c>
      <c r="AN125" s="41" cm="1">
        <f t="array" ref="AN125">$G$3+IFERROR(VLOOKUP($AI125,$F$4:$G$7,2,FALSE),0)+VLOOKUP($Q125,武学奇术!$A:$ZZ,2,FALSE)+SUM(_xlfn.XLOOKUP($R125:$AH125,增益!$A:$A,增益!$B:$B,0))</f>
        <v>0.1837</v>
      </c>
      <c r="AO125" s="41" cm="1">
        <f t="array" ref="AO125">VLOOKUP($Q125,武学奇术!$A:$ZZ,5,FALSE)+SUM(_xlfn.XLOOKUP($R125:$AH125,增益!$A:$A,增益!$E:$E,0))</f>
        <v>0</v>
      </c>
      <c r="AP125" cm="1">
        <f t="array" ref="AP125">$D$10*(1+$AO125)+VLOOKUP($Q125,武学奇术!$A:$ZZ,3,FALSE)+SUM(_xlfn.XLOOKUP($R125:$AH125,增益!$A:$A,增益!$C:$C,0))-$I$2</f>
        <v>1797.4</v>
      </c>
      <c r="AQ125" cm="1">
        <f t="array" ref="AQ125">$E$10*(1+$AO125)+VLOOKUP($Q125,武学奇术!$A:$ZZ,4,FALSE)+SUM(_xlfn.XLOOKUP($R125:$AH125,增益!$A:$A,增益!$D:$D,0))-$I$2</f>
        <v>5488</v>
      </c>
      <c r="AR125" s="49" cm="1">
        <f t="array" ref="AR125">IF($F$10-$I$3+VLOOKUP($Q125,武学奇术!$A:$ZZ,6,FALSE)+SUM(_xlfn.XLOOKUP(R125:AH125,增益!$A:$A,增益!$F:$F,0))&gt;0,($F$10-$I$3+VLOOKUP($Q125,武学奇术!$A:$ZZ,6,FALSE)+SUM(_xlfn.XLOOKUP(R125:AH125,增益!$A:$A,增益!$F:$F,0)))/200,($F$10-$I$3+VLOOKUP($Q125,武学奇术!$A:$ZZ,6,FALSE)+SUM(_xlfn.XLOOKUP(R125:AH125,增益!$A:$A,增益!$F:$F,0)))/100)</f>
        <v>0.2925</v>
      </c>
      <c r="AS125" s="49" cm="1">
        <f t="array" ref="AS125">$G$10+VLOOKUP($Q125,武学奇术!$A:$ZZ,7,FALSE)+SUM(_xlfn.XLOOKUP(R125:AH125,增益!$A:$A,增益!$G:$G,0))</f>
        <v>0</v>
      </c>
      <c r="AT125" s="41" cm="1">
        <f t="array" ref="AT125">VLOOKUP($Q125,武学奇术!$A:$ZZ,8,FALSE)+SUM(_xlfn.XLOOKUP(R125:AH125,增益!$A:$A,增益!$H:$H,0))</f>
        <v>0</v>
      </c>
      <c r="AU125">
        <f t="shared" si="32"/>
        <v>0</v>
      </c>
      <c r="AV125">
        <f t="shared" si="33"/>
        <v>0</v>
      </c>
      <c r="AW125" s="49" cm="1">
        <f t="array" ref="AW125">IF($F$11-$I$4+VLOOKUP($Q125,武学奇术!$A:$ZZ,9,FALSE)+SUM(_xlfn.XLOOKUP(R125:AH125,增益!$A:$A,增益!$I:$I,0))&gt;0,($F$11-$I$4+VLOOKUP($Q125,武学奇术!$A:$ZZ,9,FALSE)+SUM(_xlfn.XLOOKUP(R125:AH125,增益!$A:$A,增益!$I:$I,0)))/200,($F$11-$I$4+VLOOKUP($Q125,武学奇术!$A:$ZZ,9,FALSE)+SUM(_xlfn.XLOOKUP(R125:AH125,增益!$A:$A,增益!$I:$I,0)))/100)</f>
        <v>-0.3</v>
      </c>
      <c r="AX125" s="49" cm="1">
        <f t="array" ref="AX125">$G$11+VLOOKUP($Q125,武学奇术!$A:$ZZ,10,FALSE)+SUM(_xlfn.XLOOKUP(R125:AH125,增益!$A:$A,增益!$J:$J,0))</f>
        <v>0</v>
      </c>
      <c r="AY125">
        <f t="shared" si="34"/>
        <v>0</v>
      </c>
      <c r="AZ125">
        <f t="shared" si="35"/>
        <v>0</v>
      </c>
      <c r="BA125" s="49" cm="1">
        <f t="array" ref="BA125">IF($F$12-$I$4+VLOOKUP($Q125,武学奇术!$A:$ZZ,11,FALSE)+SUM(_xlfn.XLOOKUP(R125:AH125,增益!$A:$A,增益!$K:$K,0))&gt;0,($F$12-$I$4+VLOOKUP($Q125,武学奇术!$A:$ZZ,11,FALSE)+SUM(_xlfn.XLOOKUP(R125:AH125,增益!$A:$A,增益!$K:$K,0)))/200,($F$12-$I$4+VLOOKUP($Q125,武学奇术!$A:$ZZ,11,FALSE)+SUM(_xlfn.XLOOKUP(R125:AH125,增益!$A:$A,增益!$K:$K,0)))/100)</f>
        <v>-0.3</v>
      </c>
      <c r="BB125" s="49" cm="1">
        <f t="array" ref="BB125">$G$12+VLOOKUP($Q125,武学奇术!$A:$ZZ,12,FALSE)+SUM(_xlfn.XLOOKUP(R125:AH125,增益!$A:$A,增益!$L:$L,0))</f>
        <v>0</v>
      </c>
      <c r="BC125">
        <f t="shared" si="36"/>
        <v>571.2</v>
      </c>
      <c r="BD125">
        <f t="shared" si="37"/>
        <v>1077.4</v>
      </c>
      <c r="BE125" s="49" cm="1">
        <f t="array" ref="BE125">IF($F$13-$I$4+VLOOKUP($Q125,武学奇术!$A:$ZZ,13,FALSE)+SUM(_xlfn.XLOOKUP(R125:AH125,增益!$A:$A,增益!$M:$M,0))&gt;0,($F$13-$I$4+VLOOKUP($Q125,武学奇术!$A:$ZZ,13,FALSE)+SUM(_xlfn.XLOOKUP(R125:AH125,增益!$A:$A,增益!$K:$K,0)))/200,($F$13-$I$4+VLOOKUP($Q125,武学奇术!$A:$ZZ,13,FALSE)+SUM(_xlfn.XLOOKUP(R125:AH125,增益!$A:$A,增益!$M:$M,0)))/100)</f>
        <v>0</v>
      </c>
      <c r="BF125" s="49" cm="1">
        <f t="array" ref="BF125">$G$13+VLOOKUP($Q125,武学奇术!$A:$ZZ,14,FALSE)+SUM(_xlfn.XLOOKUP(R125:AH125,增益!$A:$A,增益!$N:$N,0))</f>
        <v>0.15</v>
      </c>
      <c r="BG125">
        <f t="shared" si="38"/>
        <v>0</v>
      </c>
      <c r="BH125">
        <f t="shared" si="39"/>
        <v>0</v>
      </c>
      <c r="BI125" s="49" cm="1">
        <f t="array" ref="BI125">IF($F$14-$I$4+VLOOKUP($Q125,武学奇术!$A:$ZZ,15,FALSE)+SUM(_xlfn.XLOOKUP(R125:AH125,增益!$A:$A,增益!$O:$O,0))&gt;0,($F$14-$I$4+VLOOKUP($Q125,武学奇术!$A:$ZZ,15,FALSE)+SUM(_xlfn.XLOOKUP(R125:AH125,增益!$A:$A,增益!$O:$O,0)))/200,($F$14-$I$4+VLOOKUP($Q125,武学奇术!$A:$ZZ,15,FALSE)+SUM(_xlfn.XLOOKUP(R125:AH125,增益!$A:$A,增益!$O:$O,0)))/100)</f>
        <v>-0.3</v>
      </c>
      <c r="BJ125" s="49" cm="1">
        <f t="array" ref="BJ125">$G$14+VLOOKUP($Q125,武学奇术!$A:$ZZ,16,FALSE)+SUM(_xlfn.XLOOKUP(R125:AH125,增益!$A:$A,增益!$P:$P,0))</f>
        <v>0</v>
      </c>
      <c r="BK125" s="41">
        <f>MIN(IF(VLOOKUP($Q125,武学奇术!$A:$ZZ,23,FALSE)=1,100%,$B$8),100%)</f>
        <v>1</v>
      </c>
      <c r="BL125" s="41" cm="1">
        <f t="array" ref="BL125">IF(VLOOKUP($Q125,武学奇术!$A:$ZZ,23,FALSE)=1,100%,MIN(80%,$B$9+VLOOKUP($Q125,武学奇术!$A:$ZZ,17,FALSE)+SUM(_xlfn.XLOOKUP(R125:AH125,增益!$A:$A,增益!$Q:$Q,0)))+$B$11+SUM(_xlfn.XLOOKUP(R125:AH125,增益!$A:$A,增益!$U:$U,0)))*IF(VLOOKUP($Q125,武学奇术!$A:$ZZ,24,FALSE)=1,0,1)</f>
        <v>0.9045</v>
      </c>
      <c r="BM125" s="41" cm="1">
        <f t="array" ref="BM125">1+$B$13+VLOOKUP($Q125,武学奇术!$A:$ZZ,18,FALSE)+SUM(_xlfn.XLOOKUP(R125:AH125,增益!$A:$A,增益!$R:$R,0))</f>
        <v>1.5</v>
      </c>
      <c r="BN125" s="41" cm="1">
        <f t="array" ref="BN125">IF(VLOOKUP($Q125,武学奇术!$A:$ZZ,24,FALSE)=1,100%,MIN(40%,$B$10+VLOOKUP($Q125,武学奇术!$A:$ZZ,19,FALSE)+SUM(_xlfn.XLOOKUP(R125:AH125,增益!$A:$A,增益!$S:$S,0)))+$B$12+SUM(_xlfn.XLOOKUP(R125:AH125,增益!$A:$A,增益!$V:$V,0)))*IF(VLOOKUP($Q125,武学奇术!$A:$ZZ,23,FALSE)=1,0,1)</f>
        <v>0.0929</v>
      </c>
      <c r="BO125" s="41" cm="1">
        <f t="array" ref="BO125">1+$B$14+VLOOKUP($Q125,武学奇术!$A:$ZZ,20,FALSE)+SUM(_xlfn.XLOOKUP(R125:AH125,增益!$A:$A,增益!$T:$T,0))</f>
        <v>1.35</v>
      </c>
      <c r="BP125" s="41">
        <f t="shared" si="40"/>
        <v>0.9045</v>
      </c>
      <c r="BQ125" s="41">
        <f t="shared" si="41"/>
        <v>0.00260000000000005</v>
      </c>
      <c r="BR125" s="41">
        <f>IF(VLOOKUP($Q125,武学奇术!$A:$ZZ,22,FALSE)=1,0,(1-$BK125))*(1-$BN125)</f>
        <v>0</v>
      </c>
      <c r="BS125" s="41" cm="1">
        <f t="array" ref="BS125">SUM(_xlfn.XLOOKUP(R125:AH125,增益!$A:$A,增益!$W:$W,0))+$I$5</f>
        <v>0.11</v>
      </c>
    </row>
    <row r="126" spans="1:71">
      <c r="A126" s="4"/>
      <c r="B126" s="4"/>
      <c r="C126"/>
      <c r="K126" s="55">
        <f t="shared" si="31"/>
        <v>0</v>
      </c>
      <c r="L126" s="55">
        <f>((($AP126+$AQ126)/2*$AJ126+$AK126)*(1+$AR126)*(1+$AS126)+(($AU126+$AV126)/2*IF($G$1="鸣金",$AL126,$AJ126)+IF($G$1="鸣金",$AM126*1.5,0))*(1+$AW126)*(1+$AX126)+(($AY126+$AZ126)/2*IF($G$1="裂石",$AL126,$AJ126)+IF($G$1="裂石",$AM126*1.5,0))*(1+$BA126)*(1+$BB126)+(($BC126+$BD126)/2*IF($G$1="牵丝",$AL126,$AJ126)+IF($G$1="牵丝",$AM126*1.5,0))*(1+$BE126)*(1+$BF126)+(($BG126+$BH126)/2*IF($G$1="破竹",$AL126,$AJ126)+IF($G$1="破竹",$AM126*1.5,0))*(1+$BI126)*(1+$BJ126))*(1+$AN126)*$BM126*$P126*(1+IF(VLOOKUP($Q126,武学奇术!$A:$ZZ,30,FALSE)="弹道",$B$21,0))*(1+$BS126)</f>
        <v>0</v>
      </c>
      <c r="M126" s="55">
        <f>(($AQ126*$AJ126+$AK126)*(1+$AR126)*(1+$AS126)+($AV126*IF($G$1="鸣金",$AL126,$AJ126)+IF($G$1="鸣金",$AM126*1.5,0))*(1+$AW126)*(1+$AX126)+($AZ126*IF($G$1="裂石",$AL126,$AJ126)+IF($G$1="裂石",$AM126*1.5,0))*(1+$BA126)*(1+$BB126)+($BD126*IF($G$1="牵丝",$AL126,$AJ126)+IF($G$1="牵丝",$AM126*1.5,0))*(1+$BE126)*(1+$BF126)+($BH126*IF($G$1="破竹",$AL126,$AJ126)+IF($G$1="破竹",$AM126*1.5,0))*(1+$BI126)*(1+$BJ126))*(1+$AN126)*$BO126*$P126*(1+IF(VLOOKUP($Q126,武学奇术!$A:$ZZ,30,FALSE)="弹道",$B$21,0))*(1+$BS126)</f>
        <v>0</v>
      </c>
      <c r="N126" s="55">
        <f>((($AP126+$AQ126)/2*$AJ126+$AK126)*(1+$AR126)*(1+$AS126)+(($AU126+$AV126)/2*IF($G$1="鸣金",$AL126,$AJ126)+IF($G$1="鸣金",$AM126*1.5,0))*(1+$AW126)*(1+$AX126)+(($AY126+$AZ126)/2*IF($G$1="裂石",$AL126,$AJ126)+IF($G$1="裂石",$AM126*1.5,0))*(1+$BA126)*(1+$BB126)+(($BC126+$BD126)/2*IF($G$1="牵丝",$AL126,$AJ126)+IF($G$1="牵丝",$AM126*1.5,0))*(1+$BE126)*(1+$BF126)+(($BG126+$BH126)/2*IF($G$1="破竹",$AL126,$AJ126)+IF($G$1="破竹",$AM126*1.5,0))*(1+$BI126)*(1+$BJ126))*(1+$AN126)*$P126*(1+IF(VLOOKUP($Q126,武学奇术!$A:$ZZ,30,FALSE)="弹道",$B$21,0))*(1+$BS126)</f>
        <v>0</v>
      </c>
      <c r="O126" s="55">
        <f>((($AP126*$AJ126+$AK126)*(1+$AR126)*(1+$AS126)+($AU126*IF($G$1="鸣金",$AL126,$AJ126)+IF($G$1="鸣金",$AM126*1.5,0))*(1+$AW126)*(1+$AX126)+($AY126*IF($G$1="裂石",$AL126,$AJ126)+IF($G$1="裂石",$AM126*1.5,0))*(1+$BA126)*(1+$BB126)+($BC126*IF($G$1="牵丝",$AL126,$AJ126)+IF($G$1="牵丝",$AM126*1.5,0))*(1+$BE126)*(1+$BF126)+($BG126*IF($G$1="破竹",$AL126,$AJ126)+IF($G$1="破竹",$AM126*1.5,0))*(1+$BI126)*(1+$BJ126))*(1+$AN126))*$P126*(1+IF(VLOOKUP($Q126,武学奇术!$A:$ZZ,30,FALSE)="弹道",$B$21,0))*(1+$BS126)</f>
        <v>0</v>
      </c>
      <c r="P126" s="56">
        <f>IF($C$22="易水歌",1,0)</f>
        <v>1</v>
      </c>
      <c r="Q126" s="57" t="s">
        <v>72</v>
      </c>
      <c r="R126" s="57" t="s">
        <v>72</v>
      </c>
      <c r="S126" s="57" t="s">
        <v>72</v>
      </c>
      <c r="T126" s="57" t="s">
        <v>72</v>
      </c>
      <c r="U126" s="57" t="s">
        <v>72</v>
      </c>
      <c r="V126" s="57" t="s">
        <v>72</v>
      </c>
      <c r="W126" s="57" t="s">
        <v>72</v>
      </c>
      <c r="X126" s="57" t="s">
        <v>72</v>
      </c>
      <c r="Y126" s="57" t="s">
        <v>72</v>
      </c>
      <c r="Z126" s="57" t="s">
        <v>72</v>
      </c>
      <c r="AA126" s="57" t="s">
        <v>72</v>
      </c>
      <c r="AB126" s="57" t="s">
        <v>72</v>
      </c>
      <c r="AC126" s="57" t="s">
        <v>72</v>
      </c>
      <c r="AD126" s="57" t="s">
        <v>72</v>
      </c>
      <c r="AE126" s="57" t="s">
        <v>72</v>
      </c>
      <c r="AF126" s="57" t="s">
        <v>72</v>
      </c>
      <c r="AG126" s="57" t="s">
        <v>72</v>
      </c>
      <c r="AH126" s="57" t="s">
        <v>87</v>
      </c>
      <c r="AI126" t="str">
        <f>VLOOKUP($Q126,武学奇术!$A:$ZZ,25,FALSE)</f>
        <v>心法</v>
      </c>
      <c r="AJ126" s="41">
        <f>VLOOKUP($Q126,武学奇术!$A:$ZZ,26,FALSE)</f>
        <v>0</v>
      </c>
      <c r="AK126" s="42">
        <f>VLOOKUP($Q126,武学奇术!$A:$ZZ,27,FALSE)*(1+IF(OR($AI126=$F$4,$AI126=$F$5),$B$22,0))</f>
        <v>0</v>
      </c>
      <c r="AL126" s="41">
        <f>VLOOKUP($Q126,武学奇术!$A:$ZZ,28,FALSE)</f>
        <v>0</v>
      </c>
      <c r="AM126" s="42">
        <f>VLOOKUP($Q126,武学奇术!$A:$ZZ,29,FALSE)*(1+IF(OR($AI126=$F$4,$AI126=$F$5),$B$22,0))</f>
        <v>0</v>
      </c>
      <c r="AN126" s="41" cm="1">
        <f t="array" ref="AN126">$G$3+IFERROR(VLOOKUP($AI126,$F$4:$G$7,2,FALSE),0)+VLOOKUP($Q126,武学奇术!$A:$ZZ,2,FALSE)+SUM(_xlfn.XLOOKUP($R126:$AH126,增益!$A:$A,增益!$B:$B,0))</f>
        <v>0.1837</v>
      </c>
      <c r="AO126" s="41" cm="1">
        <f t="array" ref="AO126">VLOOKUP($Q126,武学奇术!$A:$ZZ,5,FALSE)+SUM(_xlfn.XLOOKUP($R126:$AH126,增益!$A:$A,增益!$E:$E,0))</f>
        <v>0</v>
      </c>
      <c r="AP126" cm="1">
        <f t="array" ref="AP126">$D$10*(1+$AO126)+VLOOKUP($Q126,武学奇术!$A:$ZZ,3,FALSE)+SUM(_xlfn.XLOOKUP($R126:$AH126,增益!$A:$A,增益!$C:$C,0))-$I$2</f>
        <v>1797.4</v>
      </c>
      <c r="AQ126" cm="1">
        <f t="array" ref="AQ126">$E$10*(1+$AO126)+VLOOKUP($Q126,武学奇术!$A:$ZZ,4,FALSE)+SUM(_xlfn.XLOOKUP($R126:$AH126,增益!$A:$A,增益!$D:$D,0))-$I$2</f>
        <v>5488</v>
      </c>
      <c r="AR126" s="49" cm="1">
        <f t="array" ref="AR126">IF($F$10-$I$3+VLOOKUP($Q126,武学奇术!$A:$ZZ,6,FALSE)+SUM(_xlfn.XLOOKUP(R126:AH126,增益!$A:$A,增益!$F:$F,0))&gt;0,($F$10-$I$3+VLOOKUP($Q126,武学奇术!$A:$ZZ,6,FALSE)+SUM(_xlfn.XLOOKUP(R126:AH126,增益!$A:$A,增益!$F:$F,0)))/200,($F$10-$I$3+VLOOKUP($Q126,武学奇术!$A:$ZZ,6,FALSE)+SUM(_xlfn.XLOOKUP(R126:AH126,增益!$A:$A,增益!$F:$F,0)))/100)</f>
        <v>0.2925</v>
      </c>
      <c r="AS126" s="49" cm="1">
        <f t="array" ref="AS126">$G$10+VLOOKUP($Q126,武学奇术!$A:$ZZ,7,FALSE)+SUM(_xlfn.XLOOKUP(R126:AH126,增益!$A:$A,增益!$G:$G,0))</f>
        <v>0</v>
      </c>
      <c r="AT126" s="41" cm="1">
        <f t="array" ref="AT126">VLOOKUP($Q126,武学奇术!$A:$ZZ,8,FALSE)+SUM(_xlfn.XLOOKUP(R126:AH126,增益!$A:$A,增益!$H:$H,0))</f>
        <v>0</v>
      </c>
      <c r="AU126">
        <f t="shared" si="32"/>
        <v>0</v>
      </c>
      <c r="AV126">
        <f t="shared" si="33"/>
        <v>0</v>
      </c>
      <c r="AW126" s="49" cm="1">
        <f t="array" ref="AW126">IF($F$11-$I$4+VLOOKUP($Q126,武学奇术!$A:$ZZ,9,FALSE)+SUM(_xlfn.XLOOKUP(R126:AH126,增益!$A:$A,增益!$I:$I,0))&gt;0,($F$11-$I$4+VLOOKUP($Q126,武学奇术!$A:$ZZ,9,FALSE)+SUM(_xlfn.XLOOKUP(R126:AH126,增益!$A:$A,增益!$I:$I,0)))/200,($F$11-$I$4+VLOOKUP($Q126,武学奇术!$A:$ZZ,9,FALSE)+SUM(_xlfn.XLOOKUP(R126:AH126,增益!$A:$A,增益!$I:$I,0)))/100)</f>
        <v>-0.3</v>
      </c>
      <c r="AX126" s="49" cm="1">
        <f t="array" ref="AX126">$G$11+VLOOKUP($Q126,武学奇术!$A:$ZZ,10,FALSE)+SUM(_xlfn.XLOOKUP(R126:AH126,增益!$A:$A,增益!$J:$J,0))</f>
        <v>0</v>
      </c>
      <c r="AY126">
        <f t="shared" si="34"/>
        <v>0</v>
      </c>
      <c r="AZ126">
        <f t="shared" si="35"/>
        <v>0</v>
      </c>
      <c r="BA126" s="49" cm="1">
        <f t="array" ref="BA126">IF($F$12-$I$4+VLOOKUP($Q126,武学奇术!$A:$ZZ,11,FALSE)+SUM(_xlfn.XLOOKUP(R126:AH126,增益!$A:$A,增益!$K:$K,0))&gt;0,($F$12-$I$4+VLOOKUP($Q126,武学奇术!$A:$ZZ,11,FALSE)+SUM(_xlfn.XLOOKUP(R126:AH126,增益!$A:$A,增益!$K:$K,0)))/200,($F$12-$I$4+VLOOKUP($Q126,武学奇术!$A:$ZZ,11,FALSE)+SUM(_xlfn.XLOOKUP(R126:AH126,增益!$A:$A,增益!$K:$K,0)))/100)</f>
        <v>-0.3</v>
      </c>
      <c r="BB126" s="49" cm="1">
        <f t="array" ref="BB126">$G$12+VLOOKUP($Q126,武学奇术!$A:$ZZ,12,FALSE)+SUM(_xlfn.XLOOKUP(R126:AH126,增益!$A:$A,增益!$L:$L,0))</f>
        <v>0</v>
      </c>
      <c r="BC126">
        <f t="shared" si="36"/>
        <v>571.2</v>
      </c>
      <c r="BD126">
        <f t="shared" si="37"/>
        <v>1077.4</v>
      </c>
      <c r="BE126" s="49" cm="1">
        <f t="array" ref="BE126">IF($F$13-$I$4+VLOOKUP($Q126,武学奇术!$A:$ZZ,13,FALSE)+SUM(_xlfn.XLOOKUP(R126:AH126,增益!$A:$A,增益!$M:$M,0))&gt;0,($F$13-$I$4+VLOOKUP($Q126,武学奇术!$A:$ZZ,13,FALSE)+SUM(_xlfn.XLOOKUP(R126:AH126,增益!$A:$A,增益!$K:$K,0)))/200,($F$13-$I$4+VLOOKUP($Q126,武学奇术!$A:$ZZ,13,FALSE)+SUM(_xlfn.XLOOKUP(R126:AH126,增益!$A:$A,增益!$M:$M,0)))/100)</f>
        <v>0</v>
      </c>
      <c r="BF126" s="49" cm="1">
        <f t="array" ref="BF126">$G$13+VLOOKUP($Q126,武学奇术!$A:$ZZ,14,FALSE)+SUM(_xlfn.XLOOKUP(R126:AH126,增益!$A:$A,增益!$N:$N,0))</f>
        <v>0.15</v>
      </c>
      <c r="BG126">
        <f t="shared" si="38"/>
        <v>0</v>
      </c>
      <c r="BH126">
        <f t="shared" si="39"/>
        <v>0</v>
      </c>
      <c r="BI126" s="49" cm="1">
        <f t="array" ref="BI126">IF($F$14-$I$4+VLOOKUP($Q126,武学奇术!$A:$ZZ,15,FALSE)+SUM(_xlfn.XLOOKUP(R126:AH126,增益!$A:$A,增益!$O:$O,0))&gt;0,($F$14-$I$4+VLOOKUP($Q126,武学奇术!$A:$ZZ,15,FALSE)+SUM(_xlfn.XLOOKUP(R126:AH126,增益!$A:$A,增益!$O:$O,0)))/200,($F$14-$I$4+VLOOKUP($Q126,武学奇术!$A:$ZZ,15,FALSE)+SUM(_xlfn.XLOOKUP(R126:AH126,增益!$A:$A,增益!$O:$O,0)))/100)</f>
        <v>-0.3</v>
      </c>
      <c r="BJ126" s="49" cm="1">
        <f t="array" ref="BJ126">$G$14+VLOOKUP($Q126,武学奇术!$A:$ZZ,16,FALSE)+SUM(_xlfn.XLOOKUP(R126:AH126,增益!$A:$A,增益!$P:$P,0))</f>
        <v>0</v>
      </c>
      <c r="BK126" s="41">
        <f>MIN(IF(VLOOKUP($Q126,武学奇术!$A:$ZZ,23,FALSE)=1,100%,$B$8),100%)</f>
        <v>1</v>
      </c>
      <c r="BL126" s="41" cm="1">
        <f t="array" ref="BL126">IF(VLOOKUP($Q126,武学奇术!$A:$ZZ,23,FALSE)=1,100%,MIN(80%,$B$9+VLOOKUP($Q126,武学奇术!$A:$ZZ,17,FALSE)+SUM(_xlfn.XLOOKUP(R126:AH126,增益!$A:$A,增益!$Q:$Q,0)))+$B$11+SUM(_xlfn.XLOOKUP(R126:AH126,增益!$A:$A,增益!$U:$U,0)))*IF(VLOOKUP($Q126,武学奇术!$A:$ZZ,24,FALSE)=1,0,1)</f>
        <v>0.9045</v>
      </c>
      <c r="BM126" s="41" cm="1">
        <f t="array" ref="BM126">1+$B$13+VLOOKUP($Q126,武学奇术!$A:$ZZ,18,FALSE)+SUM(_xlfn.XLOOKUP(R126:AH126,增益!$A:$A,增益!$R:$R,0))</f>
        <v>1.5</v>
      </c>
      <c r="BN126" s="41" cm="1">
        <f t="array" ref="BN126">IF(VLOOKUP($Q126,武学奇术!$A:$ZZ,24,FALSE)=1,100%,MIN(40%,$B$10+VLOOKUP($Q126,武学奇术!$A:$ZZ,19,FALSE)+SUM(_xlfn.XLOOKUP(R126:AH126,增益!$A:$A,增益!$S:$S,0)))+$B$12+SUM(_xlfn.XLOOKUP(R126:AH126,增益!$A:$A,增益!$V:$V,0)))*IF(VLOOKUP($Q126,武学奇术!$A:$ZZ,23,FALSE)=1,0,1)</f>
        <v>0.0929</v>
      </c>
      <c r="BO126" s="41" cm="1">
        <f t="array" ref="BO126">1+$B$14+VLOOKUP($Q126,武学奇术!$A:$ZZ,20,FALSE)+SUM(_xlfn.XLOOKUP(R126:AH126,增益!$A:$A,增益!$T:$T,0))</f>
        <v>1.35</v>
      </c>
      <c r="BP126" s="41">
        <f t="shared" si="40"/>
        <v>0.9045</v>
      </c>
      <c r="BQ126" s="41">
        <f t="shared" si="41"/>
        <v>0.00260000000000005</v>
      </c>
      <c r="BR126" s="41">
        <f>IF(VLOOKUP($Q126,武学奇术!$A:$ZZ,22,FALSE)=1,0,(1-$BK126))*(1-$BN126)</f>
        <v>0</v>
      </c>
      <c r="BS126" s="41" cm="1">
        <f t="array" ref="BS126">SUM(_xlfn.XLOOKUP(R126:AH126,增益!$A:$A,增益!$W:$W,0))+$I$5</f>
        <v>0.11</v>
      </c>
    </row>
    <row r="127" spans="1:71">
      <c r="A127" s="4"/>
      <c r="B127" s="4"/>
      <c r="K127" s="55">
        <f t="shared" si="31"/>
        <v>0</v>
      </c>
      <c r="L127" s="55">
        <f>((($AP127+$AQ127)/2*$AJ127+$AK127)*(1+$AR127)*(1+$AS127)+(($AU127+$AV127)/2*IF($G$1="鸣金",$AL127,$AJ127)+IF($G$1="鸣金",$AM127*1.5,0))*(1+$AW127)*(1+$AX127)+(($AY127+$AZ127)/2*IF($G$1="裂石",$AL127,$AJ127)+IF($G$1="裂石",$AM127*1.5,0))*(1+$BA127)*(1+$BB127)+(($BC127+$BD127)/2*IF($G$1="牵丝",$AL127,$AJ127)+IF($G$1="牵丝",$AM127*1.5,0))*(1+$BE127)*(1+$BF127)+(($BG127+$BH127)/2*IF($G$1="破竹",$AL127,$AJ127)+IF($G$1="破竹",$AM127*1.5,0))*(1+$BI127)*(1+$BJ127))*(1+$AN127)*$BM127*$P127*(1+IF(VLOOKUP($Q127,武学奇术!$A:$ZZ,30,FALSE)="弹道",$B$21,0))*(1+$BS127)</f>
        <v>0</v>
      </c>
      <c r="M127" s="55">
        <f>(($AQ127*$AJ127+$AK127)*(1+$AR127)*(1+$AS127)+($AV127*IF($G$1="鸣金",$AL127,$AJ127)+IF($G$1="鸣金",$AM127*1.5,0))*(1+$AW127)*(1+$AX127)+($AZ127*IF($G$1="裂石",$AL127,$AJ127)+IF($G$1="裂石",$AM127*1.5,0))*(1+$BA127)*(1+$BB127)+($BD127*IF($G$1="牵丝",$AL127,$AJ127)+IF($G$1="牵丝",$AM127*1.5,0))*(1+$BE127)*(1+$BF127)+($BH127*IF($G$1="破竹",$AL127,$AJ127)+IF($G$1="破竹",$AM127*1.5,0))*(1+$BI127)*(1+$BJ127))*(1+$AN127)*$BO127*$P127*(1+IF(VLOOKUP($Q127,武学奇术!$A:$ZZ,30,FALSE)="弹道",$B$21,0))*(1+$BS127)</f>
        <v>0</v>
      </c>
      <c r="N127" s="55">
        <f>((($AP127+$AQ127)/2*$AJ127+$AK127)*(1+$AR127)*(1+$AS127)+(($AU127+$AV127)/2*IF($G$1="鸣金",$AL127,$AJ127)+IF($G$1="鸣金",$AM127*1.5,0))*(1+$AW127)*(1+$AX127)+(($AY127+$AZ127)/2*IF($G$1="裂石",$AL127,$AJ127)+IF($G$1="裂石",$AM127*1.5,0))*(1+$BA127)*(1+$BB127)+(($BC127+$BD127)/2*IF($G$1="牵丝",$AL127,$AJ127)+IF($G$1="牵丝",$AM127*1.5,0))*(1+$BE127)*(1+$BF127)+(($BG127+$BH127)/2*IF($G$1="破竹",$AL127,$AJ127)+IF($G$1="破竹",$AM127*1.5,0))*(1+$BI127)*(1+$BJ127))*(1+$AN127)*$P127*(1+IF(VLOOKUP($Q127,武学奇术!$A:$ZZ,30,FALSE)="弹道",$B$21,0))*(1+$BS127)</f>
        <v>0</v>
      </c>
      <c r="O127" s="55">
        <f>((($AP127*$AJ127+$AK127)*(1+$AR127)*(1+$AS127)+($AU127*IF($G$1="鸣金",$AL127,$AJ127)+IF($G$1="鸣金",$AM127*1.5,0))*(1+$AW127)*(1+$AX127)+($AY127*IF($G$1="裂石",$AL127,$AJ127)+IF($G$1="裂石",$AM127*1.5,0))*(1+$BA127)*(1+$BB127)+($BC127*IF($G$1="牵丝",$AL127,$AJ127)+IF($G$1="牵丝",$AM127*1.5,0))*(1+$BE127)*(1+$BF127)+($BG127*IF($G$1="破竹",$AL127,$AJ127)+IF($G$1="破竹",$AM127*1.5,0))*(1+$BI127)*(1+$BJ127))*(1+$AN127))*$P127*(1+IF(VLOOKUP($Q127,武学奇术!$A:$ZZ,30,FALSE)="弹道",$B$21,0))*(1+$BS127)</f>
        <v>0</v>
      </c>
      <c r="P127" s="56">
        <v>1</v>
      </c>
      <c r="Q127" s="57" t="s">
        <v>72</v>
      </c>
      <c r="R127" s="57" t="s">
        <v>72</v>
      </c>
      <c r="S127" s="57" t="s">
        <v>72</v>
      </c>
      <c r="T127" s="57" t="s">
        <v>72</v>
      </c>
      <c r="U127" s="57" t="s">
        <v>72</v>
      </c>
      <c r="V127" s="57" t="s">
        <v>72</v>
      </c>
      <c r="W127" s="57" t="s">
        <v>72</v>
      </c>
      <c r="X127" s="57" t="s">
        <v>72</v>
      </c>
      <c r="Y127" s="57" t="s">
        <v>72</v>
      </c>
      <c r="Z127" s="57" t="s">
        <v>72</v>
      </c>
      <c r="AA127" s="57" t="s">
        <v>72</v>
      </c>
      <c r="AB127" s="57" t="s">
        <v>72</v>
      </c>
      <c r="AC127" s="57" t="s">
        <v>72</v>
      </c>
      <c r="AD127" s="57" t="s">
        <v>72</v>
      </c>
      <c r="AE127" s="57" t="s">
        <v>72</v>
      </c>
      <c r="AF127" s="57" t="s">
        <v>72</v>
      </c>
      <c r="AG127" s="57" t="s">
        <v>72</v>
      </c>
      <c r="AH127" s="57" t="s">
        <v>87</v>
      </c>
      <c r="AI127" t="str">
        <f>VLOOKUP($Q127,武学奇术!$A:$ZZ,25,FALSE)</f>
        <v>心法</v>
      </c>
      <c r="AJ127" s="41">
        <f>VLOOKUP($Q127,武学奇术!$A:$ZZ,26,FALSE)</f>
        <v>0</v>
      </c>
      <c r="AK127" s="42">
        <f>VLOOKUP($Q127,武学奇术!$A:$ZZ,27,FALSE)*(1+IF(OR($AI127=$F$4,$AI127=$F$5),$B$22,0))</f>
        <v>0</v>
      </c>
      <c r="AL127" s="41">
        <f>VLOOKUP($Q127,武学奇术!$A:$ZZ,28,FALSE)</f>
        <v>0</v>
      </c>
      <c r="AM127" s="42">
        <f>VLOOKUP($Q127,武学奇术!$A:$ZZ,29,FALSE)*(1+IF(OR($AI127=$F$4,$AI127=$F$5),$B$22,0))</f>
        <v>0</v>
      </c>
      <c r="AN127" s="41" cm="1">
        <f t="array" ref="AN127">$G$3+IFERROR(VLOOKUP($AI127,$F$4:$G$7,2,FALSE),0)+VLOOKUP($Q127,武学奇术!$A:$ZZ,2,FALSE)+SUM(_xlfn.XLOOKUP($R127:$AH127,增益!$A:$A,增益!$B:$B,0))</f>
        <v>0.1837</v>
      </c>
      <c r="AO127" s="41" cm="1">
        <f t="array" ref="AO127">VLOOKUP($Q127,武学奇术!$A:$ZZ,5,FALSE)+SUM(_xlfn.XLOOKUP($R127:$AH127,增益!$A:$A,增益!$E:$E,0))</f>
        <v>0</v>
      </c>
      <c r="AP127" cm="1">
        <f t="array" ref="AP127">$D$10*(1+$AO127)+VLOOKUP($Q127,武学奇术!$A:$ZZ,3,FALSE)+SUM(_xlfn.XLOOKUP($R127:$AH127,增益!$A:$A,增益!$C:$C,0))-$I$2</f>
        <v>1797.4</v>
      </c>
      <c r="AQ127" cm="1">
        <f t="array" ref="AQ127">$E$10*(1+$AO127)+VLOOKUP($Q127,武学奇术!$A:$ZZ,4,FALSE)+SUM(_xlfn.XLOOKUP($R127:$AH127,增益!$A:$A,增益!$D:$D,0))-$I$2</f>
        <v>5488</v>
      </c>
      <c r="AR127" s="49" cm="1">
        <f t="array" ref="AR127">IF($F$10-$I$3+VLOOKUP($Q127,武学奇术!$A:$ZZ,6,FALSE)+SUM(_xlfn.XLOOKUP(R127:AH127,增益!$A:$A,增益!$F:$F,0))&gt;0,($F$10-$I$3+VLOOKUP($Q127,武学奇术!$A:$ZZ,6,FALSE)+SUM(_xlfn.XLOOKUP(R127:AH127,增益!$A:$A,增益!$F:$F,0)))/200,($F$10-$I$3+VLOOKUP($Q127,武学奇术!$A:$ZZ,6,FALSE)+SUM(_xlfn.XLOOKUP(R127:AH127,增益!$A:$A,增益!$F:$F,0)))/100)</f>
        <v>0.2925</v>
      </c>
      <c r="AS127" s="49" cm="1">
        <f t="array" ref="AS127">$G$10+VLOOKUP($Q127,武学奇术!$A:$ZZ,7,FALSE)+SUM(_xlfn.XLOOKUP(R127:AH127,增益!$A:$A,增益!$G:$G,0))</f>
        <v>0</v>
      </c>
      <c r="AT127" s="41" cm="1">
        <f t="array" ref="AT127">VLOOKUP($Q127,武学奇术!$A:$ZZ,8,FALSE)+SUM(_xlfn.XLOOKUP(R127:AH127,增益!$A:$A,增益!$H:$H,0))</f>
        <v>0</v>
      </c>
      <c r="AU127">
        <f t="shared" si="32"/>
        <v>0</v>
      </c>
      <c r="AV127">
        <f t="shared" si="33"/>
        <v>0</v>
      </c>
      <c r="AW127" s="49" cm="1">
        <f t="array" ref="AW127">IF($F$11-$I$4+VLOOKUP($Q127,武学奇术!$A:$ZZ,9,FALSE)+SUM(_xlfn.XLOOKUP(R127:AH127,增益!$A:$A,增益!$I:$I,0))&gt;0,($F$11-$I$4+VLOOKUP($Q127,武学奇术!$A:$ZZ,9,FALSE)+SUM(_xlfn.XLOOKUP(R127:AH127,增益!$A:$A,增益!$I:$I,0)))/200,($F$11-$I$4+VLOOKUP($Q127,武学奇术!$A:$ZZ,9,FALSE)+SUM(_xlfn.XLOOKUP(R127:AH127,增益!$A:$A,增益!$I:$I,0)))/100)</f>
        <v>-0.3</v>
      </c>
      <c r="AX127" s="49" cm="1">
        <f t="array" ref="AX127">$G$11+VLOOKUP($Q127,武学奇术!$A:$ZZ,10,FALSE)+SUM(_xlfn.XLOOKUP(R127:AH127,增益!$A:$A,增益!$J:$J,0))</f>
        <v>0</v>
      </c>
      <c r="AY127">
        <f t="shared" si="34"/>
        <v>0</v>
      </c>
      <c r="AZ127">
        <f t="shared" si="35"/>
        <v>0</v>
      </c>
      <c r="BA127" s="49" cm="1">
        <f t="array" ref="BA127">IF($F$12-$I$4+VLOOKUP($Q127,武学奇术!$A:$ZZ,11,FALSE)+SUM(_xlfn.XLOOKUP(R127:AH127,增益!$A:$A,增益!$K:$K,0))&gt;0,($F$12-$I$4+VLOOKUP($Q127,武学奇术!$A:$ZZ,11,FALSE)+SUM(_xlfn.XLOOKUP(R127:AH127,增益!$A:$A,增益!$K:$K,0)))/200,($F$12-$I$4+VLOOKUP($Q127,武学奇术!$A:$ZZ,11,FALSE)+SUM(_xlfn.XLOOKUP(R127:AH127,增益!$A:$A,增益!$K:$K,0)))/100)</f>
        <v>-0.3</v>
      </c>
      <c r="BB127" s="49" cm="1">
        <f t="array" ref="BB127">$G$12+VLOOKUP($Q127,武学奇术!$A:$ZZ,12,FALSE)+SUM(_xlfn.XLOOKUP(R127:AH127,增益!$A:$A,增益!$L:$L,0))</f>
        <v>0</v>
      </c>
      <c r="BC127">
        <f t="shared" si="36"/>
        <v>571.2</v>
      </c>
      <c r="BD127">
        <f t="shared" si="37"/>
        <v>1077.4</v>
      </c>
      <c r="BE127" s="49" cm="1">
        <f t="array" ref="BE127">IF($F$13-$I$4+VLOOKUP($Q127,武学奇术!$A:$ZZ,13,FALSE)+SUM(_xlfn.XLOOKUP(R127:AH127,增益!$A:$A,增益!$M:$M,0))&gt;0,($F$13-$I$4+VLOOKUP($Q127,武学奇术!$A:$ZZ,13,FALSE)+SUM(_xlfn.XLOOKUP(R127:AH127,增益!$A:$A,增益!$K:$K,0)))/200,($F$13-$I$4+VLOOKUP($Q127,武学奇术!$A:$ZZ,13,FALSE)+SUM(_xlfn.XLOOKUP(R127:AH127,增益!$A:$A,增益!$M:$M,0)))/100)</f>
        <v>0</v>
      </c>
      <c r="BF127" s="49" cm="1">
        <f t="array" ref="BF127">$G$13+VLOOKUP($Q127,武学奇术!$A:$ZZ,14,FALSE)+SUM(_xlfn.XLOOKUP(R127:AH127,增益!$A:$A,增益!$N:$N,0))</f>
        <v>0.15</v>
      </c>
      <c r="BG127">
        <f t="shared" si="38"/>
        <v>0</v>
      </c>
      <c r="BH127">
        <f t="shared" si="39"/>
        <v>0</v>
      </c>
      <c r="BI127" s="49" cm="1">
        <f t="array" ref="BI127">IF($F$14-$I$4+VLOOKUP($Q127,武学奇术!$A:$ZZ,15,FALSE)+SUM(_xlfn.XLOOKUP(R127:AH127,增益!$A:$A,增益!$O:$O,0))&gt;0,($F$14-$I$4+VLOOKUP($Q127,武学奇术!$A:$ZZ,15,FALSE)+SUM(_xlfn.XLOOKUP(R127:AH127,增益!$A:$A,增益!$O:$O,0)))/200,($F$14-$I$4+VLOOKUP($Q127,武学奇术!$A:$ZZ,15,FALSE)+SUM(_xlfn.XLOOKUP(R127:AH127,增益!$A:$A,增益!$O:$O,0)))/100)</f>
        <v>-0.3</v>
      </c>
      <c r="BJ127" s="49" cm="1">
        <f t="array" ref="BJ127">$G$14+VLOOKUP($Q127,武学奇术!$A:$ZZ,16,FALSE)+SUM(_xlfn.XLOOKUP(R127:AH127,增益!$A:$A,增益!$P:$P,0))</f>
        <v>0</v>
      </c>
      <c r="BK127" s="41">
        <f>MIN(IF(VLOOKUP($Q127,武学奇术!$A:$ZZ,23,FALSE)=1,100%,$B$8),100%)</f>
        <v>1</v>
      </c>
      <c r="BL127" s="41" cm="1">
        <f t="array" ref="BL127">IF(VLOOKUP($Q127,武学奇术!$A:$ZZ,23,FALSE)=1,100%,MIN(80%,$B$9+VLOOKUP($Q127,武学奇术!$A:$ZZ,17,FALSE)+SUM(_xlfn.XLOOKUP(R127:AH127,增益!$A:$A,增益!$Q:$Q,0)))+$B$11+SUM(_xlfn.XLOOKUP(R127:AH127,增益!$A:$A,增益!$U:$U,0)))*IF(VLOOKUP($Q127,武学奇术!$A:$ZZ,24,FALSE)=1,0,1)</f>
        <v>0.9045</v>
      </c>
      <c r="BM127" s="41" cm="1">
        <f t="array" ref="BM127">1+$B$13+VLOOKUP($Q127,武学奇术!$A:$ZZ,18,FALSE)+SUM(_xlfn.XLOOKUP(R127:AH127,增益!$A:$A,增益!$R:$R,0))</f>
        <v>1.5</v>
      </c>
      <c r="BN127" s="41" cm="1">
        <f t="array" ref="BN127">IF(VLOOKUP($Q127,武学奇术!$A:$ZZ,24,FALSE)=1,100%,MIN(40%,$B$10+VLOOKUP($Q127,武学奇术!$A:$ZZ,19,FALSE)+SUM(_xlfn.XLOOKUP(R127:AH127,增益!$A:$A,增益!$S:$S,0)))+$B$12+SUM(_xlfn.XLOOKUP(R127:AH127,增益!$A:$A,增益!$V:$V,0)))*IF(VLOOKUP($Q127,武学奇术!$A:$ZZ,23,FALSE)=1,0,1)</f>
        <v>0.0929</v>
      </c>
      <c r="BO127" s="41" cm="1">
        <f t="array" ref="BO127">1+$B$14+VLOOKUP($Q127,武学奇术!$A:$ZZ,20,FALSE)+SUM(_xlfn.XLOOKUP(R127:AH127,增益!$A:$A,增益!$T:$T,0))</f>
        <v>1.35</v>
      </c>
      <c r="BP127" s="41">
        <f t="shared" si="40"/>
        <v>0.9045</v>
      </c>
      <c r="BQ127" s="41">
        <f t="shared" si="41"/>
        <v>0.00260000000000005</v>
      </c>
      <c r="BR127" s="41">
        <f>IF(VLOOKUP($Q127,武学奇术!$A:$ZZ,22,FALSE)=1,0,(1-$BK127))*(1-$BN127)</f>
        <v>0</v>
      </c>
      <c r="BS127" s="41" cm="1">
        <f t="array" ref="BS127">SUM(_xlfn.XLOOKUP(R127:AH127,增益!$A:$A,增益!$W:$W,0))+$I$5</f>
        <v>0.11</v>
      </c>
    </row>
    <row r="128" spans="1:71">
      <c r="A128" s="4"/>
      <c r="B128" s="4"/>
      <c r="K128" s="55">
        <f t="shared" si="31"/>
        <v>0</v>
      </c>
      <c r="L128" s="55">
        <f>((($AP128+$AQ128)/2*$AJ128+$AK128)*(1+$AR128)*(1+$AS128)+(($AU128+$AV128)/2*IF($G$1="鸣金",$AL128,$AJ128)+IF($G$1="鸣金",$AM128*1.5,0))*(1+$AW128)*(1+$AX128)+(($AY128+$AZ128)/2*IF($G$1="裂石",$AL128,$AJ128)+IF($G$1="裂石",$AM128*1.5,0))*(1+$BA128)*(1+$BB128)+(($BC128+$BD128)/2*IF($G$1="牵丝",$AL128,$AJ128)+IF($G$1="牵丝",$AM128*1.5,0))*(1+$BE128)*(1+$BF128)+(($BG128+$BH128)/2*IF($G$1="破竹",$AL128,$AJ128)+IF($G$1="破竹",$AM128*1.5,0))*(1+$BI128)*(1+$BJ128))*(1+$AN128)*$BM128*$P128*(1+IF(VLOOKUP($Q128,武学奇术!$A:$ZZ,30,FALSE)="弹道",$B$21,0))*(1+$BS128)</f>
        <v>0</v>
      </c>
      <c r="M128" s="55">
        <f>(($AQ128*$AJ128+$AK128)*(1+$AR128)*(1+$AS128)+($AV128*IF($G$1="鸣金",$AL128,$AJ128)+IF($G$1="鸣金",$AM128*1.5,0))*(1+$AW128)*(1+$AX128)+($AZ128*IF($G$1="裂石",$AL128,$AJ128)+IF($G$1="裂石",$AM128*1.5,0))*(1+$BA128)*(1+$BB128)+($BD128*IF($G$1="牵丝",$AL128,$AJ128)+IF($G$1="牵丝",$AM128*1.5,0))*(1+$BE128)*(1+$BF128)+($BH128*IF($G$1="破竹",$AL128,$AJ128)+IF($G$1="破竹",$AM128*1.5,0))*(1+$BI128)*(1+$BJ128))*(1+$AN128)*$BO128*$P128*(1+IF(VLOOKUP($Q128,武学奇术!$A:$ZZ,30,FALSE)="弹道",$B$21,0))*(1+$BS128)</f>
        <v>0</v>
      </c>
      <c r="N128" s="55">
        <f>((($AP128+$AQ128)/2*$AJ128+$AK128)*(1+$AR128)*(1+$AS128)+(($AU128+$AV128)/2*IF($G$1="鸣金",$AL128,$AJ128)+IF($G$1="鸣金",$AM128*1.5,0))*(1+$AW128)*(1+$AX128)+(($AY128+$AZ128)/2*IF($G$1="裂石",$AL128,$AJ128)+IF($G$1="裂石",$AM128*1.5,0))*(1+$BA128)*(1+$BB128)+(($BC128+$BD128)/2*IF($G$1="牵丝",$AL128,$AJ128)+IF($G$1="牵丝",$AM128*1.5,0))*(1+$BE128)*(1+$BF128)+(($BG128+$BH128)/2*IF($G$1="破竹",$AL128,$AJ128)+IF($G$1="破竹",$AM128*1.5,0))*(1+$BI128)*(1+$BJ128))*(1+$AN128)*$P128*(1+IF(VLOOKUP($Q128,武学奇术!$A:$ZZ,30,FALSE)="弹道",$B$21,0))*(1+$BS128)</f>
        <v>0</v>
      </c>
      <c r="O128" s="55">
        <f>((($AP128*$AJ128+$AK128)*(1+$AR128)*(1+$AS128)+($AU128*IF($G$1="鸣金",$AL128,$AJ128)+IF($G$1="鸣金",$AM128*1.5,0))*(1+$AW128)*(1+$AX128)+($AY128*IF($G$1="裂石",$AL128,$AJ128)+IF($G$1="裂石",$AM128*1.5,0))*(1+$BA128)*(1+$BB128)+($BC128*IF($G$1="牵丝",$AL128,$AJ128)+IF($G$1="牵丝",$AM128*1.5,0))*(1+$BE128)*(1+$BF128)+($BG128*IF($G$1="破竹",$AL128,$AJ128)+IF($G$1="破竹",$AM128*1.5,0))*(1+$BI128)*(1+$BJ128))*(1+$AN128))*$P128*(1+IF(VLOOKUP($Q128,武学奇术!$A:$ZZ,30,FALSE)="弹道",$B$21,0))*(1+$BS128)</f>
        <v>0</v>
      </c>
      <c r="P128" s="56">
        <f>IF($C$22="易水歌",1,0)</f>
        <v>1</v>
      </c>
      <c r="Q128" s="57" t="s">
        <v>72</v>
      </c>
      <c r="R128" s="57" t="s">
        <v>72</v>
      </c>
      <c r="S128" s="57" t="s">
        <v>72</v>
      </c>
      <c r="T128" s="57" t="s">
        <v>72</v>
      </c>
      <c r="U128" s="57" t="s">
        <v>72</v>
      </c>
      <c r="V128" s="57" t="s">
        <v>72</v>
      </c>
      <c r="W128" s="57" t="s">
        <v>72</v>
      </c>
      <c r="X128" s="57" t="s">
        <v>72</v>
      </c>
      <c r="Y128" s="57" t="s">
        <v>72</v>
      </c>
      <c r="Z128" s="57" t="s">
        <v>72</v>
      </c>
      <c r="AA128" s="57" t="s">
        <v>72</v>
      </c>
      <c r="AB128" s="57" t="s">
        <v>72</v>
      </c>
      <c r="AC128" s="57" t="s">
        <v>72</v>
      </c>
      <c r="AD128" s="57" t="s">
        <v>72</v>
      </c>
      <c r="AE128" s="57" t="s">
        <v>72</v>
      </c>
      <c r="AF128" s="57" t="s">
        <v>72</v>
      </c>
      <c r="AG128" s="57" t="s">
        <v>72</v>
      </c>
      <c r="AH128" s="57" t="s">
        <v>87</v>
      </c>
      <c r="AI128" t="str">
        <f>VLOOKUP($Q128,武学奇术!$A:$ZZ,25,FALSE)</f>
        <v>心法</v>
      </c>
      <c r="AJ128" s="41">
        <f>VLOOKUP($Q128,武学奇术!$A:$ZZ,26,FALSE)</f>
        <v>0</v>
      </c>
      <c r="AK128" s="42">
        <f>VLOOKUP($Q128,武学奇术!$A:$ZZ,27,FALSE)*(1+IF(OR($AI128=$F$4,$AI128=$F$5),$B$22,0))</f>
        <v>0</v>
      </c>
      <c r="AL128" s="41">
        <f>VLOOKUP($Q128,武学奇术!$A:$ZZ,28,FALSE)</f>
        <v>0</v>
      </c>
      <c r="AM128" s="42">
        <f>VLOOKUP($Q128,武学奇术!$A:$ZZ,29,FALSE)*(1+IF(OR($AI128=$F$4,$AI128=$F$5),$B$22,0))</f>
        <v>0</v>
      </c>
      <c r="AN128" s="41" cm="1">
        <f t="array" ref="AN128">$G$3+IFERROR(VLOOKUP($AI128,$F$4:$G$7,2,FALSE),0)+VLOOKUP($Q128,武学奇术!$A:$ZZ,2,FALSE)+SUM(_xlfn.XLOOKUP($R128:$AH128,增益!$A:$A,增益!$B:$B,0))</f>
        <v>0.1837</v>
      </c>
      <c r="AO128" s="41" cm="1">
        <f t="array" ref="AO128">VLOOKUP($Q128,武学奇术!$A:$ZZ,5,FALSE)+SUM(_xlfn.XLOOKUP($R128:$AH128,增益!$A:$A,增益!$E:$E,0))</f>
        <v>0</v>
      </c>
      <c r="AP128" cm="1">
        <f t="array" ref="AP128">$D$10*(1+$AO128)+VLOOKUP($Q128,武学奇术!$A:$ZZ,3,FALSE)+SUM(_xlfn.XLOOKUP($R128:$AH128,增益!$A:$A,增益!$C:$C,0))-$I$2</f>
        <v>1797.4</v>
      </c>
      <c r="AQ128" cm="1">
        <f t="array" ref="AQ128">$E$10*(1+$AO128)+VLOOKUP($Q128,武学奇术!$A:$ZZ,4,FALSE)+SUM(_xlfn.XLOOKUP($R128:$AH128,增益!$A:$A,增益!$D:$D,0))-$I$2</f>
        <v>5488</v>
      </c>
      <c r="AR128" s="49" cm="1">
        <f t="array" ref="AR128">IF($F$10-$I$3+VLOOKUP($Q128,武学奇术!$A:$ZZ,6,FALSE)+SUM(_xlfn.XLOOKUP(R128:AH128,增益!$A:$A,增益!$F:$F,0))&gt;0,($F$10-$I$3+VLOOKUP($Q128,武学奇术!$A:$ZZ,6,FALSE)+SUM(_xlfn.XLOOKUP(R128:AH128,增益!$A:$A,增益!$F:$F,0)))/200,($F$10-$I$3+VLOOKUP($Q128,武学奇术!$A:$ZZ,6,FALSE)+SUM(_xlfn.XLOOKUP(R128:AH128,增益!$A:$A,增益!$F:$F,0)))/100)</f>
        <v>0.2925</v>
      </c>
      <c r="AS128" s="49" cm="1">
        <f t="array" ref="AS128">$G$10+VLOOKUP($Q128,武学奇术!$A:$ZZ,7,FALSE)+SUM(_xlfn.XLOOKUP(R128:AH128,增益!$A:$A,增益!$G:$G,0))</f>
        <v>0</v>
      </c>
      <c r="AT128" s="41" cm="1">
        <f t="array" ref="AT128">VLOOKUP($Q128,武学奇术!$A:$ZZ,8,FALSE)+SUM(_xlfn.XLOOKUP(R128:AH128,增益!$A:$A,增益!$H:$H,0))</f>
        <v>0</v>
      </c>
      <c r="AU128">
        <f t="shared" si="32"/>
        <v>0</v>
      </c>
      <c r="AV128">
        <f t="shared" si="33"/>
        <v>0</v>
      </c>
      <c r="AW128" s="49" cm="1">
        <f t="array" ref="AW128">IF($F$11-$I$4+VLOOKUP($Q128,武学奇术!$A:$ZZ,9,FALSE)+SUM(_xlfn.XLOOKUP(R128:AH128,增益!$A:$A,增益!$I:$I,0))&gt;0,($F$11-$I$4+VLOOKUP($Q128,武学奇术!$A:$ZZ,9,FALSE)+SUM(_xlfn.XLOOKUP(R128:AH128,增益!$A:$A,增益!$I:$I,0)))/200,($F$11-$I$4+VLOOKUP($Q128,武学奇术!$A:$ZZ,9,FALSE)+SUM(_xlfn.XLOOKUP(R128:AH128,增益!$A:$A,增益!$I:$I,0)))/100)</f>
        <v>-0.3</v>
      </c>
      <c r="AX128" s="49" cm="1">
        <f t="array" ref="AX128">$G$11+VLOOKUP($Q128,武学奇术!$A:$ZZ,10,FALSE)+SUM(_xlfn.XLOOKUP(R128:AH128,增益!$A:$A,增益!$J:$J,0))</f>
        <v>0</v>
      </c>
      <c r="AY128">
        <f t="shared" si="34"/>
        <v>0</v>
      </c>
      <c r="AZ128">
        <f t="shared" si="35"/>
        <v>0</v>
      </c>
      <c r="BA128" s="49" cm="1">
        <f t="array" ref="BA128">IF($F$12-$I$4+VLOOKUP($Q128,武学奇术!$A:$ZZ,11,FALSE)+SUM(_xlfn.XLOOKUP(R128:AH128,增益!$A:$A,增益!$K:$K,0))&gt;0,($F$12-$I$4+VLOOKUP($Q128,武学奇术!$A:$ZZ,11,FALSE)+SUM(_xlfn.XLOOKUP(R128:AH128,增益!$A:$A,增益!$K:$K,0)))/200,($F$12-$I$4+VLOOKUP($Q128,武学奇术!$A:$ZZ,11,FALSE)+SUM(_xlfn.XLOOKUP(R128:AH128,增益!$A:$A,增益!$K:$K,0)))/100)</f>
        <v>-0.3</v>
      </c>
      <c r="BB128" s="49" cm="1">
        <f t="array" ref="BB128">$G$12+VLOOKUP($Q128,武学奇术!$A:$ZZ,12,FALSE)+SUM(_xlfn.XLOOKUP(R128:AH128,增益!$A:$A,增益!$L:$L,0))</f>
        <v>0</v>
      </c>
      <c r="BC128">
        <f t="shared" si="36"/>
        <v>571.2</v>
      </c>
      <c r="BD128">
        <f t="shared" si="37"/>
        <v>1077.4</v>
      </c>
      <c r="BE128" s="49" cm="1">
        <f t="array" ref="BE128">IF($F$13-$I$4+VLOOKUP($Q128,武学奇术!$A:$ZZ,13,FALSE)+SUM(_xlfn.XLOOKUP(R128:AH128,增益!$A:$A,增益!$M:$M,0))&gt;0,($F$13-$I$4+VLOOKUP($Q128,武学奇术!$A:$ZZ,13,FALSE)+SUM(_xlfn.XLOOKUP(R128:AH128,增益!$A:$A,增益!$K:$K,0)))/200,($F$13-$I$4+VLOOKUP($Q128,武学奇术!$A:$ZZ,13,FALSE)+SUM(_xlfn.XLOOKUP(R128:AH128,增益!$A:$A,增益!$M:$M,0)))/100)</f>
        <v>0</v>
      </c>
      <c r="BF128" s="49" cm="1">
        <f t="array" ref="BF128">$G$13+VLOOKUP($Q128,武学奇术!$A:$ZZ,14,FALSE)+SUM(_xlfn.XLOOKUP(R128:AH128,增益!$A:$A,增益!$N:$N,0))</f>
        <v>0.15</v>
      </c>
      <c r="BG128">
        <f t="shared" si="38"/>
        <v>0</v>
      </c>
      <c r="BH128">
        <f t="shared" si="39"/>
        <v>0</v>
      </c>
      <c r="BI128" s="49" cm="1">
        <f t="array" ref="BI128">IF($F$14-$I$4+VLOOKUP($Q128,武学奇术!$A:$ZZ,15,FALSE)+SUM(_xlfn.XLOOKUP(R128:AH128,增益!$A:$A,增益!$O:$O,0))&gt;0,($F$14-$I$4+VLOOKUP($Q128,武学奇术!$A:$ZZ,15,FALSE)+SUM(_xlfn.XLOOKUP(R128:AH128,增益!$A:$A,增益!$O:$O,0)))/200,($F$14-$I$4+VLOOKUP($Q128,武学奇术!$A:$ZZ,15,FALSE)+SUM(_xlfn.XLOOKUP(R128:AH128,增益!$A:$A,增益!$O:$O,0)))/100)</f>
        <v>-0.3</v>
      </c>
      <c r="BJ128" s="49" cm="1">
        <f t="array" ref="BJ128">$G$14+VLOOKUP($Q128,武学奇术!$A:$ZZ,16,FALSE)+SUM(_xlfn.XLOOKUP(R128:AH128,增益!$A:$A,增益!$P:$P,0))</f>
        <v>0</v>
      </c>
      <c r="BK128" s="41">
        <f>MIN(IF(VLOOKUP($Q128,武学奇术!$A:$ZZ,23,FALSE)=1,100%,$B$8),100%)</f>
        <v>1</v>
      </c>
      <c r="BL128" s="41" cm="1">
        <f t="array" ref="BL128">IF(VLOOKUP($Q128,武学奇术!$A:$ZZ,23,FALSE)=1,100%,MIN(80%,$B$9+VLOOKUP($Q128,武学奇术!$A:$ZZ,17,FALSE)+SUM(_xlfn.XLOOKUP(R128:AH128,增益!$A:$A,增益!$Q:$Q,0)))+$B$11+SUM(_xlfn.XLOOKUP(R128:AH128,增益!$A:$A,增益!$U:$U,0)))*IF(VLOOKUP($Q128,武学奇术!$A:$ZZ,24,FALSE)=1,0,1)</f>
        <v>0.9045</v>
      </c>
      <c r="BM128" s="41" cm="1">
        <f t="array" ref="BM128">1+$B$13+VLOOKUP($Q128,武学奇术!$A:$ZZ,18,FALSE)+SUM(_xlfn.XLOOKUP(R128:AH128,增益!$A:$A,增益!$R:$R,0))</f>
        <v>1.5</v>
      </c>
      <c r="BN128" s="41" cm="1">
        <f t="array" ref="BN128">IF(VLOOKUP($Q128,武学奇术!$A:$ZZ,24,FALSE)=1,100%,MIN(40%,$B$10+VLOOKUP($Q128,武学奇术!$A:$ZZ,19,FALSE)+SUM(_xlfn.XLOOKUP(R128:AH128,增益!$A:$A,增益!$S:$S,0)))+$B$12+SUM(_xlfn.XLOOKUP(R128:AH128,增益!$A:$A,增益!$V:$V,0)))*IF(VLOOKUP($Q128,武学奇术!$A:$ZZ,23,FALSE)=1,0,1)</f>
        <v>0.0929</v>
      </c>
      <c r="BO128" s="41" cm="1">
        <f t="array" ref="BO128">1+$B$14+VLOOKUP($Q128,武学奇术!$A:$ZZ,20,FALSE)+SUM(_xlfn.XLOOKUP(R128:AH128,增益!$A:$A,增益!$T:$T,0))</f>
        <v>1.35</v>
      </c>
      <c r="BP128" s="41">
        <f t="shared" si="40"/>
        <v>0.9045</v>
      </c>
      <c r="BQ128" s="41">
        <f t="shared" si="41"/>
        <v>0.00260000000000005</v>
      </c>
      <c r="BR128" s="41">
        <f>IF(VLOOKUP($Q128,武学奇术!$A:$ZZ,22,FALSE)=1,0,(1-$BK128))*(1-$BN128)</f>
        <v>0</v>
      </c>
      <c r="BS128" s="41" cm="1">
        <f t="array" ref="BS128">SUM(_xlfn.XLOOKUP(R128:AH128,增益!$A:$A,增益!$W:$W,0))+$I$5</f>
        <v>0.11</v>
      </c>
    </row>
    <row r="129" spans="11:71">
      <c r="K129" s="55">
        <f t="shared" si="31"/>
        <v>0</v>
      </c>
      <c r="L129" s="55">
        <f>((($AP129+$AQ129)/2*$AJ129+$AK129)*(1+$AR129)*(1+$AS129)+(($AU129+$AV129)/2*IF($G$1="鸣金",$AL129,$AJ129)+IF($G$1="鸣金",$AM129*1.5,0))*(1+$AW129)*(1+$AX129)+(($AY129+$AZ129)/2*IF($G$1="裂石",$AL129,$AJ129)+IF($G$1="裂石",$AM129*1.5,0))*(1+$BA129)*(1+$BB129)+(($BC129+$BD129)/2*IF($G$1="牵丝",$AL129,$AJ129)+IF($G$1="牵丝",$AM129*1.5,0))*(1+$BE129)*(1+$BF129)+(($BG129+$BH129)/2*IF($G$1="破竹",$AL129,$AJ129)+IF($G$1="破竹",$AM129*1.5,0))*(1+$BI129)*(1+$BJ129))*(1+$AN129)*$BM129*$P129*(1+IF(VLOOKUP($Q129,武学奇术!$A:$ZZ,30,FALSE)="弹道",$B$21,0))*(1+$BS129)</f>
        <v>0</v>
      </c>
      <c r="M129" s="55">
        <f>(($AQ129*$AJ129+$AK129)*(1+$AR129)*(1+$AS129)+($AV129*IF($G$1="鸣金",$AL129,$AJ129)+IF($G$1="鸣金",$AM129*1.5,0))*(1+$AW129)*(1+$AX129)+($AZ129*IF($G$1="裂石",$AL129,$AJ129)+IF($G$1="裂石",$AM129*1.5,0))*(1+$BA129)*(1+$BB129)+($BD129*IF($G$1="牵丝",$AL129,$AJ129)+IF($G$1="牵丝",$AM129*1.5,0))*(1+$BE129)*(1+$BF129)+($BH129*IF($G$1="破竹",$AL129,$AJ129)+IF($G$1="破竹",$AM129*1.5,0))*(1+$BI129)*(1+$BJ129))*(1+$AN129)*$BO129*$P129*(1+IF(VLOOKUP($Q129,武学奇术!$A:$ZZ,30,FALSE)="弹道",$B$21,0))*(1+$BS129)</f>
        <v>0</v>
      </c>
      <c r="N129" s="55">
        <f>((($AP129+$AQ129)/2*$AJ129+$AK129)*(1+$AR129)*(1+$AS129)+(($AU129+$AV129)/2*IF($G$1="鸣金",$AL129,$AJ129)+IF($G$1="鸣金",$AM129*1.5,0))*(1+$AW129)*(1+$AX129)+(($AY129+$AZ129)/2*IF($G$1="裂石",$AL129,$AJ129)+IF($G$1="裂石",$AM129*1.5,0))*(1+$BA129)*(1+$BB129)+(($BC129+$BD129)/2*IF($G$1="牵丝",$AL129,$AJ129)+IF($G$1="牵丝",$AM129*1.5,0))*(1+$BE129)*(1+$BF129)+(($BG129+$BH129)/2*IF($G$1="破竹",$AL129,$AJ129)+IF($G$1="破竹",$AM129*1.5,0))*(1+$BI129)*(1+$BJ129))*(1+$AN129)*$P129*(1+IF(VLOOKUP($Q129,武学奇术!$A:$ZZ,30,FALSE)="弹道",$B$21,0))*(1+$BS129)</f>
        <v>0</v>
      </c>
      <c r="O129" s="55">
        <f>((($AP129*$AJ129+$AK129)*(1+$AR129)*(1+$AS129)+($AU129*IF($G$1="鸣金",$AL129,$AJ129)+IF($G$1="鸣金",$AM129*1.5,0))*(1+$AW129)*(1+$AX129)+($AY129*IF($G$1="裂石",$AL129,$AJ129)+IF($G$1="裂石",$AM129*1.5,0))*(1+$BA129)*(1+$BB129)+($BC129*IF($G$1="牵丝",$AL129,$AJ129)+IF($G$1="牵丝",$AM129*1.5,0))*(1+$BE129)*(1+$BF129)+($BG129*IF($G$1="破竹",$AL129,$AJ129)+IF($G$1="破竹",$AM129*1.5,0))*(1+$BI129)*(1+$BJ129))*(1+$AN129))*$P129*(1+IF(VLOOKUP($Q129,武学奇术!$A:$ZZ,30,FALSE)="弹道",$B$21,0))*(1+$BS129)</f>
        <v>0</v>
      </c>
      <c r="P129" s="56">
        <v>1</v>
      </c>
      <c r="Q129" s="57" t="s">
        <v>72</v>
      </c>
      <c r="R129" s="57" t="s">
        <v>72</v>
      </c>
      <c r="S129" s="57" t="s">
        <v>72</v>
      </c>
      <c r="T129" s="57" t="s">
        <v>72</v>
      </c>
      <c r="U129" s="57" t="s">
        <v>72</v>
      </c>
      <c r="V129" s="57" t="s">
        <v>72</v>
      </c>
      <c r="W129" s="57" t="s">
        <v>72</v>
      </c>
      <c r="X129" s="57" t="s">
        <v>72</v>
      </c>
      <c r="Y129" s="57" t="s">
        <v>72</v>
      </c>
      <c r="Z129" s="57" t="s">
        <v>72</v>
      </c>
      <c r="AA129" s="57" t="s">
        <v>72</v>
      </c>
      <c r="AB129" s="57" t="s">
        <v>72</v>
      </c>
      <c r="AC129" s="57" t="s">
        <v>72</v>
      </c>
      <c r="AD129" s="57" t="s">
        <v>72</v>
      </c>
      <c r="AE129" s="57" t="s">
        <v>72</v>
      </c>
      <c r="AF129" s="57" t="s">
        <v>72</v>
      </c>
      <c r="AG129" s="57" t="s">
        <v>72</v>
      </c>
      <c r="AH129" s="57" t="s">
        <v>87</v>
      </c>
      <c r="AI129" t="str">
        <f>VLOOKUP($Q129,武学奇术!$A:$ZZ,25,FALSE)</f>
        <v>心法</v>
      </c>
      <c r="AJ129" s="41">
        <f>VLOOKUP($Q129,武学奇术!$A:$ZZ,26,FALSE)</f>
        <v>0</v>
      </c>
      <c r="AK129" s="42">
        <f>VLOOKUP($Q129,武学奇术!$A:$ZZ,27,FALSE)*(1+IF(OR($AI129=$F$4,$AI129=$F$5),$B$22,0))</f>
        <v>0</v>
      </c>
      <c r="AL129" s="41">
        <f>VLOOKUP($Q129,武学奇术!$A:$ZZ,28,FALSE)</f>
        <v>0</v>
      </c>
      <c r="AM129" s="42">
        <f>VLOOKUP($Q129,武学奇术!$A:$ZZ,29,FALSE)*(1+IF(OR($AI129=$F$4,$AI129=$F$5),$B$22,0))</f>
        <v>0</v>
      </c>
      <c r="AN129" s="41" cm="1">
        <f t="array" ref="AN129">$G$3+IFERROR(VLOOKUP($AI129,$F$4:$G$7,2,FALSE),0)+VLOOKUP($Q129,武学奇术!$A:$ZZ,2,FALSE)+SUM(_xlfn.XLOOKUP($R129:$AH129,增益!$A:$A,增益!$B:$B,0))</f>
        <v>0.1837</v>
      </c>
      <c r="AO129" s="41" cm="1">
        <f t="array" ref="AO129">VLOOKUP($Q129,武学奇术!$A:$ZZ,5,FALSE)+SUM(_xlfn.XLOOKUP($R129:$AH129,增益!$A:$A,增益!$E:$E,0))</f>
        <v>0</v>
      </c>
      <c r="AP129" cm="1">
        <f t="array" ref="AP129">$D$10*(1+$AO129)+VLOOKUP($Q129,武学奇术!$A:$ZZ,3,FALSE)+SUM(_xlfn.XLOOKUP($R129:$AH129,增益!$A:$A,增益!$C:$C,0))-$I$2</f>
        <v>1797.4</v>
      </c>
      <c r="AQ129" cm="1">
        <f t="array" ref="AQ129">$E$10*(1+$AO129)+VLOOKUP($Q129,武学奇术!$A:$ZZ,4,FALSE)+SUM(_xlfn.XLOOKUP($R129:$AH129,增益!$A:$A,增益!$D:$D,0))-$I$2</f>
        <v>5488</v>
      </c>
      <c r="AR129" s="49" cm="1">
        <f t="array" ref="AR129">IF($F$10-$I$3+VLOOKUP($Q129,武学奇术!$A:$ZZ,6,FALSE)+SUM(_xlfn.XLOOKUP(R129:AH129,增益!$A:$A,增益!$F:$F,0))&gt;0,($F$10-$I$3+VLOOKUP($Q129,武学奇术!$A:$ZZ,6,FALSE)+SUM(_xlfn.XLOOKUP(R129:AH129,增益!$A:$A,增益!$F:$F,0)))/200,($F$10-$I$3+VLOOKUP($Q129,武学奇术!$A:$ZZ,6,FALSE)+SUM(_xlfn.XLOOKUP(R129:AH129,增益!$A:$A,增益!$F:$F,0)))/100)</f>
        <v>0.2925</v>
      </c>
      <c r="AS129" s="49" cm="1">
        <f t="array" ref="AS129">$G$10+VLOOKUP($Q129,武学奇术!$A:$ZZ,7,FALSE)+SUM(_xlfn.XLOOKUP(R129:AH129,增益!$A:$A,增益!$G:$G,0))</f>
        <v>0</v>
      </c>
      <c r="AT129" s="41" cm="1">
        <f t="array" ref="AT129">VLOOKUP($Q129,武学奇术!$A:$ZZ,8,FALSE)+SUM(_xlfn.XLOOKUP(R129:AH129,增益!$A:$A,增益!$H:$H,0))</f>
        <v>0</v>
      </c>
      <c r="AU129">
        <f t="shared" si="32"/>
        <v>0</v>
      </c>
      <c r="AV129">
        <f t="shared" si="33"/>
        <v>0</v>
      </c>
      <c r="AW129" s="49" cm="1">
        <f t="array" ref="AW129">IF($F$11-$I$4+VLOOKUP($Q129,武学奇术!$A:$ZZ,9,FALSE)+SUM(_xlfn.XLOOKUP(R129:AH129,增益!$A:$A,增益!$I:$I,0))&gt;0,($F$11-$I$4+VLOOKUP($Q129,武学奇术!$A:$ZZ,9,FALSE)+SUM(_xlfn.XLOOKUP(R129:AH129,增益!$A:$A,增益!$I:$I,0)))/200,($F$11-$I$4+VLOOKUP($Q129,武学奇术!$A:$ZZ,9,FALSE)+SUM(_xlfn.XLOOKUP(R129:AH129,增益!$A:$A,增益!$I:$I,0)))/100)</f>
        <v>-0.3</v>
      </c>
      <c r="AX129" s="49" cm="1">
        <f t="array" ref="AX129">$G$11+VLOOKUP($Q129,武学奇术!$A:$ZZ,10,FALSE)+SUM(_xlfn.XLOOKUP(R129:AH129,增益!$A:$A,增益!$J:$J,0))</f>
        <v>0</v>
      </c>
      <c r="AY129">
        <f t="shared" si="34"/>
        <v>0</v>
      </c>
      <c r="AZ129">
        <f t="shared" si="35"/>
        <v>0</v>
      </c>
      <c r="BA129" s="49" cm="1">
        <f t="array" ref="BA129">IF($F$12-$I$4+VLOOKUP($Q129,武学奇术!$A:$ZZ,11,FALSE)+SUM(_xlfn.XLOOKUP(R129:AH129,增益!$A:$A,增益!$K:$K,0))&gt;0,($F$12-$I$4+VLOOKUP($Q129,武学奇术!$A:$ZZ,11,FALSE)+SUM(_xlfn.XLOOKUP(R129:AH129,增益!$A:$A,增益!$K:$K,0)))/200,($F$12-$I$4+VLOOKUP($Q129,武学奇术!$A:$ZZ,11,FALSE)+SUM(_xlfn.XLOOKUP(R129:AH129,增益!$A:$A,增益!$K:$K,0)))/100)</f>
        <v>-0.3</v>
      </c>
      <c r="BB129" s="49" cm="1">
        <f t="array" ref="BB129">$G$12+VLOOKUP($Q129,武学奇术!$A:$ZZ,12,FALSE)+SUM(_xlfn.XLOOKUP(R129:AH129,增益!$A:$A,增益!$L:$L,0))</f>
        <v>0</v>
      </c>
      <c r="BC129">
        <f t="shared" si="36"/>
        <v>571.2</v>
      </c>
      <c r="BD129">
        <f t="shared" si="37"/>
        <v>1077.4</v>
      </c>
      <c r="BE129" s="49" cm="1">
        <f t="array" ref="BE129">IF($F$13-$I$4+VLOOKUP($Q129,武学奇术!$A:$ZZ,13,FALSE)+SUM(_xlfn.XLOOKUP(R129:AH129,增益!$A:$A,增益!$M:$M,0))&gt;0,($F$13-$I$4+VLOOKUP($Q129,武学奇术!$A:$ZZ,13,FALSE)+SUM(_xlfn.XLOOKUP(R129:AH129,增益!$A:$A,增益!$K:$K,0)))/200,($F$13-$I$4+VLOOKUP($Q129,武学奇术!$A:$ZZ,13,FALSE)+SUM(_xlfn.XLOOKUP(R129:AH129,增益!$A:$A,增益!$M:$M,0)))/100)</f>
        <v>0</v>
      </c>
      <c r="BF129" s="49" cm="1">
        <f t="array" ref="BF129">$G$13+VLOOKUP($Q129,武学奇术!$A:$ZZ,14,FALSE)+SUM(_xlfn.XLOOKUP(R129:AH129,增益!$A:$A,增益!$N:$N,0))</f>
        <v>0.15</v>
      </c>
      <c r="BG129">
        <f t="shared" si="38"/>
        <v>0</v>
      </c>
      <c r="BH129">
        <f t="shared" si="39"/>
        <v>0</v>
      </c>
      <c r="BI129" s="49" cm="1">
        <f t="array" ref="BI129">IF($F$14-$I$4+VLOOKUP($Q129,武学奇术!$A:$ZZ,15,FALSE)+SUM(_xlfn.XLOOKUP(R129:AH129,增益!$A:$A,增益!$O:$O,0))&gt;0,($F$14-$I$4+VLOOKUP($Q129,武学奇术!$A:$ZZ,15,FALSE)+SUM(_xlfn.XLOOKUP(R129:AH129,增益!$A:$A,增益!$O:$O,0)))/200,($F$14-$I$4+VLOOKUP($Q129,武学奇术!$A:$ZZ,15,FALSE)+SUM(_xlfn.XLOOKUP(R129:AH129,增益!$A:$A,增益!$O:$O,0)))/100)</f>
        <v>-0.3</v>
      </c>
      <c r="BJ129" s="49" cm="1">
        <f t="array" ref="BJ129">$G$14+VLOOKUP($Q129,武学奇术!$A:$ZZ,16,FALSE)+SUM(_xlfn.XLOOKUP(R129:AH129,增益!$A:$A,增益!$P:$P,0))</f>
        <v>0</v>
      </c>
      <c r="BK129" s="41">
        <f>MIN(IF(VLOOKUP($Q129,武学奇术!$A:$ZZ,23,FALSE)=1,100%,$B$8),100%)</f>
        <v>1</v>
      </c>
      <c r="BL129" s="41" cm="1">
        <f t="array" ref="BL129">IF(VLOOKUP($Q129,武学奇术!$A:$ZZ,23,FALSE)=1,100%,MIN(80%,$B$9+VLOOKUP($Q129,武学奇术!$A:$ZZ,17,FALSE)+SUM(_xlfn.XLOOKUP(R129:AH129,增益!$A:$A,增益!$Q:$Q,0)))+$B$11+SUM(_xlfn.XLOOKUP(R129:AH129,增益!$A:$A,增益!$U:$U,0)))*IF(VLOOKUP($Q129,武学奇术!$A:$ZZ,24,FALSE)=1,0,1)</f>
        <v>0.9045</v>
      </c>
      <c r="BM129" s="41" cm="1">
        <f t="array" ref="BM129">1+$B$13+VLOOKUP($Q129,武学奇术!$A:$ZZ,18,FALSE)+SUM(_xlfn.XLOOKUP(R129:AH129,增益!$A:$A,增益!$R:$R,0))</f>
        <v>1.5</v>
      </c>
      <c r="BN129" s="41" cm="1">
        <f t="array" ref="BN129">IF(VLOOKUP($Q129,武学奇术!$A:$ZZ,24,FALSE)=1,100%,MIN(40%,$B$10+VLOOKUP($Q129,武学奇术!$A:$ZZ,19,FALSE)+SUM(_xlfn.XLOOKUP(R129:AH129,增益!$A:$A,增益!$S:$S,0)))+$B$12+SUM(_xlfn.XLOOKUP(R129:AH129,增益!$A:$A,增益!$V:$V,0)))*IF(VLOOKUP($Q129,武学奇术!$A:$ZZ,23,FALSE)=1,0,1)</f>
        <v>0.0929</v>
      </c>
      <c r="BO129" s="41" cm="1">
        <f t="array" ref="BO129">1+$B$14+VLOOKUP($Q129,武学奇术!$A:$ZZ,20,FALSE)+SUM(_xlfn.XLOOKUP(R129:AH129,增益!$A:$A,增益!$T:$T,0))</f>
        <v>1.35</v>
      </c>
      <c r="BP129" s="41">
        <f t="shared" si="40"/>
        <v>0.9045</v>
      </c>
      <c r="BQ129" s="41">
        <f t="shared" si="41"/>
        <v>0.00260000000000005</v>
      </c>
      <c r="BR129" s="41">
        <f>IF(VLOOKUP($Q129,武学奇术!$A:$ZZ,22,FALSE)=1,0,(1-$BK129))*(1-$BN129)</f>
        <v>0</v>
      </c>
      <c r="BS129" s="41" cm="1">
        <f t="array" ref="BS129">SUM(_xlfn.XLOOKUP(R129:AH129,增益!$A:$A,增益!$W:$W,0))+$I$5</f>
        <v>0.11</v>
      </c>
    </row>
    <row r="130" spans="11:71">
      <c r="K130" s="55">
        <f>($L130*$BP130+$M130*$BN130+$N130*$BQ130+$O130*$BR130)</f>
        <v>18858.3659792259</v>
      </c>
      <c r="L130" s="55">
        <f>((($AP130+$AQ130)/2*$AJ130+$AK130)*(1+$AR130)*(1+$AS130)+(($AU130+$AV130)/2*IF($G$1="鸣金",$AL130,$AJ130)+IF($G$1="鸣金",$AM130*1.5,0))*(1+$AW130)*(1+$AX130)+(($AY130+$AZ130)/2*IF($G$1="裂石",$AL130,$AJ130)+IF($G$1="裂石",$AM130*1.5,0))*(1+$BA130)*(1+$BB130)+(($BC130+$BD130)/2*IF($G$1="牵丝",$AL130,$AJ130)+IF($G$1="牵丝",$AM130*1.5,0))*(1+$BE130)*(1+$BF130)+(($BG130+$BH130)/2*IF($G$1="破竹",$AL130,$AJ130)+IF($G$1="破竹",$AM130*1.5,0))*(1+$BI130)*(1+$BJ130))*(1+$AN130)*$BM130*$P130*(1+IF(VLOOKUP($Q130,武学奇术!$A:$ZZ,30,FALSE)="弹道",$B$21,0))*(1+$BS130)</f>
        <v>18677.5086738465</v>
      </c>
      <c r="M130" s="55">
        <f>(($AQ130*$AJ130+$AK130)*(1+$AR130)*(1+$AS130)+($AV130*IF($G$1="鸣金",$AL130,$AJ130)+IF($G$1="鸣金",$AM130*1.5,0))*(1+$AW130)*(1+$AX130)+($AZ130*IF($G$1="裂石",$AL130,$AJ130)+IF($G$1="裂石",$AM130*1.5,0))*(1+$BA130)*(1+$BB130)+($BD130*IF($G$1="牵丝",$AL130,$AJ130)+IF($G$1="牵丝",$AM130*1.5,0))*(1+$BE130)*(1+$BF130)+($BH130*IF($G$1="破竹",$AL130,$AJ130)+IF($G$1="破竹",$AM130*1.5,0))*(1+$BI130)*(1+$BJ130))*(1+$AN130)*$BO130*$P130*(1+IF(VLOOKUP($Q130,武学奇术!$A:$ZZ,30,FALSE)="弹道",$B$21,0))*(1+$BS130)</f>
        <v>20853.3652259309</v>
      </c>
      <c r="N130" s="55">
        <f>((($AP130+$AQ130)/2*$AJ130+$AK130)*(1+$AR130)*(1+$AS130)+(($AU130+$AV130)/2*IF($G$1="鸣金",$AL130,$AJ130)+IF($G$1="鸣金",$AM130*1.5,0))*(1+$AW130)*(1+$AX130)+(($AY130+$AZ130)/2*IF($G$1="裂石",$AL130,$AJ130)+IF($G$1="裂石",$AM130*1.5,0))*(1+$BA130)*(1+$BB130)+(($BC130+$BD130)/2*IF($G$1="牵丝",$AL130,$AJ130)+IF($G$1="牵丝",$AM130*1.5,0))*(1+$BE130)*(1+$BF130)+(($BG130+$BH130)/2*IF($G$1="破竹",$AL130,$AJ130)+IF($G$1="破竹",$AM130*1.5,0))*(1+$BI130)*(1+$BJ130))*(1+$AN130)*$P130*(1+IF(VLOOKUP($Q130,武学奇术!$A:$ZZ,30,FALSE)="弹道",$B$21,0))*(1+$BS130)</f>
        <v>10492.9824010374</v>
      </c>
      <c r="O130" s="55">
        <f>((($AP130*$AJ130+$AK130)*(1+$AR130)*(1+$AS130)+($AU130*IF($G$1="鸣金",$AL130,$AJ130)+IF($G$1="鸣金",$AM130*1.5,0))*(1+$AW130)*(1+$AX130)+($AY130*IF($G$1="裂石",$AL130,$AJ130)+IF($G$1="裂石",$AM130*1.5,0))*(1+$BA130)*(1+$BB130)+($BC130*IF($G$1="牵丝",$AL130,$AJ130)+IF($G$1="牵丝",$AM130*1.5,0))*(1+$BE130)*(1+$BF130)+($BG130*IF($G$1="破竹",$AL130,$AJ130)+IF($G$1="破竹",$AM130*1.5,0))*(1+$BI130)*(1+$BJ130))*(1+$AN130))*$P130*(1+IF(VLOOKUP($Q130,武学奇术!$A:$ZZ,30,FALSE)="弹道",$B$21,0))*(1+$BS130)</f>
        <v>5539.02759768154</v>
      </c>
      <c r="P130" s="56">
        <f t="shared" ref="P130:P140" si="42">IF($C$22="易水歌",1,0)</f>
        <v>1</v>
      </c>
      <c r="Q130" s="57" t="s">
        <v>171</v>
      </c>
      <c r="R130" s="57" t="s">
        <v>116</v>
      </c>
      <c r="S130" s="57" t="s">
        <v>111</v>
      </c>
      <c r="T130" s="57" t="s">
        <v>72</v>
      </c>
      <c r="U130" s="57" t="s">
        <v>107</v>
      </c>
      <c r="V130" s="57" t="s">
        <v>72</v>
      </c>
      <c r="W130" s="57" t="s">
        <v>72</v>
      </c>
      <c r="X130" s="57" t="s">
        <v>72</v>
      </c>
      <c r="Y130" s="57" t="s">
        <v>112</v>
      </c>
      <c r="Z130" s="57" t="s">
        <v>113</v>
      </c>
      <c r="AA130" s="57" t="s">
        <v>72</v>
      </c>
      <c r="AB130" s="57" t="s">
        <v>96</v>
      </c>
      <c r="AC130" s="57" t="s">
        <v>72</v>
      </c>
      <c r="AD130" s="57" t="s">
        <v>72</v>
      </c>
      <c r="AE130" s="57" t="s">
        <v>72</v>
      </c>
      <c r="AF130" s="57" t="s">
        <v>72</v>
      </c>
      <c r="AG130" s="57" t="s">
        <v>72</v>
      </c>
      <c r="AH130" s="57" t="s">
        <v>87</v>
      </c>
      <c r="AI130" t="str">
        <f>VLOOKUP($Q130,武学奇术!$A:$ZZ,25,FALSE)</f>
        <v>心法</v>
      </c>
      <c r="AJ130" s="41">
        <f>VLOOKUP($Q130,武学奇术!$A:$ZZ,26,FALSE)</f>
        <v>1</v>
      </c>
      <c r="AK130" s="42">
        <f>VLOOKUP($Q130,武学奇术!$A:$ZZ,27,FALSE)*(1+IF(OR($AI130=$F$4,$AI130=$F$5),$B$22,0))</f>
        <v>0</v>
      </c>
      <c r="AL130" s="41">
        <f>VLOOKUP($Q130,武学奇术!$A:$ZZ,28,FALSE)</f>
        <v>1</v>
      </c>
      <c r="AM130" s="42">
        <f>VLOOKUP($Q130,武学奇术!$A:$ZZ,29,FALSE)*(1+IF(OR($AI130=$F$4,$AI130=$F$5),$B$22,0))</f>
        <v>0</v>
      </c>
      <c r="AN130" s="41" cm="1">
        <f t="array" ref="AN130">$G$3+IFERROR(VLOOKUP($AI130,$F$4:$G$7,2,FALSE),0)+VLOOKUP($Q130,武学奇术!$A:$ZZ,2,FALSE)+SUM(_xlfn.XLOOKUP($R130:$AH130,增益!$A:$A,增益!$B:$B,0))</f>
        <v>0.3837</v>
      </c>
      <c r="AO130" s="41" cm="1">
        <f t="array" ref="AO130">VLOOKUP($Q130,武学奇术!$A:$ZZ,5,FALSE)+SUM(_xlfn.XLOOKUP($R130:$AH130,增益!$A:$A,增益!$E:$E,0))</f>
        <v>0.075</v>
      </c>
      <c r="AP130" cm="1">
        <f t="array" ref="AP130">$D$10*(1+$AO130)+VLOOKUP($Q130,武学奇术!$A:$ZZ,3,FALSE)+SUM(_xlfn.XLOOKUP($R130:$AH130,增益!$A:$A,增益!$C:$C,0))-$I$2</f>
        <v>1974.055</v>
      </c>
      <c r="AQ130" cm="1">
        <f t="array" ref="AQ130">$E$10*(1+$AO130)+VLOOKUP($Q130,武学奇术!$A:$ZZ,4,FALSE)+SUM(_xlfn.XLOOKUP($R130:$AH130,增益!$A:$A,增益!$D:$D,0))-$I$2</f>
        <v>5941.45</v>
      </c>
      <c r="AR130" s="49" cm="1">
        <f t="array" ref="AR130">IF($F$10-$I$3+VLOOKUP($Q130,武学奇术!$A:$ZZ,6,FALSE)+SUM(_xlfn.XLOOKUP(R130:AH130,增益!$A:$A,增益!$F:$F,0))&gt;0,($F$10-$I$3+VLOOKUP($Q130,武学奇术!$A:$ZZ,6,FALSE)+SUM(_xlfn.XLOOKUP(R130:AH130,增益!$A:$A,增益!$F:$F,0)))/200,($F$10-$I$3+VLOOKUP($Q130,武学奇术!$A:$ZZ,6,FALSE)+SUM(_xlfn.XLOOKUP(R130:AH130,增益!$A:$A,增益!$F:$F,0)))/100)</f>
        <v>0.4675</v>
      </c>
      <c r="AS130" s="49" cm="1">
        <f t="array" ref="AS130">$G$10+VLOOKUP($Q130,武学奇术!$A:$ZZ,7,FALSE)+SUM(_xlfn.XLOOKUP(R130:AH130,增益!$A:$A,增益!$G:$G,0))</f>
        <v>0</v>
      </c>
      <c r="AT130" s="41" cm="1">
        <f t="array" ref="AT130">VLOOKUP($Q130,武学奇术!$A:$ZZ,8,FALSE)+SUM(_xlfn.XLOOKUP(R130:AH130,增益!$A:$A,增益!$H:$H,0))</f>
        <v>0</v>
      </c>
      <c r="AU130">
        <f>$D$11*(1+$AT130)</f>
        <v>0</v>
      </c>
      <c r="AV130">
        <f>$E$11*(1+$AT130)</f>
        <v>0</v>
      </c>
      <c r="AW130" s="49" cm="1">
        <f t="array" ref="AW130">IF($F$11-$I$4+VLOOKUP($Q130,武学奇术!$A:$ZZ,9,FALSE)+SUM(_xlfn.XLOOKUP(R130:AH130,增益!$A:$A,增益!$I:$I,0))&gt;0,($F$11-$I$4+VLOOKUP($Q130,武学奇术!$A:$ZZ,9,FALSE)+SUM(_xlfn.XLOOKUP(R130:AH130,增益!$A:$A,增益!$I:$I,0)))/200,($F$11-$I$4+VLOOKUP($Q130,武学奇术!$A:$ZZ,9,FALSE)+SUM(_xlfn.XLOOKUP(R130:AH130,增益!$A:$A,增益!$I:$I,0)))/100)</f>
        <v>-0.14</v>
      </c>
      <c r="AX130" s="49" cm="1">
        <f t="array" ref="AX130">$G$11+VLOOKUP($Q130,武学奇术!$A:$ZZ,10,FALSE)+SUM(_xlfn.XLOOKUP(R130:AH130,增益!$A:$A,增益!$J:$J,0))</f>
        <v>0</v>
      </c>
      <c r="AY130">
        <f>$D$12*(1+$AT130)</f>
        <v>0</v>
      </c>
      <c r="AZ130">
        <f>$E$12*(1+$AT130)</f>
        <v>0</v>
      </c>
      <c r="BA130" s="49" cm="1">
        <f t="array" ref="BA130">IF($F$12-$I$4+VLOOKUP($Q130,武学奇术!$A:$ZZ,11,FALSE)+SUM(_xlfn.XLOOKUP(R130:AH130,增益!$A:$A,增益!$K:$K,0))&gt;0,($F$12-$I$4+VLOOKUP($Q130,武学奇术!$A:$ZZ,11,FALSE)+SUM(_xlfn.XLOOKUP(R130:AH130,增益!$A:$A,增益!$K:$K,0)))/200,($F$12-$I$4+VLOOKUP($Q130,武学奇术!$A:$ZZ,11,FALSE)+SUM(_xlfn.XLOOKUP(R130:AH130,增益!$A:$A,增益!$K:$K,0)))/100)</f>
        <v>-0.14</v>
      </c>
      <c r="BB130" s="49" cm="1">
        <f t="array" ref="BB130">$G$12+VLOOKUP($Q130,武学奇术!$A:$ZZ,12,FALSE)+SUM(_xlfn.XLOOKUP(R130:AH130,增益!$A:$A,增益!$L:$L,0))</f>
        <v>0</v>
      </c>
      <c r="BC130">
        <f>$D$13*(1+$AT130)</f>
        <v>571.2</v>
      </c>
      <c r="BD130">
        <f>$E$13*(1+$AT130)</f>
        <v>1077.4</v>
      </c>
      <c r="BE130" s="49" cm="1">
        <f t="array" ref="BE130">IF($F$13-$I$4+VLOOKUP($Q130,武学奇术!$A:$ZZ,13,FALSE)+SUM(_xlfn.XLOOKUP(R130:AH130,增益!$A:$A,增益!$M:$M,0))&gt;0,($F$13-$I$4+VLOOKUP($Q130,武学奇术!$A:$ZZ,13,FALSE)+SUM(_xlfn.XLOOKUP(R130:AH130,增益!$A:$A,增益!$K:$K,0)))/200,($F$13-$I$4+VLOOKUP($Q130,武学奇术!$A:$ZZ,13,FALSE)+SUM(_xlfn.XLOOKUP(R130:AH130,增益!$A:$A,增益!$M:$M,0)))/100)</f>
        <v>0.08</v>
      </c>
      <c r="BF130" s="49" cm="1">
        <f t="array" ref="BF130">$G$13+VLOOKUP($Q130,武学奇术!$A:$ZZ,14,FALSE)+SUM(_xlfn.XLOOKUP(R130:AH130,增益!$A:$A,增益!$N:$N,0))</f>
        <v>0.15</v>
      </c>
      <c r="BG130">
        <f>$D$14*(1+$AT130)</f>
        <v>0</v>
      </c>
      <c r="BH130">
        <f>$E$14*(1+$AT130)</f>
        <v>0</v>
      </c>
      <c r="BI130" s="49" cm="1">
        <f t="array" ref="BI130">IF($F$14-$I$4+VLOOKUP($Q130,武学奇术!$A:$ZZ,15,FALSE)+SUM(_xlfn.XLOOKUP(R130:AH130,增益!$A:$A,增益!$O:$O,0))&gt;0,($F$14-$I$4+VLOOKUP($Q130,武学奇术!$A:$ZZ,15,FALSE)+SUM(_xlfn.XLOOKUP(R130:AH130,增益!$A:$A,增益!$O:$O,0)))/200,($F$14-$I$4+VLOOKUP($Q130,武学奇术!$A:$ZZ,15,FALSE)+SUM(_xlfn.XLOOKUP(R130:AH130,增益!$A:$A,增益!$O:$O,0)))/100)</f>
        <v>-0.14</v>
      </c>
      <c r="BJ130" s="49" cm="1">
        <f t="array" ref="BJ130">$G$14+VLOOKUP($Q130,武学奇术!$A:$ZZ,16,FALSE)+SUM(_xlfn.XLOOKUP(R130:AH130,增益!$A:$A,增益!$P:$P,0))</f>
        <v>0</v>
      </c>
      <c r="BK130" s="41">
        <f>MIN(IF(VLOOKUP($Q130,武学奇术!$A:$ZZ,23,FALSE)=1,100%,$B$8),100%)</f>
        <v>1</v>
      </c>
      <c r="BL130" s="41" cm="1">
        <f t="array" ref="BL130">IF(VLOOKUP($Q130,武学奇术!$A:$ZZ,23,FALSE)=1,100%,MIN(80%,$B$9+VLOOKUP($Q130,武学奇术!$A:$ZZ,17,FALSE)+SUM(_xlfn.XLOOKUP(R130:AH130,增益!$A:$A,增益!$Q:$Q,0)))+$B$11+SUM(_xlfn.XLOOKUP(R130:AH130,增益!$A:$A,增益!$U:$U,0)))*IF(VLOOKUP($Q130,武学奇术!$A:$ZZ,24,FALSE)=1,0,1)</f>
        <v>0.9045</v>
      </c>
      <c r="BM130" s="41" cm="1">
        <f t="array" ref="BM130">1+$B$13+VLOOKUP($Q130,武学奇术!$A:$ZZ,18,FALSE)+SUM(_xlfn.XLOOKUP(R130:AH130,增益!$A:$A,增益!$R:$R,0))</f>
        <v>1.78</v>
      </c>
      <c r="BN130" s="41" cm="1">
        <f t="array" ref="BN130">IF(VLOOKUP($Q130,武学奇术!$A:$ZZ,24,FALSE)=1,100%,MIN(40%,$B$10+VLOOKUP($Q130,武学奇术!$A:$ZZ,19,FALSE)+SUM(_xlfn.XLOOKUP(R130:AH130,增益!$A:$A,增益!$S:$S,0)))+$B$12+SUM(_xlfn.XLOOKUP(R130:AH130,增益!$A:$A,增益!$V:$V,0)))*IF(VLOOKUP($Q130,武学奇术!$A:$ZZ,23,FALSE)=1,0,1)</f>
        <v>0.0929</v>
      </c>
      <c r="BO130" s="41" cm="1">
        <f t="array" ref="BO130">1+$B$14+VLOOKUP($Q130,武学奇术!$A:$ZZ,20,FALSE)+SUM(_xlfn.XLOOKUP(R130:AH130,增益!$A:$A,增益!$T:$T,0))</f>
        <v>1.35</v>
      </c>
      <c r="BP130" s="41">
        <f t="shared" ref="BP130:BP140" si="43">MIN((1-BN130)*BK130,BK130*BL130)</f>
        <v>0.9045</v>
      </c>
      <c r="BQ130" s="41">
        <f>1-BN130-BP130-BR130</f>
        <v>0.00260000000000005</v>
      </c>
      <c r="BR130" s="41">
        <f>IF(VLOOKUP($Q130,武学奇术!$A:$ZZ,22,FALSE)=1,0,(1-$BK130))*(1-$BN130)</f>
        <v>0</v>
      </c>
      <c r="BS130" s="41" cm="1">
        <f t="array" ref="BS130">SUM(_xlfn.XLOOKUP(R130:AH130,增益!$A:$A,增益!$W:$W,0))+$I$5</f>
        <v>0.11</v>
      </c>
    </row>
    <row r="131" spans="11:71">
      <c r="K131" s="55">
        <f>($L131*$BP131+$M131*$BN131+$N131*$BQ131+$O131*$BR131)</f>
        <v>15456.4154357084</v>
      </c>
      <c r="L131" s="55">
        <f>((($AP131+$AQ131)/2*$AJ131+$AK131)*(1+$AR131)*(1+$AS131)+(($AU131+$AV131)/2*IF($G$1="鸣金",$AL131,$AJ131)+IF($G$1="鸣金",$AM131*1.5,0))*(1+$AW131)*(1+$AX131)+(($AY131+$AZ131)/2*IF($G$1="裂石",$AL131,$AJ131)+IF($G$1="裂石",$AM131*1.5,0))*(1+$BA131)*(1+$BB131)+(($BC131+$BD131)/2*IF($G$1="牵丝",$AL131,$AJ131)+IF($G$1="牵丝",$AM131*1.5,0))*(1+$BE131)*(1+$BF131)+(($BG131+$BH131)/2*IF($G$1="破竹",$AL131,$AJ131)+IF($G$1="破竹",$AM131*1.5,0))*(1+$BI131)*(1+$BJ131))*(1+$AN131)*$BM131*$P131*(1+IF(VLOOKUP($Q131,武学奇术!$A:$ZZ,30,FALSE)="弹道",$B$21,0))*(1+$BS131)</f>
        <v>15098.161696603</v>
      </c>
      <c r="M131" s="55">
        <f>(($AQ131*$AJ131+$AK131)*(1+$AR131)*(1+$AS131)+($AV131*IF($G$1="鸣金",$AL131,$AJ131)+IF($G$1="鸣金",$AM131*1.5,0))*(1+$AW131)*(1+$AX131)+($AZ131*IF($G$1="裂石",$AL131,$AJ131)+IF($G$1="裂石",$AM131*1.5,0))*(1+$BA131)*(1+$BB131)+($BD131*IF($G$1="牵丝",$AL131,$AJ131)+IF($G$1="牵丝",$AM131*1.5,0))*(1+$BE131)*(1+$BF131)+($BH131*IF($G$1="破竹",$AL131,$AJ131)+IF($G$1="破竹",$AM131*1.5,0))*(1+$BI131)*(1+$BJ131))*(1+$AN131)*$BO131*$P131*(1+IF(VLOOKUP($Q131,武学奇术!$A:$ZZ,30,FALSE)="弹道",$B$21,0))*(1+$BS131)</f>
        <v>19107.9101832982</v>
      </c>
      <c r="N131" s="55">
        <f>((($AP131+$AQ131)/2*$AJ131+$AK131)*(1+$AR131)*(1+$AS131)+(($AU131+$AV131)/2*IF($G$1="鸣金",$AL131,$AJ131)+IF($G$1="鸣金",$AM131*1.5,0))*(1+$AW131)*(1+$AX131)+(($AY131+$AZ131)/2*IF($G$1="裂石",$AL131,$AJ131)+IF($G$1="裂石",$AM131*1.5,0))*(1+$BA131)*(1+$BB131)+(($BC131+$BD131)/2*IF($G$1="牵丝",$AL131,$AJ131)+IF($G$1="牵丝",$AM131*1.5,0))*(1+$BE131)*(1+$BF131)+(($BG131+$BH131)/2*IF($G$1="破竹",$AL131,$AJ131)+IF($G$1="破竹",$AM131*1.5,0))*(1+$BI131)*(1+$BJ131))*(1+$AN131)*$P131*(1+IF(VLOOKUP($Q131,武学奇术!$A:$ZZ,30,FALSE)="弹道",$B$21,0))*(1+$BS131)</f>
        <v>9616.66350102099</v>
      </c>
      <c r="O131" s="55">
        <f>((($AP131*$AJ131+$AK131)*(1+$AR131)*(1+$AS131)+($AU131*IF($G$1="鸣金",$AL131,$AJ131)+IF($G$1="鸣金",$AM131*1.5,0))*(1+$AW131)*(1+$AX131)+($AY131*IF($G$1="裂石",$AL131,$AJ131)+IF($G$1="裂石",$AM131*1.5,0))*(1+$BA131)*(1+$BB131)+($BC131*IF($G$1="牵丝",$AL131,$AJ131)+IF($G$1="牵丝",$AM131*1.5,0))*(1+$BE131)*(1+$BF131)+($BG131*IF($G$1="破竹",$AL131,$AJ131)+IF($G$1="破竹",$AM131*1.5,0))*(1+$BI131)*(1+$BJ131))*(1+$AN131))*$P131*(1+IF(VLOOKUP($Q131,武学奇术!$A:$ZZ,30,FALSE)="弹道",$B$21,0))*(1+$BS131)</f>
        <v>5079.31945885811</v>
      </c>
      <c r="P131" s="56">
        <f t="shared" si="42"/>
        <v>1</v>
      </c>
      <c r="Q131" s="57" t="s">
        <v>171</v>
      </c>
      <c r="R131" s="57" t="s">
        <v>116</v>
      </c>
      <c r="S131" s="57" t="s">
        <v>149</v>
      </c>
      <c r="T131" s="57" t="s">
        <v>72</v>
      </c>
      <c r="U131" s="57" t="s">
        <v>107</v>
      </c>
      <c r="V131" s="57" t="s">
        <v>72</v>
      </c>
      <c r="W131" s="57" t="s">
        <v>72</v>
      </c>
      <c r="X131" s="57" t="s">
        <v>72</v>
      </c>
      <c r="Y131" s="57" t="s">
        <v>72</v>
      </c>
      <c r="Z131" s="57" t="s">
        <v>113</v>
      </c>
      <c r="AA131" s="57" t="s">
        <v>72</v>
      </c>
      <c r="AB131" s="57" t="s">
        <v>72</v>
      </c>
      <c r="AC131" s="57" t="s">
        <v>72</v>
      </c>
      <c r="AD131" s="57" t="s">
        <v>72</v>
      </c>
      <c r="AE131" s="57" t="s">
        <v>72</v>
      </c>
      <c r="AF131" s="57" t="s">
        <v>72</v>
      </c>
      <c r="AG131" s="57" t="s">
        <v>72</v>
      </c>
      <c r="AH131" s="57" t="s">
        <v>87</v>
      </c>
      <c r="AI131" t="str">
        <f>VLOOKUP($Q131,武学奇术!$A:$ZZ,25,FALSE)</f>
        <v>心法</v>
      </c>
      <c r="AJ131" s="41">
        <f>VLOOKUP($Q131,武学奇术!$A:$ZZ,26,FALSE)</f>
        <v>1</v>
      </c>
      <c r="AK131" s="42">
        <f>VLOOKUP($Q131,武学奇术!$A:$ZZ,27,FALSE)*(1+IF(OR($AI131=$F$4,$AI131=$F$5),$B$22,0))</f>
        <v>0</v>
      </c>
      <c r="AL131" s="41">
        <f>VLOOKUP($Q131,武学奇术!$A:$ZZ,28,FALSE)</f>
        <v>1</v>
      </c>
      <c r="AM131" s="42">
        <f>VLOOKUP($Q131,武学奇术!$A:$ZZ,29,FALSE)*(1+IF(OR($AI131=$F$4,$AI131=$F$5),$B$22,0))</f>
        <v>0</v>
      </c>
      <c r="AN131" s="41" cm="1">
        <f t="array" ref="AN131">$G$3+IFERROR(VLOOKUP($AI131,$F$4:$G$7,2,FALSE),0)+VLOOKUP($Q131,武学奇术!$A:$ZZ,2,FALSE)+SUM(_xlfn.XLOOKUP($R131:$AH131,增益!$A:$A,增益!$B:$B,0))</f>
        <v>0.3837</v>
      </c>
      <c r="AO131" s="41" cm="1">
        <f t="array" ref="AO131">VLOOKUP($Q131,武学奇术!$A:$ZZ,5,FALSE)+SUM(_xlfn.XLOOKUP($R131:$AH131,增益!$A:$A,增益!$E:$E,0))</f>
        <v>0.075</v>
      </c>
      <c r="AP131" cm="1">
        <f t="array" ref="AP131">$D$10*(1+$AO131)+VLOOKUP($Q131,武学奇术!$A:$ZZ,3,FALSE)+SUM(_xlfn.XLOOKUP($R131:$AH131,增益!$A:$A,增益!$C:$C,0))-$I$2</f>
        <v>1974.055</v>
      </c>
      <c r="AQ131" cm="1">
        <f t="array" ref="AQ131">$E$10*(1+$AO131)+VLOOKUP($Q131,武学奇术!$A:$ZZ,4,FALSE)+SUM(_xlfn.XLOOKUP($R131:$AH131,增益!$A:$A,增益!$D:$D,0))-$I$2</f>
        <v>5941.45</v>
      </c>
      <c r="AR131" s="49" cm="1">
        <f t="array" ref="AR131">IF($F$10-$I$3+VLOOKUP($Q131,武学奇术!$A:$ZZ,6,FALSE)+SUM(_xlfn.XLOOKUP(R131:AH131,增益!$A:$A,增益!$F:$F,0))&gt;0,($F$10-$I$3+VLOOKUP($Q131,武学奇术!$A:$ZZ,6,FALSE)+SUM(_xlfn.XLOOKUP(R131:AH131,增益!$A:$A,增益!$F:$F,0)))/200,($F$10-$I$3+VLOOKUP($Q131,武学奇术!$A:$ZZ,6,FALSE)+SUM(_xlfn.XLOOKUP(R131:AH131,增益!$A:$A,增益!$F:$F,0)))/100)</f>
        <v>0.3425</v>
      </c>
      <c r="AS131" s="49" cm="1">
        <f t="array" ref="AS131">$G$10+VLOOKUP($Q131,武学奇术!$A:$ZZ,7,FALSE)+SUM(_xlfn.XLOOKUP(R131:AH131,增益!$A:$A,增益!$G:$G,0))</f>
        <v>0</v>
      </c>
      <c r="AT131" s="41" cm="1">
        <f t="array" ref="AT131">VLOOKUP($Q131,武学奇术!$A:$ZZ,8,FALSE)+SUM(_xlfn.XLOOKUP(R131:AH131,增益!$A:$A,增益!$H:$H,0))</f>
        <v>0</v>
      </c>
      <c r="AU131">
        <f>$D$11*(1+$AT131)</f>
        <v>0</v>
      </c>
      <c r="AV131">
        <f>$E$11*(1+$AT131)</f>
        <v>0</v>
      </c>
      <c r="AW131" s="49" cm="1">
        <f t="array" ref="AW131">IF($F$11-$I$4+VLOOKUP($Q131,武学奇术!$A:$ZZ,9,FALSE)+SUM(_xlfn.XLOOKUP(R131:AH131,增益!$A:$A,增益!$I:$I,0))&gt;0,($F$11-$I$4+VLOOKUP($Q131,武学奇术!$A:$ZZ,9,FALSE)+SUM(_xlfn.XLOOKUP(R131:AH131,增益!$A:$A,增益!$I:$I,0)))/200,($F$11-$I$4+VLOOKUP($Q131,武学奇术!$A:$ZZ,9,FALSE)+SUM(_xlfn.XLOOKUP(R131:AH131,增益!$A:$A,增益!$I:$I,0)))/100)</f>
        <v>-0.3</v>
      </c>
      <c r="AX131" s="49" cm="1">
        <f t="array" ref="AX131">$G$11+VLOOKUP($Q131,武学奇术!$A:$ZZ,10,FALSE)+SUM(_xlfn.XLOOKUP(R131:AH131,增益!$A:$A,增益!$J:$J,0))</f>
        <v>0</v>
      </c>
      <c r="AY131">
        <f>$D$12*(1+$AT131)</f>
        <v>0</v>
      </c>
      <c r="AZ131">
        <f>$E$12*(1+$AT131)</f>
        <v>0</v>
      </c>
      <c r="BA131" s="49" cm="1">
        <f t="array" ref="BA131">IF($F$12-$I$4+VLOOKUP($Q131,武学奇术!$A:$ZZ,11,FALSE)+SUM(_xlfn.XLOOKUP(R131:AH131,增益!$A:$A,增益!$K:$K,0))&gt;0,($F$12-$I$4+VLOOKUP($Q131,武学奇术!$A:$ZZ,11,FALSE)+SUM(_xlfn.XLOOKUP(R131:AH131,增益!$A:$A,增益!$K:$K,0)))/200,($F$12-$I$4+VLOOKUP($Q131,武学奇术!$A:$ZZ,11,FALSE)+SUM(_xlfn.XLOOKUP(R131:AH131,增益!$A:$A,增益!$K:$K,0)))/100)</f>
        <v>-0.3</v>
      </c>
      <c r="BB131" s="49" cm="1">
        <f t="array" ref="BB131">$G$12+VLOOKUP($Q131,武学奇术!$A:$ZZ,12,FALSE)+SUM(_xlfn.XLOOKUP(R131:AH131,增益!$A:$A,增益!$L:$L,0))</f>
        <v>0</v>
      </c>
      <c r="BC131">
        <f>$D$13*(1+$AT131)</f>
        <v>571.2</v>
      </c>
      <c r="BD131">
        <f>$E$13*(1+$AT131)</f>
        <v>1077.4</v>
      </c>
      <c r="BE131" s="49" cm="1">
        <f t="array" ref="BE131">IF($F$13-$I$4+VLOOKUP($Q131,武学奇术!$A:$ZZ,13,FALSE)+SUM(_xlfn.XLOOKUP(R131:AH131,增益!$A:$A,增益!$M:$M,0))&gt;0,($F$13-$I$4+VLOOKUP($Q131,武学奇术!$A:$ZZ,13,FALSE)+SUM(_xlfn.XLOOKUP(R131:AH131,增益!$A:$A,增益!$K:$K,0)))/200,($F$13-$I$4+VLOOKUP($Q131,武学奇术!$A:$ZZ,13,FALSE)+SUM(_xlfn.XLOOKUP(R131:AH131,增益!$A:$A,增益!$M:$M,0)))/100)</f>
        <v>0</v>
      </c>
      <c r="BF131" s="49" cm="1">
        <f t="array" ref="BF131">$G$13+VLOOKUP($Q131,武学奇术!$A:$ZZ,14,FALSE)+SUM(_xlfn.XLOOKUP(R131:AH131,增益!$A:$A,增益!$N:$N,0))</f>
        <v>0.15</v>
      </c>
      <c r="BG131">
        <f>$D$14*(1+$AT131)</f>
        <v>0</v>
      </c>
      <c r="BH131">
        <f>$E$14*(1+$AT131)</f>
        <v>0</v>
      </c>
      <c r="BI131" s="49" cm="1">
        <f t="array" ref="BI131">IF($F$14-$I$4+VLOOKUP($Q131,武学奇术!$A:$ZZ,15,FALSE)+SUM(_xlfn.XLOOKUP(R131:AH131,增益!$A:$A,增益!$O:$O,0))&gt;0,($F$14-$I$4+VLOOKUP($Q131,武学奇术!$A:$ZZ,15,FALSE)+SUM(_xlfn.XLOOKUP(R131:AH131,增益!$A:$A,增益!$O:$O,0)))/200,($F$14-$I$4+VLOOKUP($Q131,武学奇术!$A:$ZZ,15,FALSE)+SUM(_xlfn.XLOOKUP(R131:AH131,增益!$A:$A,增益!$O:$O,0)))/100)</f>
        <v>-0.3</v>
      </c>
      <c r="BJ131" s="49" cm="1">
        <f t="array" ref="BJ131">$G$14+VLOOKUP($Q131,武学奇术!$A:$ZZ,16,FALSE)+SUM(_xlfn.XLOOKUP(R131:AH131,增益!$A:$A,增益!$P:$P,0))</f>
        <v>0</v>
      </c>
      <c r="BK131" s="41">
        <f>MIN(IF(VLOOKUP($Q131,武学奇术!$A:$ZZ,23,FALSE)=1,100%,$B$8),100%)</f>
        <v>1</v>
      </c>
      <c r="BL131" s="41" cm="1">
        <f t="array" ref="BL131">IF(VLOOKUP($Q131,武学奇术!$A:$ZZ,23,FALSE)=1,100%,MIN(80%,$B$9+VLOOKUP($Q131,武学奇术!$A:$ZZ,17,FALSE)+SUM(_xlfn.XLOOKUP(R131:AH131,增益!$A:$A,增益!$Q:$Q,0)))+$B$11+SUM(_xlfn.XLOOKUP(R131:AH131,增益!$A:$A,增益!$U:$U,0)))*IF(VLOOKUP($Q131,武学奇术!$A:$ZZ,24,FALSE)=1,0,1)</f>
        <v>0.9045</v>
      </c>
      <c r="BM131" s="41" cm="1">
        <f t="array" ref="BM131">1+$B$13+VLOOKUP($Q131,武学奇术!$A:$ZZ,18,FALSE)+SUM(_xlfn.XLOOKUP(R131:AH131,增益!$A:$A,增益!$R:$R,0))</f>
        <v>1.57</v>
      </c>
      <c r="BN131" s="41" cm="1">
        <f t="array" ref="BN131">IF(VLOOKUP($Q131,武学奇术!$A:$ZZ,24,FALSE)=1,100%,MIN(40%,$B$10+VLOOKUP($Q131,武学奇术!$A:$ZZ,19,FALSE)+SUM(_xlfn.XLOOKUP(R131:AH131,增益!$A:$A,增益!$S:$S,0)))+$B$12+SUM(_xlfn.XLOOKUP(R131:AH131,增益!$A:$A,增益!$V:$V,0)))*IF(VLOOKUP($Q131,武学奇术!$A:$ZZ,23,FALSE)=1,0,1)</f>
        <v>0.0929</v>
      </c>
      <c r="BO131" s="41" cm="1">
        <f t="array" ref="BO131">1+$B$14+VLOOKUP($Q131,武学奇术!$A:$ZZ,20,FALSE)+SUM(_xlfn.XLOOKUP(R131:AH131,增益!$A:$A,增益!$T:$T,0))</f>
        <v>1.35</v>
      </c>
      <c r="BP131" s="41">
        <f t="shared" si="43"/>
        <v>0.9045</v>
      </c>
      <c r="BQ131" s="41">
        <f>1-BN131-BP131-BR131</f>
        <v>0.00260000000000005</v>
      </c>
      <c r="BR131" s="41">
        <f>IF(VLOOKUP($Q131,武学奇术!$A:$ZZ,22,FALSE)=1,0,(1-$BK131))*(1-$BN131)</f>
        <v>0</v>
      </c>
      <c r="BS131" s="41" cm="1">
        <f t="array" ref="BS131">SUM(_xlfn.XLOOKUP(R131:AH131,增益!$A:$A,增益!$W:$W,0))+$I$5</f>
        <v>0.11</v>
      </c>
    </row>
    <row r="132" spans="11:71">
      <c r="K132" s="55">
        <f>($L132*$BP132+$M132*$BN132+$N132*$BQ132+$O132*$BR132)</f>
        <v>14957.7996974555</v>
      </c>
      <c r="L132" s="55">
        <f>((($AP132+$AQ132)/2*$AJ132+$AK132)*(1+$AR132)*(1+$AS132)+(($AU132+$AV132)/2*IF($G$1="鸣金",$AL132,$AJ132)+IF($G$1="鸣金",$AM132*1.5,0))*(1+$AW132)*(1+$AX132)+(($AY132+$AZ132)/2*IF($G$1="裂石",$AL132,$AJ132)+IF($G$1="裂石",$AM132*1.5,0))*(1+$BA132)*(1+$BB132)+(($BC132+$BD132)/2*IF($G$1="牵丝",$AL132,$AJ132)+IF($G$1="牵丝",$AM132*1.5,0))*(1+$BE132)*(1+$BF132)+(($BG132+$BH132)/2*IF($G$1="破竹",$AL132,$AJ132)+IF($G$1="破竹",$AM132*1.5,0))*(1+$BI132)*(1+$BJ132))*(1+$AN132)*$BM132*$P132*(1+IF(VLOOKUP($Q132,武学奇术!$A:$ZZ,30,FALSE)="弹道",$B$21,0))*(1+$BS132)</f>
        <v>14645.393126396</v>
      </c>
      <c r="M132" s="55">
        <f>(($AQ132*$AJ132+$AK132)*(1+$AR132)*(1+$AS132)+($AV132*IF($G$1="鸣金",$AL132,$AJ132)+IF($G$1="鸣金",$AM132*1.5,0))*(1+$AW132)*(1+$AX132)+($AZ132*IF($G$1="裂石",$AL132,$AJ132)+IF($G$1="裂石",$AM132*1.5,0))*(1+$BA132)*(1+$BB132)+($BD132*IF($G$1="牵丝",$AL132,$AJ132)+IF($G$1="牵丝",$AM132*1.5,0))*(1+$BE132)*(1+$BF132)+($BH132*IF($G$1="破竹",$AL132,$AJ132)+IF($G$1="破竹",$AM132*1.5,0))*(1+$BI132)*(1+$BJ132))*(1+$AN132)*$BO132*$P132*(1+IF(VLOOKUP($Q132,武学奇术!$A:$ZZ,30,FALSE)="弹道",$B$21,0))*(1+$BS132)</f>
        <v>18161.9251969852</v>
      </c>
      <c r="N132" s="55">
        <f>((($AP132+$AQ132)/2*$AJ132+$AK132)*(1+$AR132)*(1+$AS132)+(($AU132+$AV132)/2*IF($G$1="鸣金",$AL132,$AJ132)+IF($G$1="鸣金",$AM132*1.5,0))*(1+$AW132)*(1+$AX132)+(($AY132+$AZ132)/2*IF($G$1="裂石",$AL132,$AJ132)+IF($G$1="裂石",$AM132*1.5,0))*(1+$BA132)*(1+$BB132)+(($BC132+$BD132)/2*IF($G$1="牵丝",$AL132,$AJ132)+IF($G$1="牵丝",$AM132*1.5,0))*(1+$BE132)*(1+$BF132)+(($BG132+$BH132)/2*IF($G$1="破竹",$AL132,$AJ132)+IF($G$1="破竹",$AM132*1.5,0))*(1+$BI132)*(1+$BJ132))*(1+$AN132)*$P132*(1+IF(VLOOKUP($Q132,武学奇术!$A:$ZZ,30,FALSE)="弹道",$B$21,0))*(1+$BS132)</f>
        <v>9153.37070399749</v>
      </c>
      <c r="O132" s="55">
        <f>((($AP132*$AJ132+$AK132)*(1+$AR132)*(1+$AS132)+($AU132*IF($G$1="鸣金",$AL132,$AJ132)+IF($G$1="鸣金",$AM132*1.5,0))*(1+$AW132)*(1+$AX132)+($AY132*IF($G$1="裂石",$AL132,$AJ132)+IF($G$1="裂石",$AM132*1.5,0))*(1+$BA132)*(1+$BB132)+($BC132*IF($G$1="牵丝",$AL132,$AJ132)+IF($G$1="牵丝",$AM132*1.5,0))*(1+$BE132)*(1+$BF132)+($BG132*IF($G$1="破竹",$AL132,$AJ132)+IF($G$1="破竹",$AM132*1.5,0))*(1+$BI132)*(1+$BJ132))*(1+$AN132))*$P132*(1+IF(VLOOKUP($Q132,武学奇术!$A:$ZZ,30,FALSE)="弹道",$B$21,0))*(1+$BS132)</f>
        <v>4853.46348430223</v>
      </c>
      <c r="P132" s="56">
        <f t="shared" si="42"/>
        <v>1</v>
      </c>
      <c r="Q132" s="57" t="s">
        <v>171</v>
      </c>
      <c r="R132" s="57" t="s">
        <v>116</v>
      </c>
      <c r="S132" s="57" t="s">
        <v>153</v>
      </c>
      <c r="T132" s="57" t="s">
        <v>72</v>
      </c>
      <c r="U132" s="57" t="s">
        <v>157</v>
      </c>
      <c r="V132" s="57" t="s">
        <v>72</v>
      </c>
      <c r="W132" s="57" t="s">
        <v>72</v>
      </c>
      <c r="X132" s="57" t="s">
        <v>72</v>
      </c>
      <c r="Y132" s="57" t="s">
        <v>72</v>
      </c>
      <c r="Z132" s="57" t="s">
        <v>72</v>
      </c>
      <c r="AA132" s="57" t="s">
        <v>72</v>
      </c>
      <c r="AB132" s="57" t="s">
        <v>72</v>
      </c>
      <c r="AC132" s="57" t="s">
        <v>72</v>
      </c>
      <c r="AD132" s="57" t="s">
        <v>72</v>
      </c>
      <c r="AE132" s="57" t="s">
        <v>72</v>
      </c>
      <c r="AF132" s="57" t="s">
        <v>72</v>
      </c>
      <c r="AG132" s="57" t="s">
        <v>72</v>
      </c>
      <c r="AH132" s="57" t="s">
        <v>87</v>
      </c>
      <c r="AI132" t="str">
        <f>VLOOKUP($Q132,武学奇术!$A:$ZZ,25,FALSE)</f>
        <v>心法</v>
      </c>
      <c r="AJ132" s="41">
        <f>VLOOKUP($Q132,武学奇术!$A:$ZZ,26,FALSE)</f>
        <v>1</v>
      </c>
      <c r="AK132" s="42">
        <f>VLOOKUP($Q132,武学奇术!$A:$ZZ,27,FALSE)*(1+IF(OR($AI132=$F$4,$AI132=$F$5),$B$22,0))</f>
        <v>0</v>
      </c>
      <c r="AL132" s="41">
        <f>VLOOKUP($Q132,武学奇术!$A:$ZZ,28,FALSE)</f>
        <v>1</v>
      </c>
      <c r="AM132" s="42">
        <f>VLOOKUP($Q132,武学奇术!$A:$ZZ,29,FALSE)*(1+IF(OR($AI132=$F$4,$AI132=$F$5),$B$22,0))</f>
        <v>0</v>
      </c>
      <c r="AN132" s="41" cm="1">
        <f t="array" ref="AN132">$G$3+IFERROR(VLOOKUP($AI132,$F$4:$G$7,2,FALSE),0)+VLOOKUP($Q132,武学奇术!$A:$ZZ,2,FALSE)+SUM(_xlfn.XLOOKUP($R132:$AH132,增益!$A:$A,增益!$B:$B,0))</f>
        <v>0.2337</v>
      </c>
      <c r="AO132" s="41" cm="1">
        <f t="array" ref="AO132">VLOOKUP($Q132,武学奇术!$A:$ZZ,5,FALSE)+SUM(_xlfn.XLOOKUP($R132:$AH132,增益!$A:$A,增益!$E:$E,0))</f>
        <v>0.15</v>
      </c>
      <c r="AP132" cm="1">
        <f t="array" ref="AP132">$D$10*(1+$AO132)+VLOOKUP($Q132,武学奇术!$A:$ZZ,3,FALSE)+SUM(_xlfn.XLOOKUP($R132:$AH132,增益!$A:$A,增益!$C:$C,0))-$I$2</f>
        <v>2150.71</v>
      </c>
      <c r="AQ132" cm="1">
        <f t="array" ref="AQ132">$E$10*(1+$AO132)+VLOOKUP($Q132,武学奇术!$A:$ZZ,4,FALSE)+SUM(_xlfn.XLOOKUP($R132:$AH132,增益!$A:$A,增益!$D:$D,0))-$I$2</f>
        <v>6394.9</v>
      </c>
      <c r="AR132" s="49" cm="1">
        <f t="array" ref="AR132">IF($F$10-$I$3+VLOOKUP($Q132,武学奇术!$A:$ZZ,6,FALSE)+SUM(_xlfn.XLOOKUP(R132:AH132,增益!$A:$A,增益!$F:$F,0))&gt;0,($F$10-$I$3+VLOOKUP($Q132,武学奇术!$A:$ZZ,6,FALSE)+SUM(_xlfn.XLOOKUP(R132:AH132,增益!$A:$A,增益!$F:$F,0)))/200,($F$10-$I$3+VLOOKUP($Q132,武学奇术!$A:$ZZ,6,FALSE)+SUM(_xlfn.XLOOKUP(R132:AH132,增益!$A:$A,增益!$F:$F,0)))/100)</f>
        <v>0.3425</v>
      </c>
      <c r="AS132" s="49" cm="1">
        <f t="array" ref="AS132">$G$10+VLOOKUP($Q132,武学奇术!$A:$ZZ,7,FALSE)+SUM(_xlfn.XLOOKUP(R132:AH132,增益!$A:$A,增益!$G:$G,0))</f>
        <v>0</v>
      </c>
      <c r="AT132" s="41" cm="1">
        <f t="array" ref="AT132">VLOOKUP($Q132,武学奇术!$A:$ZZ,8,FALSE)+SUM(_xlfn.XLOOKUP(R132:AH132,增益!$A:$A,增益!$H:$H,0))</f>
        <v>0</v>
      </c>
      <c r="AU132">
        <f>$D$11*(1+$AT132)</f>
        <v>0</v>
      </c>
      <c r="AV132">
        <f>$E$11*(1+$AT132)</f>
        <v>0</v>
      </c>
      <c r="AW132" s="49" cm="1">
        <f t="array" ref="AW132">IF($F$11-$I$4+VLOOKUP($Q132,武学奇术!$A:$ZZ,9,FALSE)+SUM(_xlfn.XLOOKUP(R132:AH132,增益!$A:$A,增益!$I:$I,0))&gt;0,($F$11-$I$4+VLOOKUP($Q132,武学奇术!$A:$ZZ,9,FALSE)+SUM(_xlfn.XLOOKUP(R132:AH132,增益!$A:$A,增益!$I:$I,0)))/200,($F$11-$I$4+VLOOKUP($Q132,武学奇术!$A:$ZZ,9,FALSE)+SUM(_xlfn.XLOOKUP(R132:AH132,增益!$A:$A,增益!$I:$I,0)))/100)</f>
        <v>-0.3</v>
      </c>
      <c r="AX132" s="49" cm="1">
        <f t="array" ref="AX132">$G$11+VLOOKUP($Q132,武学奇术!$A:$ZZ,10,FALSE)+SUM(_xlfn.XLOOKUP(R132:AH132,增益!$A:$A,增益!$J:$J,0))</f>
        <v>0</v>
      </c>
      <c r="AY132">
        <f>$D$12*(1+$AT132)</f>
        <v>0</v>
      </c>
      <c r="AZ132">
        <f>$E$12*(1+$AT132)</f>
        <v>0</v>
      </c>
      <c r="BA132" s="49" cm="1">
        <f t="array" ref="BA132">IF($F$12-$I$4+VLOOKUP($Q132,武学奇术!$A:$ZZ,11,FALSE)+SUM(_xlfn.XLOOKUP(R132:AH132,增益!$A:$A,增益!$K:$K,0))&gt;0,($F$12-$I$4+VLOOKUP($Q132,武学奇术!$A:$ZZ,11,FALSE)+SUM(_xlfn.XLOOKUP(R132:AH132,增益!$A:$A,增益!$K:$K,0)))/200,($F$12-$I$4+VLOOKUP($Q132,武学奇术!$A:$ZZ,11,FALSE)+SUM(_xlfn.XLOOKUP(R132:AH132,增益!$A:$A,增益!$K:$K,0)))/100)</f>
        <v>-0.3</v>
      </c>
      <c r="BB132" s="49" cm="1">
        <f t="array" ref="BB132">$G$12+VLOOKUP($Q132,武学奇术!$A:$ZZ,12,FALSE)+SUM(_xlfn.XLOOKUP(R132:AH132,增益!$A:$A,增益!$L:$L,0))</f>
        <v>0</v>
      </c>
      <c r="BC132">
        <f>$D$13*(1+$AT132)</f>
        <v>571.2</v>
      </c>
      <c r="BD132">
        <f>$E$13*(1+$AT132)</f>
        <v>1077.4</v>
      </c>
      <c r="BE132" s="49" cm="1">
        <f t="array" ref="BE132">IF($F$13-$I$4+VLOOKUP($Q132,武学奇术!$A:$ZZ,13,FALSE)+SUM(_xlfn.XLOOKUP(R132:AH132,增益!$A:$A,增益!$M:$M,0))&gt;0,($F$13-$I$4+VLOOKUP($Q132,武学奇术!$A:$ZZ,13,FALSE)+SUM(_xlfn.XLOOKUP(R132:AH132,增益!$A:$A,增益!$K:$K,0)))/200,($F$13-$I$4+VLOOKUP($Q132,武学奇术!$A:$ZZ,13,FALSE)+SUM(_xlfn.XLOOKUP(R132:AH132,增益!$A:$A,增益!$M:$M,0)))/100)</f>
        <v>0</v>
      </c>
      <c r="BF132" s="49" cm="1">
        <f t="array" ref="BF132">$G$13+VLOOKUP($Q132,武学奇术!$A:$ZZ,14,FALSE)+SUM(_xlfn.XLOOKUP(R132:AH132,增益!$A:$A,增益!$N:$N,0))</f>
        <v>0.15</v>
      </c>
      <c r="BG132">
        <f>$D$14*(1+$AT132)</f>
        <v>0</v>
      </c>
      <c r="BH132">
        <f>$E$14*(1+$AT132)</f>
        <v>0</v>
      </c>
      <c r="BI132" s="49" cm="1">
        <f t="array" ref="BI132">IF($F$14-$I$4+VLOOKUP($Q132,武学奇术!$A:$ZZ,15,FALSE)+SUM(_xlfn.XLOOKUP(R132:AH132,增益!$A:$A,增益!$O:$O,0))&gt;0,($F$14-$I$4+VLOOKUP($Q132,武学奇术!$A:$ZZ,15,FALSE)+SUM(_xlfn.XLOOKUP(R132:AH132,增益!$A:$A,增益!$O:$O,0)))/200,($F$14-$I$4+VLOOKUP($Q132,武学奇术!$A:$ZZ,15,FALSE)+SUM(_xlfn.XLOOKUP(R132:AH132,增益!$A:$A,增益!$O:$O,0)))/100)</f>
        <v>-0.3</v>
      </c>
      <c r="BJ132" s="49" cm="1">
        <f t="array" ref="BJ132">$G$14+VLOOKUP($Q132,武学奇术!$A:$ZZ,16,FALSE)+SUM(_xlfn.XLOOKUP(R132:AH132,增益!$A:$A,增益!$P:$P,0))</f>
        <v>0</v>
      </c>
      <c r="BK132" s="41">
        <f>MIN(IF(VLOOKUP($Q132,武学奇术!$A:$ZZ,23,FALSE)=1,100%,$B$8),100%)</f>
        <v>1</v>
      </c>
      <c r="BL132" s="41" cm="1">
        <f t="array" ref="BL132">IF(VLOOKUP($Q132,武学奇术!$A:$ZZ,23,FALSE)=1,100%,MIN(80%,$B$9+VLOOKUP($Q132,武学奇术!$A:$ZZ,17,FALSE)+SUM(_xlfn.XLOOKUP(R132:AH132,增益!$A:$A,增益!$Q:$Q,0)))+$B$11+SUM(_xlfn.XLOOKUP(R132:AH132,增益!$A:$A,增益!$U:$U,0)))*IF(VLOOKUP($Q132,武学奇术!$A:$ZZ,24,FALSE)=1,0,1)</f>
        <v>0.9045</v>
      </c>
      <c r="BM132" s="41" cm="1">
        <f t="array" ref="BM132">1+$B$13+VLOOKUP($Q132,武学奇术!$A:$ZZ,18,FALSE)+SUM(_xlfn.XLOOKUP(R132:AH132,增益!$A:$A,增益!$R:$R,0))</f>
        <v>1.6</v>
      </c>
      <c r="BN132" s="41" cm="1">
        <f t="array" ref="BN132">IF(VLOOKUP($Q132,武学奇术!$A:$ZZ,24,FALSE)=1,100%,MIN(40%,$B$10+VLOOKUP($Q132,武学奇术!$A:$ZZ,19,FALSE)+SUM(_xlfn.XLOOKUP(R132:AH132,增益!$A:$A,增益!$S:$S,0)))+$B$12+SUM(_xlfn.XLOOKUP(R132:AH132,增益!$A:$A,增益!$V:$V,0)))*IF(VLOOKUP($Q132,武学奇术!$A:$ZZ,23,FALSE)=1,0,1)</f>
        <v>0.0929</v>
      </c>
      <c r="BO132" s="41" cm="1">
        <f t="array" ref="BO132">1+$B$14+VLOOKUP($Q132,武学奇术!$A:$ZZ,20,FALSE)+SUM(_xlfn.XLOOKUP(R132:AH132,增益!$A:$A,增益!$T:$T,0))</f>
        <v>1.35</v>
      </c>
      <c r="BP132" s="41">
        <f t="shared" si="43"/>
        <v>0.9045</v>
      </c>
      <c r="BQ132" s="41">
        <f>1-BN132-BP132-BR132</f>
        <v>0.00260000000000005</v>
      </c>
      <c r="BR132" s="41">
        <f>IF(VLOOKUP($Q132,武学奇术!$A:$ZZ,22,FALSE)=1,0,(1-$BK132))*(1-$BN132)</f>
        <v>0</v>
      </c>
      <c r="BS132" s="41" cm="1">
        <f t="array" ref="BS132">SUM(_xlfn.XLOOKUP(R132:AH132,增益!$A:$A,增益!$W:$W,0))+$I$5</f>
        <v>0.11</v>
      </c>
    </row>
    <row r="133" spans="11:71">
      <c r="K133" s="55">
        <f>($L133*$BP133+$M133*$BN133+$N133*$BQ133+$O133*$BR133)</f>
        <v>16776.4508724724</v>
      </c>
      <c r="L133" s="55">
        <f>((($AP133+$AQ133)/2*$AJ133+$AK133)*(1+$AR133)*(1+$AS133)+(($AU133+$AV133)/2*IF($G$1="鸣金",$AL133,$AJ133)+IF($G$1="鸣金",$AM133*1.5,0))*(1+$AW133)*(1+$AX133)+(($AY133+$AZ133)/2*IF($G$1="裂石",$AL133,$AJ133)+IF($G$1="裂石",$AM133*1.5,0))*(1+$BA133)*(1+$BB133)+(($BC133+$BD133)/2*IF($G$1="牵丝",$AL133,$AJ133)+IF($G$1="牵丝",$AM133*1.5,0))*(1+$BE133)*(1+$BF133)+(($BG133+$BH133)/2*IF($G$1="破竹",$AL133,$AJ133)+IF($G$1="破竹",$AM133*1.5,0))*(1+$BI133)*(1+$BJ133))*(1+$AN133)*$BM133*$P133*(1+IF(VLOOKUP($Q133,武学奇术!$A:$ZZ,30,FALSE)="弹道",$B$21,0))*(1+$BS133)</f>
        <v>16426.060200206</v>
      </c>
      <c r="M133" s="55">
        <f>(($AQ133*$AJ133+$AK133)*(1+$AR133)*(1+$AS133)+($AV133*IF($G$1="鸣金",$AL133,$AJ133)+IF($G$1="鸣金",$AM133*1.5,0))*(1+$AW133)*(1+$AX133)+($AZ133*IF($G$1="裂石",$AL133,$AJ133)+IF($G$1="裂石",$AM133*1.5,0))*(1+$BA133)*(1+$BB133)+($BD133*IF($G$1="牵丝",$AL133,$AJ133)+IF($G$1="牵丝",$AM133*1.5,0))*(1+$BE133)*(1+$BF133)+($BH133*IF($G$1="破竹",$AL133,$AJ133)+IF($G$1="破竹",$AM133*1.5,0))*(1+$BI133)*(1+$BJ133))*(1+$AN133)*$BO133*$P133*(1+IF(VLOOKUP($Q133,武学奇术!$A:$ZZ,30,FALSE)="弹道",$B$21,0))*(1+$BS133)</f>
        <v>20370.151491504</v>
      </c>
      <c r="N133" s="55">
        <f>((($AP133+$AQ133)/2*$AJ133+$AK133)*(1+$AR133)*(1+$AS133)+(($AU133+$AV133)/2*IF($G$1="鸣金",$AL133,$AJ133)+IF($G$1="鸣金",$AM133*1.5,0))*(1+$AW133)*(1+$AX133)+(($AY133+$AZ133)/2*IF($G$1="裂石",$AL133,$AJ133)+IF($G$1="裂石",$AM133*1.5,0))*(1+$BA133)*(1+$BB133)+(($BC133+$BD133)/2*IF($G$1="牵丝",$AL133,$AJ133)+IF($G$1="牵丝",$AM133*1.5,0))*(1+$BE133)*(1+$BF133)+(($BG133+$BH133)/2*IF($G$1="破竹",$AL133,$AJ133)+IF($G$1="破竹",$AM133*1.5,0))*(1+$BI133)*(1+$BJ133))*(1+$AN133)*$P133*(1+IF(VLOOKUP($Q133,武学奇术!$A:$ZZ,30,FALSE)="弹道",$B$21,0))*(1+$BS133)</f>
        <v>10266.2876251287</v>
      </c>
      <c r="O133" s="55">
        <f>((($AP133*$AJ133+$AK133)*(1+$AR133)*(1+$AS133)+($AU133*IF($G$1="鸣金",$AL133,$AJ133)+IF($G$1="鸣金",$AM133*1.5,0))*(1+$AW133)*(1+$AX133)+($AY133*IF($G$1="裂石",$AL133,$AJ133)+IF($G$1="裂石",$AM133*1.5,0))*(1+$BA133)*(1+$BB133)+($BC133*IF($G$1="牵丝",$AL133,$AJ133)+IF($G$1="牵丝",$AM133*1.5,0))*(1+$BE133)*(1+$BF133)+($BG133*IF($G$1="破竹",$AL133,$AJ133)+IF($G$1="破竹",$AM133*1.5,0))*(1+$BI133)*(1+$BJ133))*(1+$AN133))*$P133*(1+IF(VLOOKUP($Q133,武学奇术!$A:$ZZ,30,FALSE)="弹道",$B$21,0))*(1+$BS133)</f>
        <v>5443.57414543973</v>
      </c>
      <c r="P133" s="56">
        <f t="shared" si="42"/>
        <v>1</v>
      </c>
      <c r="Q133" s="57" t="s">
        <v>171</v>
      </c>
      <c r="R133" s="57" t="s">
        <v>116</v>
      </c>
      <c r="S133" s="57" t="s">
        <v>153</v>
      </c>
      <c r="T133" s="57" t="s">
        <v>72</v>
      </c>
      <c r="U133" s="57" t="s">
        <v>157</v>
      </c>
      <c r="V133" s="57" t="s">
        <v>72</v>
      </c>
      <c r="W133" s="57" t="s">
        <v>72</v>
      </c>
      <c r="X133" s="57" t="s">
        <v>72</v>
      </c>
      <c r="Y133" s="57" t="s">
        <v>72</v>
      </c>
      <c r="Z133" s="57" t="s">
        <v>113</v>
      </c>
      <c r="AA133" s="57" t="s">
        <v>72</v>
      </c>
      <c r="AB133" s="57" t="s">
        <v>72</v>
      </c>
      <c r="AC133" s="57" t="s">
        <v>72</v>
      </c>
      <c r="AD133" s="57" t="s">
        <v>72</v>
      </c>
      <c r="AE133" s="57" t="s">
        <v>72</v>
      </c>
      <c r="AF133" s="57" t="s">
        <v>72</v>
      </c>
      <c r="AG133" s="57" t="s">
        <v>72</v>
      </c>
      <c r="AH133" s="57" t="s">
        <v>87</v>
      </c>
      <c r="AI133" t="str">
        <f>VLOOKUP($Q133,武学奇术!$A:$ZZ,25,FALSE)</f>
        <v>心法</v>
      </c>
      <c r="AJ133" s="41">
        <f>VLOOKUP($Q133,武学奇术!$A:$ZZ,26,FALSE)</f>
        <v>1</v>
      </c>
      <c r="AK133" s="42">
        <f>VLOOKUP($Q133,武学奇术!$A:$ZZ,27,FALSE)*(1+IF(OR($AI133=$F$4,$AI133=$F$5),$B$22,0))</f>
        <v>0</v>
      </c>
      <c r="AL133" s="41">
        <f>VLOOKUP($Q133,武学奇术!$A:$ZZ,28,FALSE)</f>
        <v>1</v>
      </c>
      <c r="AM133" s="42">
        <f>VLOOKUP($Q133,武学奇术!$A:$ZZ,29,FALSE)*(1+IF(OR($AI133=$F$4,$AI133=$F$5),$B$22,0))</f>
        <v>0</v>
      </c>
      <c r="AN133" s="41" cm="1">
        <f t="array" ref="AN133">$G$3+IFERROR(VLOOKUP($AI133,$F$4:$G$7,2,FALSE),0)+VLOOKUP($Q133,武学奇术!$A:$ZZ,2,FALSE)+SUM(_xlfn.XLOOKUP($R133:$AH133,增益!$A:$A,增益!$B:$B,0))</f>
        <v>0.3837</v>
      </c>
      <c r="AO133" s="41" cm="1">
        <f t="array" ref="AO133">VLOOKUP($Q133,武学奇术!$A:$ZZ,5,FALSE)+SUM(_xlfn.XLOOKUP($R133:$AH133,增益!$A:$A,增益!$E:$E,0))</f>
        <v>0.15</v>
      </c>
      <c r="AP133" cm="1">
        <f t="array" ref="AP133">$D$10*(1+$AO133)+VLOOKUP($Q133,武学奇术!$A:$ZZ,3,FALSE)+SUM(_xlfn.XLOOKUP($R133:$AH133,增益!$A:$A,增益!$C:$C,0))-$I$2</f>
        <v>2150.71</v>
      </c>
      <c r="AQ133" cm="1">
        <f t="array" ref="AQ133">$E$10*(1+$AO133)+VLOOKUP($Q133,武学奇术!$A:$ZZ,4,FALSE)+SUM(_xlfn.XLOOKUP($R133:$AH133,增益!$A:$A,增益!$D:$D,0))-$I$2</f>
        <v>6394.9</v>
      </c>
      <c r="AR133" s="49" cm="1">
        <f t="array" ref="AR133">IF($F$10-$I$3+VLOOKUP($Q133,武学奇术!$A:$ZZ,6,FALSE)+SUM(_xlfn.XLOOKUP(R133:AH133,增益!$A:$A,增益!$F:$F,0))&gt;0,($F$10-$I$3+VLOOKUP($Q133,武学奇术!$A:$ZZ,6,FALSE)+SUM(_xlfn.XLOOKUP(R133:AH133,增益!$A:$A,增益!$F:$F,0)))/200,($F$10-$I$3+VLOOKUP($Q133,武学奇术!$A:$ZZ,6,FALSE)+SUM(_xlfn.XLOOKUP(R133:AH133,增益!$A:$A,增益!$F:$F,0)))/100)</f>
        <v>0.3425</v>
      </c>
      <c r="AS133" s="49" cm="1">
        <f t="array" ref="AS133">$G$10+VLOOKUP($Q133,武学奇术!$A:$ZZ,7,FALSE)+SUM(_xlfn.XLOOKUP(R133:AH133,增益!$A:$A,增益!$G:$G,0))</f>
        <v>0</v>
      </c>
      <c r="AT133" s="41" cm="1">
        <f t="array" ref="AT133">VLOOKUP($Q133,武学奇术!$A:$ZZ,8,FALSE)+SUM(_xlfn.XLOOKUP(R133:AH133,增益!$A:$A,增益!$H:$H,0))</f>
        <v>0</v>
      </c>
      <c r="AU133">
        <f>$D$11*(1+$AT133)</f>
        <v>0</v>
      </c>
      <c r="AV133">
        <f>$E$11*(1+$AT133)</f>
        <v>0</v>
      </c>
      <c r="AW133" s="49" cm="1">
        <f t="array" ref="AW133">IF($F$11-$I$4+VLOOKUP($Q133,武学奇术!$A:$ZZ,9,FALSE)+SUM(_xlfn.XLOOKUP(R133:AH133,增益!$A:$A,增益!$I:$I,0))&gt;0,($F$11-$I$4+VLOOKUP($Q133,武学奇术!$A:$ZZ,9,FALSE)+SUM(_xlfn.XLOOKUP(R133:AH133,增益!$A:$A,增益!$I:$I,0)))/200,($F$11-$I$4+VLOOKUP($Q133,武学奇术!$A:$ZZ,9,FALSE)+SUM(_xlfn.XLOOKUP(R133:AH133,增益!$A:$A,增益!$I:$I,0)))/100)</f>
        <v>-0.3</v>
      </c>
      <c r="AX133" s="49" cm="1">
        <f t="array" ref="AX133">$G$11+VLOOKUP($Q133,武学奇术!$A:$ZZ,10,FALSE)+SUM(_xlfn.XLOOKUP(R133:AH133,增益!$A:$A,增益!$J:$J,0))</f>
        <v>0</v>
      </c>
      <c r="AY133">
        <f>$D$12*(1+$AT133)</f>
        <v>0</v>
      </c>
      <c r="AZ133">
        <f>$E$12*(1+$AT133)</f>
        <v>0</v>
      </c>
      <c r="BA133" s="49" cm="1">
        <f t="array" ref="BA133">IF($F$12-$I$4+VLOOKUP($Q133,武学奇术!$A:$ZZ,11,FALSE)+SUM(_xlfn.XLOOKUP(R133:AH133,增益!$A:$A,增益!$K:$K,0))&gt;0,($F$12-$I$4+VLOOKUP($Q133,武学奇术!$A:$ZZ,11,FALSE)+SUM(_xlfn.XLOOKUP(R133:AH133,增益!$A:$A,增益!$K:$K,0)))/200,($F$12-$I$4+VLOOKUP($Q133,武学奇术!$A:$ZZ,11,FALSE)+SUM(_xlfn.XLOOKUP(R133:AH133,增益!$A:$A,增益!$K:$K,0)))/100)</f>
        <v>-0.3</v>
      </c>
      <c r="BB133" s="49" cm="1">
        <f t="array" ref="BB133">$G$12+VLOOKUP($Q133,武学奇术!$A:$ZZ,12,FALSE)+SUM(_xlfn.XLOOKUP(R133:AH133,增益!$A:$A,增益!$L:$L,0))</f>
        <v>0</v>
      </c>
      <c r="BC133">
        <f>$D$13*(1+$AT133)</f>
        <v>571.2</v>
      </c>
      <c r="BD133">
        <f>$E$13*(1+$AT133)</f>
        <v>1077.4</v>
      </c>
      <c r="BE133" s="49" cm="1">
        <f t="array" ref="BE133">IF($F$13-$I$4+VLOOKUP($Q133,武学奇术!$A:$ZZ,13,FALSE)+SUM(_xlfn.XLOOKUP(R133:AH133,增益!$A:$A,增益!$M:$M,0))&gt;0,($F$13-$I$4+VLOOKUP($Q133,武学奇术!$A:$ZZ,13,FALSE)+SUM(_xlfn.XLOOKUP(R133:AH133,增益!$A:$A,增益!$K:$K,0)))/200,($F$13-$I$4+VLOOKUP($Q133,武学奇术!$A:$ZZ,13,FALSE)+SUM(_xlfn.XLOOKUP(R133:AH133,增益!$A:$A,增益!$M:$M,0)))/100)</f>
        <v>0</v>
      </c>
      <c r="BF133" s="49" cm="1">
        <f t="array" ref="BF133">$G$13+VLOOKUP($Q133,武学奇术!$A:$ZZ,14,FALSE)+SUM(_xlfn.XLOOKUP(R133:AH133,增益!$A:$A,增益!$N:$N,0))</f>
        <v>0.15</v>
      </c>
      <c r="BG133">
        <f>$D$14*(1+$AT133)</f>
        <v>0</v>
      </c>
      <c r="BH133">
        <f>$E$14*(1+$AT133)</f>
        <v>0</v>
      </c>
      <c r="BI133" s="49" cm="1">
        <f t="array" ref="BI133">IF($F$14-$I$4+VLOOKUP($Q133,武学奇术!$A:$ZZ,15,FALSE)+SUM(_xlfn.XLOOKUP(R133:AH133,增益!$A:$A,增益!$O:$O,0))&gt;0,($F$14-$I$4+VLOOKUP($Q133,武学奇术!$A:$ZZ,15,FALSE)+SUM(_xlfn.XLOOKUP(R133:AH133,增益!$A:$A,增益!$O:$O,0)))/200,($F$14-$I$4+VLOOKUP($Q133,武学奇术!$A:$ZZ,15,FALSE)+SUM(_xlfn.XLOOKUP(R133:AH133,增益!$A:$A,增益!$O:$O,0)))/100)</f>
        <v>-0.3</v>
      </c>
      <c r="BJ133" s="49" cm="1">
        <f t="array" ref="BJ133">$G$14+VLOOKUP($Q133,武学奇术!$A:$ZZ,16,FALSE)+SUM(_xlfn.XLOOKUP(R133:AH133,增益!$A:$A,增益!$P:$P,0))</f>
        <v>0</v>
      </c>
      <c r="BK133" s="41">
        <f>MIN(IF(VLOOKUP($Q133,武学奇术!$A:$ZZ,23,FALSE)=1,100%,$B$8),100%)</f>
        <v>1</v>
      </c>
      <c r="BL133" s="41" cm="1">
        <f t="array" ref="BL133">IF(VLOOKUP($Q133,武学奇术!$A:$ZZ,23,FALSE)=1,100%,MIN(80%,$B$9+VLOOKUP($Q133,武学奇术!$A:$ZZ,17,FALSE)+SUM(_xlfn.XLOOKUP(R133:AH133,增益!$A:$A,增益!$Q:$Q,0)))+$B$11+SUM(_xlfn.XLOOKUP(R133:AH133,增益!$A:$A,增益!$U:$U,0)))*IF(VLOOKUP($Q133,武学奇术!$A:$ZZ,24,FALSE)=1,0,1)</f>
        <v>0.9045</v>
      </c>
      <c r="BM133" s="41" cm="1">
        <f t="array" ref="BM133">1+$B$13+VLOOKUP($Q133,武学奇术!$A:$ZZ,18,FALSE)+SUM(_xlfn.XLOOKUP(R133:AH133,增益!$A:$A,增益!$R:$R,0))</f>
        <v>1.6</v>
      </c>
      <c r="BN133" s="41" cm="1">
        <f t="array" ref="BN133">IF(VLOOKUP($Q133,武学奇术!$A:$ZZ,24,FALSE)=1,100%,MIN(40%,$B$10+VLOOKUP($Q133,武学奇术!$A:$ZZ,19,FALSE)+SUM(_xlfn.XLOOKUP(R133:AH133,增益!$A:$A,增益!$S:$S,0)))+$B$12+SUM(_xlfn.XLOOKUP(R133:AH133,增益!$A:$A,增益!$V:$V,0)))*IF(VLOOKUP($Q133,武学奇术!$A:$ZZ,23,FALSE)=1,0,1)</f>
        <v>0.0929</v>
      </c>
      <c r="BO133" s="41" cm="1">
        <f t="array" ref="BO133">1+$B$14+VLOOKUP($Q133,武学奇术!$A:$ZZ,20,FALSE)+SUM(_xlfn.XLOOKUP(R133:AH133,增益!$A:$A,增益!$T:$T,0))</f>
        <v>1.35</v>
      </c>
      <c r="BP133" s="41">
        <f t="shared" si="43"/>
        <v>0.9045</v>
      </c>
      <c r="BQ133" s="41">
        <f>1-BN133-BP133-BR133</f>
        <v>0.00260000000000005</v>
      </c>
      <c r="BR133" s="41">
        <f>IF(VLOOKUP($Q133,武学奇术!$A:$ZZ,22,FALSE)=1,0,(1-$BK133))*(1-$BN133)</f>
        <v>0</v>
      </c>
      <c r="BS133" s="41" cm="1">
        <f t="array" ref="BS133">SUM(_xlfn.XLOOKUP(R133:AH133,增益!$A:$A,增益!$W:$W,0))+$I$5</f>
        <v>0.11</v>
      </c>
    </row>
    <row r="134" spans="11:71">
      <c r="K134" s="55">
        <f>($L134*$BP134+$M134*$BN134+$N134*$BQ134+$O134*$BR134)</f>
        <v>21929.7928224372</v>
      </c>
      <c r="L134" s="55">
        <f>((($AP134+$AQ134)/2*$AJ134+$AK134)*(1+$AR134)*(1+$AS134)+(($AU134+$AV134)/2*IF($G$1="鸣金",$AL134,$AJ134)+IF($G$1="鸣金",$AM134*1.5,0))*(1+$AW134)*(1+$AX134)+(($AY134+$AZ134)/2*IF($G$1="裂石",$AL134,$AJ134)+IF($G$1="裂石",$AM134*1.5,0))*(1+$BA134)*(1+$BB134)+(($BC134+$BD134)/2*IF($G$1="牵丝",$AL134,$AJ134)+IF($G$1="牵丝",$AM134*1.5,0))*(1+$BE134)*(1+$BF134)+(($BG134+$BH134)/2*IF($G$1="破竹",$AL134,$AJ134)+IF($G$1="破竹",$AM134*1.5,0))*(1+$BI134)*(1+$BJ134))*(1+$AN134)*$BM134*$P134*(1+IF(VLOOKUP($Q134,武学奇术!$A:$ZZ,30,FALSE)="弹道",$B$21,0))*(1+$BS134)</f>
        <v>21808.4905808109</v>
      </c>
      <c r="M134" s="55">
        <f>(($AQ134*$AJ134+$AK134)*(1+$AR134)*(1+$AS134)+($AV134*IF($G$1="鸣金",$AL134,$AJ134)+IF($G$1="鸣金",$AM134*1.5,0))*(1+$AW134)*(1+$AX134)+($AZ134*IF($G$1="裂石",$AL134,$AJ134)+IF($G$1="裂石",$AM134*1.5,0))*(1+$BA134)*(1+$BB134)+($BD134*IF($G$1="牵丝",$AL134,$AJ134)+IF($G$1="牵丝",$AM134*1.5,0))*(1+$BE134)*(1+$BF134)+($BH134*IF($G$1="破竹",$AL134,$AJ134)+IF($G$1="破竹",$AM134*1.5,0))*(1+$BI134)*(1+$BJ134))*(1+$AN134)*$BO134*$P134*(1+IF(VLOOKUP($Q134,武学奇术!$A:$ZZ,30,FALSE)="弹道",$B$21,0))*(1+$BS134)</f>
        <v>23394.6536226879</v>
      </c>
      <c r="N134" s="55">
        <f>((($AP134+$AQ134)/2*$AJ134+$AK134)*(1+$AR134)*(1+$AS134)+(($AU134+$AV134)/2*IF($G$1="鸣金",$AL134,$AJ134)+IF($G$1="鸣金",$AM134*1.5,0))*(1+$AW134)*(1+$AX134)+(($AY134+$AZ134)/2*IF($G$1="裂石",$AL134,$AJ134)+IF($G$1="裂石",$AM134*1.5,0))*(1+$BA134)*(1+$BB134)+(($BC134+$BD134)/2*IF($G$1="牵丝",$AL134,$AJ134)+IF($G$1="牵丝",$AM134*1.5,0))*(1+$BE134)*(1+$BF134)+(($BG134+$BH134)/2*IF($G$1="破竹",$AL134,$AJ134)+IF($G$1="破竹",$AM134*1.5,0))*(1+$BI134)*(1+$BJ134))*(1+$AN134)*$P134*(1+IF(VLOOKUP($Q134,武学奇术!$A:$ZZ,30,FALSE)="弹道",$B$21,0))*(1+$BS134)</f>
        <v>11788.3732869248</v>
      </c>
      <c r="O134" s="55">
        <f>((($AP134*$AJ134+$AK134)*(1+$AR134)*(1+$AS134)+($AU134*IF($G$1="鸣金",$AL134,$AJ134)+IF($G$1="鸣金",$AM134*1.5,0))*(1+$AW134)*(1+$AX134)+($AY134*IF($G$1="裂石",$AL134,$AJ134)+IF($G$1="裂石",$AM134*1.5,0))*(1+$BA134)*(1+$BB134)+($BC134*IF($G$1="牵丝",$AL134,$AJ134)+IF($G$1="牵丝",$AM134*1.5,0))*(1+$BE134)*(1+$BF134)+($BG134*IF($G$1="破竹",$AL134,$AJ134)+IF($G$1="破竹",$AM134*1.5,0))*(1+$BI134)*(1+$BJ134))*(1+$AN134))*$P134*(1+IF(VLOOKUP($Q134,武学奇术!$A:$ZZ,30,FALSE)="弹道",$B$21,0))*(1+$BS134)</f>
        <v>6247.37352000678</v>
      </c>
      <c r="P134" s="56">
        <f t="shared" si="42"/>
        <v>1</v>
      </c>
      <c r="Q134" s="57" t="s">
        <v>171</v>
      </c>
      <c r="R134" s="57" t="s">
        <v>116</v>
      </c>
      <c r="S134" s="57" t="s">
        <v>153</v>
      </c>
      <c r="T134" s="57" t="s">
        <v>72</v>
      </c>
      <c r="U134" s="57" t="s">
        <v>157</v>
      </c>
      <c r="V134" s="57" t="s">
        <v>72</v>
      </c>
      <c r="W134" s="57" t="s">
        <v>72</v>
      </c>
      <c r="X134" s="57" t="s">
        <v>72</v>
      </c>
      <c r="Y134" s="57" t="s">
        <v>161</v>
      </c>
      <c r="Z134" s="57" t="s">
        <v>72</v>
      </c>
      <c r="AA134" s="57" t="s">
        <v>72</v>
      </c>
      <c r="AB134" s="57" t="s">
        <v>96</v>
      </c>
      <c r="AC134" s="57" t="s">
        <v>162</v>
      </c>
      <c r="AD134" s="57" t="s">
        <v>163</v>
      </c>
      <c r="AE134" s="57" t="s">
        <v>72</v>
      </c>
      <c r="AF134" s="57" t="s">
        <v>72</v>
      </c>
      <c r="AG134" s="57" t="s">
        <v>72</v>
      </c>
      <c r="AH134" s="57" t="s">
        <v>87</v>
      </c>
      <c r="AI134" t="str">
        <f>VLOOKUP($Q134,武学奇术!$A:$ZZ,25,FALSE)</f>
        <v>心法</v>
      </c>
      <c r="AJ134" s="41">
        <f>VLOOKUP($Q134,武学奇术!$A:$ZZ,26,FALSE)</f>
        <v>1</v>
      </c>
      <c r="AK134" s="42">
        <f>VLOOKUP($Q134,武学奇术!$A:$ZZ,27,FALSE)*(1+IF(OR($AI134=$F$4,$AI134=$F$5),$B$22,0))</f>
        <v>0</v>
      </c>
      <c r="AL134" s="41">
        <f>VLOOKUP($Q134,武学奇术!$A:$ZZ,28,FALSE)</f>
        <v>1</v>
      </c>
      <c r="AM134" s="42">
        <f>VLOOKUP($Q134,武学奇术!$A:$ZZ,29,FALSE)*(1+IF(OR($AI134=$F$4,$AI134=$F$5),$B$22,0))</f>
        <v>0</v>
      </c>
      <c r="AN134" s="41" cm="1">
        <f t="array" ref="AN134">$G$3+IFERROR(VLOOKUP($AI134,$F$4:$G$7,2,FALSE),0)+VLOOKUP($Q134,武学奇术!$A:$ZZ,2,FALSE)+SUM(_xlfn.XLOOKUP($R134:$AH134,增益!$A:$A,增益!$B:$B,0))</f>
        <v>0.2337</v>
      </c>
      <c r="AO134" s="41" cm="1">
        <f t="array" ref="AO134">VLOOKUP($Q134,武学奇术!$A:$ZZ,5,FALSE)+SUM(_xlfn.XLOOKUP($R134:$AH134,增益!$A:$A,增益!$E:$E,0))</f>
        <v>0.15</v>
      </c>
      <c r="AP134" cm="1">
        <f t="array" ref="AP134">$D$10*(1+$AO134)+VLOOKUP($Q134,武学奇术!$A:$ZZ,3,FALSE)+SUM(_xlfn.XLOOKUP($R134:$AH134,增益!$A:$A,增益!$C:$C,0))-$I$2</f>
        <v>2150.71</v>
      </c>
      <c r="AQ134" cm="1">
        <f t="array" ref="AQ134">$E$10*(1+$AO134)+VLOOKUP($Q134,武学奇术!$A:$ZZ,4,FALSE)+SUM(_xlfn.XLOOKUP($R134:$AH134,增益!$A:$A,增益!$D:$D,0))-$I$2</f>
        <v>6394.9</v>
      </c>
      <c r="AR134" s="49" cm="1">
        <f t="array" ref="AR134">IF($F$10-$I$3+VLOOKUP($Q134,武学奇术!$A:$ZZ,6,FALSE)+SUM(_xlfn.XLOOKUP(R134:AH134,增益!$A:$A,增益!$F:$F,0))&gt;0,($F$10-$I$3+VLOOKUP($Q134,武学奇术!$A:$ZZ,6,FALSE)+SUM(_xlfn.XLOOKUP(R134:AH134,增益!$A:$A,增益!$F:$F,0)))/200,($F$10-$I$3+VLOOKUP($Q134,武学奇术!$A:$ZZ,6,FALSE)+SUM(_xlfn.XLOOKUP(R134:AH134,增益!$A:$A,增益!$F:$F,0)))/100)</f>
        <v>0.4675</v>
      </c>
      <c r="AS134" s="49" cm="1">
        <f t="array" ref="AS134">$G$10+VLOOKUP($Q134,武学奇术!$A:$ZZ,7,FALSE)+SUM(_xlfn.XLOOKUP(R134:AH134,增益!$A:$A,增益!$G:$G,0))</f>
        <v>0</v>
      </c>
      <c r="AT134" s="41" cm="1">
        <f t="array" ref="AT134">VLOOKUP($Q134,武学奇术!$A:$ZZ,8,FALSE)+SUM(_xlfn.XLOOKUP(R134:AH134,增益!$A:$A,增益!$H:$H,0))</f>
        <v>0</v>
      </c>
      <c r="AU134">
        <f>$D$11*(1+$AT134)</f>
        <v>0</v>
      </c>
      <c r="AV134">
        <f>$E$11*(1+$AT134)</f>
        <v>0</v>
      </c>
      <c r="AW134" s="49" cm="1">
        <f t="array" ref="AW134">IF($F$11-$I$4+VLOOKUP($Q134,武学奇术!$A:$ZZ,9,FALSE)+SUM(_xlfn.XLOOKUP(R134:AH134,增益!$A:$A,增益!$I:$I,0))&gt;0,($F$11-$I$4+VLOOKUP($Q134,武学奇术!$A:$ZZ,9,FALSE)+SUM(_xlfn.XLOOKUP(R134:AH134,增益!$A:$A,增益!$I:$I,0)))/200,($F$11-$I$4+VLOOKUP($Q134,武学奇术!$A:$ZZ,9,FALSE)+SUM(_xlfn.XLOOKUP(R134:AH134,增益!$A:$A,增益!$I:$I,0)))/100)</f>
        <v>-0.14</v>
      </c>
      <c r="AX134" s="49" cm="1">
        <f t="array" ref="AX134">$G$11+VLOOKUP($Q134,武学奇术!$A:$ZZ,10,FALSE)+SUM(_xlfn.XLOOKUP(R134:AH134,增益!$A:$A,增益!$J:$J,0))</f>
        <v>0.1</v>
      </c>
      <c r="AY134">
        <f>$D$12*(1+$AT134)</f>
        <v>0</v>
      </c>
      <c r="AZ134">
        <f>$E$12*(1+$AT134)</f>
        <v>0</v>
      </c>
      <c r="BA134" s="49" cm="1">
        <f t="array" ref="BA134">IF($F$12-$I$4+VLOOKUP($Q134,武学奇术!$A:$ZZ,11,FALSE)+SUM(_xlfn.XLOOKUP(R134:AH134,增益!$A:$A,增益!$K:$K,0))&gt;0,($F$12-$I$4+VLOOKUP($Q134,武学奇术!$A:$ZZ,11,FALSE)+SUM(_xlfn.XLOOKUP(R134:AH134,增益!$A:$A,增益!$K:$K,0)))/200,($F$12-$I$4+VLOOKUP($Q134,武学奇术!$A:$ZZ,11,FALSE)+SUM(_xlfn.XLOOKUP(R134:AH134,增益!$A:$A,增益!$K:$K,0)))/100)</f>
        <v>-0.14</v>
      </c>
      <c r="BB134" s="49" cm="1">
        <f t="array" ref="BB134">$G$12+VLOOKUP($Q134,武学奇术!$A:$ZZ,12,FALSE)+SUM(_xlfn.XLOOKUP(R134:AH134,增益!$A:$A,增益!$L:$L,0))</f>
        <v>0</v>
      </c>
      <c r="BC134">
        <f>$D$13*(1+$AT134)</f>
        <v>571.2</v>
      </c>
      <c r="BD134">
        <f>$E$13*(1+$AT134)</f>
        <v>1077.4</v>
      </c>
      <c r="BE134" s="49" cm="1">
        <f t="array" ref="BE134">IF($F$13-$I$4+VLOOKUP($Q134,武学奇术!$A:$ZZ,13,FALSE)+SUM(_xlfn.XLOOKUP(R134:AH134,增益!$A:$A,增益!$M:$M,0))&gt;0,($F$13-$I$4+VLOOKUP($Q134,武学奇术!$A:$ZZ,13,FALSE)+SUM(_xlfn.XLOOKUP(R134:AH134,增益!$A:$A,增益!$K:$K,0)))/200,($F$13-$I$4+VLOOKUP($Q134,武学奇术!$A:$ZZ,13,FALSE)+SUM(_xlfn.XLOOKUP(R134:AH134,增益!$A:$A,增益!$M:$M,0)))/100)</f>
        <v>0.08</v>
      </c>
      <c r="BF134" s="49" cm="1">
        <f t="array" ref="BF134">$G$13+VLOOKUP($Q134,武学奇术!$A:$ZZ,14,FALSE)+SUM(_xlfn.XLOOKUP(R134:AH134,增益!$A:$A,增益!$N:$N,0))</f>
        <v>0.15</v>
      </c>
      <c r="BG134">
        <f>$D$14*(1+$AT134)</f>
        <v>0</v>
      </c>
      <c r="BH134">
        <f>$E$14*(1+$AT134)</f>
        <v>0</v>
      </c>
      <c r="BI134" s="49" cm="1">
        <f t="array" ref="BI134">IF($F$14-$I$4+VLOOKUP($Q134,武学奇术!$A:$ZZ,15,FALSE)+SUM(_xlfn.XLOOKUP(R134:AH134,增益!$A:$A,增益!$O:$O,0))&gt;0,($F$14-$I$4+VLOOKUP($Q134,武学奇术!$A:$ZZ,15,FALSE)+SUM(_xlfn.XLOOKUP(R134:AH134,增益!$A:$A,增益!$O:$O,0)))/200,($F$14-$I$4+VLOOKUP($Q134,武学奇术!$A:$ZZ,15,FALSE)+SUM(_xlfn.XLOOKUP(R134:AH134,增益!$A:$A,增益!$O:$O,0)))/100)</f>
        <v>-0.14</v>
      </c>
      <c r="BJ134" s="49" cm="1">
        <f t="array" ref="BJ134">$G$14+VLOOKUP($Q134,武学奇术!$A:$ZZ,16,FALSE)+SUM(_xlfn.XLOOKUP(R134:AH134,增益!$A:$A,增益!$P:$P,0))</f>
        <v>0</v>
      </c>
      <c r="BK134" s="41">
        <f>MIN(IF(VLOOKUP($Q134,武学奇术!$A:$ZZ,23,FALSE)=1,100%,$B$8),100%)</f>
        <v>1</v>
      </c>
      <c r="BL134" s="41" cm="1">
        <f t="array" ref="BL134">IF(VLOOKUP($Q134,武学奇术!$A:$ZZ,23,FALSE)=1,100%,MIN(80%,$B$9+VLOOKUP($Q134,武学奇术!$A:$ZZ,17,FALSE)+SUM(_xlfn.XLOOKUP(R134:AH134,增益!$A:$A,增益!$Q:$Q,0)))+$B$11+SUM(_xlfn.XLOOKUP(R134:AH134,增益!$A:$A,增益!$U:$U,0)))*IF(VLOOKUP($Q134,武学奇术!$A:$ZZ,24,FALSE)=1,0,1)</f>
        <v>0.9045</v>
      </c>
      <c r="BM134" s="41" cm="1">
        <f t="array" ref="BM134">1+$B$13+VLOOKUP($Q134,武学奇术!$A:$ZZ,18,FALSE)+SUM(_xlfn.XLOOKUP(R134:AH134,增益!$A:$A,增益!$R:$R,0))</f>
        <v>1.85</v>
      </c>
      <c r="BN134" s="41" cm="1">
        <f t="array" ref="BN134">IF(VLOOKUP($Q134,武学奇术!$A:$ZZ,24,FALSE)=1,100%,MIN(40%,$B$10+VLOOKUP($Q134,武学奇术!$A:$ZZ,19,FALSE)+SUM(_xlfn.XLOOKUP(R134:AH134,增益!$A:$A,增益!$S:$S,0)))+$B$12+SUM(_xlfn.XLOOKUP(R134:AH134,增益!$A:$A,增益!$V:$V,0)))*IF(VLOOKUP($Q134,武学奇术!$A:$ZZ,23,FALSE)=1,0,1)</f>
        <v>0.0929</v>
      </c>
      <c r="BO134" s="41" cm="1">
        <f t="array" ref="BO134">1+$B$14+VLOOKUP($Q134,武学奇术!$A:$ZZ,20,FALSE)+SUM(_xlfn.XLOOKUP(R134:AH134,增益!$A:$A,增益!$T:$T,0))</f>
        <v>1.35</v>
      </c>
      <c r="BP134" s="41">
        <f t="shared" si="43"/>
        <v>0.9045</v>
      </c>
      <c r="BQ134" s="41">
        <f>1-BN134-BP134-BR134</f>
        <v>0.00260000000000005</v>
      </c>
      <c r="BR134" s="41">
        <f>IF(VLOOKUP($Q134,武学奇术!$A:$ZZ,22,FALSE)=1,0,(1-$BK134))*(1-$BN134)</f>
        <v>0</v>
      </c>
      <c r="BS134" s="41" cm="1">
        <f t="array" ref="BS134">SUM(_xlfn.XLOOKUP(R134:AH134,增益!$A:$A,增益!$W:$W,0))+$I$5</f>
        <v>0.31</v>
      </c>
    </row>
    <row r="135" spans="11:71">
      <c r="K135" s="55">
        <f>($L135*$BP135+$M135*$BN135+$N135*$BQ135+$O135*$BR135)</f>
        <v>14181.1076443404</v>
      </c>
      <c r="L135" s="55">
        <f>((($AP135+$AQ135)/2*$AJ135+$AK135)*(1+$AR135)*(1+$AS135)+(($AU135+$AV135)/2*IF($G$1="鸣金",$AL135,$AJ135)+IF($G$1="鸣金",$AM135*1.5,0))*(1+$AW135)*(1+$AX135)+(($AY135+$AZ135)/2*IF($G$1="裂石",$AL135,$AJ135)+IF($G$1="裂石",$AM135*1.5,0))*(1+$BA135)*(1+$BB135)+(($BC135+$BD135)/2*IF($G$1="牵丝",$AL135,$AJ135)+IF($G$1="牵丝",$AM135*1.5,0))*(1+$BE135)*(1+$BF135)+(($BG135+$BH135)/2*IF($G$1="破竹",$AL135,$AJ135)+IF($G$1="破竹",$AM135*1.5,0))*(1+$BI135)*(1+$BJ135))*(1+$AN135)*$BM135*$P135*(1+IF(VLOOKUP($Q135,武学奇术!$A:$ZZ,30,FALSE)="弹道",$B$21,0))*(1+$BS135)</f>
        <v>13884.8302164113</v>
      </c>
      <c r="M135" s="55">
        <f>(($AQ135*$AJ135+$AK135)*(1+$AR135)*(1+$AS135)+($AV135*IF($G$1="鸣金",$AL135,$AJ135)+IF($G$1="鸣金",$AM135*1.5,0))*(1+$AW135)*(1+$AX135)+($AZ135*IF($G$1="裂石",$AL135,$AJ135)+IF($G$1="裂石",$AM135*1.5,0))*(1+$BA135)*(1+$BB135)+($BD135*IF($G$1="牵丝",$AL135,$AJ135)+IF($G$1="牵丝",$AM135*1.5,0))*(1+$BE135)*(1+$BF135)+($BH135*IF($G$1="破竹",$AL135,$AJ135)+IF($G$1="破竹",$AM135*1.5,0))*(1+$BI135)*(1+$BJ135))*(1+$AN135)*$BO135*$P135*(1+IF(VLOOKUP($Q135,武学奇术!$A:$ZZ,30,FALSE)="弹道",$B$21,0))*(1+$BS135)</f>
        <v>17219.7617276074</v>
      </c>
      <c r="N135" s="55">
        <f>((($AP135+$AQ135)/2*$AJ135+$AK135)*(1+$AR135)*(1+$AS135)+(($AU135+$AV135)/2*IF($G$1="鸣金",$AL135,$AJ135)+IF($G$1="鸣金",$AM135*1.5,0))*(1+$AW135)*(1+$AX135)+(($AY135+$AZ135)/2*IF($G$1="裂石",$AL135,$AJ135)+IF($G$1="裂石",$AM135*1.5,0))*(1+$BA135)*(1+$BB135)+(($BC135+$BD135)/2*IF($G$1="牵丝",$AL135,$AJ135)+IF($G$1="牵丝",$AM135*1.5,0))*(1+$BE135)*(1+$BF135)+(($BG135+$BH135)/2*IF($G$1="破竹",$AL135,$AJ135)+IF($G$1="破竹",$AM135*1.5,0))*(1+$BI135)*(1+$BJ135))*(1+$AN135)*$P135*(1+IF(VLOOKUP($Q135,武学奇术!$A:$ZZ,30,FALSE)="弹道",$B$21,0))*(1+$BS135)</f>
        <v>8678.01888525707</v>
      </c>
      <c r="O135" s="55">
        <f>((($AP135*$AJ135+$AK135)*(1+$AR135)*(1+$AS135)+($AU135*IF($G$1="鸣金",$AL135,$AJ135)+IF($G$1="鸣金",$AM135*1.5,0))*(1+$AW135)*(1+$AX135)+($AY135*IF($G$1="裂石",$AL135,$AJ135)+IF($G$1="裂石",$AM135*1.5,0))*(1+$BA135)*(1+$BB135)+($BC135*IF($G$1="牵丝",$AL135,$AJ135)+IF($G$1="牵丝",$AM135*1.5,0))*(1+$BE135)*(1+$BF135)+($BG135*IF($G$1="破竹",$AL135,$AJ135)+IF($G$1="破竹",$AM135*1.5,0))*(1+$BI135)*(1+$BJ135))*(1+$AN135))*$P135*(1+IF(VLOOKUP($Q135,武学奇术!$A:$ZZ,30,FALSE)="弹道",$B$21,0))*(1+$BS135)</f>
        <v>4600.65871302716</v>
      </c>
      <c r="P135" s="56">
        <f t="shared" si="42"/>
        <v>1</v>
      </c>
      <c r="Q135" s="57" t="s">
        <v>171</v>
      </c>
      <c r="R135" s="57" t="s">
        <v>116</v>
      </c>
      <c r="S135" s="57" t="s">
        <v>153</v>
      </c>
      <c r="T135" s="57" t="s">
        <v>72</v>
      </c>
      <c r="U135" s="57" t="s">
        <v>107</v>
      </c>
      <c r="V135" s="57" t="s">
        <v>72</v>
      </c>
      <c r="W135" s="57" t="s">
        <v>72</v>
      </c>
      <c r="X135" s="57" t="s">
        <v>72</v>
      </c>
      <c r="Y135" s="57" t="s">
        <v>72</v>
      </c>
      <c r="Z135" s="57" t="s">
        <v>72</v>
      </c>
      <c r="AA135" s="57" t="s">
        <v>72</v>
      </c>
      <c r="AB135" s="57" t="s">
        <v>96</v>
      </c>
      <c r="AC135" s="57" t="s">
        <v>72</v>
      </c>
      <c r="AD135" s="57" t="s">
        <v>72</v>
      </c>
      <c r="AE135" s="57" t="s">
        <v>72</v>
      </c>
      <c r="AF135" s="57" t="s">
        <v>72</v>
      </c>
      <c r="AG135" s="57" t="s">
        <v>72</v>
      </c>
      <c r="AH135" s="57" t="s">
        <v>87</v>
      </c>
      <c r="AI135" t="str">
        <f>VLOOKUP($Q135,武学奇术!$A:$ZZ,25,FALSE)</f>
        <v>心法</v>
      </c>
      <c r="AJ135" s="41">
        <f>VLOOKUP($Q135,武学奇术!$A:$ZZ,26,FALSE)</f>
        <v>1</v>
      </c>
      <c r="AK135" s="42">
        <f>VLOOKUP($Q135,武学奇术!$A:$ZZ,27,FALSE)*(1+IF(OR($AI135=$F$4,$AI135=$F$5),$B$22,0))</f>
        <v>0</v>
      </c>
      <c r="AL135" s="41">
        <f>VLOOKUP($Q135,武学奇术!$A:$ZZ,28,FALSE)</f>
        <v>1</v>
      </c>
      <c r="AM135" s="42">
        <f>VLOOKUP($Q135,武学奇术!$A:$ZZ,29,FALSE)*(1+IF(OR($AI135=$F$4,$AI135=$F$5),$B$22,0))</f>
        <v>0</v>
      </c>
      <c r="AN135" s="41" cm="1">
        <f t="array" ref="AN135">$G$3+IFERROR(VLOOKUP($AI135,$F$4:$G$7,2,FALSE),0)+VLOOKUP($Q135,武学奇术!$A:$ZZ,2,FALSE)+SUM(_xlfn.XLOOKUP($R135:$AH135,增益!$A:$A,增益!$B:$B,0))</f>
        <v>0.2337</v>
      </c>
      <c r="AO135" s="41" cm="1">
        <f t="array" ref="AO135">VLOOKUP($Q135,武学奇术!$A:$ZZ,5,FALSE)+SUM(_xlfn.XLOOKUP($R135:$AH135,增益!$A:$A,增益!$E:$E,0))</f>
        <v>0.075</v>
      </c>
      <c r="AP135" cm="1">
        <f t="array" ref="AP135">$D$10*(1+$AO135)+VLOOKUP($Q135,武学奇术!$A:$ZZ,3,FALSE)+SUM(_xlfn.XLOOKUP($R135:$AH135,增益!$A:$A,增益!$C:$C,0))-$I$2</f>
        <v>1974.055</v>
      </c>
      <c r="AQ135" cm="1">
        <f t="array" ref="AQ135">$E$10*(1+$AO135)+VLOOKUP($Q135,武学奇术!$A:$ZZ,4,FALSE)+SUM(_xlfn.XLOOKUP($R135:$AH135,增益!$A:$A,增益!$D:$D,0))-$I$2</f>
        <v>5941.45</v>
      </c>
      <c r="AR135" s="49" cm="1">
        <f t="array" ref="AR135">IF($F$10-$I$3+VLOOKUP($Q135,武学奇术!$A:$ZZ,6,FALSE)+SUM(_xlfn.XLOOKUP(R135:AH135,增益!$A:$A,增益!$F:$F,0))&gt;0,($F$10-$I$3+VLOOKUP($Q135,武学奇术!$A:$ZZ,6,FALSE)+SUM(_xlfn.XLOOKUP(R135:AH135,增益!$A:$A,增益!$F:$F,0)))/200,($F$10-$I$3+VLOOKUP($Q135,武学奇术!$A:$ZZ,6,FALSE)+SUM(_xlfn.XLOOKUP(R135:AH135,增益!$A:$A,增益!$F:$F,0)))/100)</f>
        <v>0.3425</v>
      </c>
      <c r="AS135" s="49" cm="1">
        <f t="array" ref="AS135">$G$10+VLOOKUP($Q135,武学奇术!$A:$ZZ,7,FALSE)+SUM(_xlfn.XLOOKUP(R135:AH135,增益!$A:$A,增益!$G:$G,0))</f>
        <v>0</v>
      </c>
      <c r="AT135" s="41" cm="1">
        <f t="array" ref="AT135">VLOOKUP($Q135,武学奇术!$A:$ZZ,8,FALSE)+SUM(_xlfn.XLOOKUP(R135:AH135,增益!$A:$A,增益!$H:$H,0))</f>
        <v>0</v>
      </c>
      <c r="AU135">
        <f>$D$11*(1+$AT135)</f>
        <v>0</v>
      </c>
      <c r="AV135">
        <f>$E$11*(1+$AT135)</f>
        <v>0</v>
      </c>
      <c r="AW135" s="49" cm="1">
        <f t="array" ref="AW135">IF($F$11-$I$4+VLOOKUP($Q135,武学奇术!$A:$ZZ,9,FALSE)+SUM(_xlfn.XLOOKUP(R135:AH135,增益!$A:$A,增益!$I:$I,0))&gt;0,($F$11-$I$4+VLOOKUP($Q135,武学奇术!$A:$ZZ,9,FALSE)+SUM(_xlfn.XLOOKUP(R135:AH135,增益!$A:$A,增益!$I:$I,0)))/200,($F$11-$I$4+VLOOKUP($Q135,武学奇术!$A:$ZZ,9,FALSE)+SUM(_xlfn.XLOOKUP(R135:AH135,增益!$A:$A,增益!$I:$I,0)))/100)</f>
        <v>-0.14</v>
      </c>
      <c r="AX135" s="49" cm="1">
        <f t="array" ref="AX135">$G$11+VLOOKUP($Q135,武学奇术!$A:$ZZ,10,FALSE)+SUM(_xlfn.XLOOKUP(R135:AH135,增益!$A:$A,增益!$J:$J,0))</f>
        <v>0</v>
      </c>
      <c r="AY135">
        <f>$D$12*(1+$AT135)</f>
        <v>0</v>
      </c>
      <c r="AZ135">
        <f>$E$12*(1+$AT135)</f>
        <v>0</v>
      </c>
      <c r="BA135" s="49" cm="1">
        <f t="array" ref="BA135">IF($F$12-$I$4+VLOOKUP($Q135,武学奇术!$A:$ZZ,11,FALSE)+SUM(_xlfn.XLOOKUP(R135:AH135,增益!$A:$A,增益!$K:$K,0))&gt;0,($F$12-$I$4+VLOOKUP($Q135,武学奇术!$A:$ZZ,11,FALSE)+SUM(_xlfn.XLOOKUP(R135:AH135,增益!$A:$A,增益!$K:$K,0)))/200,($F$12-$I$4+VLOOKUP($Q135,武学奇术!$A:$ZZ,11,FALSE)+SUM(_xlfn.XLOOKUP(R135:AH135,增益!$A:$A,增益!$K:$K,0)))/100)</f>
        <v>-0.14</v>
      </c>
      <c r="BB135" s="49" cm="1">
        <f t="array" ref="BB135">$G$12+VLOOKUP($Q135,武学奇术!$A:$ZZ,12,FALSE)+SUM(_xlfn.XLOOKUP(R135:AH135,增益!$A:$A,增益!$L:$L,0))</f>
        <v>0</v>
      </c>
      <c r="BC135">
        <f>$D$13*(1+$AT135)</f>
        <v>571.2</v>
      </c>
      <c r="BD135">
        <f>$E$13*(1+$AT135)</f>
        <v>1077.4</v>
      </c>
      <c r="BE135" s="49" cm="1">
        <f t="array" ref="BE135">IF($F$13-$I$4+VLOOKUP($Q135,武学奇术!$A:$ZZ,13,FALSE)+SUM(_xlfn.XLOOKUP(R135:AH135,增益!$A:$A,增益!$M:$M,0))&gt;0,($F$13-$I$4+VLOOKUP($Q135,武学奇术!$A:$ZZ,13,FALSE)+SUM(_xlfn.XLOOKUP(R135:AH135,增益!$A:$A,增益!$K:$K,0)))/200,($F$13-$I$4+VLOOKUP($Q135,武学奇术!$A:$ZZ,13,FALSE)+SUM(_xlfn.XLOOKUP(R135:AH135,增益!$A:$A,增益!$M:$M,0)))/100)</f>
        <v>0.08</v>
      </c>
      <c r="BF135" s="49" cm="1">
        <f t="array" ref="BF135">$G$13+VLOOKUP($Q135,武学奇术!$A:$ZZ,14,FALSE)+SUM(_xlfn.XLOOKUP(R135:AH135,增益!$A:$A,增益!$N:$N,0))</f>
        <v>0.15</v>
      </c>
      <c r="BG135">
        <f>$D$14*(1+$AT135)</f>
        <v>0</v>
      </c>
      <c r="BH135">
        <f>$E$14*(1+$AT135)</f>
        <v>0</v>
      </c>
      <c r="BI135" s="49" cm="1">
        <f t="array" ref="BI135">IF($F$14-$I$4+VLOOKUP($Q135,武学奇术!$A:$ZZ,15,FALSE)+SUM(_xlfn.XLOOKUP(R135:AH135,增益!$A:$A,增益!$O:$O,0))&gt;0,($F$14-$I$4+VLOOKUP($Q135,武学奇术!$A:$ZZ,15,FALSE)+SUM(_xlfn.XLOOKUP(R135:AH135,增益!$A:$A,增益!$O:$O,0)))/200,($F$14-$I$4+VLOOKUP($Q135,武学奇术!$A:$ZZ,15,FALSE)+SUM(_xlfn.XLOOKUP(R135:AH135,增益!$A:$A,增益!$O:$O,0)))/100)</f>
        <v>-0.14</v>
      </c>
      <c r="BJ135" s="49" cm="1">
        <f t="array" ref="BJ135">$G$14+VLOOKUP($Q135,武学奇术!$A:$ZZ,16,FALSE)+SUM(_xlfn.XLOOKUP(R135:AH135,增益!$A:$A,增益!$P:$P,0))</f>
        <v>0</v>
      </c>
      <c r="BK135" s="41">
        <f>MIN(IF(VLOOKUP($Q135,武学奇术!$A:$ZZ,23,FALSE)=1,100%,$B$8),100%)</f>
        <v>1</v>
      </c>
      <c r="BL135" s="41" cm="1">
        <f t="array" ref="BL135">IF(VLOOKUP($Q135,武学奇术!$A:$ZZ,23,FALSE)=1,100%,MIN(80%,$B$9+VLOOKUP($Q135,武学奇术!$A:$ZZ,17,FALSE)+SUM(_xlfn.XLOOKUP(R135:AH135,增益!$A:$A,增益!$Q:$Q,0)))+$B$11+SUM(_xlfn.XLOOKUP(R135:AH135,增益!$A:$A,增益!$U:$U,0)))*IF(VLOOKUP($Q135,武学奇术!$A:$ZZ,24,FALSE)=1,0,1)</f>
        <v>0.9045</v>
      </c>
      <c r="BM135" s="41" cm="1">
        <f t="array" ref="BM135">1+$B$13+VLOOKUP($Q135,武学奇术!$A:$ZZ,18,FALSE)+SUM(_xlfn.XLOOKUP(R135:AH135,增益!$A:$A,增益!$R:$R,0))</f>
        <v>1.6</v>
      </c>
      <c r="BN135" s="41" cm="1">
        <f t="array" ref="BN135">IF(VLOOKUP($Q135,武学奇术!$A:$ZZ,24,FALSE)=1,100%,MIN(40%,$B$10+VLOOKUP($Q135,武学奇术!$A:$ZZ,19,FALSE)+SUM(_xlfn.XLOOKUP(R135:AH135,增益!$A:$A,增益!$S:$S,0)))+$B$12+SUM(_xlfn.XLOOKUP(R135:AH135,增益!$A:$A,增益!$V:$V,0)))*IF(VLOOKUP($Q135,武学奇术!$A:$ZZ,23,FALSE)=1,0,1)</f>
        <v>0.0929</v>
      </c>
      <c r="BO135" s="41" cm="1">
        <f t="array" ref="BO135">1+$B$14+VLOOKUP($Q135,武学奇术!$A:$ZZ,20,FALSE)+SUM(_xlfn.XLOOKUP(R135:AH135,增益!$A:$A,增益!$T:$T,0))</f>
        <v>1.35</v>
      </c>
      <c r="BP135" s="41">
        <f t="shared" si="43"/>
        <v>0.9045</v>
      </c>
      <c r="BQ135" s="41">
        <f t="shared" ref="BQ135:BQ140" si="44">1-BN135-BP135-BR135</f>
        <v>0.00260000000000005</v>
      </c>
      <c r="BR135" s="41">
        <f>IF(VLOOKUP($Q135,武学奇术!$A:$ZZ,22,FALSE)=1,0,(1-$BK135))*(1-$BN135)</f>
        <v>0</v>
      </c>
      <c r="BS135" s="41" cm="1">
        <f t="array" ref="BS135">SUM(_xlfn.XLOOKUP(R135:AH135,增益!$A:$A,增益!$W:$W,0))+$I$5</f>
        <v>0.11</v>
      </c>
    </row>
    <row r="136" spans="11:71">
      <c r="K136" s="55">
        <f>($L136*$BP136+$M136*$BN136+$N136*$BQ136+$O136*$BR136)</f>
        <v>17406.3676841998</v>
      </c>
      <c r="L136" s="55">
        <f>((($AP136+$AQ136)/2*$AJ136+$AK136)*(1+$AR136)*(1+$AS136)+(($AU136+$AV136)/2*IF($G$1="鸣金",$AL136,$AJ136)+IF($G$1="鸣金",$AM136*1.5,0))*(1+$AW136)*(1+$AX136)+(($AY136+$AZ136)/2*IF($G$1="裂石",$AL136,$AJ136)+IF($G$1="裂石",$AM136*1.5,0))*(1+$BA136)*(1+$BB136)+(($BC136+$BD136)/2*IF($G$1="牵丝",$AL136,$AJ136)+IF($G$1="牵丝",$AM136*1.5,0))*(1+$BE136)*(1+$BF136)+(($BG136+$BH136)/2*IF($G$1="破竹",$AL136,$AJ136)+IF($G$1="破竹",$AM136*1.5,0))*(1+$BI136)*(1+$BJ136))*(1+$AN136)*$BM136*$P136*(1+IF(VLOOKUP($Q136,武学奇术!$A:$ZZ,30,FALSE)="弹道",$B$21,0))*(1+$BS136)</f>
        <v>17307.6576700843</v>
      </c>
      <c r="M136" s="55">
        <f>(($AQ136*$AJ136+$AK136)*(1+$AR136)*(1+$AS136)+($AV136*IF($G$1="鸣金",$AL136,$AJ136)+IF($G$1="鸣金",$AM136*1.5,0))*(1+$AW136)*(1+$AX136)+($AZ136*IF($G$1="裂石",$AL136,$AJ136)+IF($G$1="裂石",$AM136*1.5,0))*(1+$BA136)*(1+$BB136)+($BD136*IF($G$1="牵丝",$AL136,$AJ136)+IF($G$1="牵丝",$AM136*1.5,0))*(1+$BE136)*(1+$BF136)+($BH136*IF($G$1="破竹",$AL136,$AJ136)+IF($G$1="破竹",$AM136*1.5,0))*(1+$BI136)*(1+$BJ136))*(1+$AN136)*$BO136*$P136*(1+IF(VLOOKUP($Q136,武学奇术!$A:$ZZ,30,FALSE)="弹道",$B$21,0))*(1+$BS136)</f>
        <v>18592.7561460077</v>
      </c>
      <c r="N136" s="55">
        <f>((($AP136+$AQ136)/2*$AJ136+$AK136)*(1+$AR136)*(1+$AS136)+(($AU136+$AV136)/2*IF($G$1="鸣金",$AL136,$AJ136)+IF($G$1="鸣金",$AM136*1.5,0))*(1+$AW136)*(1+$AX136)+(($AY136+$AZ136)/2*IF($G$1="裂石",$AL136,$AJ136)+IF($G$1="裂石",$AM136*1.5,0))*(1+$BA136)*(1+$BB136)+(($BC136+$BD136)/2*IF($G$1="牵丝",$AL136,$AJ136)+IF($G$1="牵丝",$AM136*1.5,0))*(1+$BE136)*(1+$BF136)+(($BG136+$BH136)/2*IF($G$1="破竹",$AL136,$AJ136)+IF($G$1="破竹",$AM136*1.5,0))*(1+$BI136)*(1+$BJ136))*(1+$AN136)*$P136*(1+IF(VLOOKUP($Q136,武学奇术!$A:$ZZ,30,FALSE)="弹道",$B$21,0))*(1+$BS136)</f>
        <v>9355.49063247801</v>
      </c>
      <c r="O136" s="55">
        <f>((($AP136*$AJ136+$AK136)*(1+$AR136)*(1+$AS136)+($AU136*IF($G$1="鸣金",$AL136,$AJ136)+IF($G$1="鸣金",$AM136*1.5,0))*(1+$AW136)*(1+$AX136)+($AY136*IF($G$1="裂石",$AL136,$AJ136)+IF($G$1="裂石",$AM136*1.5,0))*(1+$BA136)*(1+$BB136)+($BC136*IF($G$1="牵丝",$AL136,$AJ136)+IF($G$1="牵丝",$AM136*1.5,0))*(1+$BE136)*(1+$BF136)+($BG136*IF($G$1="破竹",$AL136,$AJ136)+IF($G$1="破竹",$AM136*1.5,0))*(1+$BI136)*(1+$BJ136))*(1+$AN136))*$P136*(1+IF(VLOOKUP($Q136,武学奇术!$A:$ZZ,30,FALSE)="弹道",$B$21,0))*(1+$BS136)</f>
        <v>4938.56930495029</v>
      </c>
      <c r="P136" s="56">
        <f t="shared" si="42"/>
        <v>1</v>
      </c>
      <c r="Q136" s="57" t="s">
        <v>171</v>
      </c>
      <c r="R136" s="57" t="s">
        <v>116</v>
      </c>
      <c r="S136" s="57" t="s">
        <v>153</v>
      </c>
      <c r="T136" s="57" t="s">
        <v>72</v>
      </c>
      <c r="U136" s="57" t="s">
        <v>107</v>
      </c>
      <c r="V136" s="57" t="s">
        <v>72</v>
      </c>
      <c r="W136" s="57" t="s">
        <v>72</v>
      </c>
      <c r="X136" s="57" t="s">
        <v>72</v>
      </c>
      <c r="Y136" s="57" t="s">
        <v>112</v>
      </c>
      <c r="Z136" s="57" t="s">
        <v>72</v>
      </c>
      <c r="AA136" s="57" t="s">
        <v>72</v>
      </c>
      <c r="AB136" s="57" t="s">
        <v>96</v>
      </c>
      <c r="AC136" s="57" t="s">
        <v>72</v>
      </c>
      <c r="AD136" s="57" t="s">
        <v>72</v>
      </c>
      <c r="AE136" s="57" t="s">
        <v>72</v>
      </c>
      <c r="AF136" s="57" t="s">
        <v>72</v>
      </c>
      <c r="AG136" s="57" t="s">
        <v>72</v>
      </c>
      <c r="AH136" s="57" t="s">
        <v>87</v>
      </c>
      <c r="AI136" t="str">
        <f>VLOOKUP($Q136,武学奇术!$A:$ZZ,25,FALSE)</f>
        <v>心法</v>
      </c>
      <c r="AJ136" s="41">
        <f>VLOOKUP($Q136,武学奇术!$A:$ZZ,26,FALSE)</f>
        <v>1</v>
      </c>
      <c r="AK136" s="42">
        <f>VLOOKUP($Q136,武学奇术!$A:$ZZ,27,FALSE)*(1+IF(OR($AI136=$F$4,$AI136=$F$5),$B$22,0))</f>
        <v>0</v>
      </c>
      <c r="AL136" s="41">
        <f>VLOOKUP($Q136,武学奇术!$A:$ZZ,28,FALSE)</f>
        <v>1</v>
      </c>
      <c r="AM136" s="42">
        <f>VLOOKUP($Q136,武学奇术!$A:$ZZ,29,FALSE)*(1+IF(OR($AI136=$F$4,$AI136=$F$5),$B$22,0))</f>
        <v>0</v>
      </c>
      <c r="AN136" s="41" cm="1">
        <f t="array" ref="AN136">$G$3+IFERROR(VLOOKUP($AI136,$F$4:$G$7,2,FALSE),0)+VLOOKUP($Q136,武学奇术!$A:$ZZ,2,FALSE)+SUM(_xlfn.XLOOKUP($R136:$AH136,增益!$A:$A,增益!$B:$B,0))</f>
        <v>0.2337</v>
      </c>
      <c r="AO136" s="41" cm="1">
        <f t="array" ref="AO136">VLOOKUP($Q136,武学奇术!$A:$ZZ,5,FALSE)+SUM(_xlfn.XLOOKUP($R136:$AH136,增益!$A:$A,增益!$E:$E,0))</f>
        <v>0.075</v>
      </c>
      <c r="AP136" cm="1">
        <f t="array" ref="AP136">$D$10*(1+$AO136)+VLOOKUP($Q136,武学奇术!$A:$ZZ,3,FALSE)+SUM(_xlfn.XLOOKUP($R136:$AH136,增益!$A:$A,增益!$C:$C,0))-$I$2</f>
        <v>1974.055</v>
      </c>
      <c r="AQ136" cm="1">
        <f t="array" ref="AQ136">$E$10*(1+$AO136)+VLOOKUP($Q136,武学奇术!$A:$ZZ,4,FALSE)+SUM(_xlfn.XLOOKUP($R136:$AH136,增益!$A:$A,增益!$D:$D,0))-$I$2</f>
        <v>5941.45</v>
      </c>
      <c r="AR136" s="49" cm="1">
        <f t="array" ref="AR136">IF($F$10-$I$3+VLOOKUP($Q136,武学奇术!$A:$ZZ,6,FALSE)+SUM(_xlfn.XLOOKUP(R136:AH136,增益!$A:$A,增益!$F:$F,0))&gt;0,($F$10-$I$3+VLOOKUP($Q136,武学奇术!$A:$ZZ,6,FALSE)+SUM(_xlfn.XLOOKUP(R136:AH136,增益!$A:$A,增益!$F:$F,0)))/200,($F$10-$I$3+VLOOKUP($Q136,武学奇术!$A:$ZZ,6,FALSE)+SUM(_xlfn.XLOOKUP(R136:AH136,增益!$A:$A,增益!$F:$F,0)))/100)</f>
        <v>0.4675</v>
      </c>
      <c r="AS136" s="49" cm="1">
        <f t="array" ref="AS136">$G$10+VLOOKUP($Q136,武学奇术!$A:$ZZ,7,FALSE)+SUM(_xlfn.XLOOKUP(R136:AH136,增益!$A:$A,增益!$G:$G,0))</f>
        <v>0</v>
      </c>
      <c r="AT136" s="41" cm="1">
        <f t="array" ref="AT136">VLOOKUP($Q136,武学奇术!$A:$ZZ,8,FALSE)+SUM(_xlfn.XLOOKUP(R136:AH136,增益!$A:$A,增益!$H:$H,0))</f>
        <v>0</v>
      </c>
      <c r="AU136">
        <f>$D$11*(1+$AT136)</f>
        <v>0</v>
      </c>
      <c r="AV136">
        <f>$E$11*(1+$AT136)</f>
        <v>0</v>
      </c>
      <c r="AW136" s="49" cm="1">
        <f t="array" ref="AW136">IF($F$11-$I$4+VLOOKUP($Q136,武学奇术!$A:$ZZ,9,FALSE)+SUM(_xlfn.XLOOKUP(R136:AH136,增益!$A:$A,增益!$I:$I,0))&gt;0,($F$11-$I$4+VLOOKUP($Q136,武学奇术!$A:$ZZ,9,FALSE)+SUM(_xlfn.XLOOKUP(R136:AH136,增益!$A:$A,增益!$I:$I,0)))/200,($F$11-$I$4+VLOOKUP($Q136,武学奇术!$A:$ZZ,9,FALSE)+SUM(_xlfn.XLOOKUP(R136:AH136,增益!$A:$A,增益!$I:$I,0)))/100)</f>
        <v>-0.14</v>
      </c>
      <c r="AX136" s="49" cm="1">
        <f t="array" ref="AX136">$G$11+VLOOKUP($Q136,武学奇术!$A:$ZZ,10,FALSE)+SUM(_xlfn.XLOOKUP(R136:AH136,增益!$A:$A,增益!$J:$J,0))</f>
        <v>0</v>
      </c>
      <c r="AY136">
        <f>$D$12*(1+$AT136)</f>
        <v>0</v>
      </c>
      <c r="AZ136">
        <f>$E$12*(1+$AT136)</f>
        <v>0</v>
      </c>
      <c r="BA136" s="49" cm="1">
        <f t="array" ref="BA136">IF($F$12-$I$4+VLOOKUP($Q136,武学奇术!$A:$ZZ,11,FALSE)+SUM(_xlfn.XLOOKUP(R136:AH136,增益!$A:$A,增益!$K:$K,0))&gt;0,($F$12-$I$4+VLOOKUP($Q136,武学奇术!$A:$ZZ,11,FALSE)+SUM(_xlfn.XLOOKUP(R136:AH136,增益!$A:$A,增益!$K:$K,0)))/200,($F$12-$I$4+VLOOKUP($Q136,武学奇术!$A:$ZZ,11,FALSE)+SUM(_xlfn.XLOOKUP(R136:AH136,增益!$A:$A,增益!$K:$K,0)))/100)</f>
        <v>-0.14</v>
      </c>
      <c r="BB136" s="49" cm="1">
        <f t="array" ref="BB136">$G$12+VLOOKUP($Q136,武学奇术!$A:$ZZ,12,FALSE)+SUM(_xlfn.XLOOKUP(R136:AH136,增益!$A:$A,增益!$L:$L,0))</f>
        <v>0</v>
      </c>
      <c r="BC136">
        <f>$D$13*(1+$AT136)</f>
        <v>571.2</v>
      </c>
      <c r="BD136">
        <f>$E$13*(1+$AT136)</f>
        <v>1077.4</v>
      </c>
      <c r="BE136" s="49" cm="1">
        <f t="array" ref="BE136">IF($F$13-$I$4+VLOOKUP($Q136,武学奇术!$A:$ZZ,13,FALSE)+SUM(_xlfn.XLOOKUP(R136:AH136,增益!$A:$A,增益!$M:$M,0))&gt;0,($F$13-$I$4+VLOOKUP($Q136,武学奇术!$A:$ZZ,13,FALSE)+SUM(_xlfn.XLOOKUP(R136:AH136,增益!$A:$A,增益!$K:$K,0)))/200,($F$13-$I$4+VLOOKUP($Q136,武学奇术!$A:$ZZ,13,FALSE)+SUM(_xlfn.XLOOKUP(R136:AH136,增益!$A:$A,增益!$M:$M,0)))/100)</f>
        <v>0.08</v>
      </c>
      <c r="BF136" s="49" cm="1">
        <f t="array" ref="BF136">$G$13+VLOOKUP($Q136,武学奇术!$A:$ZZ,14,FALSE)+SUM(_xlfn.XLOOKUP(R136:AH136,增益!$A:$A,增益!$N:$N,0))</f>
        <v>0.15</v>
      </c>
      <c r="BG136">
        <f>$D$14*(1+$AT136)</f>
        <v>0</v>
      </c>
      <c r="BH136">
        <f>$E$14*(1+$AT136)</f>
        <v>0</v>
      </c>
      <c r="BI136" s="49" cm="1">
        <f t="array" ref="BI136">IF($F$14-$I$4+VLOOKUP($Q136,武学奇术!$A:$ZZ,15,FALSE)+SUM(_xlfn.XLOOKUP(R136:AH136,增益!$A:$A,增益!$O:$O,0))&gt;0,($F$14-$I$4+VLOOKUP($Q136,武学奇术!$A:$ZZ,15,FALSE)+SUM(_xlfn.XLOOKUP(R136:AH136,增益!$A:$A,增益!$O:$O,0)))/200,($F$14-$I$4+VLOOKUP($Q136,武学奇术!$A:$ZZ,15,FALSE)+SUM(_xlfn.XLOOKUP(R136:AH136,增益!$A:$A,增益!$O:$O,0)))/100)</f>
        <v>-0.14</v>
      </c>
      <c r="BJ136" s="49" cm="1">
        <f t="array" ref="BJ136">$G$14+VLOOKUP($Q136,武学奇术!$A:$ZZ,16,FALSE)+SUM(_xlfn.XLOOKUP(R136:AH136,增益!$A:$A,增益!$P:$P,0))</f>
        <v>0</v>
      </c>
      <c r="BK136" s="41">
        <f>MIN(IF(VLOOKUP($Q136,武学奇术!$A:$ZZ,23,FALSE)=1,100%,$B$8),100%)</f>
        <v>1</v>
      </c>
      <c r="BL136" s="41" cm="1">
        <f t="array" ref="BL136">IF(VLOOKUP($Q136,武学奇术!$A:$ZZ,23,FALSE)=1,100%,MIN(80%,$B$9+VLOOKUP($Q136,武学奇术!$A:$ZZ,17,FALSE)+SUM(_xlfn.XLOOKUP(R136:AH136,增益!$A:$A,增益!$Q:$Q,0)))+$B$11+SUM(_xlfn.XLOOKUP(R136:AH136,增益!$A:$A,增益!$U:$U,0)))*IF(VLOOKUP($Q136,武学奇术!$A:$ZZ,24,FALSE)=1,0,1)</f>
        <v>0.9045</v>
      </c>
      <c r="BM136" s="41" cm="1">
        <f t="array" ref="BM136">1+$B$13+VLOOKUP($Q136,武学奇术!$A:$ZZ,18,FALSE)+SUM(_xlfn.XLOOKUP(R136:AH136,增益!$A:$A,增益!$R:$R,0))</f>
        <v>1.85</v>
      </c>
      <c r="BN136" s="41" cm="1">
        <f t="array" ref="BN136">IF(VLOOKUP($Q136,武学奇术!$A:$ZZ,24,FALSE)=1,100%,MIN(40%,$B$10+VLOOKUP($Q136,武学奇术!$A:$ZZ,19,FALSE)+SUM(_xlfn.XLOOKUP(R136:AH136,增益!$A:$A,增益!$S:$S,0)))+$B$12+SUM(_xlfn.XLOOKUP(R136:AH136,增益!$A:$A,增益!$V:$V,0)))*IF(VLOOKUP($Q136,武学奇术!$A:$ZZ,23,FALSE)=1,0,1)</f>
        <v>0.0929</v>
      </c>
      <c r="BO136" s="41" cm="1">
        <f t="array" ref="BO136">1+$B$14+VLOOKUP($Q136,武学奇术!$A:$ZZ,20,FALSE)+SUM(_xlfn.XLOOKUP(R136:AH136,增益!$A:$A,增益!$T:$T,0))</f>
        <v>1.35</v>
      </c>
      <c r="BP136" s="41">
        <f t="shared" si="43"/>
        <v>0.9045</v>
      </c>
      <c r="BQ136" s="41">
        <f t="shared" si="44"/>
        <v>0.00260000000000005</v>
      </c>
      <c r="BR136" s="41">
        <f>IF(VLOOKUP($Q136,武学奇术!$A:$ZZ,22,FALSE)=1,0,(1-$BK136))*(1-$BN136)</f>
        <v>0</v>
      </c>
      <c r="BS136" s="41" cm="1">
        <f t="array" ref="BS136">SUM(_xlfn.XLOOKUP(R136:AH136,增益!$A:$A,增益!$W:$W,0))+$I$5</f>
        <v>0.11</v>
      </c>
    </row>
    <row r="137" spans="11:71">
      <c r="K137" s="55">
        <f>($L137*$BP137+$M137*$BN137+$N137*$BQ137+$O137*$BR137)</f>
        <v>14181.1076443404</v>
      </c>
      <c r="L137" s="55">
        <f>((($AP137+$AQ137)/2*$AJ137+$AK137)*(1+$AR137)*(1+$AS137)+(($AU137+$AV137)/2*IF($G$1="鸣金",$AL137,$AJ137)+IF($G$1="鸣金",$AM137*1.5,0))*(1+$AW137)*(1+$AX137)+(($AY137+$AZ137)/2*IF($G$1="裂石",$AL137,$AJ137)+IF($G$1="裂石",$AM137*1.5,0))*(1+$BA137)*(1+$BB137)+(($BC137+$BD137)/2*IF($G$1="牵丝",$AL137,$AJ137)+IF($G$1="牵丝",$AM137*1.5,0))*(1+$BE137)*(1+$BF137)+(($BG137+$BH137)/2*IF($G$1="破竹",$AL137,$AJ137)+IF($G$1="破竹",$AM137*1.5,0))*(1+$BI137)*(1+$BJ137))*(1+$AN137)*$BM137*$P137*(1+IF(VLOOKUP($Q137,武学奇术!$A:$ZZ,30,FALSE)="弹道",$B$21,0))*(1+$BS137)</f>
        <v>13884.8302164113</v>
      </c>
      <c r="M137" s="55">
        <f>(($AQ137*$AJ137+$AK137)*(1+$AR137)*(1+$AS137)+($AV137*IF($G$1="鸣金",$AL137,$AJ137)+IF($G$1="鸣金",$AM137*1.5,0))*(1+$AW137)*(1+$AX137)+($AZ137*IF($G$1="裂石",$AL137,$AJ137)+IF($G$1="裂石",$AM137*1.5,0))*(1+$BA137)*(1+$BB137)+($BD137*IF($G$1="牵丝",$AL137,$AJ137)+IF($G$1="牵丝",$AM137*1.5,0))*(1+$BE137)*(1+$BF137)+($BH137*IF($G$1="破竹",$AL137,$AJ137)+IF($G$1="破竹",$AM137*1.5,0))*(1+$BI137)*(1+$BJ137))*(1+$AN137)*$BO137*$P137*(1+IF(VLOOKUP($Q137,武学奇术!$A:$ZZ,30,FALSE)="弹道",$B$21,0))*(1+$BS137)</f>
        <v>17219.7617276074</v>
      </c>
      <c r="N137" s="55">
        <f>((($AP137+$AQ137)/2*$AJ137+$AK137)*(1+$AR137)*(1+$AS137)+(($AU137+$AV137)/2*IF($G$1="鸣金",$AL137,$AJ137)+IF($G$1="鸣金",$AM137*1.5,0))*(1+$AW137)*(1+$AX137)+(($AY137+$AZ137)/2*IF($G$1="裂石",$AL137,$AJ137)+IF($G$1="裂石",$AM137*1.5,0))*(1+$BA137)*(1+$BB137)+(($BC137+$BD137)/2*IF($G$1="牵丝",$AL137,$AJ137)+IF($G$1="牵丝",$AM137*1.5,0))*(1+$BE137)*(1+$BF137)+(($BG137+$BH137)/2*IF($G$1="破竹",$AL137,$AJ137)+IF($G$1="破竹",$AM137*1.5,0))*(1+$BI137)*(1+$BJ137))*(1+$AN137)*$P137*(1+IF(VLOOKUP($Q137,武学奇术!$A:$ZZ,30,FALSE)="弹道",$B$21,0))*(1+$BS137)</f>
        <v>8678.01888525707</v>
      </c>
      <c r="O137" s="55">
        <f>((($AP137*$AJ137+$AK137)*(1+$AR137)*(1+$AS137)+($AU137*IF($G$1="鸣金",$AL137,$AJ137)+IF($G$1="鸣金",$AM137*1.5,0))*(1+$AW137)*(1+$AX137)+($AY137*IF($G$1="裂石",$AL137,$AJ137)+IF($G$1="裂石",$AM137*1.5,0))*(1+$BA137)*(1+$BB137)+($BC137*IF($G$1="牵丝",$AL137,$AJ137)+IF($G$1="牵丝",$AM137*1.5,0))*(1+$BE137)*(1+$BF137)+($BG137*IF($G$1="破竹",$AL137,$AJ137)+IF($G$1="破竹",$AM137*1.5,0))*(1+$BI137)*(1+$BJ137))*(1+$AN137))*$P137*(1+IF(VLOOKUP($Q137,武学奇术!$A:$ZZ,30,FALSE)="弹道",$B$21,0))*(1+$BS137)</f>
        <v>4600.65871302716</v>
      </c>
      <c r="P137" s="56">
        <f t="shared" si="42"/>
        <v>1</v>
      </c>
      <c r="Q137" s="57" t="s">
        <v>171</v>
      </c>
      <c r="R137" s="57" t="s">
        <v>116</v>
      </c>
      <c r="S137" s="57" t="s">
        <v>153</v>
      </c>
      <c r="T137" s="57" t="s">
        <v>72</v>
      </c>
      <c r="U137" s="57" t="s">
        <v>107</v>
      </c>
      <c r="V137" s="57" t="s">
        <v>72</v>
      </c>
      <c r="W137" s="57" t="s">
        <v>72</v>
      </c>
      <c r="X137" s="57" t="s">
        <v>72</v>
      </c>
      <c r="Y137" s="57" t="s">
        <v>72</v>
      </c>
      <c r="Z137" s="57" t="s">
        <v>72</v>
      </c>
      <c r="AA137" s="57" t="s">
        <v>72</v>
      </c>
      <c r="AB137" s="57" t="s">
        <v>96</v>
      </c>
      <c r="AC137" s="57" t="s">
        <v>72</v>
      </c>
      <c r="AD137" s="57" t="s">
        <v>72</v>
      </c>
      <c r="AE137" s="57" t="s">
        <v>72</v>
      </c>
      <c r="AF137" s="57" t="s">
        <v>72</v>
      </c>
      <c r="AG137" s="57" t="s">
        <v>72</v>
      </c>
      <c r="AH137" s="57" t="s">
        <v>87</v>
      </c>
      <c r="AI137" t="str">
        <f>VLOOKUP($Q137,武学奇术!$A:$ZZ,25,FALSE)</f>
        <v>心法</v>
      </c>
      <c r="AJ137" s="41">
        <f>VLOOKUP($Q137,武学奇术!$A:$ZZ,26,FALSE)</f>
        <v>1</v>
      </c>
      <c r="AK137" s="42">
        <f>VLOOKUP($Q137,武学奇术!$A:$ZZ,27,FALSE)*(1+IF(OR($AI137=$F$4,$AI137=$F$5),$B$22,0))</f>
        <v>0</v>
      </c>
      <c r="AL137" s="41">
        <f>VLOOKUP($Q137,武学奇术!$A:$ZZ,28,FALSE)</f>
        <v>1</v>
      </c>
      <c r="AM137" s="42">
        <f>VLOOKUP($Q137,武学奇术!$A:$ZZ,29,FALSE)*(1+IF(OR($AI137=$F$4,$AI137=$F$5),$B$22,0))</f>
        <v>0</v>
      </c>
      <c r="AN137" s="41" cm="1">
        <f t="array" ref="AN137">$G$3+IFERROR(VLOOKUP($AI137,$F$4:$G$7,2,FALSE),0)+VLOOKUP($Q137,武学奇术!$A:$ZZ,2,FALSE)+SUM(_xlfn.XLOOKUP($R137:$AH137,增益!$A:$A,增益!$B:$B,0))</f>
        <v>0.2337</v>
      </c>
      <c r="AO137" s="41" cm="1">
        <f t="array" ref="AO137">VLOOKUP($Q137,武学奇术!$A:$ZZ,5,FALSE)+SUM(_xlfn.XLOOKUP($R137:$AH137,增益!$A:$A,增益!$E:$E,0))</f>
        <v>0.075</v>
      </c>
      <c r="AP137" cm="1">
        <f t="array" ref="AP137">$D$10*(1+$AO137)+VLOOKUP($Q137,武学奇术!$A:$ZZ,3,FALSE)+SUM(_xlfn.XLOOKUP($R137:$AH137,增益!$A:$A,增益!$C:$C,0))-$I$2</f>
        <v>1974.055</v>
      </c>
      <c r="AQ137" cm="1">
        <f t="array" ref="AQ137">$E$10*(1+$AO137)+VLOOKUP($Q137,武学奇术!$A:$ZZ,4,FALSE)+SUM(_xlfn.XLOOKUP($R137:$AH137,增益!$A:$A,增益!$D:$D,0))-$I$2</f>
        <v>5941.45</v>
      </c>
      <c r="AR137" s="49" cm="1">
        <f t="array" ref="AR137">IF($F$10-$I$3+VLOOKUP($Q137,武学奇术!$A:$ZZ,6,FALSE)+SUM(_xlfn.XLOOKUP(R137:AH137,增益!$A:$A,增益!$F:$F,0))&gt;0,($F$10-$I$3+VLOOKUP($Q137,武学奇术!$A:$ZZ,6,FALSE)+SUM(_xlfn.XLOOKUP(R137:AH137,增益!$A:$A,增益!$F:$F,0)))/200,($F$10-$I$3+VLOOKUP($Q137,武学奇术!$A:$ZZ,6,FALSE)+SUM(_xlfn.XLOOKUP(R137:AH137,增益!$A:$A,增益!$F:$F,0)))/100)</f>
        <v>0.3425</v>
      </c>
      <c r="AS137" s="49" cm="1">
        <f t="array" ref="AS137">$G$10+VLOOKUP($Q137,武学奇术!$A:$ZZ,7,FALSE)+SUM(_xlfn.XLOOKUP(R137:AH137,增益!$A:$A,增益!$G:$G,0))</f>
        <v>0</v>
      </c>
      <c r="AT137" s="41" cm="1">
        <f t="array" ref="AT137">VLOOKUP($Q137,武学奇术!$A:$ZZ,8,FALSE)+SUM(_xlfn.XLOOKUP(R137:AH137,增益!$A:$A,增益!$H:$H,0))</f>
        <v>0</v>
      </c>
      <c r="AU137">
        <f>$D$11*(1+$AT137)</f>
        <v>0</v>
      </c>
      <c r="AV137">
        <f>$E$11*(1+$AT137)</f>
        <v>0</v>
      </c>
      <c r="AW137" s="49" cm="1">
        <f t="array" ref="AW137">IF($F$11-$I$4+VLOOKUP($Q137,武学奇术!$A:$ZZ,9,FALSE)+SUM(_xlfn.XLOOKUP(R137:AH137,增益!$A:$A,增益!$I:$I,0))&gt;0,($F$11-$I$4+VLOOKUP($Q137,武学奇术!$A:$ZZ,9,FALSE)+SUM(_xlfn.XLOOKUP(R137:AH137,增益!$A:$A,增益!$I:$I,0)))/200,($F$11-$I$4+VLOOKUP($Q137,武学奇术!$A:$ZZ,9,FALSE)+SUM(_xlfn.XLOOKUP(R137:AH137,增益!$A:$A,增益!$I:$I,0)))/100)</f>
        <v>-0.14</v>
      </c>
      <c r="AX137" s="49" cm="1">
        <f t="array" ref="AX137">$G$11+VLOOKUP($Q137,武学奇术!$A:$ZZ,10,FALSE)+SUM(_xlfn.XLOOKUP(R137:AH137,增益!$A:$A,增益!$J:$J,0))</f>
        <v>0</v>
      </c>
      <c r="AY137">
        <f>$D$12*(1+$AT137)</f>
        <v>0</v>
      </c>
      <c r="AZ137">
        <f>$E$12*(1+$AT137)</f>
        <v>0</v>
      </c>
      <c r="BA137" s="49" cm="1">
        <f t="array" ref="BA137">IF($F$12-$I$4+VLOOKUP($Q137,武学奇术!$A:$ZZ,11,FALSE)+SUM(_xlfn.XLOOKUP(R137:AH137,增益!$A:$A,增益!$K:$K,0))&gt;0,($F$12-$I$4+VLOOKUP($Q137,武学奇术!$A:$ZZ,11,FALSE)+SUM(_xlfn.XLOOKUP(R137:AH137,增益!$A:$A,增益!$K:$K,0)))/200,($F$12-$I$4+VLOOKUP($Q137,武学奇术!$A:$ZZ,11,FALSE)+SUM(_xlfn.XLOOKUP(R137:AH137,增益!$A:$A,增益!$K:$K,0)))/100)</f>
        <v>-0.14</v>
      </c>
      <c r="BB137" s="49" cm="1">
        <f t="array" ref="BB137">$G$12+VLOOKUP($Q137,武学奇术!$A:$ZZ,12,FALSE)+SUM(_xlfn.XLOOKUP(R137:AH137,增益!$A:$A,增益!$L:$L,0))</f>
        <v>0</v>
      </c>
      <c r="BC137">
        <f>$D$13*(1+$AT137)</f>
        <v>571.2</v>
      </c>
      <c r="BD137">
        <f>$E$13*(1+$AT137)</f>
        <v>1077.4</v>
      </c>
      <c r="BE137" s="49" cm="1">
        <f t="array" ref="BE137">IF($F$13-$I$4+VLOOKUP($Q137,武学奇术!$A:$ZZ,13,FALSE)+SUM(_xlfn.XLOOKUP(R137:AH137,增益!$A:$A,增益!$M:$M,0))&gt;0,($F$13-$I$4+VLOOKUP($Q137,武学奇术!$A:$ZZ,13,FALSE)+SUM(_xlfn.XLOOKUP(R137:AH137,增益!$A:$A,增益!$K:$K,0)))/200,($F$13-$I$4+VLOOKUP($Q137,武学奇术!$A:$ZZ,13,FALSE)+SUM(_xlfn.XLOOKUP(R137:AH137,增益!$A:$A,增益!$M:$M,0)))/100)</f>
        <v>0.08</v>
      </c>
      <c r="BF137" s="49" cm="1">
        <f t="array" ref="BF137">$G$13+VLOOKUP($Q137,武学奇术!$A:$ZZ,14,FALSE)+SUM(_xlfn.XLOOKUP(R137:AH137,增益!$A:$A,增益!$N:$N,0))</f>
        <v>0.15</v>
      </c>
      <c r="BG137">
        <f>$D$14*(1+$AT137)</f>
        <v>0</v>
      </c>
      <c r="BH137">
        <f>$E$14*(1+$AT137)</f>
        <v>0</v>
      </c>
      <c r="BI137" s="49" cm="1">
        <f t="array" ref="BI137">IF($F$14-$I$4+VLOOKUP($Q137,武学奇术!$A:$ZZ,15,FALSE)+SUM(_xlfn.XLOOKUP(R137:AH137,增益!$A:$A,增益!$O:$O,0))&gt;0,($F$14-$I$4+VLOOKUP($Q137,武学奇术!$A:$ZZ,15,FALSE)+SUM(_xlfn.XLOOKUP(R137:AH137,增益!$A:$A,增益!$O:$O,0)))/200,($F$14-$I$4+VLOOKUP($Q137,武学奇术!$A:$ZZ,15,FALSE)+SUM(_xlfn.XLOOKUP(R137:AH137,增益!$A:$A,增益!$O:$O,0)))/100)</f>
        <v>-0.14</v>
      </c>
      <c r="BJ137" s="49" cm="1">
        <f t="array" ref="BJ137">$G$14+VLOOKUP($Q137,武学奇术!$A:$ZZ,16,FALSE)+SUM(_xlfn.XLOOKUP(R137:AH137,增益!$A:$A,增益!$P:$P,0))</f>
        <v>0</v>
      </c>
      <c r="BK137" s="41">
        <f>MIN(IF(VLOOKUP($Q137,武学奇术!$A:$ZZ,23,FALSE)=1,100%,$B$8),100%)</f>
        <v>1</v>
      </c>
      <c r="BL137" s="41" cm="1">
        <f t="array" ref="BL137">IF(VLOOKUP($Q137,武学奇术!$A:$ZZ,23,FALSE)=1,100%,MIN(80%,$B$9+VLOOKUP($Q137,武学奇术!$A:$ZZ,17,FALSE)+SUM(_xlfn.XLOOKUP(R137:AH137,增益!$A:$A,增益!$Q:$Q,0)))+$B$11+SUM(_xlfn.XLOOKUP(R137:AH137,增益!$A:$A,增益!$U:$U,0)))*IF(VLOOKUP($Q137,武学奇术!$A:$ZZ,24,FALSE)=1,0,1)</f>
        <v>0.9045</v>
      </c>
      <c r="BM137" s="41" cm="1">
        <f t="array" ref="BM137">1+$B$13+VLOOKUP($Q137,武学奇术!$A:$ZZ,18,FALSE)+SUM(_xlfn.XLOOKUP(R137:AH137,增益!$A:$A,增益!$R:$R,0))</f>
        <v>1.6</v>
      </c>
      <c r="BN137" s="41" cm="1">
        <f t="array" ref="BN137">IF(VLOOKUP($Q137,武学奇术!$A:$ZZ,24,FALSE)=1,100%,MIN(40%,$B$10+VLOOKUP($Q137,武学奇术!$A:$ZZ,19,FALSE)+SUM(_xlfn.XLOOKUP(R137:AH137,增益!$A:$A,增益!$S:$S,0)))+$B$12+SUM(_xlfn.XLOOKUP(R137:AH137,增益!$A:$A,增益!$V:$V,0)))*IF(VLOOKUP($Q137,武学奇术!$A:$ZZ,23,FALSE)=1,0,1)</f>
        <v>0.0929</v>
      </c>
      <c r="BO137" s="41" cm="1">
        <f t="array" ref="BO137">1+$B$14+VLOOKUP($Q137,武学奇术!$A:$ZZ,20,FALSE)+SUM(_xlfn.XLOOKUP(R137:AH137,增益!$A:$A,增益!$T:$T,0))</f>
        <v>1.35</v>
      </c>
      <c r="BP137" s="41">
        <f t="shared" si="43"/>
        <v>0.9045</v>
      </c>
      <c r="BQ137" s="41">
        <f t="shared" si="44"/>
        <v>0.00260000000000005</v>
      </c>
      <c r="BR137" s="41">
        <f>IF(VLOOKUP($Q137,武学奇术!$A:$ZZ,22,FALSE)=1,0,(1-$BK137))*(1-$BN137)</f>
        <v>0</v>
      </c>
      <c r="BS137" s="41" cm="1">
        <f t="array" ref="BS137">SUM(_xlfn.XLOOKUP(R137:AH137,增益!$A:$A,增益!$W:$W,0))+$I$5</f>
        <v>0.11</v>
      </c>
    </row>
    <row r="138" spans="11:71">
      <c r="K138" s="55">
        <f>($L138*$BP138+$M138*$BN138+$N138*$BQ138+$O138*$BR138)</f>
        <v>14957.7996974555</v>
      </c>
      <c r="L138" s="55">
        <f>((($AP138+$AQ138)/2*$AJ138+$AK138)*(1+$AR138)*(1+$AS138)+(($AU138+$AV138)/2*IF($G$1="鸣金",$AL138,$AJ138)+IF($G$1="鸣金",$AM138*1.5,0))*(1+$AW138)*(1+$AX138)+(($AY138+$AZ138)/2*IF($G$1="裂石",$AL138,$AJ138)+IF($G$1="裂石",$AM138*1.5,0))*(1+$BA138)*(1+$BB138)+(($BC138+$BD138)/2*IF($G$1="牵丝",$AL138,$AJ138)+IF($G$1="牵丝",$AM138*1.5,0))*(1+$BE138)*(1+$BF138)+(($BG138+$BH138)/2*IF($G$1="破竹",$AL138,$AJ138)+IF($G$1="破竹",$AM138*1.5,0))*(1+$BI138)*(1+$BJ138))*(1+$AN138)*$BM138*$P138*(1+IF(VLOOKUP($Q138,武学奇术!$A:$ZZ,30,FALSE)="弹道",$B$21,0))*(1+$BS138)</f>
        <v>14645.393126396</v>
      </c>
      <c r="M138" s="55">
        <f>(($AQ138*$AJ138+$AK138)*(1+$AR138)*(1+$AS138)+($AV138*IF($G$1="鸣金",$AL138,$AJ138)+IF($G$1="鸣金",$AM138*1.5,0))*(1+$AW138)*(1+$AX138)+($AZ138*IF($G$1="裂石",$AL138,$AJ138)+IF($G$1="裂石",$AM138*1.5,0))*(1+$BA138)*(1+$BB138)+($BD138*IF($G$1="牵丝",$AL138,$AJ138)+IF($G$1="牵丝",$AM138*1.5,0))*(1+$BE138)*(1+$BF138)+($BH138*IF($G$1="破竹",$AL138,$AJ138)+IF($G$1="破竹",$AM138*1.5,0))*(1+$BI138)*(1+$BJ138))*(1+$AN138)*$BO138*$P138*(1+IF(VLOOKUP($Q138,武学奇术!$A:$ZZ,30,FALSE)="弹道",$B$21,0))*(1+$BS138)</f>
        <v>18161.9251969852</v>
      </c>
      <c r="N138" s="55">
        <f>((($AP138+$AQ138)/2*$AJ138+$AK138)*(1+$AR138)*(1+$AS138)+(($AU138+$AV138)/2*IF($G$1="鸣金",$AL138,$AJ138)+IF($G$1="鸣金",$AM138*1.5,0))*(1+$AW138)*(1+$AX138)+(($AY138+$AZ138)/2*IF($G$1="裂石",$AL138,$AJ138)+IF($G$1="裂石",$AM138*1.5,0))*(1+$BA138)*(1+$BB138)+(($BC138+$BD138)/2*IF($G$1="牵丝",$AL138,$AJ138)+IF($G$1="牵丝",$AM138*1.5,0))*(1+$BE138)*(1+$BF138)+(($BG138+$BH138)/2*IF($G$1="破竹",$AL138,$AJ138)+IF($G$1="破竹",$AM138*1.5,0))*(1+$BI138)*(1+$BJ138))*(1+$AN138)*$P138*(1+IF(VLOOKUP($Q138,武学奇术!$A:$ZZ,30,FALSE)="弹道",$B$21,0))*(1+$BS138)</f>
        <v>9153.37070399749</v>
      </c>
      <c r="O138" s="55">
        <f>((($AP138*$AJ138+$AK138)*(1+$AR138)*(1+$AS138)+($AU138*IF($G$1="鸣金",$AL138,$AJ138)+IF($G$1="鸣金",$AM138*1.5,0))*(1+$AW138)*(1+$AX138)+($AY138*IF($G$1="裂石",$AL138,$AJ138)+IF($G$1="裂石",$AM138*1.5,0))*(1+$BA138)*(1+$BB138)+($BC138*IF($G$1="牵丝",$AL138,$AJ138)+IF($G$1="牵丝",$AM138*1.5,0))*(1+$BE138)*(1+$BF138)+($BG138*IF($G$1="破竹",$AL138,$AJ138)+IF($G$1="破竹",$AM138*1.5,0))*(1+$BI138)*(1+$BJ138))*(1+$AN138))*$P138*(1+IF(VLOOKUP($Q138,武学奇术!$A:$ZZ,30,FALSE)="弹道",$B$21,0))*(1+$BS138)</f>
        <v>4853.46348430223</v>
      </c>
      <c r="P138" s="56">
        <f t="shared" si="42"/>
        <v>1</v>
      </c>
      <c r="Q138" s="57" t="s">
        <v>171</v>
      </c>
      <c r="R138" s="57" t="s">
        <v>116</v>
      </c>
      <c r="S138" s="57" t="s">
        <v>153</v>
      </c>
      <c r="T138" s="57" t="s">
        <v>72</v>
      </c>
      <c r="U138" s="57" t="s">
        <v>157</v>
      </c>
      <c r="V138" s="57" t="s">
        <v>72</v>
      </c>
      <c r="W138" s="57" t="s">
        <v>72</v>
      </c>
      <c r="X138" s="57" t="s">
        <v>72</v>
      </c>
      <c r="Y138" s="57" t="s">
        <v>72</v>
      </c>
      <c r="Z138" s="57" t="s">
        <v>72</v>
      </c>
      <c r="AA138" s="57" t="s">
        <v>72</v>
      </c>
      <c r="AB138" s="57" t="s">
        <v>72</v>
      </c>
      <c r="AC138" s="57" t="s">
        <v>72</v>
      </c>
      <c r="AD138" s="57" t="s">
        <v>72</v>
      </c>
      <c r="AE138" s="57" t="s">
        <v>72</v>
      </c>
      <c r="AF138" s="57" t="s">
        <v>72</v>
      </c>
      <c r="AG138" s="57" t="s">
        <v>72</v>
      </c>
      <c r="AH138" s="57" t="s">
        <v>87</v>
      </c>
      <c r="AI138" t="str">
        <f>VLOOKUP($Q138,武学奇术!$A:$ZZ,25,FALSE)</f>
        <v>心法</v>
      </c>
      <c r="AJ138" s="41">
        <f>VLOOKUP($Q138,武学奇术!$A:$ZZ,26,FALSE)</f>
        <v>1</v>
      </c>
      <c r="AK138" s="42">
        <f>VLOOKUP($Q138,武学奇术!$A:$ZZ,27,FALSE)*(1+IF(OR($AI138=$F$4,$AI138=$F$5),$B$22,0))</f>
        <v>0</v>
      </c>
      <c r="AL138" s="41">
        <f>VLOOKUP($Q138,武学奇术!$A:$ZZ,28,FALSE)</f>
        <v>1</v>
      </c>
      <c r="AM138" s="42">
        <f>VLOOKUP($Q138,武学奇术!$A:$ZZ,29,FALSE)*(1+IF(OR($AI138=$F$4,$AI138=$F$5),$B$22,0))</f>
        <v>0</v>
      </c>
      <c r="AN138" s="41" cm="1">
        <f t="array" ref="AN138">$G$3+IFERROR(VLOOKUP($AI138,$F$4:$G$7,2,FALSE),0)+VLOOKUP($Q138,武学奇术!$A:$ZZ,2,FALSE)+SUM(_xlfn.XLOOKUP($R138:$AH138,增益!$A:$A,增益!$B:$B,0))</f>
        <v>0.2337</v>
      </c>
      <c r="AO138" s="41" cm="1">
        <f t="array" ref="AO138">VLOOKUP($Q138,武学奇术!$A:$ZZ,5,FALSE)+SUM(_xlfn.XLOOKUP($R138:$AH138,增益!$A:$A,增益!$E:$E,0))</f>
        <v>0.15</v>
      </c>
      <c r="AP138" cm="1">
        <f t="array" ref="AP138">$D$10*(1+$AO138)+VLOOKUP($Q138,武学奇术!$A:$ZZ,3,FALSE)+SUM(_xlfn.XLOOKUP($R138:$AH138,增益!$A:$A,增益!$C:$C,0))-$I$2</f>
        <v>2150.71</v>
      </c>
      <c r="AQ138" cm="1">
        <f t="array" ref="AQ138">$E$10*(1+$AO138)+VLOOKUP($Q138,武学奇术!$A:$ZZ,4,FALSE)+SUM(_xlfn.XLOOKUP($R138:$AH138,增益!$A:$A,增益!$D:$D,0))-$I$2</f>
        <v>6394.9</v>
      </c>
      <c r="AR138" s="49" cm="1">
        <f t="array" ref="AR138">IF($F$10-$I$3+VLOOKUP($Q138,武学奇术!$A:$ZZ,6,FALSE)+SUM(_xlfn.XLOOKUP(R138:AH138,增益!$A:$A,增益!$F:$F,0))&gt;0,($F$10-$I$3+VLOOKUP($Q138,武学奇术!$A:$ZZ,6,FALSE)+SUM(_xlfn.XLOOKUP(R138:AH138,增益!$A:$A,增益!$F:$F,0)))/200,($F$10-$I$3+VLOOKUP($Q138,武学奇术!$A:$ZZ,6,FALSE)+SUM(_xlfn.XLOOKUP(R138:AH138,增益!$A:$A,增益!$F:$F,0)))/100)</f>
        <v>0.3425</v>
      </c>
      <c r="AS138" s="49" cm="1">
        <f t="array" ref="AS138">$G$10+VLOOKUP($Q138,武学奇术!$A:$ZZ,7,FALSE)+SUM(_xlfn.XLOOKUP(R138:AH138,增益!$A:$A,增益!$G:$G,0))</f>
        <v>0</v>
      </c>
      <c r="AT138" s="41" cm="1">
        <f t="array" ref="AT138">VLOOKUP($Q138,武学奇术!$A:$ZZ,8,FALSE)+SUM(_xlfn.XLOOKUP(R138:AH138,增益!$A:$A,增益!$H:$H,0))</f>
        <v>0</v>
      </c>
      <c r="AU138">
        <f>$D$11*(1+$AT138)</f>
        <v>0</v>
      </c>
      <c r="AV138">
        <f>$E$11*(1+$AT138)</f>
        <v>0</v>
      </c>
      <c r="AW138" s="49" cm="1">
        <f t="array" ref="AW138">IF($F$11-$I$4+VLOOKUP($Q138,武学奇术!$A:$ZZ,9,FALSE)+SUM(_xlfn.XLOOKUP(R138:AH138,增益!$A:$A,增益!$I:$I,0))&gt;0,($F$11-$I$4+VLOOKUP($Q138,武学奇术!$A:$ZZ,9,FALSE)+SUM(_xlfn.XLOOKUP(R138:AH138,增益!$A:$A,增益!$I:$I,0)))/200,($F$11-$I$4+VLOOKUP($Q138,武学奇术!$A:$ZZ,9,FALSE)+SUM(_xlfn.XLOOKUP(R138:AH138,增益!$A:$A,增益!$I:$I,0)))/100)</f>
        <v>-0.3</v>
      </c>
      <c r="AX138" s="49" cm="1">
        <f t="array" ref="AX138">$G$11+VLOOKUP($Q138,武学奇术!$A:$ZZ,10,FALSE)+SUM(_xlfn.XLOOKUP(R138:AH138,增益!$A:$A,增益!$J:$J,0))</f>
        <v>0</v>
      </c>
      <c r="AY138">
        <f>$D$12*(1+$AT138)</f>
        <v>0</v>
      </c>
      <c r="AZ138">
        <f>$E$12*(1+$AT138)</f>
        <v>0</v>
      </c>
      <c r="BA138" s="49" cm="1">
        <f t="array" ref="BA138">IF($F$12-$I$4+VLOOKUP($Q138,武学奇术!$A:$ZZ,11,FALSE)+SUM(_xlfn.XLOOKUP(R138:AH138,增益!$A:$A,增益!$K:$K,0))&gt;0,($F$12-$I$4+VLOOKUP($Q138,武学奇术!$A:$ZZ,11,FALSE)+SUM(_xlfn.XLOOKUP(R138:AH138,增益!$A:$A,增益!$K:$K,0)))/200,($F$12-$I$4+VLOOKUP($Q138,武学奇术!$A:$ZZ,11,FALSE)+SUM(_xlfn.XLOOKUP(R138:AH138,增益!$A:$A,增益!$K:$K,0)))/100)</f>
        <v>-0.3</v>
      </c>
      <c r="BB138" s="49" cm="1">
        <f t="array" ref="BB138">$G$12+VLOOKUP($Q138,武学奇术!$A:$ZZ,12,FALSE)+SUM(_xlfn.XLOOKUP(R138:AH138,增益!$A:$A,增益!$L:$L,0))</f>
        <v>0</v>
      </c>
      <c r="BC138">
        <f>$D$13*(1+$AT138)</f>
        <v>571.2</v>
      </c>
      <c r="BD138">
        <f>$E$13*(1+$AT138)</f>
        <v>1077.4</v>
      </c>
      <c r="BE138" s="49" cm="1">
        <f t="array" ref="BE138">IF($F$13-$I$4+VLOOKUP($Q138,武学奇术!$A:$ZZ,13,FALSE)+SUM(_xlfn.XLOOKUP(R138:AH138,增益!$A:$A,增益!$M:$M,0))&gt;0,($F$13-$I$4+VLOOKUP($Q138,武学奇术!$A:$ZZ,13,FALSE)+SUM(_xlfn.XLOOKUP(R138:AH138,增益!$A:$A,增益!$K:$K,0)))/200,($F$13-$I$4+VLOOKUP($Q138,武学奇术!$A:$ZZ,13,FALSE)+SUM(_xlfn.XLOOKUP(R138:AH138,增益!$A:$A,增益!$M:$M,0)))/100)</f>
        <v>0</v>
      </c>
      <c r="BF138" s="49" cm="1">
        <f t="array" ref="BF138">$G$13+VLOOKUP($Q138,武学奇术!$A:$ZZ,14,FALSE)+SUM(_xlfn.XLOOKUP(R138:AH138,增益!$A:$A,增益!$N:$N,0))</f>
        <v>0.15</v>
      </c>
      <c r="BG138">
        <f>$D$14*(1+$AT138)</f>
        <v>0</v>
      </c>
      <c r="BH138">
        <f>$E$14*(1+$AT138)</f>
        <v>0</v>
      </c>
      <c r="BI138" s="49" cm="1">
        <f t="array" ref="BI138">IF($F$14-$I$4+VLOOKUP($Q138,武学奇术!$A:$ZZ,15,FALSE)+SUM(_xlfn.XLOOKUP(R138:AH138,增益!$A:$A,增益!$O:$O,0))&gt;0,($F$14-$I$4+VLOOKUP($Q138,武学奇术!$A:$ZZ,15,FALSE)+SUM(_xlfn.XLOOKUP(R138:AH138,增益!$A:$A,增益!$O:$O,0)))/200,($F$14-$I$4+VLOOKUP($Q138,武学奇术!$A:$ZZ,15,FALSE)+SUM(_xlfn.XLOOKUP(R138:AH138,增益!$A:$A,增益!$O:$O,0)))/100)</f>
        <v>-0.3</v>
      </c>
      <c r="BJ138" s="49" cm="1">
        <f t="array" ref="BJ138">$G$14+VLOOKUP($Q138,武学奇术!$A:$ZZ,16,FALSE)+SUM(_xlfn.XLOOKUP(R138:AH138,增益!$A:$A,增益!$P:$P,0))</f>
        <v>0</v>
      </c>
      <c r="BK138" s="41">
        <f>MIN(IF(VLOOKUP($Q138,武学奇术!$A:$ZZ,23,FALSE)=1,100%,$B$8),100%)</f>
        <v>1</v>
      </c>
      <c r="BL138" s="41" cm="1">
        <f t="array" ref="BL138">IF(VLOOKUP($Q138,武学奇术!$A:$ZZ,23,FALSE)=1,100%,MIN(80%,$B$9+VLOOKUP($Q138,武学奇术!$A:$ZZ,17,FALSE)+SUM(_xlfn.XLOOKUP(R138:AH138,增益!$A:$A,增益!$Q:$Q,0)))+$B$11+SUM(_xlfn.XLOOKUP(R138:AH138,增益!$A:$A,增益!$U:$U,0)))*IF(VLOOKUP($Q138,武学奇术!$A:$ZZ,24,FALSE)=1,0,1)</f>
        <v>0.9045</v>
      </c>
      <c r="BM138" s="41" cm="1">
        <f t="array" ref="BM138">1+$B$13+VLOOKUP($Q138,武学奇术!$A:$ZZ,18,FALSE)+SUM(_xlfn.XLOOKUP(R138:AH138,增益!$A:$A,增益!$R:$R,0))</f>
        <v>1.6</v>
      </c>
      <c r="BN138" s="41" cm="1">
        <f t="array" ref="BN138">IF(VLOOKUP($Q138,武学奇术!$A:$ZZ,24,FALSE)=1,100%,MIN(40%,$B$10+VLOOKUP($Q138,武学奇术!$A:$ZZ,19,FALSE)+SUM(_xlfn.XLOOKUP(R138:AH138,增益!$A:$A,增益!$S:$S,0)))+$B$12+SUM(_xlfn.XLOOKUP(R138:AH138,增益!$A:$A,增益!$V:$V,0)))*IF(VLOOKUP($Q138,武学奇术!$A:$ZZ,23,FALSE)=1,0,1)</f>
        <v>0.0929</v>
      </c>
      <c r="BO138" s="41" cm="1">
        <f t="array" ref="BO138">1+$B$14+VLOOKUP($Q138,武学奇术!$A:$ZZ,20,FALSE)+SUM(_xlfn.XLOOKUP(R138:AH138,增益!$A:$A,增益!$T:$T,0))</f>
        <v>1.35</v>
      </c>
      <c r="BP138" s="41">
        <f t="shared" si="43"/>
        <v>0.9045</v>
      </c>
      <c r="BQ138" s="41">
        <f t="shared" si="44"/>
        <v>0.00260000000000005</v>
      </c>
      <c r="BR138" s="41">
        <f>IF(VLOOKUP($Q138,武学奇术!$A:$ZZ,22,FALSE)=1,0,(1-$BK138))*(1-$BN138)</f>
        <v>0</v>
      </c>
      <c r="BS138" s="41" cm="1">
        <f t="array" ref="BS138">SUM(_xlfn.XLOOKUP(R138:AH138,增益!$A:$A,增益!$W:$W,0))+$I$5</f>
        <v>0.11</v>
      </c>
    </row>
    <row r="139" spans="11:71">
      <c r="K139" s="55">
        <f>($L139*$BP139+$M139*$BN139+$N139*$BQ139+$O139*$BR139)</f>
        <v>15125.3845600629</v>
      </c>
      <c r="L139" s="55">
        <f>((($AP139+$AQ139)/2*$AJ139+$AK139)*(1+$AR139)*(1+$AS139)+(($AU139+$AV139)/2*IF($G$1="鸣金",$AL139,$AJ139)+IF($G$1="鸣金",$AM139*1.5,0))*(1+$AW139)*(1+$AX139)+(($AY139+$AZ139)/2*IF($G$1="裂石",$AL139,$AJ139)+IF($G$1="裂石",$AM139*1.5,0))*(1+$BA139)*(1+$BB139)+(($BC139+$BD139)/2*IF($G$1="牵丝",$AL139,$AJ139)+IF($G$1="牵丝",$AM139*1.5,0))*(1+$BE139)*(1+$BF139)+(($BG139+$BH139)/2*IF($G$1="破竹",$AL139,$AJ139)+IF($G$1="破竹",$AM139*1.5,0))*(1+$BI139)*(1+$BJ139))*(1+$AN139)*$BM139*$P139*(1+IF(VLOOKUP($Q139,武学奇术!$A:$ZZ,30,FALSE)="弹道",$B$21,0))*(1+$BS139)</f>
        <v>14811.5528087787</v>
      </c>
      <c r="M139" s="55">
        <f>(($AQ139*$AJ139+$AK139)*(1+$AR139)*(1+$AS139)+($AV139*IF($G$1="鸣金",$AL139,$AJ139)+IF($G$1="鸣金",$AM139*1.5,0))*(1+$AW139)*(1+$AX139)+($AZ139*IF($G$1="裂石",$AL139,$AJ139)+IF($G$1="裂石",$AM139*1.5,0))*(1+$BA139)*(1+$BB139)+($BD139*IF($G$1="牵丝",$AL139,$AJ139)+IF($G$1="牵丝",$AM139*1.5,0))*(1+$BE139)*(1+$BF139)+($BH139*IF($G$1="破竹",$AL139,$AJ139)+IF($G$1="破竹",$AM139*1.5,0))*(1+$BI139)*(1+$BJ139))*(1+$AN139)*$BO139*$P139*(1+IF(VLOOKUP($Q139,武学奇术!$A:$ZZ,30,FALSE)="弹道",$B$21,0))*(1+$BS139)</f>
        <v>18345.1697654288</v>
      </c>
      <c r="N139" s="55">
        <f>((($AP139+$AQ139)/2*$AJ139+$AK139)*(1+$AR139)*(1+$AS139)+(($AU139+$AV139)/2*IF($G$1="鸣金",$AL139,$AJ139)+IF($G$1="鸣金",$AM139*1.5,0))*(1+$AW139)*(1+$AX139)+(($AY139+$AZ139)/2*IF($G$1="裂石",$AL139,$AJ139)+IF($G$1="裂石",$AM139*1.5,0))*(1+$BA139)*(1+$BB139)+(($BC139+$BD139)/2*IF($G$1="牵丝",$AL139,$AJ139)+IF($G$1="牵丝",$AM139*1.5,0))*(1+$BE139)*(1+$BF139)+(($BG139+$BH139)/2*IF($G$1="破竹",$AL139,$AJ139)+IF($G$1="破竹",$AM139*1.5,0))*(1+$BI139)*(1+$BJ139))*(1+$AN139)*$P139*(1+IF(VLOOKUP($Q139,武学奇术!$A:$ZZ,30,FALSE)="弹道",$B$21,0))*(1+$BS139)</f>
        <v>9257.22050548669</v>
      </c>
      <c r="O139" s="55">
        <f>((($AP139*$AJ139+$AK139)*(1+$AR139)*(1+$AS139)+($AU139*IF($G$1="鸣金",$AL139,$AJ139)+IF($G$1="鸣金",$AM139*1.5,0))*(1+$AW139)*(1+$AX139)+($AY139*IF($G$1="裂石",$AL139,$AJ139)+IF($G$1="裂石",$AM139*1.5,0))*(1+$BA139)*(1+$BB139)+($BC139*IF($G$1="牵丝",$AL139,$AJ139)+IF($G$1="牵丝",$AM139*1.5,0))*(1+$BE139)*(1+$BF139)+($BG139*IF($G$1="破竹",$AL139,$AJ139)+IF($G$1="破竹",$AM139*1.5,0))*(1+$BI139)*(1+$BJ139))*(1+$AN139))*$P139*(1+IF(VLOOKUP($Q139,武学奇术!$A:$ZZ,30,FALSE)="弹道",$B$21,0))*(1+$BS139)</f>
        <v>4925.42636991503</v>
      </c>
      <c r="P139" s="56">
        <f t="shared" si="42"/>
        <v>1</v>
      </c>
      <c r="Q139" s="57" t="s">
        <v>171</v>
      </c>
      <c r="R139" s="57" t="s">
        <v>116</v>
      </c>
      <c r="S139" s="57" t="s">
        <v>153</v>
      </c>
      <c r="T139" s="57" t="s">
        <v>72</v>
      </c>
      <c r="U139" s="57" t="s">
        <v>157</v>
      </c>
      <c r="V139" s="57" t="s">
        <v>72</v>
      </c>
      <c r="W139" s="57" t="s">
        <v>72</v>
      </c>
      <c r="X139" s="57" t="s">
        <v>72</v>
      </c>
      <c r="Y139" s="57" t="s">
        <v>72</v>
      </c>
      <c r="Z139" s="57" t="s">
        <v>72</v>
      </c>
      <c r="AA139" s="57" t="s">
        <v>72</v>
      </c>
      <c r="AB139" s="57" t="s">
        <v>96</v>
      </c>
      <c r="AC139" s="57" t="s">
        <v>72</v>
      </c>
      <c r="AD139" s="57" t="s">
        <v>72</v>
      </c>
      <c r="AE139" s="57" t="s">
        <v>72</v>
      </c>
      <c r="AF139" s="57" t="s">
        <v>72</v>
      </c>
      <c r="AG139" s="57" t="s">
        <v>72</v>
      </c>
      <c r="AH139" s="57" t="s">
        <v>87</v>
      </c>
      <c r="AI139" t="str">
        <f>VLOOKUP($Q139,武学奇术!$A:$ZZ,25,FALSE)</f>
        <v>心法</v>
      </c>
      <c r="AJ139" s="41">
        <f>VLOOKUP($Q139,武学奇术!$A:$ZZ,26,FALSE)</f>
        <v>1</v>
      </c>
      <c r="AK139" s="42">
        <f>VLOOKUP($Q139,武学奇术!$A:$ZZ,27,FALSE)*(1+IF(OR($AI139=$F$4,$AI139=$F$5),$B$22,0))</f>
        <v>0</v>
      </c>
      <c r="AL139" s="41">
        <f>VLOOKUP($Q139,武学奇术!$A:$ZZ,28,FALSE)</f>
        <v>1</v>
      </c>
      <c r="AM139" s="42">
        <f>VLOOKUP($Q139,武学奇术!$A:$ZZ,29,FALSE)*(1+IF(OR($AI139=$F$4,$AI139=$F$5),$B$22,0))</f>
        <v>0</v>
      </c>
      <c r="AN139" s="41" cm="1">
        <f t="array" ref="AN139">$G$3+IFERROR(VLOOKUP($AI139,$F$4:$G$7,2,FALSE),0)+VLOOKUP($Q139,武学奇术!$A:$ZZ,2,FALSE)+SUM(_xlfn.XLOOKUP($R139:$AH139,增益!$A:$A,增益!$B:$B,0))</f>
        <v>0.2337</v>
      </c>
      <c r="AO139" s="41" cm="1">
        <f t="array" ref="AO139">VLOOKUP($Q139,武学奇术!$A:$ZZ,5,FALSE)+SUM(_xlfn.XLOOKUP($R139:$AH139,增益!$A:$A,增益!$E:$E,0))</f>
        <v>0.15</v>
      </c>
      <c r="AP139" cm="1">
        <f t="array" ref="AP139">$D$10*(1+$AO139)+VLOOKUP($Q139,武学奇术!$A:$ZZ,3,FALSE)+SUM(_xlfn.XLOOKUP($R139:$AH139,增益!$A:$A,增益!$C:$C,0))-$I$2</f>
        <v>2150.71</v>
      </c>
      <c r="AQ139" cm="1">
        <f t="array" ref="AQ139">$E$10*(1+$AO139)+VLOOKUP($Q139,武学奇术!$A:$ZZ,4,FALSE)+SUM(_xlfn.XLOOKUP($R139:$AH139,增益!$A:$A,增益!$D:$D,0))-$I$2</f>
        <v>6394.9</v>
      </c>
      <c r="AR139" s="49" cm="1">
        <f t="array" ref="AR139">IF($F$10-$I$3+VLOOKUP($Q139,武学奇术!$A:$ZZ,6,FALSE)+SUM(_xlfn.XLOOKUP(R139:AH139,增益!$A:$A,增益!$F:$F,0))&gt;0,($F$10-$I$3+VLOOKUP($Q139,武学奇术!$A:$ZZ,6,FALSE)+SUM(_xlfn.XLOOKUP(R139:AH139,增益!$A:$A,增益!$F:$F,0)))/200,($F$10-$I$3+VLOOKUP($Q139,武学奇术!$A:$ZZ,6,FALSE)+SUM(_xlfn.XLOOKUP(R139:AH139,增益!$A:$A,增益!$F:$F,0)))/100)</f>
        <v>0.3425</v>
      </c>
      <c r="AS139" s="49" cm="1">
        <f t="array" ref="AS139">$G$10+VLOOKUP($Q139,武学奇术!$A:$ZZ,7,FALSE)+SUM(_xlfn.XLOOKUP(R139:AH139,增益!$A:$A,增益!$G:$G,0))</f>
        <v>0</v>
      </c>
      <c r="AT139" s="41" cm="1">
        <f t="array" ref="AT139">VLOOKUP($Q139,武学奇术!$A:$ZZ,8,FALSE)+SUM(_xlfn.XLOOKUP(R139:AH139,增益!$A:$A,增益!$H:$H,0))</f>
        <v>0</v>
      </c>
      <c r="AU139">
        <f>$D$11*(1+$AT139)</f>
        <v>0</v>
      </c>
      <c r="AV139">
        <f>$E$11*(1+$AT139)</f>
        <v>0</v>
      </c>
      <c r="AW139" s="49" cm="1">
        <f t="array" ref="AW139">IF($F$11-$I$4+VLOOKUP($Q139,武学奇术!$A:$ZZ,9,FALSE)+SUM(_xlfn.XLOOKUP(R139:AH139,增益!$A:$A,增益!$I:$I,0))&gt;0,($F$11-$I$4+VLOOKUP($Q139,武学奇术!$A:$ZZ,9,FALSE)+SUM(_xlfn.XLOOKUP(R139:AH139,增益!$A:$A,增益!$I:$I,0)))/200,($F$11-$I$4+VLOOKUP($Q139,武学奇术!$A:$ZZ,9,FALSE)+SUM(_xlfn.XLOOKUP(R139:AH139,增益!$A:$A,增益!$I:$I,0)))/100)</f>
        <v>-0.14</v>
      </c>
      <c r="AX139" s="49" cm="1">
        <f t="array" ref="AX139">$G$11+VLOOKUP($Q139,武学奇术!$A:$ZZ,10,FALSE)+SUM(_xlfn.XLOOKUP(R139:AH139,增益!$A:$A,增益!$J:$J,0))</f>
        <v>0</v>
      </c>
      <c r="AY139">
        <f>$D$12*(1+$AT139)</f>
        <v>0</v>
      </c>
      <c r="AZ139">
        <f>$E$12*(1+$AT139)</f>
        <v>0</v>
      </c>
      <c r="BA139" s="49" cm="1">
        <f t="array" ref="BA139">IF($F$12-$I$4+VLOOKUP($Q139,武学奇术!$A:$ZZ,11,FALSE)+SUM(_xlfn.XLOOKUP(R139:AH139,增益!$A:$A,增益!$K:$K,0))&gt;0,($F$12-$I$4+VLOOKUP($Q139,武学奇术!$A:$ZZ,11,FALSE)+SUM(_xlfn.XLOOKUP(R139:AH139,增益!$A:$A,增益!$K:$K,0)))/200,($F$12-$I$4+VLOOKUP($Q139,武学奇术!$A:$ZZ,11,FALSE)+SUM(_xlfn.XLOOKUP(R139:AH139,增益!$A:$A,增益!$K:$K,0)))/100)</f>
        <v>-0.14</v>
      </c>
      <c r="BB139" s="49" cm="1">
        <f t="array" ref="BB139">$G$12+VLOOKUP($Q139,武学奇术!$A:$ZZ,12,FALSE)+SUM(_xlfn.XLOOKUP(R139:AH139,增益!$A:$A,增益!$L:$L,0))</f>
        <v>0</v>
      </c>
      <c r="BC139">
        <f>$D$13*(1+$AT139)</f>
        <v>571.2</v>
      </c>
      <c r="BD139">
        <f>$E$13*(1+$AT139)</f>
        <v>1077.4</v>
      </c>
      <c r="BE139" s="49" cm="1">
        <f t="array" ref="BE139">IF($F$13-$I$4+VLOOKUP($Q139,武学奇术!$A:$ZZ,13,FALSE)+SUM(_xlfn.XLOOKUP(R139:AH139,增益!$A:$A,增益!$M:$M,0))&gt;0,($F$13-$I$4+VLOOKUP($Q139,武学奇术!$A:$ZZ,13,FALSE)+SUM(_xlfn.XLOOKUP(R139:AH139,增益!$A:$A,增益!$K:$K,0)))/200,($F$13-$I$4+VLOOKUP($Q139,武学奇术!$A:$ZZ,13,FALSE)+SUM(_xlfn.XLOOKUP(R139:AH139,增益!$A:$A,增益!$M:$M,0)))/100)</f>
        <v>0.08</v>
      </c>
      <c r="BF139" s="49" cm="1">
        <f t="array" ref="BF139">$G$13+VLOOKUP($Q139,武学奇术!$A:$ZZ,14,FALSE)+SUM(_xlfn.XLOOKUP(R139:AH139,增益!$A:$A,增益!$N:$N,0))</f>
        <v>0.15</v>
      </c>
      <c r="BG139">
        <f>$D$14*(1+$AT139)</f>
        <v>0</v>
      </c>
      <c r="BH139">
        <f>$E$14*(1+$AT139)</f>
        <v>0</v>
      </c>
      <c r="BI139" s="49" cm="1">
        <f t="array" ref="BI139">IF($F$14-$I$4+VLOOKUP($Q139,武学奇术!$A:$ZZ,15,FALSE)+SUM(_xlfn.XLOOKUP(R139:AH139,增益!$A:$A,增益!$O:$O,0))&gt;0,($F$14-$I$4+VLOOKUP($Q139,武学奇术!$A:$ZZ,15,FALSE)+SUM(_xlfn.XLOOKUP(R139:AH139,增益!$A:$A,增益!$O:$O,0)))/200,($F$14-$I$4+VLOOKUP($Q139,武学奇术!$A:$ZZ,15,FALSE)+SUM(_xlfn.XLOOKUP(R139:AH139,增益!$A:$A,增益!$O:$O,0)))/100)</f>
        <v>-0.14</v>
      </c>
      <c r="BJ139" s="49" cm="1">
        <f t="array" ref="BJ139">$G$14+VLOOKUP($Q139,武学奇术!$A:$ZZ,16,FALSE)+SUM(_xlfn.XLOOKUP(R139:AH139,增益!$A:$A,增益!$P:$P,0))</f>
        <v>0</v>
      </c>
      <c r="BK139" s="41">
        <f>MIN(IF(VLOOKUP($Q139,武学奇术!$A:$ZZ,23,FALSE)=1,100%,$B$8),100%)</f>
        <v>1</v>
      </c>
      <c r="BL139" s="41" cm="1">
        <f t="array" ref="BL139">IF(VLOOKUP($Q139,武学奇术!$A:$ZZ,23,FALSE)=1,100%,MIN(80%,$B$9+VLOOKUP($Q139,武学奇术!$A:$ZZ,17,FALSE)+SUM(_xlfn.XLOOKUP(R139:AH139,增益!$A:$A,增益!$Q:$Q,0)))+$B$11+SUM(_xlfn.XLOOKUP(R139:AH139,增益!$A:$A,增益!$U:$U,0)))*IF(VLOOKUP($Q139,武学奇术!$A:$ZZ,24,FALSE)=1,0,1)</f>
        <v>0.9045</v>
      </c>
      <c r="BM139" s="41" cm="1">
        <f t="array" ref="BM139">1+$B$13+VLOOKUP($Q139,武学奇术!$A:$ZZ,18,FALSE)+SUM(_xlfn.XLOOKUP(R139:AH139,增益!$A:$A,增益!$R:$R,0))</f>
        <v>1.6</v>
      </c>
      <c r="BN139" s="41" cm="1">
        <f t="array" ref="BN139">IF(VLOOKUP($Q139,武学奇术!$A:$ZZ,24,FALSE)=1,100%,MIN(40%,$B$10+VLOOKUP($Q139,武学奇术!$A:$ZZ,19,FALSE)+SUM(_xlfn.XLOOKUP(R139:AH139,增益!$A:$A,增益!$S:$S,0)))+$B$12+SUM(_xlfn.XLOOKUP(R139:AH139,增益!$A:$A,增益!$V:$V,0)))*IF(VLOOKUP($Q139,武学奇术!$A:$ZZ,23,FALSE)=1,0,1)</f>
        <v>0.0929</v>
      </c>
      <c r="BO139" s="41" cm="1">
        <f t="array" ref="BO139">1+$B$14+VLOOKUP($Q139,武学奇术!$A:$ZZ,20,FALSE)+SUM(_xlfn.XLOOKUP(R139:AH139,增益!$A:$A,增益!$T:$T,0))</f>
        <v>1.35</v>
      </c>
      <c r="BP139" s="41">
        <f t="shared" si="43"/>
        <v>0.9045</v>
      </c>
      <c r="BQ139" s="41">
        <f t="shared" si="44"/>
        <v>0.00260000000000005</v>
      </c>
      <c r="BR139" s="41">
        <f>IF(VLOOKUP($Q139,武学奇术!$A:$ZZ,22,FALSE)=1,0,(1-$BK139))*(1-$BN139)</f>
        <v>0</v>
      </c>
      <c r="BS139" s="41" cm="1">
        <f t="array" ref="BS139">SUM(_xlfn.XLOOKUP(R139:AH139,增益!$A:$A,增益!$W:$W,0))+$I$5</f>
        <v>0.11</v>
      </c>
    </row>
    <row r="140" spans="11:71">
      <c r="K140" s="55">
        <f>($L140*$BP140+$M140*$BN140+$N140*$BQ140+$O140*$BR140)</f>
        <v>0</v>
      </c>
      <c r="L140" s="55">
        <f>((($AP140+$AQ140)/2*$AJ140+$AK140)*(1+$AR140)*(1+$AS140)+(($AU140+$AV140)/2*IF($G$1="鸣金",$AL140,$AJ140)+IF($G$1="鸣金",$AM140*1.5,0))*(1+$AW140)*(1+$AX140)+(($AY140+$AZ140)/2*IF($G$1="裂石",$AL140,$AJ140)+IF($G$1="裂石",$AM140*1.5,0))*(1+$BA140)*(1+$BB140)+(($BC140+$BD140)/2*IF($G$1="牵丝",$AL140,$AJ140)+IF($G$1="牵丝",$AM140*1.5,0))*(1+$BE140)*(1+$BF140)+(($BG140+$BH140)/2*IF($G$1="破竹",$AL140,$AJ140)+IF($G$1="破竹",$AM140*1.5,0))*(1+$BI140)*(1+$BJ140))*(1+$AN140)*$BM140*$P140*(1+IF(VLOOKUP($Q140,武学奇术!$A:$ZZ,30,FALSE)="弹道",$B$21,0))*(1+$BS140)</f>
        <v>0</v>
      </c>
      <c r="M140" s="55">
        <f>(($AQ140*$AJ140+$AK140)*(1+$AR140)*(1+$AS140)+($AV140*IF($G$1="鸣金",$AL140,$AJ140)+IF($G$1="鸣金",$AM140*1.5,0))*(1+$AW140)*(1+$AX140)+($AZ140*IF($G$1="裂石",$AL140,$AJ140)+IF($G$1="裂石",$AM140*1.5,0))*(1+$BA140)*(1+$BB140)+($BD140*IF($G$1="牵丝",$AL140,$AJ140)+IF($G$1="牵丝",$AM140*1.5,0))*(1+$BE140)*(1+$BF140)+($BH140*IF($G$1="破竹",$AL140,$AJ140)+IF($G$1="破竹",$AM140*1.5,0))*(1+$BI140)*(1+$BJ140))*(1+$AN140)*$BO140*$P140*(1+IF(VLOOKUP($Q140,武学奇术!$A:$ZZ,30,FALSE)="弹道",$B$21,0))*(1+$BS140)</f>
        <v>0</v>
      </c>
      <c r="N140" s="55">
        <f>((($AP140+$AQ140)/2*$AJ140+$AK140)*(1+$AR140)*(1+$AS140)+(($AU140+$AV140)/2*IF($G$1="鸣金",$AL140,$AJ140)+IF($G$1="鸣金",$AM140*1.5,0))*(1+$AW140)*(1+$AX140)+(($AY140+$AZ140)/2*IF($G$1="裂石",$AL140,$AJ140)+IF($G$1="裂石",$AM140*1.5,0))*(1+$BA140)*(1+$BB140)+(($BC140+$BD140)/2*IF($G$1="牵丝",$AL140,$AJ140)+IF($G$1="牵丝",$AM140*1.5,0))*(1+$BE140)*(1+$BF140)+(($BG140+$BH140)/2*IF($G$1="破竹",$AL140,$AJ140)+IF($G$1="破竹",$AM140*1.5,0))*(1+$BI140)*(1+$BJ140))*(1+$AN140)*$P140*(1+IF(VLOOKUP($Q140,武学奇术!$A:$ZZ,30,FALSE)="弹道",$B$21,0))*(1+$BS140)</f>
        <v>0</v>
      </c>
      <c r="O140" s="55">
        <f>((($AP140*$AJ140+$AK140)*(1+$AR140)*(1+$AS140)+($AU140*IF($G$1="鸣金",$AL140,$AJ140)+IF($G$1="鸣金",$AM140*1.5,0))*(1+$AW140)*(1+$AX140)+($AY140*IF($G$1="裂石",$AL140,$AJ140)+IF($G$1="裂石",$AM140*1.5,0))*(1+$BA140)*(1+$BB140)+($BC140*IF($G$1="牵丝",$AL140,$AJ140)+IF($G$1="牵丝",$AM140*1.5,0))*(1+$BE140)*(1+$BF140)+($BG140*IF($G$1="破竹",$AL140,$AJ140)+IF($G$1="破竹",$AM140*1.5,0))*(1+$BI140)*(1+$BJ140))*(1+$AN140))*$P140*(1+IF(VLOOKUP($Q140,武学奇术!$A:$ZZ,30,FALSE)="弹道",$B$21,0))*(1+$BS140)</f>
        <v>0</v>
      </c>
      <c r="P140" s="56">
        <f t="shared" si="42"/>
        <v>1</v>
      </c>
      <c r="Q140" s="57" t="s">
        <v>72</v>
      </c>
      <c r="R140" s="57" t="s">
        <v>72</v>
      </c>
      <c r="S140" s="57" t="s">
        <v>72</v>
      </c>
      <c r="T140" s="57" t="s">
        <v>72</v>
      </c>
      <c r="U140" s="57" t="s">
        <v>72</v>
      </c>
      <c r="V140" s="57" t="s">
        <v>72</v>
      </c>
      <c r="W140" s="57" t="s">
        <v>72</v>
      </c>
      <c r="X140" s="57" t="s">
        <v>72</v>
      </c>
      <c r="Y140" s="57" t="s">
        <v>72</v>
      </c>
      <c r="Z140" s="57" t="s">
        <v>72</v>
      </c>
      <c r="AA140" s="57" t="s">
        <v>72</v>
      </c>
      <c r="AB140" s="57" t="s">
        <v>72</v>
      </c>
      <c r="AC140" s="57" t="s">
        <v>72</v>
      </c>
      <c r="AD140" s="57" t="s">
        <v>72</v>
      </c>
      <c r="AE140" s="57" t="s">
        <v>72</v>
      </c>
      <c r="AF140" s="57" t="s">
        <v>72</v>
      </c>
      <c r="AG140" s="57" t="s">
        <v>72</v>
      </c>
      <c r="AH140" s="57" t="s">
        <v>87</v>
      </c>
      <c r="AI140" t="str">
        <f>VLOOKUP($Q140,武学奇术!$A:$ZZ,25,FALSE)</f>
        <v>心法</v>
      </c>
      <c r="AJ140" s="41">
        <f>VLOOKUP($Q140,武学奇术!$A:$ZZ,26,FALSE)</f>
        <v>0</v>
      </c>
      <c r="AK140" s="42">
        <f>VLOOKUP($Q140,武学奇术!$A:$ZZ,27,FALSE)*(1+IF(OR($AI140=$F$4,$AI140=$F$5),$B$22,0))</f>
        <v>0</v>
      </c>
      <c r="AL140" s="41">
        <f>VLOOKUP($Q140,武学奇术!$A:$ZZ,28,FALSE)</f>
        <v>0</v>
      </c>
      <c r="AM140" s="42">
        <f>VLOOKUP($Q140,武学奇术!$A:$ZZ,29,FALSE)*(1+IF(OR($AI140=$F$4,$AI140=$F$5),$B$22,0))</f>
        <v>0</v>
      </c>
      <c r="AN140" s="41" cm="1">
        <f t="array" ref="AN140">$G$3+IFERROR(VLOOKUP($AI140,$F$4:$G$7,2,FALSE),0)+VLOOKUP($Q140,武学奇术!$A:$ZZ,2,FALSE)+SUM(_xlfn.XLOOKUP($R140:$AH140,增益!$A:$A,增益!$B:$B,0))</f>
        <v>0.1837</v>
      </c>
      <c r="AO140" s="41" cm="1">
        <f t="array" ref="AO140">VLOOKUP($Q140,武学奇术!$A:$ZZ,5,FALSE)+SUM(_xlfn.XLOOKUP($R140:$AH140,增益!$A:$A,增益!$E:$E,0))</f>
        <v>0</v>
      </c>
      <c r="AP140" cm="1">
        <f t="array" ref="AP140">$D$10*(1+$AO140)+VLOOKUP($Q140,武学奇术!$A:$ZZ,3,FALSE)+SUM(_xlfn.XLOOKUP($R140:$AH140,增益!$A:$A,增益!$C:$C,0))-$I$2</f>
        <v>1797.4</v>
      </c>
      <c r="AQ140" cm="1">
        <f t="array" ref="AQ140">$E$10*(1+$AO140)+VLOOKUP($Q140,武学奇术!$A:$ZZ,4,FALSE)+SUM(_xlfn.XLOOKUP($R140:$AH140,增益!$A:$A,增益!$D:$D,0))-$I$2</f>
        <v>5488</v>
      </c>
      <c r="AR140" s="49" cm="1">
        <f t="array" ref="AR140">IF($F$10-$I$3+VLOOKUP($Q140,武学奇术!$A:$ZZ,6,FALSE)+SUM(_xlfn.XLOOKUP(R140:AH140,增益!$A:$A,增益!$F:$F,0))&gt;0,($F$10-$I$3+VLOOKUP($Q140,武学奇术!$A:$ZZ,6,FALSE)+SUM(_xlfn.XLOOKUP(R140:AH140,增益!$A:$A,增益!$F:$F,0)))/200,($F$10-$I$3+VLOOKUP($Q140,武学奇术!$A:$ZZ,6,FALSE)+SUM(_xlfn.XLOOKUP(R140:AH140,增益!$A:$A,增益!$F:$F,0)))/100)</f>
        <v>0.2925</v>
      </c>
      <c r="AS140" s="49" cm="1">
        <f t="array" ref="AS140">$G$10+VLOOKUP($Q140,武学奇术!$A:$ZZ,7,FALSE)+SUM(_xlfn.XLOOKUP(R140:AH140,增益!$A:$A,增益!$G:$G,0))</f>
        <v>0</v>
      </c>
      <c r="AT140" s="41" cm="1">
        <f t="array" ref="AT140">VLOOKUP($Q140,武学奇术!$A:$ZZ,8,FALSE)+SUM(_xlfn.XLOOKUP(R140:AH140,增益!$A:$A,增益!$H:$H,0))</f>
        <v>0</v>
      </c>
      <c r="AU140">
        <f>$D$11*(1+$AT140)</f>
        <v>0</v>
      </c>
      <c r="AV140">
        <f>$E$11*(1+$AT140)</f>
        <v>0</v>
      </c>
      <c r="AW140" s="49" cm="1">
        <f t="array" ref="AW140">IF($F$11-$I$4+VLOOKUP($Q140,武学奇术!$A:$ZZ,9,FALSE)+SUM(_xlfn.XLOOKUP(R140:AH140,增益!$A:$A,增益!$I:$I,0))&gt;0,($F$11-$I$4+VLOOKUP($Q140,武学奇术!$A:$ZZ,9,FALSE)+SUM(_xlfn.XLOOKUP(R140:AH140,增益!$A:$A,增益!$I:$I,0)))/200,($F$11-$I$4+VLOOKUP($Q140,武学奇术!$A:$ZZ,9,FALSE)+SUM(_xlfn.XLOOKUP(R140:AH140,增益!$A:$A,增益!$I:$I,0)))/100)</f>
        <v>-0.3</v>
      </c>
      <c r="AX140" s="49" cm="1">
        <f t="array" ref="AX140">$G$11+VLOOKUP($Q140,武学奇术!$A:$ZZ,10,FALSE)+SUM(_xlfn.XLOOKUP(R140:AH140,增益!$A:$A,增益!$J:$J,0))</f>
        <v>0</v>
      </c>
      <c r="AY140">
        <f>$D$12*(1+$AT140)</f>
        <v>0</v>
      </c>
      <c r="AZ140">
        <f>$E$12*(1+$AT140)</f>
        <v>0</v>
      </c>
      <c r="BA140" s="49" cm="1">
        <f t="array" ref="BA140">IF($F$12-$I$4+VLOOKUP($Q140,武学奇术!$A:$ZZ,11,FALSE)+SUM(_xlfn.XLOOKUP(R140:AH140,增益!$A:$A,增益!$K:$K,0))&gt;0,($F$12-$I$4+VLOOKUP($Q140,武学奇术!$A:$ZZ,11,FALSE)+SUM(_xlfn.XLOOKUP(R140:AH140,增益!$A:$A,增益!$K:$K,0)))/200,($F$12-$I$4+VLOOKUP($Q140,武学奇术!$A:$ZZ,11,FALSE)+SUM(_xlfn.XLOOKUP(R140:AH140,增益!$A:$A,增益!$K:$K,0)))/100)</f>
        <v>-0.3</v>
      </c>
      <c r="BB140" s="49" cm="1">
        <f t="array" ref="BB140">$G$12+VLOOKUP($Q140,武学奇术!$A:$ZZ,12,FALSE)+SUM(_xlfn.XLOOKUP(R140:AH140,增益!$A:$A,增益!$L:$L,0))</f>
        <v>0</v>
      </c>
      <c r="BC140">
        <f>$D$13*(1+$AT140)</f>
        <v>571.2</v>
      </c>
      <c r="BD140">
        <f>$E$13*(1+$AT140)</f>
        <v>1077.4</v>
      </c>
      <c r="BE140" s="49" cm="1">
        <f t="array" ref="BE140">IF($F$13-$I$4+VLOOKUP($Q140,武学奇术!$A:$ZZ,13,FALSE)+SUM(_xlfn.XLOOKUP(R140:AH140,增益!$A:$A,增益!$M:$M,0))&gt;0,($F$13-$I$4+VLOOKUP($Q140,武学奇术!$A:$ZZ,13,FALSE)+SUM(_xlfn.XLOOKUP(R140:AH140,增益!$A:$A,增益!$K:$K,0)))/200,($F$13-$I$4+VLOOKUP($Q140,武学奇术!$A:$ZZ,13,FALSE)+SUM(_xlfn.XLOOKUP(R140:AH140,增益!$A:$A,增益!$M:$M,0)))/100)</f>
        <v>0</v>
      </c>
      <c r="BF140" s="49" cm="1">
        <f t="array" ref="BF140">$G$13+VLOOKUP($Q140,武学奇术!$A:$ZZ,14,FALSE)+SUM(_xlfn.XLOOKUP(R140:AH140,增益!$A:$A,增益!$N:$N,0))</f>
        <v>0.15</v>
      </c>
      <c r="BG140">
        <f>$D$14*(1+$AT140)</f>
        <v>0</v>
      </c>
      <c r="BH140">
        <f>$E$14*(1+$AT140)</f>
        <v>0</v>
      </c>
      <c r="BI140" s="49" cm="1">
        <f t="array" ref="BI140">IF($F$14-$I$4+VLOOKUP($Q140,武学奇术!$A:$ZZ,15,FALSE)+SUM(_xlfn.XLOOKUP(R140:AH140,增益!$A:$A,增益!$O:$O,0))&gt;0,($F$14-$I$4+VLOOKUP($Q140,武学奇术!$A:$ZZ,15,FALSE)+SUM(_xlfn.XLOOKUP(R140:AH140,增益!$A:$A,增益!$O:$O,0)))/200,($F$14-$I$4+VLOOKUP($Q140,武学奇术!$A:$ZZ,15,FALSE)+SUM(_xlfn.XLOOKUP(R140:AH140,增益!$A:$A,增益!$O:$O,0)))/100)</f>
        <v>-0.3</v>
      </c>
      <c r="BJ140" s="49" cm="1">
        <f t="array" ref="BJ140">$G$14+VLOOKUP($Q140,武学奇术!$A:$ZZ,16,FALSE)+SUM(_xlfn.XLOOKUP(R140:AH140,增益!$A:$A,增益!$P:$P,0))</f>
        <v>0</v>
      </c>
      <c r="BK140" s="41">
        <f>MIN(IF(VLOOKUP($Q140,武学奇术!$A:$ZZ,23,FALSE)=1,100%,$B$8),100%)</f>
        <v>1</v>
      </c>
      <c r="BL140" s="41" cm="1">
        <f t="array" ref="BL140">IF(VLOOKUP($Q140,武学奇术!$A:$ZZ,23,FALSE)=1,100%,MIN(80%,$B$9+VLOOKUP($Q140,武学奇术!$A:$ZZ,17,FALSE)+SUM(_xlfn.XLOOKUP(R140:AH140,增益!$A:$A,增益!$Q:$Q,0)))+$B$11+SUM(_xlfn.XLOOKUP(R140:AH140,增益!$A:$A,增益!$U:$U,0)))*IF(VLOOKUP($Q140,武学奇术!$A:$ZZ,24,FALSE)=1,0,1)</f>
        <v>0.9045</v>
      </c>
      <c r="BM140" s="41" cm="1">
        <f t="array" ref="BM140">1+$B$13+VLOOKUP($Q140,武学奇术!$A:$ZZ,18,FALSE)+SUM(_xlfn.XLOOKUP(R140:AH140,增益!$A:$A,增益!$R:$R,0))</f>
        <v>1.5</v>
      </c>
      <c r="BN140" s="41" cm="1">
        <f t="array" ref="BN140">IF(VLOOKUP($Q140,武学奇术!$A:$ZZ,24,FALSE)=1,100%,MIN(40%,$B$10+VLOOKUP($Q140,武学奇术!$A:$ZZ,19,FALSE)+SUM(_xlfn.XLOOKUP(R140:AH140,增益!$A:$A,增益!$S:$S,0)))+$B$12+SUM(_xlfn.XLOOKUP(R140:AH140,增益!$A:$A,增益!$V:$V,0)))*IF(VLOOKUP($Q140,武学奇术!$A:$ZZ,23,FALSE)=1,0,1)</f>
        <v>0.0929</v>
      </c>
      <c r="BO140" s="41" cm="1">
        <f t="array" ref="BO140">1+$B$14+VLOOKUP($Q140,武学奇术!$A:$ZZ,20,FALSE)+SUM(_xlfn.XLOOKUP(R140:AH140,增益!$A:$A,增益!$T:$T,0))</f>
        <v>1.35</v>
      </c>
      <c r="BP140" s="41">
        <f t="shared" si="43"/>
        <v>0.9045</v>
      </c>
      <c r="BQ140" s="41">
        <f t="shared" si="44"/>
        <v>0.00260000000000005</v>
      </c>
      <c r="BR140" s="41">
        <f>IF(VLOOKUP($Q140,武学奇术!$A:$ZZ,22,FALSE)=1,0,(1-$BK140))*(1-$BN140)</f>
        <v>0</v>
      </c>
      <c r="BS140" s="41" cm="1">
        <f t="array" ref="BS140">SUM(_xlfn.XLOOKUP(R140:AH140,增益!$A:$A,增益!$W:$W,0))+$I$5</f>
        <v>0.11</v>
      </c>
    </row>
  </sheetData>
  <mergeCells count="22">
    <mergeCell ref="H1:I1"/>
    <mergeCell ref="C8:G8"/>
    <mergeCell ref="C15:D15"/>
    <mergeCell ref="C21:D21"/>
    <mergeCell ref="C22:D22"/>
    <mergeCell ref="A23:A24"/>
    <mergeCell ref="E21:E22"/>
    <mergeCell ref="F21:F22"/>
    <mergeCell ref="G21:G22"/>
    <mergeCell ref="H8:H9"/>
    <mergeCell ref="H10:H11"/>
    <mergeCell ref="H12:H13"/>
    <mergeCell ref="H14:H15"/>
    <mergeCell ref="H16:H17"/>
    <mergeCell ref="H21:H22"/>
    <mergeCell ref="I21:I22"/>
    <mergeCell ref="J21:J22"/>
    <mergeCell ref="I10:J11"/>
    <mergeCell ref="I8:J9"/>
    <mergeCell ref="I12:J13"/>
    <mergeCell ref="I14:J15"/>
    <mergeCell ref="I16:J17"/>
  </mergeCells>
  <dataValidations count="8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T2:Y2 Z2 AB2:AG2 T3:Z3 AC3:AG3 T4 V4:Z4 AC4:AG4 AC5:AG5 AC6:AE6 AG6:AH6 R7:Z7 AB7:AE7 AG7:AH7 R8:Z8 AB8:AE8 AG8:AH8 R11:X11 AB11:AE11 AG11:AH11 R20:Z20 R21:Y21 R22:Y22 R25:V25 X25:Y25 R26:V26 X26:Y26 S27 AB27 AE27 R31 S31 AA32 AB32 AC32 AD32 AE32 AG32:AH32 AA33:AE33 AG33:AH33 R34:AE34 AG34:AH34 R35:X35 AA35:AE35 AG35:AH35 R51:AA51 AC51:AE51 R60:AE60 R61:S61 T61 U61 Y61 AB61 AC61 AD61 AE61 AF61 AG61 AH61 R62:T62 AB62:AH62 R63:T63 V63:X63 Z63:AE63 AF63 AG63:AH63 R64:T64 V64:X64 Z64:AE64 R65:T65 V65:X65 Z65:AE65 V70:AA70 AC70:AE70 R75:W75 R76:V76 R77:V77 X77:AE77 AF77 AG77:AH77 R78:V78 W78:AH78 R79:X79 Z79:AE79 Z80:AE80 Z81:AA81 AC81:AE81 R82:S82 R83:S83 R84:X84 Y84 Z84:AE84 AF84 AG84:AH84 R85:S85 T85 U85 V85 W85 X85 Y85 Z85 AA85 AB85 AC85 AD85 AE85 AF85 AG85 AH85 R88:X88 Y88 Z88:AE88 R92:X92 Y92 AA92:AE92 R93:T93 X93:Y93 AA93:AE93 R94:T94 X94 Y94 AA94:AE94 R95:S95 R98:S98 T98 U98 V98 W98 X98 Y98 R102:X102 R103:X103 R104:T104 V104:X104 V105:AG105 AH105 R107:T107 V108:AG108 V109:Y109 AA109 AC109:AG109 R110:T110 V110 V111 R113:T113 U114 V114 W114:Y114 Z114 AA114 AB114 AC114 AD114:AG114 V115:X115 Z115:AA115 AE115:AG115 R116:T116 V116:X116 Z116:AA116 AE116:AG116 AH122 R130:U130 V130 W130:AE130 AF130 AG130:AH130 R2:R6 R27:R30 R38:R39 R40:R41 R46:R47 R86:R87 S2:S6 S28:S30 S38:S39 S40:S41 S46:S47 S86:S87 T5:T6 T27:T29 T30:T31 T38:T39 T40:T41 T46:T47 T82:T83 T86:T87 T95:T97 U4:U6 U27:U29 U30:U31 U38:U39 U40:U41 U46:U47 U62:U63 U64:U65 U66:U70 U82:U83 U86:U87 U93:U94 U95:U97 U104:U105 U106:U107 U108:U109 U110:U111 U112:U113 U115:U119 V27:V29 V30:V31 V38:V39 V40:V41 V46:V47 V61:V62 V82:V83 V86:V87 V93:V94 V95:V97 V106:V107 V112:V113 W25:W26 W27:W29 W30:W31 W38:W39 W40:W41 W46:W47 W61:W62 W76:W77 W82:W83 W86:W87 W93:W94 W95:W97 W106:W107 W110:W111 W112:W113 X27:X29 X30:X31 X38:X39 X40:X41 X46:X47 X61:X62 X75:X76 X82:X83 X86:X87 X95:X97 X106:X107 X110:X111 X112:X113 Y11:Y13 Y14:Y16 Y17:Y19 Y27:Y31 Y35:Y37 Y38:Y39 Y40:Y41 Y46:Y47 Y62:Y63 Y64:Y65 Y75:Y76 Y79:Y81 Y82:Y83 Y86:Y87 Y95:Y97 Y102:Y104 Y106:Y107 Y110:Y111 Y112:Y113 Y115:Y119 Z11:Z13 Z14:Z19 Z21:Z26 Z27:Z28 Z29:Z31 Z32:Z33 Z35:Z37 Z38:Z39 Z40:Z41 Z46:Z47 Z61:Z62 Z75:Z76 Z82:Z83 Z86:Z87 Z92:Z98 Z102:Z104 Z106:Z107 Z109:Z111 Z112:Z113 AA2:AA6 AA7:AA22 AA27:AA29 AA30:AA31 AA38:AA39 AA40:AA41 AA46:AA47 AA61:AA62 AA75:AA76 AA82:AA83 AA86:AA87 AA95:AA96 AA97:AA98 AA102:AA104 AA106:AA107 AA110:AA111 AA112:AA113 AB3:AB6 AB28:AB29 AB30:AB31 AB38:AB39 AB40:AB41 AB46:AB47 AB51:AB59 AB70:AB74 AB75:AB76 AB81:AB83 AB86:AB87 AB95:AB96 AB97:AB98 AB102:AB104 AB106:AB107 AB109:AB111 AB112:AB113 AB115:AB119 AC27:AC29 AC30:AC31 AC38:AC39 AC40:AC41 AC46:AC47 AC75:AC76 AC82:AC83 AC86:AC87 AC95:AC96 AC97:AC98 AC102:AC104 AC106:AC107 AC110:AC111 AC112:AC113 AC115:AC119 AD27:AD29 AD30:AD31 AD38:AD39 AD40:AD41 AD46:AD47 AD75:AD76 AD82:AD83 AD86:AD87 AD95:AD96 AD97:AD98 AD102:AD104 AD106:AD107 AD110:AD111 AD112:AD113 AD115:AD119 AE28:AE29 AE30:AE31 AE38:AE39 AE40:AE41 AE46:AE47 AE75:AE76 AE82:AE83 AE86:AE87 AE95:AE96 AE97:AE98 AE102:AE104 AE106:AE107 AE110:AE111 AE112:AE113 AF6:AF37 AF38:AF39 AF40:AF41 AF42:AF43 AF44:AF45 AF46:AF47 AF48:AF50 AF51:AF60 AF64:AF65 AF66:AF74 AF75:AF76 AF79:AF81 AF82:AF83 AF86:AF87 AF88:AF91 AF92:AF94 AF95:AF96 AF97:AF98 AF99:AF101 AF102:AF104 AF106:AF107 AF110:AF111 AF112:AF113 AF123:AF129 AG27:AG29 AG30:AG31 AG38:AG39 AG40:AG41 AG46:AG47 AG75:AG76 AG82:AG83 AG86:AG87 AG95:AG96 AG97:AG98 AG102:AG104 AG106:AG107 AG110:AG111 AG112:AG113 AH2:AH5 AH27:AH29 AH30:AH31 AH38:AH39 AH40:AH41 AH46:AH47 AH75:AH76 AH82:AH83 AH86:AH87 AH95:AH96 AH97:AH98 AH102:AH104 AH106:AH107 AH108:AH109 AH110:AH111 AH112:AH113 AH114:AH116 AH117:AH121 R48:AE50 R99:AE101 R52:AA59 R66:T70 V66:AE69 AC71:AE74 AG66:AH74 R105:T106 R111:T112 AG88:AH91 AG79:AH81 R108:T109 R114:T115 AG20:AH22 AG92:AH94 R120:AG122 R12:X19 V5:Z6 R36:X37 R80:X81 AG36:AH37 AG42:AH43 AG44:AH45 AG64:AH65 R42:AE43 R44:AE45 R23:Y24 R32:Y33 R9:Z10 AG48:AH50 AG99:AH101 AB9:AE10 AG9:AH10 AB12:AE19 AG12:AH19 AB20:AE22 AA23:AE26 AG23:AH26 AA36:AE37 AG51:AH60 AC52:AE59 R89:AE91 R71:AA74 R96:S97 R123:AE129 AG123:AH129 R131:AH140 R117:T119 V117:X119 AE117:AG119 Z117:AA119">
      <formula1>增益!$A:$A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Q31 Q39 Q40 Q41 Q47 Q62 Q63 Q76 Q77 Q78 Q83 Q86 Q87 Q98 Q107 Q113 Q2:Q6 Q7:Q27 Q28:Q30 Q32:Q38 Q42:Q43 Q44:Q46 Q48:Q50 Q51:Q61 Q64:Q65 Q66:Q75 Q79:Q82 Q84:Q85 Q88:Q91 Q92:Q95 Q96:Q97 Q99:Q102 Q103:Q104 Q105:Q106 Q108:Q110 Q111:Q112 Q114:Q116 Q117:Q122 Q123:Q129 Q130:Q140">
      <formula1>武学奇术!$A:$A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F21:F22">
      <formula1>"全蹭,不蹭,不带"</formula1>
    </dataValidation>
    <dataValidation type="list" allowBlank="1" showInputMessage="1" showErrorMessage="1" sqref="H21:H22 J21:J22">
      <formula1>"带,N/A"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36"/>
  <sheetViews>
    <sheetView topLeftCell="A70" workbookViewId="0">
      <selection activeCell="R119" sqref="R119"/>
    </sheetView>
  </sheetViews>
  <sheetFormatPr defaultColWidth="9" defaultRowHeight="14.4"/>
  <cols>
    <col min="1" max="1" width="12.8796296296296" customWidth="1"/>
    <col min="4" max="4" width="9.37962962962963"/>
    <col min="11" max="15" width="12.6296296296296" style="42" customWidth="1"/>
    <col min="17" max="17" width="24.6296296296296" style="48" customWidth="1"/>
    <col min="18" max="32" width="9" style="48"/>
    <col min="34" max="34" width="9" style="41"/>
    <col min="35" max="35" width="9" style="42"/>
    <col min="36" max="36" width="9" style="41"/>
    <col min="37" max="37" width="9" style="42"/>
    <col min="38" max="39" width="9" style="41"/>
    <col min="42" max="44" width="9" style="49"/>
    <col min="47" max="48" width="9" style="49"/>
    <col min="61" max="65" width="9" style="41"/>
    <col min="66" max="67" width="9.00925925925926" style="41" customWidth="1"/>
    <col min="68" max="69" width="9" style="41"/>
  </cols>
  <sheetData>
    <row r="1" spans="1:69">
      <c r="A1" s="50"/>
      <c r="B1" s="51" t="s">
        <v>0</v>
      </c>
      <c r="C1" s="51" t="s">
        <v>1</v>
      </c>
      <c r="D1" s="51" t="s">
        <v>2</v>
      </c>
      <c r="E1" s="52" t="s">
        <v>3</v>
      </c>
      <c r="F1" s="53" t="s">
        <v>4</v>
      </c>
      <c r="G1" s="54" t="s">
        <v>5</v>
      </c>
      <c r="H1" s="53" t="s">
        <v>6</v>
      </c>
      <c r="I1" s="54"/>
      <c r="K1" s="55" t="s">
        <v>7</v>
      </c>
      <c r="L1" s="55" t="s">
        <v>8</v>
      </c>
      <c r="M1" s="55" t="s">
        <v>9</v>
      </c>
      <c r="N1" s="55" t="s">
        <v>10</v>
      </c>
      <c r="O1" s="55" t="s">
        <v>11</v>
      </c>
      <c r="P1" s="56" t="s">
        <v>12</v>
      </c>
      <c r="Q1" s="57" t="s">
        <v>13</v>
      </c>
      <c r="R1" s="57" t="s">
        <v>14</v>
      </c>
      <c r="S1" s="57" t="s">
        <v>15</v>
      </c>
      <c r="T1" s="57" t="s">
        <v>16</v>
      </c>
      <c r="U1" s="57" t="s">
        <v>17</v>
      </c>
      <c r="V1" s="57" t="s">
        <v>18</v>
      </c>
      <c r="W1" s="57" t="s">
        <v>19</v>
      </c>
      <c r="X1" s="57" t="s">
        <v>20</v>
      </c>
      <c r="Y1" s="57" t="s">
        <v>21</v>
      </c>
      <c r="Z1" s="57" t="s">
        <v>22</v>
      </c>
      <c r="AA1" s="57" t="s">
        <v>23</v>
      </c>
      <c r="AB1" s="57" t="s">
        <v>24</v>
      </c>
      <c r="AC1" s="57" t="s">
        <v>25</v>
      </c>
      <c r="AD1" s="57" t="s">
        <v>26</v>
      </c>
      <c r="AE1" s="57" t="s">
        <v>27</v>
      </c>
      <c r="AF1" s="57" t="s">
        <v>28</v>
      </c>
      <c r="AG1" t="s">
        <v>31</v>
      </c>
      <c r="AH1" s="41" t="s">
        <v>32</v>
      </c>
      <c r="AI1" s="42" t="s">
        <v>33</v>
      </c>
      <c r="AJ1" s="41" t="s">
        <v>34</v>
      </c>
      <c r="AK1" s="42" t="s">
        <v>35</v>
      </c>
      <c r="AL1" s="41" t="s">
        <v>36</v>
      </c>
      <c r="AM1" s="41" t="s">
        <v>37</v>
      </c>
      <c r="AN1" t="s">
        <v>38</v>
      </c>
      <c r="AO1" t="s">
        <v>39</v>
      </c>
      <c r="AP1" s="49" t="s">
        <v>40</v>
      </c>
      <c r="AQ1" s="49" t="s">
        <v>41</v>
      </c>
      <c r="AR1" s="49" t="s">
        <v>42</v>
      </c>
      <c r="AS1" t="s">
        <v>43</v>
      </c>
      <c r="AT1" t="s">
        <v>44</v>
      </c>
      <c r="AU1" s="49" t="s">
        <v>45</v>
      </c>
      <c r="AV1" s="49" t="s">
        <v>46</v>
      </c>
      <c r="AW1" t="s">
        <v>47</v>
      </c>
      <c r="AX1" t="s">
        <v>48</v>
      </c>
      <c r="AY1" s="49" t="s">
        <v>49</v>
      </c>
      <c r="AZ1" s="49" t="s">
        <v>50</v>
      </c>
      <c r="BA1" t="s">
        <v>51</v>
      </c>
      <c r="BB1" t="s">
        <v>52</v>
      </c>
      <c r="BC1" s="49" t="s">
        <v>53</v>
      </c>
      <c r="BD1" s="49" t="s">
        <v>54</v>
      </c>
      <c r="BE1" t="s">
        <v>55</v>
      </c>
      <c r="BF1" t="s">
        <v>56</v>
      </c>
      <c r="BG1" s="49" t="s">
        <v>57</v>
      </c>
      <c r="BH1" s="49" t="s">
        <v>58</v>
      </c>
      <c r="BI1" s="41" t="s">
        <v>59</v>
      </c>
      <c r="BJ1" s="41" t="s">
        <v>60</v>
      </c>
      <c r="BK1" s="41" t="s">
        <v>61</v>
      </c>
      <c r="BL1" s="41" t="s">
        <v>62</v>
      </c>
      <c r="BM1" s="41" t="s">
        <v>63</v>
      </c>
      <c r="BN1" s="41" t="s">
        <v>64</v>
      </c>
      <c r="BO1" s="41" t="s">
        <v>65</v>
      </c>
      <c r="BP1" s="41" t="s">
        <v>66</v>
      </c>
      <c r="BQ1" s="41" t="s">
        <v>67</v>
      </c>
    </row>
    <row r="2" spans="1:69">
      <c r="A2" s="58" t="s">
        <v>68</v>
      </c>
      <c r="B2" s="48"/>
      <c r="C2" s="48"/>
      <c r="D2" s="48"/>
      <c r="E2" s="59"/>
      <c r="F2" s="60" t="s">
        <v>69</v>
      </c>
      <c r="G2" s="61" t="s">
        <v>70</v>
      </c>
      <c r="H2" s="62" t="s">
        <v>71</v>
      </c>
      <c r="I2" s="11">
        <f>620*(1-IF(F17="√",0.06,0)-IF(D20="√",0.04,0))</f>
        <v>620</v>
      </c>
      <c r="K2" s="55">
        <f t="shared" ref="K2:K65" si="0">($L2*$BN2+$M2*$BL2+$N2*$BO2+$O2*$BP2)</f>
        <v>17503.1902128589</v>
      </c>
      <c r="L2" s="55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弹道",$B$21,0))*(1+$BQ2)</f>
        <v>17061.4926248693</v>
      </c>
      <c r="M2" s="55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弹道",$B$21,0))*(1+$BQ2)</f>
        <v>21977.3167830458</v>
      </c>
      <c r="N2" s="55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弹道",$B$21,0))*(1+$BQ2)</f>
        <v>11299.0017383241</v>
      </c>
      <c r="O2" s="55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弹道",$B$21,0))*(1+$BQ2)</f>
        <v>6318.50956328085</v>
      </c>
      <c r="P2" s="56">
        <v>1</v>
      </c>
      <c r="Q2" s="57" t="s">
        <v>172</v>
      </c>
      <c r="R2" s="57" t="s">
        <v>91</v>
      </c>
      <c r="S2" s="57" t="s">
        <v>85</v>
      </c>
      <c r="T2" s="57" t="s">
        <v>72</v>
      </c>
      <c r="U2" s="57" t="s">
        <v>72</v>
      </c>
      <c r="V2" s="57" t="s">
        <v>72</v>
      </c>
      <c r="W2" s="57" t="s">
        <v>72</v>
      </c>
      <c r="X2" s="57" t="s">
        <v>72</v>
      </c>
      <c r="Y2" s="57" t="s">
        <v>72</v>
      </c>
      <c r="Z2" s="57" t="s">
        <v>72</v>
      </c>
      <c r="AA2" s="57" t="s">
        <v>173</v>
      </c>
      <c r="AB2" s="57" t="s">
        <v>72</v>
      </c>
      <c r="AC2" s="57" t="s">
        <v>72</v>
      </c>
      <c r="AD2" s="57" t="s">
        <v>72</v>
      </c>
      <c r="AE2" s="57" t="s">
        <v>72</v>
      </c>
      <c r="AF2" s="57" t="s">
        <v>87</v>
      </c>
      <c r="AG2" t="str">
        <f>VLOOKUP($Q2,武学奇术!$A:$ZZ,25,FALSE)</f>
        <v>群体奇术</v>
      </c>
      <c r="AH2" s="41">
        <f>VLOOKUP($Q2,武学奇术!$A:$ZZ,26,FALSE)</f>
        <v>1.4904</v>
      </c>
      <c r="AI2" s="42">
        <f>VLOOKUP($Q2,武学奇术!$A:$ZZ,27,FALSE)*(1+IF(OR($AG2=$F$4,$AG2=$F$5),$B$22,0))</f>
        <v>368</v>
      </c>
      <c r="AJ2" s="41">
        <f>VLOOKUP($Q2,武学奇术!$A:$ZZ,28,FALSE)</f>
        <v>2.2353</v>
      </c>
      <c r="AK2" s="42">
        <f>VLOOKUP($Q2,武学奇术!$A:$ZZ,29,FALSE)*(1+IF(OR($AG2=$F$4,$AG2=$F$5),$B$22,0))</f>
        <v>0</v>
      </c>
      <c r="AL2" s="41" cm="1">
        <f t="array" ref="AL2">$G$3+IFERROR(VLOOKUP($AG2,$F$4:$G$7,2,FALSE),0)+VLOOKUP($Q2,武学奇术!$A:$ZZ,2,FALSE)+SUM(_xlfn.XLOOKUP($R2:$AF2,增益!$A:$A,增益!$B:$B,0))</f>
        <v>0.1337</v>
      </c>
      <c r="AM2" s="41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1735.4</v>
      </c>
      <c r="AO2" cm="1">
        <f t="array" ref="AO2">$E$10*(1+$AM2)+VLOOKUP($Q2,武学奇术!$A:$ZZ,4,FALSE)+SUM(_xlfn.XLOOKUP($R2:$AF2,增益!$A:$A,增益!$D:$D,0))-$I$2</f>
        <v>5426</v>
      </c>
      <c r="AP2" s="49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0.2025</v>
      </c>
      <c r="AQ2" s="49" cm="1">
        <f t="array" ref="AQ2">$G$10+VLOOKUP($Q2,武学奇术!$A:$ZZ,7,FALSE)+SUM(_xlfn.XLOOKUP(R2:AF2,增益!$A:$A,增益!$G:$G,0))</f>
        <v>0</v>
      </c>
      <c r="AR2" s="41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49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49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49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49" cm="1">
        <f t="array" ref="AZ2">$G$12+VLOOKUP($Q2,武学奇术!$A:$ZZ,12,FALSE)+SUM(_xlfn.XLOOKUP(R2:AF2,增益!$A:$A,增益!$L:$L,0))</f>
        <v>0</v>
      </c>
      <c r="BA2">
        <f t="shared" ref="BA2:BA65" si="5">$D$13*(1+$AR2)</f>
        <v>571.2</v>
      </c>
      <c r="BB2">
        <f t="shared" ref="BB2:BB65" si="6">$E$13*(1+$AR2)</f>
        <v>1077.4</v>
      </c>
      <c r="BC2" s="49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</v>
      </c>
      <c r="BD2" s="49" cm="1">
        <f t="array" ref="BD2">$G$13+VLOOKUP($Q2,武学奇术!$A:$ZZ,14,FALSE)+SUM(_xlfn.XLOOKUP(R2:AF2,增益!$A:$A,增益!$N:$N,0))</f>
        <v>0.15</v>
      </c>
      <c r="BE2">
        <f t="shared" ref="BE2:BE65" si="7">$D$14*(1+$AR2)</f>
        <v>0</v>
      </c>
      <c r="BF2">
        <f t="shared" ref="BF2:BF65" si="8">$E$14*(1+$AR2)</f>
        <v>0</v>
      </c>
      <c r="BG2" s="49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49" cm="1">
        <f t="array" ref="BH2">$G$14+VLOOKUP($Q2,武学奇术!$A:$ZZ,16,FALSE)+SUM(_xlfn.XLOOKUP(R2:AF2,增益!$A:$A,增益!$P:$P,0))</f>
        <v>0</v>
      </c>
      <c r="BI2" s="41">
        <f>MIN(IF(VLOOKUP($Q2,武学奇术!$A:$ZZ,23,FALSE)=1,100%,$B$8),100%)</f>
        <v>1</v>
      </c>
      <c r="BJ2" s="41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0.9045</v>
      </c>
      <c r="BK2" s="41" cm="1">
        <f t="array" ref="BK2">1+$B$13+VLOOKUP($Q2,武学奇术!$A:$ZZ,18,FALSE)+SUM(_xlfn.XLOOKUP(R2:AF2,增益!$A:$A,增益!$R:$R,0))</f>
        <v>1.51</v>
      </c>
      <c r="BL2" s="41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0.0929</v>
      </c>
      <c r="BM2" s="41" cm="1">
        <f t="array" ref="BM2">1+$B$14+VLOOKUP($Q2,武学奇术!$A:$ZZ,20,FALSE)+SUM(_xlfn.XLOOKUP(R2:AF2,增益!$A:$A,增益!$T:$T,0))</f>
        <v>1.35</v>
      </c>
      <c r="BN2" s="41">
        <f t="shared" ref="BN2:BN65" si="9">MIN((1-BL2)*BI2,BI2*BJ2)</f>
        <v>0.9045</v>
      </c>
      <c r="BO2" s="41">
        <f t="shared" ref="BO2:BO65" si="10">1-BL2-BN2-BP2</f>
        <v>0.00260000000000005</v>
      </c>
      <c r="BP2" s="41">
        <f>IF(VLOOKUP($Q2,武学奇术!$A:$ZZ,22,FALSE)=1,0,(1-$BI2))*(1-$BL2)</f>
        <v>0</v>
      </c>
      <c r="BQ2" s="41" cm="1">
        <f t="array" ref="BQ2">SUM(_xlfn.XLOOKUP(R2:AF2,增益!$A:$A,增益!$W:$W,0))+$I$5</f>
        <v>0.11</v>
      </c>
    </row>
    <row r="3" spans="1:69">
      <c r="A3" s="63" t="s">
        <v>73</v>
      </c>
      <c r="B3" s="64"/>
      <c r="C3" s="64"/>
      <c r="D3" s="64"/>
      <c r="E3" s="65"/>
      <c r="F3" s="62" t="s">
        <v>36</v>
      </c>
      <c r="G3" s="66">
        <f>B16+1.5%+IF($D$16="√",8%,0)+IF($C$22="征人归",8%,0)</f>
        <v>0.1037</v>
      </c>
      <c r="H3" s="62" t="s">
        <v>74</v>
      </c>
      <c r="I3" s="11">
        <f>25-IF(D17="√",10,0)-IF(F17="√",10,0)</f>
        <v>25</v>
      </c>
      <c r="K3" s="55">
        <f t="shared" si="0"/>
        <v>17873.8985495077</v>
      </c>
      <c r="L3" s="55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弹道",$B$21,0))*(1+$BQ3)</f>
        <v>17436.0534863831</v>
      </c>
      <c r="M3" s="55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弹道",$B$21,0))*(1+$BQ3)</f>
        <v>22316.0747335005</v>
      </c>
      <c r="N3" s="55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弹道",$B$21,0))*(1+$BQ3)</f>
        <v>11471.0878199889</v>
      </c>
      <c r="O3" s="55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弹道",$B$21,0))*(1+$BQ3)</f>
        <v>6411.74991145891</v>
      </c>
      <c r="P3" s="56">
        <v>1</v>
      </c>
      <c r="Q3" s="57" t="s">
        <v>172</v>
      </c>
      <c r="R3" s="57" t="s">
        <v>95</v>
      </c>
      <c r="S3" s="57" t="s">
        <v>100</v>
      </c>
      <c r="T3" s="57" t="s">
        <v>72</v>
      </c>
      <c r="U3" s="57" t="s">
        <v>72</v>
      </c>
      <c r="V3" s="57" t="s">
        <v>72</v>
      </c>
      <c r="W3" s="57" t="s">
        <v>72</v>
      </c>
      <c r="X3" s="57" t="s">
        <v>72</v>
      </c>
      <c r="Y3" s="57" t="s">
        <v>72</v>
      </c>
      <c r="Z3" s="57" t="s">
        <v>72</v>
      </c>
      <c r="AA3" s="57" t="s">
        <v>173</v>
      </c>
      <c r="AB3" s="57" t="s">
        <v>72</v>
      </c>
      <c r="AC3" s="57" t="s">
        <v>72</v>
      </c>
      <c r="AD3" s="57" t="s">
        <v>72</v>
      </c>
      <c r="AE3" s="57" t="s">
        <v>72</v>
      </c>
      <c r="AF3" s="57" t="s">
        <v>87</v>
      </c>
      <c r="AG3" t="str">
        <f>VLOOKUP($Q3,武学奇术!$A:$ZZ,25,FALSE)</f>
        <v>群体奇术</v>
      </c>
      <c r="AH3" s="41">
        <f>VLOOKUP($Q3,武学奇术!$A:$ZZ,26,FALSE)</f>
        <v>1.4904</v>
      </c>
      <c r="AI3" s="42">
        <f>VLOOKUP($Q3,武学奇术!$A:$ZZ,27,FALSE)*(1+IF(OR($AG3=$F$4,$AG3=$F$5),$B$22,0))</f>
        <v>368</v>
      </c>
      <c r="AJ3" s="41">
        <f>VLOOKUP($Q3,武学奇术!$A:$ZZ,28,FALSE)</f>
        <v>2.2353</v>
      </c>
      <c r="AK3" s="42">
        <f>VLOOKUP($Q3,武学奇术!$A:$ZZ,29,FALSE)*(1+IF(OR($AG3=$F$4,$AG3=$F$5),$B$22,0))</f>
        <v>0</v>
      </c>
      <c r="AL3" s="41" cm="1">
        <f t="array" ref="AL3">$G$3+IFERROR(VLOOKUP($AG3,$F$4:$G$7,2,FALSE),0)+VLOOKUP($Q3,武学奇术!$A:$ZZ,2,FALSE)+SUM(_xlfn.XLOOKUP($R3:$AF3,增益!$A:$A,增益!$B:$B,0))</f>
        <v>0.1437</v>
      </c>
      <c r="AM3" s="41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1735.4</v>
      </c>
      <c r="AO3" cm="1">
        <f t="array" ref="AO3">$E$10*(1+$AM3)+VLOOKUP($Q3,武学奇术!$A:$ZZ,4,FALSE)+SUM(_xlfn.XLOOKUP($R3:$AF3,增益!$A:$A,增益!$D:$D,0))-$I$2</f>
        <v>5426</v>
      </c>
      <c r="AP3" s="49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0.2125</v>
      </c>
      <c r="AQ3" s="49" cm="1">
        <f t="array" ref="AQ3">$G$10+VLOOKUP($Q3,武学奇术!$A:$ZZ,7,FALSE)+SUM(_xlfn.XLOOKUP(R3:AF3,增益!$A:$A,增益!$G:$G,0))</f>
        <v>0</v>
      </c>
      <c r="AR3" s="41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49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49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49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-0.3</v>
      </c>
      <c r="AZ3" s="49" cm="1">
        <f t="array" ref="AZ3">$G$12+VLOOKUP($Q3,武学奇术!$A:$ZZ,12,FALSE)+SUM(_xlfn.XLOOKUP(R3:AF3,增益!$A:$A,增益!$L:$L,0))</f>
        <v>0</v>
      </c>
      <c r="BA3">
        <f t="shared" si="5"/>
        <v>571.2</v>
      </c>
      <c r="BB3">
        <f t="shared" si="6"/>
        <v>1077.4</v>
      </c>
      <c r="BC3" s="49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</v>
      </c>
      <c r="BD3" s="49" cm="1">
        <f t="array" ref="BD3">$G$13+VLOOKUP($Q3,武学奇术!$A:$ZZ,14,FALSE)+SUM(_xlfn.XLOOKUP(R3:AF3,增益!$A:$A,增益!$N:$N,0))</f>
        <v>0.15</v>
      </c>
      <c r="BE3">
        <f t="shared" si="7"/>
        <v>0</v>
      </c>
      <c r="BF3">
        <f t="shared" si="8"/>
        <v>0</v>
      </c>
      <c r="BG3" s="49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-0.3</v>
      </c>
      <c r="BH3" s="49" cm="1">
        <f t="array" ref="BH3">$G$14+VLOOKUP($Q3,武学奇术!$A:$ZZ,16,FALSE)+SUM(_xlfn.XLOOKUP(R3:AF3,增益!$A:$A,增益!$P:$P,0))</f>
        <v>0</v>
      </c>
      <c r="BI3" s="41">
        <f>MIN(IF(VLOOKUP($Q3,武学奇术!$A:$ZZ,23,FALSE)=1,100%,$B$8),100%)</f>
        <v>1</v>
      </c>
      <c r="BJ3" s="41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0.9045</v>
      </c>
      <c r="BK3" s="41" cm="1">
        <f t="array" ref="BK3">1+$B$13+VLOOKUP($Q3,武学奇术!$A:$ZZ,18,FALSE)+SUM(_xlfn.XLOOKUP(R3:AF3,增益!$A:$A,增益!$R:$R,0))</f>
        <v>1.52</v>
      </c>
      <c r="BL3" s="41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0.0929</v>
      </c>
      <c r="BM3" s="41" cm="1">
        <f t="array" ref="BM3">1+$B$14+VLOOKUP($Q3,武学奇术!$A:$ZZ,20,FALSE)+SUM(_xlfn.XLOOKUP(R3:AF3,增益!$A:$A,增益!$T:$T,0))</f>
        <v>1.35</v>
      </c>
      <c r="BN3" s="41">
        <f t="shared" si="9"/>
        <v>0.9045</v>
      </c>
      <c r="BO3" s="41">
        <f t="shared" si="10"/>
        <v>0.00260000000000005</v>
      </c>
      <c r="BP3" s="41">
        <f>IF(VLOOKUP($Q3,武学奇术!$A:$ZZ,22,FALSE)=1,0,(1-$BI3))*(1-$BL3)</f>
        <v>0</v>
      </c>
      <c r="BQ3" s="41" cm="1">
        <f t="array" ref="BQ3">SUM(_xlfn.XLOOKUP(R3:AF3,增益!$A:$A,增益!$W:$W,0))+$I$5</f>
        <v>0.11</v>
      </c>
    </row>
    <row r="4" ht="15.15" spans="1:69">
      <c r="A4" s="67" t="s">
        <v>75</v>
      </c>
      <c r="B4" s="68"/>
      <c r="C4" s="68"/>
      <c r="D4" s="68"/>
      <c r="E4" s="69"/>
      <c r="F4" s="62" t="s">
        <v>76</v>
      </c>
      <c r="G4" s="66">
        <f>B15+B17</f>
        <v>0.1704</v>
      </c>
      <c r="H4" s="70" t="s">
        <v>77</v>
      </c>
      <c r="I4" s="15">
        <f>30</f>
        <v>30</v>
      </c>
      <c r="K4" s="55">
        <f t="shared" si="0"/>
        <v>19401.618470284</v>
      </c>
      <c r="L4" s="55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弹道",$B$21,0))*(1+$BQ4)</f>
        <v>18940.7073077336</v>
      </c>
      <c r="M4" s="55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弹道",$B$21,0))*(1+$BQ4)</f>
        <v>24085.7038489024</v>
      </c>
      <c r="N4" s="55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弹道",$B$21,0))*(1+$BQ4)</f>
        <v>12379.5472599566</v>
      </c>
      <c r="O4" s="55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弹道",$B$21,0))*(1+$BQ4)</f>
        <v>6917.83240961516</v>
      </c>
      <c r="P4" s="56">
        <v>1</v>
      </c>
      <c r="Q4" s="57" t="s">
        <v>172</v>
      </c>
      <c r="R4" s="57" t="s">
        <v>103</v>
      </c>
      <c r="S4" s="57" t="s">
        <v>111</v>
      </c>
      <c r="T4" s="57" t="s">
        <v>72</v>
      </c>
      <c r="U4" s="57" t="s">
        <v>107</v>
      </c>
      <c r="V4" s="57" t="s">
        <v>72</v>
      </c>
      <c r="W4" s="57" t="s">
        <v>72</v>
      </c>
      <c r="X4" s="57" t="s">
        <v>72</v>
      </c>
      <c r="Y4" s="57" t="s">
        <v>72</v>
      </c>
      <c r="Z4" s="57" t="s">
        <v>72</v>
      </c>
      <c r="AA4" s="57" t="s">
        <v>173</v>
      </c>
      <c r="AB4" s="57" t="s">
        <v>72</v>
      </c>
      <c r="AC4" s="57" t="s">
        <v>72</v>
      </c>
      <c r="AD4" s="57" t="s">
        <v>72</v>
      </c>
      <c r="AE4" s="57" t="s">
        <v>72</v>
      </c>
      <c r="AF4" s="57" t="s">
        <v>87</v>
      </c>
      <c r="AG4" t="str">
        <f>VLOOKUP($Q4,武学奇术!$A:$ZZ,25,FALSE)</f>
        <v>群体奇术</v>
      </c>
      <c r="AH4" s="41">
        <f>VLOOKUP($Q4,武学奇术!$A:$ZZ,26,FALSE)</f>
        <v>1.4904</v>
      </c>
      <c r="AI4" s="42">
        <f>VLOOKUP($Q4,武学奇术!$A:$ZZ,27,FALSE)*(1+IF(OR($AG4=$F$4,$AG4=$F$5),$B$22,0))</f>
        <v>368</v>
      </c>
      <c r="AJ4" s="41">
        <f>VLOOKUP($Q4,武学奇术!$A:$ZZ,28,FALSE)</f>
        <v>2.2353</v>
      </c>
      <c r="AK4" s="42">
        <f>VLOOKUP($Q4,武学奇术!$A:$ZZ,29,FALSE)*(1+IF(OR($AG4=$F$4,$AG4=$F$5),$B$22,0))</f>
        <v>0</v>
      </c>
      <c r="AL4" s="41" cm="1">
        <f t="array" ref="AL4">$G$3+IFERROR(VLOOKUP($AG4,$F$4:$G$7,2,FALSE),0)+VLOOKUP($Q4,武学奇术!$A:$ZZ,2,FALSE)+SUM(_xlfn.XLOOKUP($R4:$AF4,增益!$A:$A,增益!$B:$B,0))</f>
        <v>0.1537</v>
      </c>
      <c r="AM4" s="41" cm="1">
        <f t="array" ref="AM4">VLOOKUP($Q4,武学奇术!$A:$ZZ,5,FALSE)+SUM(_xlfn.XLOOKUP($R4:$AF4,增益!$A:$A,增益!$E:$E,0))</f>
        <v>0.075</v>
      </c>
      <c r="AN4" cm="1">
        <f t="array" ref="AN4">$D$10*(1+$AM4)+VLOOKUP($Q4,武学奇术!$A:$ZZ,3,FALSE)+SUM(_xlfn.XLOOKUP($R4:$AF4,增益!$A:$A,增益!$C:$C,0))-$I$2</f>
        <v>1912.055</v>
      </c>
      <c r="AO4" cm="1">
        <f t="array" ref="AO4">$E$10*(1+$AM4)+VLOOKUP($Q4,武学奇术!$A:$ZZ,4,FALSE)+SUM(_xlfn.XLOOKUP($R4:$AF4,增益!$A:$A,增益!$D:$D,0))-$I$2</f>
        <v>5879.45</v>
      </c>
      <c r="AP4" s="49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0.2225</v>
      </c>
      <c r="AQ4" s="49" cm="1">
        <f t="array" ref="AQ4">$G$10+VLOOKUP($Q4,武学奇术!$A:$ZZ,7,FALSE)+SUM(_xlfn.XLOOKUP(R4:AF4,增益!$A:$A,增益!$G:$G,0))</f>
        <v>0</v>
      </c>
      <c r="AR4" s="41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49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49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49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-0.3</v>
      </c>
      <c r="AZ4" s="49" cm="1">
        <f t="array" ref="AZ4">$G$12+VLOOKUP($Q4,武学奇术!$A:$ZZ,12,FALSE)+SUM(_xlfn.XLOOKUP(R4:AF4,增益!$A:$A,增益!$L:$L,0))</f>
        <v>0</v>
      </c>
      <c r="BA4">
        <f t="shared" si="5"/>
        <v>571.2</v>
      </c>
      <c r="BB4">
        <f t="shared" si="6"/>
        <v>1077.4</v>
      </c>
      <c r="BC4" s="49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</v>
      </c>
      <c r="BD4" s="49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49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-0.3</v>
      </c>
      <c r="BH4" s="49" cm="1">
        <f t="array" ref="BH4">$G$14+VLOOKUP($Q4,武学奇术!$A:$ZZ,16,FALSE)+SUM(_xlfn.XLOOKUP(R4:AF4,增益!$A:$A,增益!$P:$P,0))</f>
        <v>0</v>
      </c>
      <c r="BI4" s="41">
        <f>MIN(IF(VLOOKUP($Q4,武学奇术!$A:$ZZ,23,FALSE)=1,100%,$B$8),100%)</f>
        <v>1</v>
      </c>
      <c r="BJ4" s="41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0.9045</v>
      </c>
      <c r="BK4" s="41" cm="1">
        <f t="array" ref="BK4">1+$B$13+VLOOKUP($Q4,武学奇术!$A:$ZZ,18,FALSE)+SUM(_xlfn.XLOOKUP(R4:AF4,增益!$A:$A,增益!$R:$R,0))</f>
        <v>1.53</v>
      </c>
      <c r="BL4" s="41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0.0929</v>
      </c>
      <c r="BM4" s="41" cm="1">
        <f t="array" ref="BM4">1+$B$14+VLOOKUP($Q4,武学奇术!$A:$ZZ,20,FALSE)+SUM(_xlfn.XLOOKUP(R4:AF4,增益!$A:$A,增益!$T:$T,0))</f>
        <v>1.35</v>
      </c>
      <c r="BN4" s="41">
        <f t="shared" si="9"/>
        <v>0.9045</v>
      </c>
      <c r="BO4" s="41">
        <f t="shared" si="10"/>
        <v>0.00260000000000005</v>
      </c>
      <c r="BP4" s="41">
        <f>IF(VLOOKUP($Q4,武学奇术!$A:$ZZ,22,FALSE)=1,0,(1-$BI4))*(1-$BL4)</f>
        <v>0</v>
      </c>
      <c r="BQ4" s="41" cm="1">
        <f t="array" ref="BQ4">SUM(_xlfn.XLOOKUP(R4:AF4,增益!$A:$A,增益!$W:$W,0))+$I$5</f>
        <v>0.11</v>
      </c>
    </row>
    <row r="5" spans="1:69">
      <c r="A5" s="71" t="s">
        <v>5</v>
      </c>
      <c r="B5" s="72"/>
      <c r="C5" s="72"/>
      <c r="D5" s="72"/>
      <c r="E5" s="73"/>
      <c r="F5" s="62" t="s">
        <v>78</v>
      </c>
      <c r="G5" s="66">
        <f>B15+B18</f>
        <v>0.0852</v>
      </c>
      <c r="H5" t="s">
        <v>79</v>
      </c>
      <c r="I5" s="44">
        <v>0.06</v>
      </c>
      <c r="K5" s="55">
        <f t="shared" si="0"/>
        <v>19808.8200681639</v>
      </c>
      <c r="L5" s="55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弹道",$B$21,0))*(1+$BQ5)</f>
        <v>19352.5689530093</v>
      </c>
      <c r="M5" s="55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弹道",$B$21,0))*(1+$BQ5)</f>
        <v>24453.6951755091</v>
      </c>
      <c r="N5" s="55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弹道",$B$21,0))*(1+$BQ5)</f>
        <v>12566.6032162398</v>
      </c>
      <c r="O5" s="55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弹道",$B$21,0))*(1+$BQ5)</f>
        <v>7019.35815432471</v>
      </c>
      <c r="P5" s="56">
        <v>1</v>
      </c>
      <c r="Q5" s="57" t="s">
        <v>172</v>
      </c>
      <c r="R5" s="57" t="s">
        <v>110</v>
      </c>
      <c r="S5" s="57" t="s">
        <v>122</v>
      </c>
      <c r="T5" s="57" t="s">
        <v>72</v>
      </c>
      <c r="U5" s="57" t="s">
        <v>107</v>
      </c>
      <c r="V5" s="57" t="s">
        <v>72</v>
      </c>
      <c r="W5" s="57" t="s">
        <v>72</v>
      </c>
      <c r="X5" s="57" t="s">
        <v>72</v>
      </c>
      <c r="Y5" s="57" t="s">
        <v>72</v>
      </c>
      <c r="Z5" s="57" t="s">
        <v>72</v>
      </c>
      <c r="AA5" s="57" t="s">
        <v>173</v>
      </c>
      <c r="AB5" s="57" t="s">
        <v>72</v>
      </c>
      <c r="AC5" s="57" t="s">
        <v>72</v>
      </c>
      <c r="AD5" s="57" t="s">
        <v>72</v>
      </c>
      <c r="AE5" s="57" t="s">
        <v>72</v>
      </c>
      <c r="AF5" s="57" t="s">
        <v>87</v>
      </c>
      <c r="AG5" t="str">
        <f>VLOOKUP($Q5,武学奇术!$A:$ZZ,25,FALSE)</f>
        <v>群体奇术</v>
      </c>
      <c r="AH5" s="41">
        <f>VLOOKUP($Q5,武学奇术!$A:$ZZ,26,FALSE)</f>
        <v>1.4904</v>
      </c>
      <c r="AI5" s="42">
        <f>VLOOKUP($Q5,武学奇术!$A:$ZZ,27,FALSE)*(1+IF(OR($AG5=$F$4,$AG5=$F$5),$B$22,0))</f>
        <v>368</v>
      </c>
      <c r="AJ5" s="41">
        <f>VLOOKUP($Q5,武学奇术!$A:$ZZ,28,FALSE)</f>
        <v>2.2353</v>
      </c>
      <c r="AK5" s="42">
        <f>VLOOKUP($Q5,武学奇术!$A:$ZZ,29,FALSE)*(1+IF(OR($AG5=$F$4,$AG5=$F$5),$B$22,0))</f>
        <v>0</v>
      </c>
      <c r="AL5" s="41" cm="1">
        <f t="array" ref="AL5">$G$3+IFERROR(VLOOKUP($AG5,$F$4:$G$7,2,FALSE),0)+VLOOKUP($Q5,武学奇术!$A:$ZZ,2,FALSE)+SUM(_xlfn.XLOOKUP($R5:$AF5,增益!$A:$A,增益!$B:$B,0))</f>
        <v>0.1637</v>
      </c>
      <c r="AM5" s="41" cm="1">
        <f t="array" ref="AM5">VLOOKUP($Q5,武学奇术!$A:$ZZ,5,FALSE)+SUM(_xlfn.XLOOKUP($R5:$AF5,增益!$A:$A,增益!$E:$E,0))</f>
        <v>0.075</v>
      </c>
      <c r="AN5" cm="1">
        <f t="array" ref="AN5">$D$10*(1+$AM5)+VLOOKUP($Q5,武学奇术!$A:$ZZ,3,FALSE)+SUM(_xlfn.XLOOKUP($R5:$AF5,增益!$A:$A,增益!$C:$C,0))-$I$2</f>
        <v>1912.055</v>
      </c>
      <c r="AO5" cm="1">
        <f t="array" ref="AO5">$E$10*(1+$AM5)+VLOOKUP($Q5,武学奇术!$A:$ZZ,4,FALSE)+SUM(_xlfn.XLOOKUP($R5:$AF5,增益!$A:$A,增益!$D:$D,0))-$I$2</f>
        <v>5879.45</v>
      </c>
      <c r="AP5" s="49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0.2325</v>
      </c>
      <c r="AQ5" s="49" cm="1">
        <f t="array" ref="AQ5">$G$10+VLOOKUP($Q5,武学奇术!$A:$ZZ,7,FALSE)+SUM(_xlfn.XLOOKUP(R5:AF5,增益!$A:$A,增益!$G:$G,0))</f>
        <v>0</v>
      </c>
      <c r="AR5" s="41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49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49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49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-0.3</v>
      </c>
      <c r="AZ5" s="49" cm="1">
        <f t="array" ref="AZ5">$G$12+VLOOKUP($Q5,武学奇术!$A:$ZZ,12,FALSE)+SUM(_xlfn.XLOOKUP(R5:AF5,增益!$A:$A,增益!$L:$L,0))</f>
        <v>0</v>
      </c>
      <c r="BA5">
        <f t="shared" si="5"/>
        <v>571.2</v>
      </c>
      <c r="BB5">
        <f t="shared" si="6"/>
        <v>1077.4</v>
      </c>
      <c r="BC5" s="49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</v>
      </c>
      <c r="BD5" s="49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49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-0.3</v>
      </c>
      <c r="BH5" s="49" cm="1">
        <f t="array" ref="BH5">$G$14+VLOOKUP($Q5,武学奇术!$A:$ZZ,16,FALSE)+SUM(_xlfn.XLOOKUP(R5:AF5,增益!$A:$A,增益!$P:$P,0))</f>
        <v>0</v>
      </c>
      <c r="BI5" s="41">
        <f>MIN(IF(VLOOKUP($Q5,武学奇术!$A:$ZZ,23,FALSE)=1,100%,$B$8),100%)</f>
        <v>1</v>
      </c>
      <c r="BJ5" s="41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0.9045</v>
      </c>
      <c r="BK5" s="41" cm="1">
        <f t="array" ref="BK5">1+$B$13+VLOOKUP($Q5,武学奇术!$A:$ZZ,18,FALSE)+SUM(_xlfn.XLOOKUP(R5:AF5,增益!$A:$A,增益!$R:$R,0))</f>
        <v>1.54</v>
      </c>
      <c r="BL5" s="41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0.0929</v>
      </c>
      <c r="BM5" s="41" cm="1">
        <f t="array" ref="BM5">1+$B$14+VLOOKUP($Q5,武学奇术!$A:$ZZ,20,FALSE)+SUM(_xlfn.XLOOKUP(R5:AF5,增益!$A:$A,增益!$T:$T,0))</f>
        <v>1.35</v>
      </c>
      <c r="BN5" s="41">
        <f t="shared" si="9"/>
        <v>0.9045</v>
      </c>
      <c r="BO5" s="41">
        <f t="shared" si="10"/>
        <v>0.00260000000000005</v>
      </c>
      <c r="BP5" s="41">
        <f>IF(VLOOKUP($Q5,武学奇术!$A:$ZZ,22,FALSE)=1,0,(1-$BI5))*(1-$BL5)</f>
        <v>0</v>
      </c>
      <c r="BQ5" s="41" cm="1">
        <f t="array" ref="BQ5">SUM(_xlfn.XLOOKUP(R5:AF5,增益!$A:$A,增益!$W:$W,0))+$I$5</f>
        <v>0.11</v>
      </c>
    </row>
    <row r="6" spans="1:69">
      <c r="A6" s="74" t="s">
        <v>80</v>
      </c>
      <c r="B6" s="75"/>
      <c r="C6" s="75"/>
      <c r="D6" s="75"/>
      <c r="E6" s="76"/>
      <c r="F6" s="62" t="s">
        <v>81</v>
      </c>
      <c r="G6" s="66">
        <f>B19</f>
        <v>0.2678</v>
      </c>
      <c r="K6" s="55">
        <f t="shared" si="0"/>
        <v>20221.5849487211</v>
      </c>
      <c r="L6" s="55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弹道",$B$21,0))*(1+$BQ6)</f>
        <v>19770.2962697905</v>
      </c>
      <c r="M6" s="55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弹道",$B$21,0))*(1+$BQ6)</f>
        <v>24824.4229825802</v>
      </c>
      <c r="N6" s="55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弹道",$B$21,0))*(1+$BQ6)</f>
        <v>12755.0298514778</v>
      </c>
      <c r="O6" s="55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弹道",$B$21,0))*(1+$BQ6)</f>
        <v>7121.59823437764</v>
      </c>
      <c r="P6" s="56">
        <v>1</v>
      </c>
      <c r="Q6" s="57" t="s">
        <v>172</v>
      </c>
      <c r="R6" s="57" t="s">
        <v>116</v>
      </c>
      <c r="S6" s="57" t="s">
        <v>143</v>
      </c>
      <c r="T6" s="57" t="s">
        <v>72</v>
      </c>
      <c r="U6" s="57" t="s">
        <v>107</v>
      </c>
      <c r="V6" s="57" t="s">
        <v>72</v>
      </c>
      <c r="W6" s="57" t="s">
        <v>72</v>
      </c>
      <c r="X6" s="57" t="s">
        <v>72</v>
      </c>
      <c r="Y6" s="57" t="s">
        <v>72</v>
      </c>
      <c r="Z6" s="57" t="s">
        <v>72</v>
      </c>
      <c r="AA6" s="57" t="s">
        <v>173</v>
      </c>
      <c r="AB6" s="57" t="s">
        <v>72</v>
      </c>
      <c r="AC6" s="57" t="s">
        <v>72</v>
      </c>
      <c r="AD6" s="57" t="s">
        <v>72</v>
      </c>
      <c r="AE6" s="57" t="s">
        <v>72</v>
      </c>
      <c r="AF6" s="57" t="s">
        <v>87</v>
      </c>
      <c r="AG6" t="str">
        <f>VLOOKUP($Q6,武学奇术!$A:$ZZ,25,FALSE)</f>
        <v>群体奇术</v>
      </c>
      <c r="AH6" s="41">
        <f>VLOOKUP($Q6,武学奇术!$A:$ZZ,26,FALSE)</f>
        <v>1.4904</v>
      </c>
      <c r="AI6" s="42">
        <f>VLOOKUP($Q6,武学奇术!$A:$ZZ,27,FALSE)*(1+IF(OR($AG6=$F$4,$AG6=$F$5),$B$22,0))</f>
        <v>368</v>
      </c>
      <c r="AJ6" s="41">
        <f>VLOOKUP($Q6,武学奇术!$A:$ZZ,28,FALSE)</f>
        <v>2.2353</v>
      </c>
      <c r="AK6" s="42">
        <f>VLOOKUP($Q6,武学奇术!$A:$ZZ,29,FALSE)*(1+IF(OR($AG6=$F$4,$AG6=$F$5),$B$22,0))</f>
        <v>0</v>
      </c>
      <c r="AL6" s="41" cm="1">
        <f t="array" ref="AL6">$G$3+IFERROR(VLOOKUP($AG6,$F$4:$G$7,2,FALSE),0)+VLOOKUP($Q6,武学奇术!$A:$ZZ,2,FALSE)+SUM(_xlfn.XLOOKUP($R6:$AF6,增益!$A:$A,增益!$B:$B,0))</f>
        <v>0.1737</v>
      </c>
      <c r="AM6" s="41" cm="1">
        <f t="array" ref="AM6">VLOOKUP($Q6,武学奇术!$A:$ZZ,5,FALSE)+SUM(_xlfn.XLOOKUP($R6:$AF6,增益!$A:$A,增益!$E:$E,0))</f>
        <v>0.075</v>
      </c>
      <c r="AN6" cm="1">
        <f t="array" ref="AN6">$D$10*(1+$AM6)+VLOOKUP($Q6,武学奇术!$A:$ZZ,3,FALSE)+SUM(_xlfn.XLOOKUP($R6:$AF6,增益!$A:$A,增益!$C:$C,0))-$I$2</f>
        <v>1912.055</v>
      </c>
      <c r="AO6" cm="1">
        <f t="array" ref="AO6">$E$10*(1+$AM6)+VLOOKUP($Q6,武学奇术!$A:$ZZ,4,FALSE)+SUM(_xlfn.XLOOKUP($R6:$AF6,增益!$A:$A,增益!$D:$D,0))-$I$2</f>
        <v>5879.45</v>
      </c>
      <c r="AP6" s="49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0.2425</v>
      </c>
      <c r="AQ6" s="49" cm="1">
        <f t="array" ref="AQ6">$G$10+VLOOKUP($Q6,武学奇术!$A:$ZZ,7,FALSE)+SUM(_xlfn.XLOOKUP(R6:AF6,增益!$A:$A,增益!$G:$G,0))</f>
        <v>0</v>
      </c>
      <c r="AR6" s="41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49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49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49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-0.3</v>
      </c>
      <c r="AZ6" s="49" cm="1">
        <f t="array" ref="AZ6">$G$12+VLOOKUP($Q6,武学奇术!$A:$ZZ,12,FALSE)+SUM(_xlfn.XLOOKUP(R6:AF6,增益!$A:$A,增益!$L:$L,0))</f>
        <v>0</v>
      </c>
      <c r="BA6">
        <f t="shared" si="5"/>
        <v>571.2</v>
      </c>
      <c r="BB6">
        <f t="shared" si="6"/>
        <v>1077.4</v>
      </c>
      <c r="BC6" s="49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</v>
      </c>
      <c r="BD6" s="49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49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-0.3</v>
      </c>
      <c r="BH6" s="49" cm="1">
        <f t="array" ref="BH6">$G$14+VLOOKUP($Q6,武学奇术!$A:$ZZ,16,FALSE)+SUM(_xlfn.XLOOKUP(R6:AF6,增益!$A:$A,增益!$P:$P,0))</f>
        <v>0</v>
      </c>
      <c r="BI6" s="41">
        <f>MIN(IF(VLOOKUP($Q6,武学奇术!$A:$ZZ,23,FALSE)=1,100%,$B$8),100%)</f>
        <v>1</v>
      </c>
      <c r="BJ6" s="41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0.9045</v>
      </c>
      <c r="BK6" s="41" cm="1">
        <f t="array" ref="BK6">1+$B$13+VLOOKUP($Q6,武学奇术!$A:$ZZ,18,FALSE)+SUM(_xlfn.XLOOKUP(R6:AF6,增益!$A:$A,增益!$R:$R,0))</f>
        <v>1.55</v>
      </c>
      <c r="BL6" s="41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0.0929</v>
      </c>
      <c r="BM6" s="41" cm="1">
        <f t="array" ref="BM6">1+$B$14+VLOOKUP($Q6,武学奇术!$A:$ZZ,20,FALSE)+SUM(_xlfn.XLOOKUP(R6:AF6,增益!$A:$A,增益!$T:$T,0))</f>
        <v>1.35</v>
      </c>
      <c r="BN6" s="41">
        <f t="shared" si="9"/>
        <v>0.9045</v>
      </c>
      <c r="BO6" s="41">
        <f t="shared" si="10"/>
        <v>0.00260000000000005</v>
      </c>
      <c r="BP6" s="41">
        <f>IF(VLOOKUP($Q6,武学奇术!$A:$ZZ,22,FALSE)=1,0,(1-$BI6))*(1-$BL6)</f>
        <v>0</v>
      </c>
      <c r="BQ6" s="41" cm="1">
        <f t="array" ref="BQ6">SUM(_xlfn.XLOOKUP(R6:AF6,增益!$A:$A,增益!$W:$W,0))+$I$5</f>
        <v>0.11</v>
      </c>
    </row>
    <row r="7" ht="15.15" spans="1:69">
      <c r="A7" s="58" t="s">
        <v>82</v>
      </c>
      <c r="B7" s="77"/>
      <c r="C7" s="78"/>
      <c r="D7" s="79"/>
      <c r="E7" s="80"/>
      <c r="F7" s="70" t="s">
        <v>83</v>
      </c>
      <c r="G7" s="81">
        <f>B20</f>
        <v>0</v>
      </c>
      <c r="K7" s="55">
        <f t="shared" si="0"/>
        <v>59006.898326219</v>
      </c>
      <c r="L7" s="55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弹道",$B$21,0))*(1+$BQ7)</f>
        <v>58996.0088895809</v>
      </c>
      <c r="M7" s="55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弹道",$B$21,0))*(1+$BQ7)</f>
        <v>59881.3966541348</v>
      </c>
      <c r="N7" s="55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弹道",$B$21,0))*(1+$BQ7)</f>
        <v>31548.6678553908</v>
      </c>
      <c r="O7" s="55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弹道",$B$21,0))*(1+$BQ7)</f>
        <v>18740.7455966077</v>
      </c>
      <c r="P7" s="56">
        <v>1</v>
      </c>
      <c r="Q7" s="57" t="s">
        <v>84</v>
      </c>
      <c r="R7" s="57" t="s">
        <v>72</v>
      </c>
      <c r="S7" s="57" t="s">
        <v>85</v>
      </c>
      <c r="T7" s="57" t="s">
        <v>72</v>
      </c>
      <c r="U7" s="57" t="s">
        <v>72</v>
      </c>
      <c r="V7" s="57" t="s">
        <v>86</v>
      </c>
      <c r="W7" s="57" t="s">
        <v>72</v>
      </c>
      <c r="X7" s="57" t="s">
        <v>72</v>
      </c>
      <c r="Y7" s="57" t="s">
        <v>72</v>
      </c>
      <c r="Z7" s="57" t="s">
        <v>72</v>
      </c>
      <c r="AA7" s="57" t="s">
        <v>72</v>
      </c>
      <c r="AB7" s="57" t="s">
        <v>72</v>
      </c>
      <c r="AC7" s="57" t="s">
        <v>72</v>
      </c>
      <c r="AD7" s="57" t="s">
        <v>72</v>
      </c>
      <c r="AE7" s="57" t="s">
        <v>72</v>
      </c>
      <c r="AF7" s="57" t="s">
        <v>87</v>
      </c>
      <c r="AG7" t="str">
        <f>VLOOKUP($Q7,武学奇术!$A:$ZZ,25,FALSE)</f>
        <v>伞</v>
      </c>
      <c r="AH7" s="41">
        <f>VLOOKUP($Q7,武学奇术!$A:$ZZ,26,FALSE)</f>
        <v>2.3397</v>
      </c>
      <c r="AI7" s="42">
        <f>VLOOKUP($Q7,武学奇术!$A:$ZZ,27,FALSE)*(1+IF(OR($AG7=$F$4,$AG7=$F$5),$B$22,0))</f>
        <v>907.2</v>
      </c>
      <c r="AJ7" s="41">
        <f>VLOOKUP($Q7,武学奇术!$A:$ZZ,28,FALSE)</f>
        <v>3.5095</v>
      </c>
      <c r="AK7" s="42">
        <f>VLOOKUP($Q7,武学奇术!$A:$ZZ,29,FALSE)*(1+IF(OR($AG7=$F$4,$AG7=$F$5),$B$22,0))</f>
        <v>494.2</v>
      </c>
      <c r="AL7" s="41" cm="1">
        <f t="array" ref="AL7">$G$3+IFERROR(VLOOKUP($AG7,$F$4:$G$7,2,FALSE),0)+VLOOKUP($Q7,武学奇术!$A:$ZZ,2,FALSE)+SUM(_xlfn.XLOOKUP($R7:$AF7,增益!$A:$A,增益!$B:$B,0))</f>
        <v>0.6741</v>
      </c>
      <c r="AM7" s="41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1735.4</v>
      </c>
      <c r="AO7" cm="1">
        <f t="array" ref="AO7">$E$10*(1+$AM7)+VLOOKUP($Q7,武学奇术!$A:$ZZ,4,FALSE)+SUM(_xlfn.XLOOKUP($R7:$AF7,增益!$A:$A,增益!$D:$D,0))-$I$2</f>
        <v>5426</v>
      </c>
      <c r="AP7" s="49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0.2175</v>
      </c>
      <c r="AQ7" s="49" cm="1">
        <f t="array" ref="AQ7">$G$10+VLOOKUP($Q7,武学奇术!$A:$ZZ,7,FALSE)+SUM(_xlfn.XLOOKUP(R7:AF7,增益!$A:$A,增益!$G:$G,0))</f>
        <v>0.1</v>
      </c>
      <c r="AR7" s="41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49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49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49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49" cm="1">
        <f t="array" ref="AZ7">$G$12+VLOOKUP($Q7,武学奇术!$A:$ZZ,12,FALSE)+SUM(_xlfn.XLOOKUP(R7:AF7,增益!$A:$A,增益!$L:$L,0))</f>
        <v>0</v>
      </c>
      <c r="BA7">
        <f t="shared" si="5"/>
        <v>571.2</v>
      </c>
      <c r="BB7">
        <f t="shared" si="6"/>
        <v>1077.4</v>
      </c>
      <c r="BC7" s="49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</v>
      </c>
      <c r="BD7" s="49" cm="1">
        <f t="array" ref="BD7">$G$13+VLOOKUP($Q7,武学奇术!$A:$ZZ,14,FALSE)+SUM(_xlfn.XLOOKUP(R7:AF7,增益!$A:$A,增益!$N:$N,0))</f>
        <v>0.25</v>
      </c>
      <c r="BE7">
        <f t="shared" si="7"/>
        <v>0</v>
      </c>
      <c r="BF7">
        <f t="shared" si="8"/>
        <v>0</v>
      </c>
      <c r="BG7" s="49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49" cm="1">
        <f t="array" ref="BH7">$G$14+VLOOKUP($Q7,武学奇术!$A:$ZZ,16,FALSE)+SUM(_xlfn.XLOOKUP(R7:AF7,增益!$A:$A,增益!$P:$P,0))</f>
        <v>0</v>
      </c>
      <c r="BI7" s="41">
        <f>MIN(IF(VLOOKUP($Q7,武学奇术!$A:$ZZ,23,FALSE)=1,100%,$B$8),100%)</f>
        <v>1</v>
      </c>
      <c r="BJ7" s="41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0.9045</v>
      </c>
      <c r="BK7" s="41" cm="1">
        <f t="array" ref="BK7">1+$B$13+VLOOKUP($Q7,武学奇术!$A:$ZZ,18,FALSE)+SUM(_xlfn.XLOOKUP(R7:AF7,增益!$A:$A,增益!$R:$R,0))</f>
        <v>1.87</v>
      </c>
      <c r="BL7" s="41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0.0929</v>
      </c>
      <c r="BM7" s="41" cm="1">
        <f t="array" ref="BM7">1+$B$14+VLOOKUP($Q7,武学奇术!$A:$ZZ,20,FALSE)+SUM(_xlfn.XLOOKUP(R7:AF7,增益!$A:$A,增益!$T:$T,0))</f>
        <v>1.35</v>
      </c>
      <c r="BN7" s="41">
        <f t="shared" si="9"/>
        <v>0.9045</v>
      </c>
      <c r="BO7" s="41">
        <f t="shared" si="10"/>
        <v>0.00260000000000005</v>
      </c>
      <c r="BP7" s="41">
        <f>IF(VLOOKUP($Q7,武学奇术!$A:$ZZ,22,FALSE)=1,0,(1-$BI7))*(1-$BL7)</f>
        <v>0</v>
      </c>
      <c r="BQ7" s="41" cm="1">
        <f t="array" ref="BQ7">SUM(_xlfn.XLOOKUP(R7:AF7,增益!$A:$A,增益!$W:$W,0))+$I$5</f>
        <v>0.11</v>
      </c>
    </row>
    <row r="8" spans="1:69">
      <c r="A8" s="82" t="s">
        <v>88</v>
      </c>
      <c r="B8" s="83">
        <f>期望!B8</f>
        <v>1</v>
      </c>
      <c r="C8" s="84" t="s">
        <v>89</v>
      </c>
      <c r="D8" s="84"/>
      <c r="E8" s="84"/>
      <c r="F8" s="84"/>
      <c r="G8" s="54"/>
      <c r="H8" s="85" t="s">
        <v>90</v>
      </c>
      <c r="I8" s="20">
        <f>期望!I8</f>
        <v>102</v>
      </c>
      <c r="J8" s="86"/>
      <c r="K8" s="55">
        <f t="shared" si="0"/>
        <v>69292.0278884324</v>
      </c>
      <c r="L8" s="55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弹道",$B$21,0))*(1+$BQ8)</f>
        <v>69277.6008793665</v>
      </c>
      <c r="M8" s="55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弹道",$B$21,0))*(1+$BQ8)</f>
        <v>70334.9418194976</v>
      </c>
      <c r="N8" s="55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弹道",$B$21,0))*(1+$BQ8)</f>
        <v>37046.8453900356</v>
      </c>
      <c r="O8" s="55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弹道",$B$21,0))*(1+$BQ8)</f>
        <v>21993.7338767395</v>
      </c>
      <c r="P8" s="56">
        <v>1</v>
      </c>
      <c r="Q8" s="57" t="s">
        <v>84</v>
      </c>
      <c r="R8" s="57" t="s">
        <v>91</v>
      </c>
      <c r="S8" s="57" t="s">
        <v>85</v>
      </c>
      <c r="T8" s="57" t="s">
        <v>92</v>
      </c>
      <c r="U8" s="57" t="s">
        <v>72</v>
      </c>
      <c r="V8" s="57" t="s">
        <v>86</v>
      </c>
      <c r="W8" s="57" t="s">
        <v>72</v>
      </c>
      <c r="X8" s="57" t="s">
        <v>72</v>
      </c>
      <c r="Y8" s="57" t="s">
        <v>72</v>
      </c>
      <c r="Z8" s="57" t="s">
        <v>72</v>
      </c>
      <c r="AA8" s="57" t="s">
        <v>173</v>
      </c>
      <c r="AB8" s="57" t="s">
        <v>72</v>
      </c>
      <c r="AC8" s="57" t="s">
        <v>72</v>
      </c>
      <c r="AD8" s="57" t="s">
        <v>72</v>
      </c>
      <c r="AE8" s="57" t="s">
        <v>72</v>
      </c>
      <c r="AF8" s="57" t="s">
        <v>87</v>
      </c>
      <c r="AG8" t="str">
        <f>VLOOKUP($Q8,武学奇术!$A:$ZZ,25,FALSE)</f>
        <v>伞</v>
      </c>
      <c r="AH8" s="41">
        <f>VLOOKUP($Q8,武学奇术!$A:$ZZ,26,FALSE)</f>
        <v>2.3397</v>
      </c>
      <c r="AI8" s="42">
        <f>VLOOKUP($Q8,武学奇术!$A:$ZZ,27,FALSE)*(1+IF(OR($AG8=$F$4,$AG8=$F$5),$B$22,0))</f>
        <v>907.2</v>
      </c>
      <c r="AJ8" s="41">
        <f>VLOOKUP($Q8,武学奇术!$A:$ZZ,28,FALSE)</f>
        <v>3.5095</v>
      </c>
      <c r="AK8" s="42">
        <f>VLOOKUP($Q8,武学奇术!$A:$ZZ,29,FALSE)*(1+IF(OR($AG8=$F$4,$AG8=$F$5),$B$22,0))</f>
        <v>494.2</v>
      </c>
      <c r="AL8" s="41" cm="1">
        <f t="array" ref="AL8">$G$3+IFERROR(VLOOKUP($AG8,$F$4:$G$7,2,FALSE),0)+VLOOKUP($Q8,武学奇术!$A:$ZZ,2,FALSE)+SUM(_xlfn.XLOOKUP($R8:$AF8,增益!$A:$A,增益!$B:$B,0))</f>
        <v>0.9541</v>
      </c>
      <c r="AM8" s="41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1735.4</v>
      </c>
      <c r="AO8" cm="1">
        <f t="array" ref="AO8">$E$10*(1+$AM8)+VLOOKUP($Q8,武学奇术!$A:$ZZ,4,FALSE)+SUM(_xlfn.XLOOKUP($R8:$AF8,增益!$A:$A,增益!$D:$D,0))-$I$2</f>
        <v>5426</v>
      </c>
      <c r="AP8" s="49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0.2275</v>
      </c>
      <c r="AQ8" s="49" cm="1">
        <f t="array" ref="AQ8">$G$10+VLOOKUP($Q8,武学奇术!$A:$ZZ,7,FALSE)+SUM(_xlfn.XLOOKUP(R8:AF8,增益!$A:$A,增益!$G:$G,0))</f>
        <v>0.1</v>
      </c>
      <c r="AR8" s="41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49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49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49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49" cm="1">
        <f t="array" ref="AZ8">$G$12+VLOOKUP($Q8,武学奇术!$A:$ZZ,12,FALSE)+SUM(_xlfn.XLOOKUP(R8:AF8,增益!$A:$A,增益!$L:$L,0))</f>
        <v>0</v>
      </c>
      <c r="BA8">
        <f t="shared" si="5"/>
        <v>571.2</v>
      </c>
      <c r="BB8">
        <f t="shared" si="6"/>
        <v>1077.4</v>
      </c>
      <c r="BC8" s="49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</v>
      </c>
      <c r="BD8" s="49" cm="1">
        <f t="array" ref="BD8">$G$13+VLOOKUP($Q8,武学奇术!$A:$ZZ,14,FALSE)+SUM(_xlfn.XLOOKUP(R8:AF8,增益!$A:$A,增益!$N:$N,0))</f>
        <v>0.25</v>
      </c>
      <c r="BE8">
        <f t="shared" si="7"/>
        <v>0</v>
      </c>
      <c r="BF8">
        <f t="shared" si="8"/>
        <v>0</v>
      </c>
      <c r="BG8" s="49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49" cm="1">
        <f t="array" ref="BH8">$G$14+VLOOKUP($Q8,武学奇术!$A:$ZZ,16,FALSE)+SUM(_xlfn.XLOOKUP(R8:AF8,增益!$A:$A,增益!$P:$P,0))</f>
        <v>0</v>
      </c>
      <c r="BI8" s="41">
        <f>MIN(IF(VLOOKUP($Q8,武学奇术!$A:$ZZ,23,FALSE)=1,100%,$B$8),100%)</f>
        <v>1</v>
      </c>
      <c r="BJ8" s="41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0.9045</v>
      </c>
      <c r="BK8" s="41" cm="1">
        <f t="array" ref="BK8">1+$B$13+VLOOKUP($Q8,武学奇术!$A:$ZZ,18,FALSE)+SUM(_xlfn.XLOOKUP(R8:AF8,增益!$A:$A,增益!$R:$R,0))</f>
        <v>1.87</v>
      </c>
      <c r="BL8" s="41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0.0929</v>
      </c>
      <c r="BM8" s="41" cm="1">
        <f t="array" ref="BM8">1+$B$14+VLOOKUP($Q8,武学奇术!$A:$ZZ,20,FALSE)+SUM(_xlfn.XLOOKUP(R8:AF8,增益!$A:$A,增益!$T:$T,0))</f>
        <v>1.35</v>
      </c>
      <c r="BN8" s="41">
        <f t="shared" si="9"/>
        <v>0.9045</v>
      </c>
      <c r="BO8" s="41">
        <f t="shared" si="10"/>
        <v>0.00260000000000005</v>
      </c>
      <c r="BP8" s="41">
        <f>IF(VLOOKUP($Q8,武学奇术!$A:$ZZ,22,FALSE)=1,0,(1-$BI8))*(1-$BL8)</f>
        <v>0</v>
      </c>
      <c r="BQ8" s="41" cm="1">
        <f t="array" ref="BQ8">SUM(_xlfn.XLOOKUP(R8:AF8,增益!$A:$A,增益!$W:$W,0))+$I$5</f>
        <v>0.11</v>
      </c>
    </row>
    <row r="9" ht="15.15" spans="1:69">
      <c r="A9" s="58" t="s">
        <v>93</v>
      </c>
      <c r="B9" s="87">
        <f>期望!B9</f>
        <v>0.7715</v>
      </c>
      <c r="C9" s="12"/>
      <c r="D9" t="s">
        <v>0</v>
      </c>
      <c r="E9" t="s">
        <v>1</v>
      </c>
      <c r="F9" s="56" t="s">
        <v>2</v>
      </c>
      <c r="G9" s="61" t="s">
        <v>3</v>
      </c>
      <c r="H9" s="88"/>
      <c r="I9" s="23"/>
      <c r="J9" s="89"/>
      <c r="K9" s="55">
        <f t="shared" si="0"/>
        <v>27710.6235130122</v>
      </c>
      <c r="L9" s="55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弹道",$B$21,0))*(1+$BQ9)</f>
        <v>27088.0104226367</v>
      </c>
      <c r="M9" s="55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弹道",$B$21,0))*(1+$BQ9)</f>
        <v>34046.0331365669</v>
      </c>
      <c r="N9" s="55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弹道",$B$21,0))*(1+$BQ9)</f>
        <v>17939.0797500905</v>
      </c>
      <c r="O9" s="55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弹道",$B$21,0))*(1+$BQ9)</f>
        <v>10658.8756953167</v>
      </c>
      <c r="P9" s="56">
        <v>1</v>
      </c>
      <c r="Q9" s="57" t="s">
        <v>94</v>
      </c>
      <c r="R9" s="57" t="s">
        <v>95</v>
      </c>
      <c r="S9" s="57" t="s">
        <v>85</v>
      </c>
      <c r="T9" s="57" t="s">
        <v>72</v>
      </c>
      <c r="U9" s="57" t="s">
        <v>72</v>
      </c>
      <c r="V9" s="57" t="s">
        <v>72</v>
      </c>
      <c r="W9" s="57" t="s">
        <v>72</v>
      </c>
      <c r="X9" s="57" t="s">
        <v>72</v>
      </c>
      <c r="Y9" s="57" t="s">
        <v>72</v>
      </c>
      <c r="Z9" s="57" t="s">
        <v>72</v>
      </c>
      <c r="AA9" s="57" t="s">
        <v>173</v>
      </c>
      <c r="AB9" s="57" t="s">
        <v>72</v>
      </c>
      <c r="AC9" s="57" t="s">
        <v>72</v>
      </c>
      <c r="AD9" s="57" t="s">
        <v>72</v>
      </c>
      <c r="AE9" s="57" t="s">
        <v>72</v>
      </c>
      <c r="AF9" s="57" t="s">
        <v>87</v>
      </c>
      <c r="AG9" t="str">
        <f>VLOOKUP($Q9,武学奇术!$A:$ZZ,25,FALSE)</f>
        <v>伞</v>
      </c>
      <c r="AH9" s="41">
        <f>VLOOKUP($Q9,武学奇术!$A:$ZZ,26,FALSE)</f>
        <v>1.7001</v>
      </c>
      <c r="AI9" s="42">
        <f>VLOOKUP($Q9,武学奇术!$A:$ZZ,27,FALSE)*(1+IF(OR($AG9=$F$4,$AG9=$F$5),$B$22,0))</f>
        <v>659.4</v>
      </c>
      <c r="AJ9" s="41">
        <f>VLOOKUP($Q9,武学奇术!$A:$ZZ,28,FALSE)</f>
        <v>2.5502</v>
      </c>
      <c r="AK9" s="42">
        <f>VLOOKUP($Q9,武学奇术!$A:$ZZ,29,FALSE)*(1+IF(OR($AG9=$F$4,$AG9=$F$5),$B$22,0))</f>
        <v>358.4</v>
      </c>
      <c r="AL9" s="41" cm="1">
        <f t="array" ref="AL9">$G$3+IFERROR(VLOOKUP($AG9,$F$4:$G$7,2,FALSE),0)+VLOOKUP($Q9,武学奇术!$A:$ZZ,2,FALSE)+SUM(_xlfn.XLOOKUP($R9:$AF9,增益!$A:$A,增益!$B:$B,0))</f>
        <v>0.3141</v>
      </c>
      <c r="AM9" s="41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1735.4</v>
      </c>
      <c r="AO9" cm="1">
        <f t="array" ref="AO9">$E$10*(1+$AM9)+VLOOKUP($Q9,武学奇术!$A:$ZZ,4,FALSE)+SUM(_xlfn.XLOOKUP($R9:$AF9,增益!$A:$A,增益!$D:$D,0))-$I$2</f>
        <v>5426</v>
      </c>
      <c r="AP9" s="49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0.2125</v>
      </c>
      <c r="AQ9" s="49" cm="1">
        <f t="array" ref="AQ9">$G$10+VLOOKUP($Q9,武学奇术!$A:$ZZ,7,FALSE)+SUM(_xlfn.XLOOKUP(R9:AF9,增益!$A:$A,增益!$G:$G,0))</f>
        <v>0.1</v>
      </c>
      <c r="AR9" s="41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49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49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49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-0.3</v>
      </c>
      <c r="AZ9" s="49" cm="1">
        <f t="array" ref="AZ9">$G$12+VLOOKUP($Q9,武学奇术!$A:$ZZ,12,FALSE)+SUM(_xlfn.XLOOKUP(R9:AF9,增益!$A:$A,增益!$L:$L,0))</f>
        <v>0</v>
      </c>
      <c r="BA9">
        <f t="shared" si="5"/>
        <v>571.2</v>
      </c>
      <c r="BB9">
        <f t="shared" si="6"/>
        <v>1077.4</v>
      </c>
      <c r="BC9" s="49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</v>
      </c>
      <c r="BD9" s="49" cm="1">
        <f t="array" ref="BD9">$G$13+VLOOKUP($Q9,武学奇术!$A:$ZZ,14,FALSE)+SUM(_xlfn.XLOOKUP(R9:AF9,增益!$A:$A,增益!$N:$N,0))</f>
        <v>0.25</v>
      </c>
      <c r="BE9">
        <f t="shared" si="7"/>
        <v>0</v>
      </c>
      <c r="BF9">
        <f t="shared" si="8"/>
        <v>0</v>
      </c>
      <c r="BG9" s="49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-0.3</v>
      </c>
      <c r="BH9" s="49" cm="1">
        <f t="array" ref="BH9">$G$14+VLOOKUP($Q9,武学奇术!$A:$ZZ,16,FALSE)+SUM(_xlfn.XLOOKUP(R9:AF9,增益!$A:$A,增益!$P:$P,0))</f>
        <v>0</v>
      </c>
      <c r="BI9" s="41">
        <f>MIN(IF(VLOOKUP($Q9,武学奇术!$A:$ZZ,23,FALSE)=1,100%,$B$8),100%)</f>
        <v>1</v>
      </c>
      <c r="BJ9" s="41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0.9045</v>
      </c>
      <c r="BK9" s="41" cm="1">
        <f t="array" ref="BK9">1+$B$13+VLOOKUP($Q9,武学奇术!$A:$ZZ,18,FALSE)+SUM(_xlfn.XLOOKUP(R9:AF9,增益!$A:$A,增益!$R:$R,0))</f>
        <v>1.51</v>
      </c>
      <c r="BL9" s="41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0.0929</v>
      </c>
      <c r="BM9" s="41" cm="1">
        <f t="array" ref="BM9">1+$B$14+VLOOKUP($Q9,武学奇术!$A:$ZZ,20,FALSE)+SUM(_xlfn.XLOOKUP(R9:AF9,增益!$A:$A,增益!$T:$T,0))</f>
        <v>1.35</v>
      </c>
      <c r="BN9" s="41">
        <f t="shared" si="9"/>
        <v>0.9045</v>
      </c>
      <c r="BO9" s="41">
        <f t="shared" si="10"/>
        <v>0.00260000000000005</v>
      </c>
      <c r="BP9" s="41">
        <f>IF(VLOOKUP($Q9,武学奇术!$A:$ZZ,22,FALSE)=1,0,(1-$BI9))*(1-$BL9)</f>
        <v>0</v>
      </c>
      <c r="BQ9" s="41" cm="1">
        <f t="array" ref="BQ9">SUM(_xlfn.XLOOKUP(R9:AF9,增益!$A:$A,增益!$W:$W,0))+$I$5</f>
        <v>0.11</v>
      </c>
    </row>
    <row r="10" spans="1:69">
      <c r="A10" s="58" t="s">
        <v>97</v>
      </c>
      <c r="B10" s="87">
        <f>期望!B10</f>
        <v>0.0929</v>
      </c>
      <c r="C10" s="12" t="s">
        <v>68</v>
      </c>
      <c r="D10">
        <f>期望!D10</f>
        <v>2355.4</v>
      </c>
      <c r="E10">
        <f>期望!E10</f>
        <v>6046</v>
      </c>
      <c r="F10">
        <f>期望!F10</f>
        <v>63.5</v>
      </c>
      <c r="G10" s="66">
        <f>期望!G10</f>
        <v>0</v>
      </c>
      <c r="H10" s="85" t="s">
        <v>98</v>
      </c>
      <c r="I10" s="90">
        <f>SUM(K:K)</f>
        <v>13463746.8543031</v>
      </c>
      <c r="J10" s="91"/>
      <c r="K10" s="55">
        <f t="shared" si="0"/>
        <v>11678.9601064007</v>
      </c>
      <c r="L10" s="55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弹道",$B$21,0))*(1+$BQ10)</f>
        <v>11425.0183867878</v>
      </c>
      <c r="M10" s="55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弹道",$B$21,0))*(1+$BQ10)</f>
        <v>14267.9029164927</v>
      </c>
      <c r="N10" s="55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弹道",$B$21,0))*(1+$BQ10)</f>
        <v>7516.45946499199</v>
      </c>
      <c r="O10" s="55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弹道",$B$21,0))*(1+$BQ10)</f>
        <v>4464.1019548042</v>
      </c>
      <c r="P10" s="56">
        <v>1</v>
      </c>
      <c r="Q10" s="57" t="s">
        <v>99</v>
      </c>
      <c r="R10" s="57" t="s">
        <v>95</v>
      </c>
      <c r="S10" s="57" t="s">
        <v>100</v>
      </c>
      <c r="T10" s="57" t="s">
        <v>72</v>
      </c>
      <c r="U10" s="57" t="s">
        <v>72</v>
      </c>
      <c r="V10" s="57" t="s">
        <v>72</v>
      </c>
      <c r="W10" s="57" t="s">
        <v>72</v>
      </c>
      <c r="X10" s="57" t="s">
        <v>72</v>
      </c>
      <c r="Y10" s="57" t="s">
        <v>72</v>
      </c>
      <c r="Z10" s="57" t="s">
        <v>72</v>
      </c>
      <c r="AA10" s="57" t="s">
        <v>173</v>
      </c>
      <c r="AB10" s="57" t="s">
        <v>72</v>
      </c>
      <c r="AC10" s="57" t="s">
        <v>72</v>
      </c>
      <c r="AD10" s="57" t="s">
        <v>72</v>
      </c>
      <c r="AE10" s="57" t="s">
        <v>72</v>
      </c>
      <c r="AF10" s="57" t="s">
        <v>87</v>
      </c>
      <c r="AG10" t="str">
        <f>VLOOKUP($Q10,武学奇术!$A:$ZZ,25,FALSE)</f>
        <v>伞</v>
      </c>
      <c r="AH10" s="41">
        <f>VLOOKUP($Q10,武学奇术!$A:$ZZ,26,FALSE)</f>
        <v>0.54</v>
      </c>
      <c r="AI10" s="42">
        <f>VLOOKUP($Q10,武学奇术!$A:$ZZ,27,FALSE)*(1+IF(OR($AG10=$F$4,$AG10=$F$5),$B$22,0))</f>
        <v>207.2</v>
      </c>
      <c r="AJ10" s="41">
        <f>VLOOKUP($Q10,武学奇术!$A:$ZZ,28,FALSE)</f>
        <v>0.81</v>
      </c>
      <c r="AK10" s="42">
        <f>VLOOKUP($Q10,武学奇术!$A:$ZZ,29,FALSE)*(1+IF(OR($AG10=$F$4,$AG10=$F$5),$B$22,0))</f>
        <v>114.1</v>
      </c>
      <c r="AL10" s="41" cm="1">
        <f t="array" ref="AL10">$G$3+IFERROR(VLOOKUP($AG10,$F$4:$G$7,2,FALSE),0)+VLOOKUP($Q10,武学奇术!$A:$ZZ,2,FALSE)+SUM(_xlfn.XLOOKUP($R10:$AF10,增益!$A:$A,增益!$B:$B,0))</f>
        <v>0.3141</v>
      </c>
      <c r="AM10" s="41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1735.4</v>
      </c>
      <c r="AO10" cm="1">
        <f t="array" ref="AO10">$E$10*(1+$AM10)+VLOOKUP($Q10,武学奇术!$A:$ZZ,4,FALSE)+SUM(_xlfn.XLOOKUP($R10:$AF10,增益!$A:$A,增益!$D:$D,0))-$I$2</f>
        <v>5426</v>
      </c>
      <c r="AP10" s="49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0.2125</v>
      </c>
      <c r="AQ10" s="49" cm="1">
        <f t="array" ref="AQ10">$G$10+VLOOKUP($Q10,武学奇术!$A:$ZZ,7,FALSE)+SUM(_xlfn.XLOOKUP(R10:AF10,增益!$A:$A,增益!$G:$G,0))</f>
        <v>0.1</v>
      </c>
      <c r="AR10" s="41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49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49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49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-0.3</v>
      </c>
      <c r="AZ10" s="49" cm="1">
        <f t="array" ref="AZ10">$G$12+VLOOKUP($Q10,武学奇术!$A:$ZZ,12,FALSE)+SUM(_xlfn.XLOOKUP(R10:AF10,增益!$A:$A,增益!$L:$L,0))</f>
        <v>0</v>
      </c>
      <c r="BA10">
        <f t="shared" si="5"/>
        <v>571.2</v>
      </c>
      <c r="BB10">
        <f t="shared" si="6"/>
        <v>1077.4</v>
      </c>
      <c r="BC10" s="49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</v>
      </c>
      <c r="BD10" s="49" cm="1">
        <f t="array" ref="BD10">$G$13+VLOOKUP($Q10,武学奇术!$A:$ZZ,14,FALSE)+SUM(_xlfn.XLOOKUP(R10:AF10,增益!$A:$A,增益!$N:$N,0))</f>
        <v>0.25</v>
      </c>
      <c r="BE10">
        <f t="shared" si="7"/>
        <v>0</v>
      </c>
      <c r="BF10">
        <f t="shared" si="8"/>
        <v>0</v>
      </c>
      <c r="BG10" s="49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-0.3</v>
      </c>
      <c r="BH10" s="49" cm="1">
        <f t="array" ref="BH10">$G$14+VLOOKUP($Q10,武学奇术!$A:$ZZ,16,FALSE)+SUM(_xlfn.XLOOKUP(R10:AF10,增益!$A:$A,增益!$P:$P,0))</f>
        <v>0</v>
      </c>
      <c r="BI10" s="41">
        <f>MIN(IF(VLOOKUP($Q10,武学奇术!$A:$ZZ,23,FALSE)=1,100%,$B$8),100%)</f>
        <v>1</v>
      </c>
      <c r="BJ10" s="41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0.9045</v>
      </c>
      <c r="BK10" s="41" cm="1">
        <f t="array" ref="BK10">1+$B$13+VLOOKUP($Q10,武学奇术!$A:$ZZ,18,FALSE)+SUM(_xlfn.XLOOKUP(R10:AF10,增益!$A:$A,增益!$R:$R,0))</f>
        <v>1.52</v>
      </c>
      <c r="BL10" s="41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0.0929</v>
      </c>
      <c r="BM10" s="41" cm="1">
        <f t="array" ref="BM10">1+$B$14+VLOOKUP($Q10,武学奇术!$A:$ZZ,20,FALSE)+SUM(_xlfn.XLOOKUP(R10:AF10,增益!$A:$A,增益!$T:$T,0))</f>
        <v>1.35</v>
      </c>
      <c r="BN10" s="41">
        <f t="shared" si="9"/>
        <v>0.9045</v>
      </c>
      <c r="BO10" s="41">
        <f t="shared" si="10"/>
        <v>0.00260000000000005</v>
      </c>
      <c r="BP10" s="41">
        <f>IF(VLOOKUP($Q10,武学奇术!$A:$ZZ,22,FALSE)=1,0,(1-$BI10))*(1-$BL10)</f>
        <v>0</v>
      </c>
      <c r="BQ10" s="41" cm="1">
        <f t="array" ref="BQ10">SUM(_xlfn.XLOOKUP(R10:AF10,增益!$A:$A,增益!$W:$W,0))+$I$5</f>
        <v>0.11</v>
      </c>
    </row>
    <row r="11" ht="15.15" spans="1:69">
      <c r="A11" s="58" t="s">
        <v>101</v>
      </c>
      <c r="B11" s="87">
        <f>期望!B11</f>
        <v>0.133</v>
      </c>
      <c r="C11" s="12" t="s">
        <v>73</v>
      </c>
      <c r="D11">
        <f>期望!D11</f>
        <v>0</v>
      </c>
      <c r="E11">
        <f>期望!E11</f>
        <v>0</v>
      </c>
      <c r="F11">
        <f>期望!F11</f>
        <v>0</v>
      </c>
      <c r="G11" s="66">
        <f>期望!G11</f>
        <v>0</v>
      </c>
      <c r="H11" s="88"/>
      <c r="I11" s="92"/>
      <c r="J11" s="93"/>
      <c r="K11" s="55">
        <f t="shared" si="0"/>
        <v>23586.391470352</v>
      </c>
      <c r="L11" s="55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弹道",$B$21,0))*(1+$BQ11)</f>
        <v>23592.2060910517</v>
      </c>
      <c r="M11" s="55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弹道",$B$21,0))*(1+$BQ11)</f>
        <v>23838.68182921</v>
      </c>
      <c r="N11" s="55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弹道",$B$21,0))*(1+$BQ11)</f>
        <v>12549.0457931126</v>
      </c>
      <c r="O11" s="55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弹道",$B$21,0))*(1+$BQ11)</f>
        <v>7439.80874977331</v>
      </c>
      <c r="P11" s="56">
        <v>0.5</v>
      </c>
      <c r="Q11" s="57" t="s">
        <v>102</v>
      </c>
      <c r="R11" s="57" t="s">
        <v>103</v>
      </c>
      <c r="S11" s="57" t="s">
        <v>100</v>
      </c>
      <c r="T11" s="57" t="s">
        <v>92</v>
      </c>
      <c r="U11" s="57" t="s">
        <v>72</v>
      </c>
      <c r="V11" s="57" t="s">
        <v>86</v>
      </c>
      <c r="W11" s="57" t="s">
        <v>72</v>
      </c>
      <c r="X11" s="57" t="s">
        <v>72</v>
      </c>
      <c r="Y11" s="57" t="s">
        <v>72</v>
      </c>
      <c r="Z11" s="57" t="s">
        <v>72</v>
      </c>
      <c r="AA11" s="57" t="s">
        <v>173</v>
      </c>
      <c r="AB11" s="57" t="s">
        <v>72</v>
      </c>
      <c r="AC11" s="57" t="s">
        <v>72</v>
      </c>
      <c r="AD11" s="57" t="s">
        <v>72</v>
      </c>
      <c r="AE11" s="57" t="s">
        <v>72</v>
      </c>
      <c r="AF11" s="57" t="s">
        <v>87</v>
      </c>
      <c r="AG11" t="str">
        <f>VLOOKUP($Q11,武学奇术!$A:$ZZ,25,FALSE)</f>
        <v>伞</v>
      </c>
      <c r="AH11" s="41">
        <f>VLOOKUP($Q11,武学奇术!$A:$ZZ,26,FALSE)</f>
        <v>1.174955</v>
      </c>
      <c r="AI11" s="42">
        <f>VLOOKUP($Q11,武学奇术!$A:$ZZ,27,FALSE)*(1+IF(OR($AG11=$F$4,$AG11=$F$5),$B$22,0))</f>
        <v>454.02</v>
      </c>
      <c r="AJ11" s="41">
        <f>VLOOKUP($Q11,武学奇术!$A:$ZZ,28,FALSE)</f>
        <v>1.762375</v>
      </c>
      <c r="AK11" s="42">
        <f>VLOOKUP($Q11,武学奇术!$A:$ZZ,29,FALSE)*(1+IF(OR($AG11=$F$4,$AG11=$F$5),$B$22,0))</f>
        <v>247.94</v>
      </c>
      <c r="AL11" s="41" cm="1">
        <f t="array" ref="AL11">$G$3+IFERROR(VLOOKUP($AG11,$F$4:$G$7,2,FALSE),0)+VLOOKUP($Q11,武学奇术!$A:$ZZ,2,FALSE)+SUM(_xlfn.XLOOKUP($R11:$AF11,增益!$A:$A,增益!$B:$B,0))</f>
        <v>0.9741</v>
      </c>
      <c r="AM11" s="41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1735.4</v>
      </c>
      <c r="AO11" cm="1">
        <f t="array" ref="AO11">$E$10*(1+$AM11)+VLOOKUP($Q11,武学奇术!$A:$ZZ,4,FALSE)+SUM(_xlfn.XLOOKUP($R11:$AF11,增益!$A:$A,增益!$D:$D,0))-$I$2</f>
        <v>5426</v>
      </c>
      <c r="AP11" s="49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0.2475</v>
      </c>
      <c r="AQ11" s="49" cm="1">
        <f t="array" ref="AQ11">$G$10+VLOOKUP($Q11,武学奇术!$A:$ZZ,7,FALSE)+SUM(_xlfn.XLOOKUP(R11:AF11,增益!$A:$A,增益!$G:$G,0))</f>
        <v>0.1</v>
      </c>
      <c r="AR11" s="41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49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-0.3</v>
      </c>
      <c r="AV11" s="49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49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-0.3</v>
      </c>
      <c r="AZ11" s="49" cm="1">
        <f t="array" ref="AZ11">$G$12+VLOOKUP($Q11,武学奇术!$A:$ZZ,12,FALSE)+SUM(_xlfn.XLOOKUP(R11:AF11,增益!$A:$A,增益!$L:$L,0))</f>
        <v>0</v>
      </c>
      <c r="BA11">
        <f t="shared" si="5"/>
        <v>571.2</v>
      </c>
      <c r="BB11">
        <f t="shared" si="6"/>
        <v>1077.4</v>
      </c>
      <c r="BC11" s="49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</v>
      </c>
      <c r="BD11" s="49" cm="1">
        <f t="array" ref="BD11">$G$13+VLOOKUP($Q11,武学奇术!$A:$ZZ,14,FALSE)+SUM(_xlfn.XLOOKUP(R11:AF11,增益!$A:$A,增益!$N:$N,0))</f>
        <v>0.25</v>
      </c>
      <c r="BE11">
        <f t="shared" si="7"/>
        <v>0</v>
      </c>
      <c r="BF11">
        <f t="shared" si="8"/>
        <v>0</v>
      </c>
      <c r="BG11" s="49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-0.3</v>
      </c>
      <c r="BH11" s="49" cm="1">
        <f t="array" ref="BH11">$G$14+VLOOKUP($Q11,武学奇术!$A:$ZZ,16,FALSE)+SUM(_xlfn.XLOOKUP(R11:AF11,增益!$A:$A,增益!$P:$P,0))</f>
        <v>0</v>
      </c>
      <c r="BI11" s="41">
        <f>MIN(IF(VLOOKUP($Q11,武学奇术!$A:$ZZ,23,FALSE)=1,100%,$B$8),100%)</f>
        <v>1</v>
      </c>
      <c r="BJ11" s="41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0.9045</v>
      </c>
      <c r="BK11" s="41" cm="1">
        <f t="array" ref="BK11">1+$B$13+VLOOKUP($Q11,武学奇术!$A:$ZZ,18,FALSE)+SUM(_xlfn.XLOOKUP(R11:AF11,增益!$A:$A,增益!$R:$R,0))</f>
        <v>1.88</v>
      </c>
      <c r="BL11" s="41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0.0929</v>
      </c>
      <c r="BM11" s="41" cm="1">
        <f t="array" ref="BM11">1+$B$14+VLOOKUP($Q11,武学奇术!$A:$ZZ,20,FALSE)+SUM(_xlfn.XLOOKUP(R11:AF11,增益!$A:$A,增益!$T:$T,0))</f>
        <v>1.35</v>
      </c>
      <c r="BN11" s="41">
        <f t="shared" si="9"/>
        <v>0.9045</v>
      </c>
      <c r="BO11" s="41">
        <f t="shared" si="10"/>
        <v>0.00260000000000005</v>
      </c>
      <c r="BP11" s="41">
        <f>IF(VLOOKUP($Q11,武学奇术!$A:$ZZ,22,FALSE)=1,0,(1-$BI11))*(1-$BL11)</f>
        <v>0</v>
      </c>
      <c r="BQ11" s="41" cm="1">
        <f t="array" ref="BQ11">SUM(_xlfn.XLOOKUP(R11:AF11,增益!$A:$A,增益!$W:$W,0))+$I$5</f>
        <v>0.11</v>
      </c>
    </row>
    <row r="12" spans="1:69">
      <c r="A12" s="58" t="s">
        <v>104</v>
      </c>
      <c r="B12" s="87">
        <f>期望!B12</f>
        <v>0</v>
      </c>
      <c r="C12" s="12" t="s">
        <v>75</v>
      </c>
      <c r="D12">
        <f>期望!D12</f>
        <v>0</v>
      </c>
      <c r="E12">
        <f>期望!E12</f>
        <v>0</v>
      </c>
      <c r="F12">
        <f>期望!F12</f>
        <v>0</v>
      </c>
      <c r="G12" s="66">
        <f>期望!G12</f>
        <v>0</v>
      </c>
      <c r="H12" s="85" t="s">
        <v>105</v>
      </c>
      <c r="I12" s="55">
        <f>I10/I8</f>
        <v>131997.518179442</v>
      </c>
      <c r="J12" s="94"/>
      <c r="K12" s="55">
        <f t="shared" si="0"/>
        <v>30227.5870468373</v>
      </c>
      <c r="L12" s="55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弹道",$B$21,0))*(1+$BQ12)</f>
        <v>30570.2529447838</v>
      </c>
      <c r="M12" s="55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弹道",$B$21,0))*(1+$BQ12)</f>
        <v>27335.6023311492</v>
      </c>
      <c r="N12" s="55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弹道",$B$21,0))*(1+$BQ12)</f>
        <v>14352.2314294759</v>
      </c>
      <c r="O12" s="55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弹道",$B$21,0))*(1+$BQ12)</f>
        <v>8455.86853958212</v>
      </c>
      <c r="P12" s="56">
        <v>0.5</v>
      </c>
      <c r="Q12" s="57" t="s">
        <v>102</v>
      </c>
      <c r="R12" s="57" t="s">
        <v>95</v>
      </c>
      <c r="S12" s="57" t="s">
        <v>100</v>
      </c>
      <c r="T12" s="57" t="s">
        <v>92</v>
      </c>
      <c r="U12" s="57" t="s">
        <v>72</v>
      </c>
      <c r="V12" s="57" t="s">
        <v>86</v>
      </c>
      <c r="W12" s="57" t="s">
        <v>72</v>
      </c>
      <c r="X12" s="57" t="s">
        <v>72</v>
      </c>
      <c r="Y12" s="57" t="s">
        <v>112</v>
      </c>
      <c r="Z12" s="57" t="s">
        <v>113</v>
      </c>
      <c r="AA12" s="57" t="s">
        <v>173</v>
      </c>
      <c r="AB12" s="57" t="s">
        <v>72</v>
      </c>
      <c r="AC12" s="57" t="s">
        <v>72</v>
      </c>
      <c r="AD12" s="57" t="s">
        <v>72</v>
      </c>
      <c r="AE12" s="57" t="s">
        <v>72</v>
      </c>
      <c r="AF12" s="57" t="s">
        <v>87</v>
      </c>
      <c r="AG12" t="str">
        <f>VLOOKUP($Q12,武学奇术!$A:$ZZ,25,FALSE)</f>
        <v>伞</v>
      </c>
      <c r="AH12" s="41">
        <f>VLOOKUP($Q12,武学奇术!$A:$ZZ,26,FALSE)</f>
        <v>1.174955</v>
      </c>
      <c r="AI12" s="42">
        <f>VLOOKUP($Q12,武学奇术!$A:$ZZ,27,FALSE)*(1+IF(OR($AG12=$F$4,$AG12=$F$5),$B$22,0))</f>
        <v>454.02</v>
      </c>
      <c r="AJ12" s="41">
        <f>VLOOKUP($Q12,武学奇术!$A:$ZZ,28,FALSE)</f>
        <v>1.762375</v>
      </c>
      <c r="AK12" s="42">
        <f>VLOOKUP($Q12,武学奇术!$A:$ZZ,29,FALSE)*(1+IF(OR($AG12=$F$4,$AG12=$F$5),$B$22,0))</f>
        <v>247.94</v>
      </c>
      <c r="AL12" s="41" cm="1">
        <f t="array" ref="AL12">$G$3+IFERROR(VLOOKUP($AG12,$F$4:$G$7,2,FALSE),0)+VLOOKUP($Q12,武学奇术!$A:$ZZ,2,FALSE)+SUM(_xlfn.XLOOKUP($R12:$AF12,增益!$A:$A,增益!$B:$B,0))</f>
        <v>1.1141</v>
      </c>
      <c r="AM12" s="41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1735.4</v>
      </c>
      <c r="AO12" cm="1">
        <f t="array" ref="AO12">$E$10*(1+$AM12)+VLOOKUP($Q12,武学奇术!$A:$ZZ,4,FALSE)+SUM(_xlfn.XLOOKUP($R12:$AF12,增益!$A:$A,增益!$D:$D,0))-$I$2</f>
        <v>5426</v>
      </c>
      <c r="AP12" s="49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0.3625</v>
      </c>
      <c r="AQ12" s="49" cm="1">
        <f t="array" ref="AQ12">$G$10+VLOOKUP($Q12,武学奇术!$A:$ZZ,7,FALSE)+SUM(_xlfn.XLOOKUP(R12:AF12,增益!$A:$A,增益!$G:$G,0))</f>
        <v>0.1</v>
      </c>
      <c r="AR12" s="41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49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49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49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49" cm="1">
        <f t="array" ref="AZ12">$G$12+VLOOKUP($Q12,武学奇术!$A:$ZZ,12,FALSE)+SUM(_xlfn.XLOOKUP(R12:AF12,增益!$A:$A,增益!$L:$L,0))</f>
        <v>0</v>
      </c>
      <c r="BA12">
        <f t="shared" si="5"/>
        <v>571.2</v>
      </c>
      <c r="BB12">
        <f t="shared" si="6"/>
        <v>1077.4</v>
      </c>
      <c r="BC12" s="49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49" cm="1">
        <f t="array" ref="BD12">$G$13+VLOOKUP($Q12,武学奇术!$A:$ZZ,14,FALSE)+SUM(_xlfn.XLOOKUP(R12:AF12,增益!$A:$A,增益!$N:$N,0))</f>
        <v>0.25</v>
      </c>
      <c r="BE12">
        <f t="shared" si="7"/>
        <v>0</v>
      </c>
      <c r="BF12">
        <f t="shared" si="8"/>
        <v>0</v>
      </c>
      <c r="BG12" s="49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49" cm="1">
        <f t="array" ref="BH12">$G$14+VLOOKUP($Q12,武学奇术!$A:$ZZ,16,FALSE)+SUM(_xlfn.XLOOKUP(R12:AF12,增益!$A:$A,增益!$P:$P,0))</f>
        <v>0</v>
      </c>
      <c r="BI12" s="41">
        <f>MIN(IF(VLOOKUP($Q12,武学奇术!$A:$ZZ,23,FALSE)=1,100%,$B$8),100%)</f>
        <v>1</v>
      </c>
      <c r="BJ12" s="41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0.9045</v>
      </c>
      <c r="BK12" s="41" cm="1">
        <f t="array" ref="BK12">1+$B$13+VLOOKUP($Q12,武学奇术!$A:$ZZ,18,FALSE)+SUM(_xlfn.XLOOKUP(R12:AF12,增益!$A:$A,增益!$R:$R,0))</f>
        <v>2.13</v>
      </c>
      <c r="BL12" s="41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0.0929</v>
      </c>
      <c r="BM12" s="41" cm="1">
        <f t="array" ref="BM12">1+$B$14+VLOOKUP($Q12,武学奇术!$A:$ZZ,20,FALSE)+SUM(_xlfn.XLOOKUP(R12:AF12,增益!$A:$A,增益!$T:$T,0))</f>
        <v>1.35</v>
      </c>
      <c r="BN12" s="41">
        <f t="shared" si="9"/>
        <v>0.9045</v>
      </c>
      <c r="BO12" s="41">
        <f t="shared" si="10"/>
        <v>0.00260000000000005</v>
      </c>
      <c r="BP12" s="41">
        <f>IF(VLOOKUP($Q12,武学奇术!$A:$ZZ,22,FALSE)=1,0,(1-$BI12))*(1-$BL12)</f>
        <v>0</v>
      </c>
      <c r="BQ12" s="41" cm="1">
        <f t="array" ref="BQ12">SUM(_xlfn.XLOOKUP(R12:AF12,增益!$A:$A,增益!$W:$W,0))+$I$5</f>
        <v>0.11</v>
      </c>
    </row>
    <row r="13" ht="15.15" spans="1:69">
      <c r="A13" s="58" t="s">
        <v>106</v>
      </c>
      <c r="B13" s="87">
        <f>期望!B13</f>
        <v>0.5</v>
      </c>
      <c r="C13" s="12" t="s">
        <v>5</v>
      </c>
      <c r="D13">
        <f>期望!D13</f>
        <v>571.2</v>
      </c>
      <c r="E13">
        <f>期望!E13</f>
        <v>1077.4</v>
      </c>
      <c r="F13">
        <f>期望!F13</f>
        <v>30</v>
      </c>
      <c r="G13" s="66">
        <f>期望!G13</f>
        <v>0.15</v>
      </c>
      <c r="H13" s="88"/>
      <c r="I13" s="95"/>
      <c r="J13" s="93"/>
      <c r="K13" s="55">
        <f t="shared" si="0"/>
        <v>64747.7486029353</v>
      </c>
      <c r="L13" s="55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弹道",$B$21,0))*(1+$BQ13)</f>
        <v>65474.3658285435</v>
      </c>
      <c r="M13" s="55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弹道",$B$21,0))*(1+$BQ13)</f>
        <v>58625.0048429756</v>
      </c>
      <c r="N13" s="55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弹道",$B$21,0))*(1+$BQ13)</f>
        <v>30739.1388866402</v>
      </c>
      <c r="O13" s="55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弹道",$B$21,0))*(1+$BQ13)</f>
        <v>18052.3482599651</v>
      </c>
      <c r="P13" s="56">
        <v>1</v>
      </c>
      <c r="Q13" s="57" t="s">
        <v>102</v>
      </c>
      <c r="R13" s="57" t="s">
        <v>103</v>
      </c>
      <c r="S13" s="57" t="s">
        <v>100</v>
      </c>
      <c r="T13" s="57" t="s">
        <v>92</v>
      </c>
      <c r="U13" s="57" t="s">
        <v>107</v>
      </c>
      <c r="V13" s="57" t="s">
        <v>86</v>
      </c>
      <c r="W13" s="57" t="s">
        <v>72</v>
      </c>
      <c r="X13" s="57" t="s">
        <v>72</v>
      </c>
      <c r="Y13" s="57" t="s">
        <v>112</v>
      </c>
      <c r="Z13" s="57" t="s">
        <v>113</v>
      </c>
      <c r="AA13" s="57" t="s">
        <v>173</v>
      </c>
      <c r="AB13" s="57" t="s">
        <v>72</v>
      </c>
      <c r="AC13" s="57" t="s">
        <v>72</v>
      </c>
      <c r="AD13" s="57" t="s">
        <v>72</v>
      </c>
      <c r="AE13" s="57" t="s">
        <v>72</v>
      </c>
      <c r="AF13" s="57" t="s">
        <v>87</v>
      </c>
      <c r="AG13" t="str">
        <f>VLOOKUP($Q13,武学奇术!$A:$ZZ,25,FALSE)</f>
        <v>伞</v>
      </c>
      <c r="AH13" s="41">
        <f>VLOOKUP($Q13,武学奇术!$A:$ZZ,26,FALSE)</f>
        <v>1.174955</v>
      </c>
      <c r="AI13" s="42">
        <f>VLOOKUP($Q13,武学奇术!$A:$ZZ,27,FALSE)*(1+IF(OR($AG13=$F$4,$AG13=$F$5),$B$22,0))</f>
        <v>454.02</v>
      </c>
      <c r="AJ13" s="41">
        <f>VLOOKUP($Q13,武学奇术!$A:$ZZ,28,FALSE)</f>
        <v>1.762375</v>
      </c>
      <c r="AK13" s="42">
        <f>VLOOKUP($Q13,武学奇术!$A:$ZZ,29,FALSE)*(1+IF(OR($AG13=$F$4,$AG13=$F$5),$B$22,0))</f>
        <v>247.94</v>
      </c>
      <c r="AL13" s="41" cm="1">
        <f t="array" ref="AL13">$G$3+IFERROR(VLOOKUP($AG13,$F$4:$G$7,2,FALSE),0)+VLOOKUP($Q13,武学奇术!$A:$ZZ,2,FALSE)+SUM(_xlfn.XLOOKUP($R13:$AF13,增益!$A:$A,增益!$B:$B,0))</f>
        <v>1.1241</v>
      </c>
      <c r="AM13" s="41" cm="1">
        <f t="array" ref="AM13">VLOOKUP($Q13,武学奇术!$A:$ZZ,5,FALSE)+SUM(_xlfn.XLOOKUP($R13:$AF13,增益!$A:$A,增益!$E:$E,0))</f>
        <v>0.075</v>
      </c>
      <c r="AN13" cm="1">
        <f t="array" ref="AN13">$D$10*(1+$AM13)+VLOOKUP($Q13,武学奇术!$A:$ZZ,3,FALSE)+SUM(_xlfn.XLOOKUP($R13:$AF13,增益!$A:$A,增益!$C:$C,0))-$I$2</f>
        <v>1912.055</v>
      </c>
      <c r="AO13" cm="1">
        <f t="array" ref="AO13">$E$10*(1+$AM13)+VLOOKUP($Q13,武学奇术!$A:$ZZ,4,FALSE)+SUM(_xlfn.XLOOKUP($R13:$AF13,增益!$A:$A,增益!$D:$D,0))-$I$2</f>
        <v>5879.45</v>
      </c>
      <c r="AP13" s="49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0.3725</v>
      </c>
      <c r="AQ13" s="49" cm="1">
        <f t="array" ref="AQ13">$G$10+VLOOKUP($Q13,武学奇术!$A:$ZZ,7,FALSE)+SUM(_xlfn.XLOOKUP(R13:AF13,增益!$A:$A,增益!$G:$G,0))</f>
        <v>0.1</v>
      </c>
      <c r="AR13" s="41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49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49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49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49" cm="1">
        <f t="array" ref="AZ13">$G$12+VLOOKUP($Q13,武学奇术!$A:$ZZ,12,FALSE)+SUM(_xlfn.XLOOKUP(R13:AF13,增益!$A:$A,增益!$L:$L,0))</f>
        <v>0</v>
      </c>
      <c r="BA13">
        <f t="shared" si="5"/>
        <v>571.2</v>
      </c>
      <c r="BB13">
        <f t="shared" si="6"/>
        <v>1077.4</v>
      </c>
      <c r="BC13" s="49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49" cm="1">
        <f t="array" ref="BD13">$G$13+VLOOKUP($Q13,武学奇术!$A:$ZZ,14,FALSE)+SUM(_xlfn.XLOOKUP(R13:AF13,增益!$A:$A,增益!$N:$N,0))</f>
        <v>0.25</v>
      </c>
      <c r="BE13">
        <f t="shared" si="7"/>
        <v>0</v>
      </c>
      <c r="BF13">
        <f t="shared" si="8"/>
        <v>0</v>
      </c>
      <c r="BG13" s="49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49" cm="1">
        <f t="array" ref="BH13">$G$14+VLOOKUP($Q13,武学奇术!$A:$ZZ,16,FALSE)+SUM(_xlfn.XLOOKUP(R13:AF13,增益!$A:$A,增益!$P:$P,0))</f>
        <v>0</v>
      </c>
      <c r="BI13" s="41">
        <f>MIN(IF(VLOOKUP($Q13,武学奇术!$A:$ZZ,23,FALSE)=1,100%,$B$8),100%)</f>
        <v>1</v>
      </c>
      <c r="BJ13" s="41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0.9045</v>
      </c>
      <c r="BK13" s="41" cm="1">
        <f t="array" ref="BK13">1+$B$13+VLOOKUP($Q13,武学奇术!$A:$ZZ,18,FALSE)+SUM(_xlfn.XLOOKUP(R13:AF13,增益!$A:$A,增益!$R:$R,0))</f>
        <v>2.13</v>
      </c>
      <c r="BL13" s="41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0.0929</v>
      </c>
      <c r="BM13" s="41" cm="1">
        <f t="array" ref="BM13">1+$B$14+VLOOKUP($Q13,武学奇术!$A:$ZZ,20,FALSE)+SUM(_xlfn.XLOOKUP(R13:AF13,增益!$A:$A,增益!$T:$T,0))</f>
        <v>1.35</v>
      </c>
      <c r="BN13" s="41">
        <f t="shared" si="9"/>
        <v>0.9045</v>
      </c>
      <c r="BO13" s="41">
        <f t="shared" si="10"/>
        <v>0.00260000000000005</v>
      </c>
      <c r="BP13" s="41">
        <f>IF(VLOOKUP($Q13,武学奇术!$A:$ZZ,22,FALSE)=1,0,(1-$BI13))*(1-$BL13)</f>
        <v>0</v>
      </c>
      <c r="BQ13" s="41" cm="1">
        <f t="array" ref="BQ13">SUM(_xlfn.XLOOKUP(R13:AF13,增益!$A:$A,增益!$W:$W,0))+$I$5</f>
        <v>0.11</v>
      </c>
    </row>
    <row r="14" ht="15.15" spans="1:69">
      <c r="A14" s="58" t="s">
        <v>108</v>
      </c>
      <c r="B14" s="87">
        <f>期望!B14</f>
        <v>0.35</v>
      </c>
      <c r="C14" s="14" t="s">
        <v>80</v>
      </c>
      <c r="D14" s="14">
        <f>期望!D14</f>
        <v>0</v>
      </c>
      <c r="E14" s="14">
        <f>期望!E14</f>
        <v>0</v>
      </c>
      <c r="F14" s="14">
        <f>期望!F14</f>
        <v>0</v>
      </c>
      <c r="G14" s="81">
        <f>期望!G14</f>
        <v>0</v>
      </c>
      <c r="H14" s="53" t="s">
        <v>109</v>
      </c>
      <c r="I14" s="90">
        <f>I12</f>
        <v>131997.518179442</v>
      </c>
      <c r="J14" s="91"/>
      <c r="K14" s="55">
        <f t="shared" si="0"/>
        <v>262796.39995082</v>
      </c>
      <c r="L14" s="55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弹道",$B$21,0))*(1+$BQ14)</f>
        <v>265847.166472631</v>
      </c>
      <c r="M14" s="55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弹道",$B$21,0))*(1+$BQ14)</f>
        <v>236971.431558948</v>
      </c>
      <c r="N14" s="55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弹道",$B$21,0))*(1+$BQ14)</f>
        <v>124227.647884407</v>
      </c>
      <c r="O14" s="55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弹道",$B$21,0))*(1+$BQ14)</f>
        <v>72920.9020214453</v>
      </c>
      <c r="P14" s="56">
        <v>4</v>
      </c>
      <c r="Q14" s="57" t="s">
        <v>102</v>
      </c>
      <c r="R14" s="57" t="s">
        <v>110</v>
      </c>
      <c r="S14" s="57" t="s">
        <v>111</v>
      </c>
      <c r="T14" s="57" t="s">
        <v>92</v>
      </c>
      <c r="U14" s="57" t="s">
        <v>107</v>
      </c>
      <c r="V14" s="57" t="s">
        <v>86</v>
      </c>
      <c r="W14" s="57" t="s">
        <v>72</v>
      </c>
      <c r="X14" s="57" t="s">
        <v>72</v>
      </c>
      <c r="Y14" s="57" t="s">
        <v>112</v>
      </c>
      <c r="Z14" s="57" t="s">
        <v>113</v>
      </c>
      <c r="AA14" s="57" t="s">
        <v>173</v>
      </c>
      <c r="AB14" s="57" t="s">
        <v>72</v>
      </c>
      <c r="AC14" s="57" t="s">
        <v>72</v>
      </c>
      <c r="AD14" s="57" t="s">
        <v>72</v>
      </c>
      <c r="AE14" s="57" t="s">
        <v>72</v>
      </c>
      <c r="AF14" s="57" t="s">
        <v>87</v>
      </c>
      <c r="AG14" t="str">
        <f>VLOOKUP($Q14,武学奇术!$A:$ZZ,25,FALSE)</f>
        <v>伞</v>
      </c>
      <c r="AH14" s="41">
        <f>VLOOKUP($Q14,武学奇术!$A:$ZZ,26,FALSE)</f>
        <v>1.174955</v>
      </c>
      <c r="AI14" s="42">
        <f>VLOOKUP($Q14,武学奇术!$A:$ZZ,27,FALSE)*(1+IF(OR($AG14=$F$4,$AG14=$F$5),$B$22,0))</f>
        <v>454.02</v>
      </c>
      <c r="AJ14" s="41">
        <f>VLOOKUP($Q14,武学奇术!$A:$ZZ,28,FALSE)</f>
        <v>1.762375</v>
      </c>
      <c r="AK14" s="42">
        <f>VLOOKUP($Q14,武学奇术!$A:$ZZ,29,FALSE)*(1+IF(OR($AG14=$F$4,$AG14=$F$5),$B$22,0))</f>
        <v>247.94</v>
      </c>
      <c r="AL14" s="41" cm="1">
        <f t="array" ref="AL14">$G$3+IFERROR(VLOOKUP($AG14,$F$4:$G$7,2,FALSE),0)+VLOOKUP($Q14,武学奇术!$A:$ZZ,2,FALSE)+SUM(_xlfn.XLOOKUP($R14:$AF14,增益!$A:$A,增益!$B:$B,0))</f>
        <v>1.1341</v>
      </c>
      <c r="AM14" s="41" cm="1">
        <f t="array" ref="AM14">VLOOKUP($Q14,武学奇术!$A:$ZZ,5,FALSE)+SUM(_xlfn.XLOOKUP($R14:$AF14,增益!$A:$A,增益!$E:$E,0))</f>
        <v>0.075</v>
      </c>
      <c r="AN14" cm="1">
        <f t="array" ref="AN14">$D$10*(1+$AM14)+VLOOKUP($Q14,武学奇术!$A:$ZZ,3,FALSE)+SUM(_xlfn.XLOOKUP($R14:$AF14,增益!$A:$A,增益!$C:$C,0))-$I$2</f>
        <v>1912.055</v>
      </c>
      <c r="AO14" cm="1">
        <f t="array" ref="AO14">$E$10*(1+$AM14)+VLOOKUP($Q14,武学奇术!$A:$ZZ,4,FALSE)+SUM(_xlfn.XLOOKUP($R14:$AF14,增益!$A:$A,增益!$D:$D,0))-$I$2</f>
        <v>5879.45</v>
      </c>
      <c r="AP14" s="49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0.3825</v>
      </c>
      <c r="AQ14" s="49" cm="1">
        <f t="array" ref="AQ14">$G$10+VLOOKUP($Q14,武学奇术!$A:$ZZ,7,FALSE)+SUM(_xlfn.XLOOKUP(R14:AF14,增益!$A:$A,增益!$G:$G,0))</f>
        <v>0.1</v>
      </c>
      <c r="AR14" s="41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49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49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49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49" cm="1">
        <f t="array" ref="AZ14">$G$12+VLOOKUP($Q14,武学奇术!$A:$ZZ,12,FALSE)+SUM(_xlfn.XLOOKUP(R14:AF14,增益!$A:$A,增益!$L:$L,0))</f>
        <v>0</v>
      </c>
      <c r="BA14">
        <f t="shared" si="5"/>
        <v>571.2</v>
      </c>
      <c r="BB14">
        <f t="shared" si="6"/>
        <v>1077.4</v>
      </c>
      <c r="BC14" s="49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49" cm="1">
        <f t="array" ref="BD14">$G$13+VLOOKUP($Q14,武学奇术!$A:$ZZ,14,FALSE)+SUM(_xlfn.XLOOKUP(R14:AF14,增益!$A:$A,增益!$N:$N,0))</f>
        <v>0.25</v>
      </c>
      <c r="BE14">
        <f t="shared" si="7"/>
        <v>0</v>
      </c>
      <c r="BF14">
        <f t="shared" si="8"/>
        <v>0</v>
      </c>
      <c r="BG14" s="49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49" cm="1">
        <f t="array" ref="BH14">$G$14+VLOOKUP($Q14,武学奇术!$A:$ZZ,16,FALSE)+SUM(_xlfn.XLOOKUP(R14:AF14,增益!$A:$A,增益!$P:$P,0))</f>
        <v>0</v>
      </c>
      <c r="BI14" s="41">
        <f>MIN(IF(VLOOKUP($Q14,武学奇术!$A:$ZZ,23,FALSE)=1,100%,$B$8),100%)</f>
        <v>1</v>
      </c>
      <c r="BJ14" s="41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0.9045</v>
      </c>
      <c r="BK14" s="41" cm="1">
        <f t="array" ref="BK14">1+$B$13+VLOOKUP($Q14,武学奇术!$A:$ZZ,18,FALSE)+SUM(_xlfn.XLOOKUP(R14:AF14,增益!$A:$A,增益!$R:$R,0))</f>
        <v>2.14</v>
      </c>
      <c r="BL14" s="41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0.0929</v>
      </c>
      <c r="BM14" s="41" cm="1">
        <f t="array" ref="BM14">1+$B$14+VLOOKUP($Q14,武学奇术!$A:$ZZ,20,FALSE)+SUM(_xlfn.XLOOKUP(R14:AF14,增益!$A:$A,增益!$T:$T,0))</f>
        <v>1.35</v>
      </c>
      <c r="BN14" s="41">
        <f t="shared" si="9"/>
        <v>0.9045</v>
      </c>
      <c r="BO14" s="41">
        <f t="shared" si="10"/>
        <v>0.00260000000000005</v>
      </c>
      <c r="BP14" s="41">
        <f>IF(VLOOKUP($Q14,武学奇术!$A:$ZZ,22,FALSE)=1,0,(1-$BI14))*(1-$BL14)</f>
        <v>0</v>
      </c>
      <c r="BQ14" s="41" cm="1">
        <f t="array" ref="BQ14">SUM(_xlfn.XLOOKUP(R14:AF14,增益!$A:$A,增益!$W:$W,0))+$I$5</f>
        <v>0.11</v>
      </c>
    </row>
    <row r="15" ht="15.15" spans="1:69">
      <c r="A15" s="58" t="s">
        <v>114</v>
      </c>
      <c r="B15" s="87">
        <f>期望!B15</f>
        <v>0.0852</v>
      </c>
      <c r="C15" s="56" t="s">
        <v>115</v>
      </c>
      <c r="D15" s="56"/>
      <c r="F15" s="96"/>
      <c r="H15" s="97"/>
      <c r="I15" s="92"/>
      <c r="J15" s="93"/>
      <c r="K15" s="55">
        <f t="shared" si="0"/>
        <v>132751.713921583</v>
      </c>
      <c r="L15" s="55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弹道",$B$21,0))*(1+$BQ15)</f>
        <v>134290.593456235</v>
      </c>
      <c r="M15" s="55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弹道",$B$21,0))*(1+$BQ15)</f>
        <v>119727.82932864</v>
      </c>
      <c r="N15" s="55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弹道",$B$21,0))*(1+$BQ15)</f>
        <v>62752.613764596</v>
      </c>
      <c r="O15" s="55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弹道",$B$21,0))*(1+$BQ15)</f>
        <v>36817.9465450142</v>
      </c>
      <c r="P15" s="56">
        <v>2</v>
      </c>
      <c r="Q15" s="57" t="s">
        <v>102</v>
      </c>
      <c r="R15" s="57" t="s">
        <v>116</v>
      </c>
      <c r="S15" s="57" t="s">
        <v>111</v>
      </c>
      <c r="T15" s="57" t="s">
        <v>92</v>
      </c>
      <c r="U15" s="57" t="s">
        <v>107</v>
      </c>
      <c r="V15" s="57" t="s">
        <v>86</v>
      </c>
      <c r="W15" s="57" t="s">
        <v>72</v>
      </c>
      <c r="X15" s="57" t="s">
        <v>72</v>
      </c>
      <c r="Y15" s="57" t="s">
        <v>112</v>
      </c>
      <c r="Z15" s="57" t="s">
        <v>113</v>
      </c>
      <c r="AA15" s="57" t="s">
        <v>173</v>
      </c>
      <c r="AB15" s="57" t="s">
        <v>72</v>
      </c>
      <c r="AC15" s="57" t="s">
        <v>72</v>
      </c>
      <c r="AD15" s="57" t="s">
        <v>72</v>
      </c>
      <c r="AE15" s="57" t="s">
        <v>72</v>
      </c>
      <c r="AF15" s="57" t="s">
        <v>87</v>
      </c>
      <c r="AG15" t="str">
        <f>VLOOKUP($Q15,武学奇术!$A:$ZZ,25,FALSE)</f>
        <v>伞</v>
      </c>
      <c r="AH15" s="41">
        <f>VLOOKUP($Q15,武学奇术!$A:$ZZ,26,FALSE)</f>
        <v>1.174955</v>
      </c>
      <c r="AI15" s="42">
        <f>VLOOKUP($Q15,武学奇术!$A:$ZZ,27,FALSE)*(1+IF(OR($AG15=$F$4,$AG15=$F$5),$B$22,0))</f>
        <v>454.02</v>
      </c>
      <c r="AJ15" s="41">
        <f>VLOOKUP($Q15,武学奇术!$A:$ZZ,28,FALSE)</f>
        <v>1.762375</v>
      </c>
      <c r="AK15" s="42">
        <f>VLOOKUP($Q15,武学奇术!$A:$ZZ,29,FALSE)*(1+IF(OR($AG15=$F$4,$AG15=$F$5),$B$22,0))</f>
        <v>247.94</v>
      </c>
      <c r="AL15" s="41" cm="1">
        <f t="array" ref="AL15">$G$3+IFERROR(VLOOKUP($AG15,$F$4:$G$7,2,FALSE),0)+VLOOKUP($Q15,武学奇术!$A:$ZZ,2,FALSE)+SUM(_xlfn.XLOOKUP($R15:$AF15,增益!$A:$A,增益!$B:$B,0))</f>
        <v>1.1441</v>
      </c>
      <c r="AM15" s="41" cm="1">
        <f t="array" ref="AM15">VLOOKUP($Q15,武学奇术!$A:$ZZ,5,FALSE)+SUM(_xlfn.XLOOKUP($R15:$AF15,增益!$A:$A,增益!$E:$E,0))</f>
        <v>0.075</v>
      </c>
      <c r="AN15" cm="1">
        <f t="array" ref="AN15">$D$10*(1+$AM15)+VLOOKUP($Q15,武学奇术!$A:$ZZ,3,FALSE)+SUM(_xlfn.XLOOKUP($R15:$AF15,增益!$A:$A,增益!$C:$C,0))-$I$2</f>
        <v>1912.055</v>
      </c>
      <c r="AO15" cm="1">
        <f t="array" ref="AO15">$E$10*(1+$AM15)+VLOOKUP($Q15,武学奇术!$A:$ZZ,4,FALSE)+SUM(_xlfn.XLOOKUP($R15:$AF15,增益!$A:$A,增益!$D:$D,0))-$I$2</f>
        <v>5879.45</v>
      </c>
      <c r="AP15" s="49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0.3925</v>
      </c>
      <c r="AQ15" s="49" cm="1">
        <f t="array" ref="AQ15">$G$10+VLOOKUP($Q15,武学奇术!$A:$ZZ,7,FALSE)+SUM(_xlfn.XLOOKUP(R15:AF15,增益!$A:$A,增益!$G:$G,0))</f>
        <v>0.1</v>
      </c>
      <c r="AR15" s="41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49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49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49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49" cm="1">
        <f t="array" ref="AZ15">$G$12+VLOOKUP($Q15,武学奇术!$A:$ZZ,12,FALSE)+SUM(_xlfn.XLOOKUP(R15:AF15,增益!$A:$A,增益!$L:$L,0))</f>
        <v>0</v>
      </c>
      <c r="BA15">
        <f t="shared" si="5"/>
        <v>571.2</v>
      </c>
      <c r="BB15">
        <f t="shared" si="6"/>
        <v>1077.4</v>
      </c>
      <c r="BC15" s="49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49" cm="1">
        <f t="array" ref="BD15">$G$13+VLOOKUP($Q15,武学奇术!$A:$ZZ,14,FALSE)+SUM(_xlfn.XLOOKUP(R15:AF15,增益!$A:$A,增益!$N:$N,0))</f>
        <v>0.25</v>
      </c>
      <c r="BE15">
        <f t="shared" si="7"/>
        <v>0</v>
      </c>
      <c r="BF15">
        <f t="shared" si="8"/>
        <v>0</v>
      </c>
      <c r="BG15" s="49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49" cm="1">
        <f t="array" ref="BH15">$G$14+VLOOKUP($Q15,武学奇术!$A:$ZZ,16,FALSE)+SUM(_xlfn.XLOOKUP(R15:AF15,增益!$A:$A,增益!$P:$P,0))</f>
        <v>0</v>
      </c>
      <c r="BI15" s="41">
        <f>MIN(IF(VLOOKUP($Q15,武学奇术!$A:$ZZ,23,FALSE)=1,100%,$B$8),100%)</f>
        <v>1</v>
      </c>
      <c r="BJ15" s="41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0.9045</v>
      </c>
      <c r="BK15" s="41" cm="1">
        <f t="array" ref="BK15">1+$B$13+VLOOKUP($Q15,武学奇术!$A:$ZZ,18,FALSE)+SUM(_xlfn.XLOOKUP(R15:AF15,增益!$A:$A,增益!$R:$R,0))</f>
        <v>2.14</v>
      </c>
      <c r="BL15" s="41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0.0929</v>
      </c>
      <c r="BM15" s="41" cm="1">
        <f t="array" ref="BM15">1+$B$14+VLOOKUP($Q15,武学奇术!$A:$ZZ,20,FALSE)+SUM(_xlfn.XLOOKUP(R15:AF15,增益!$A:$A,增益!$T:$T,0))</f>
        <v>1.35</v>
      </c>
      <c r="BN15" s="41">
        <f t="shared" si="9"/>
        <v>0.9045</v>
      </c>
      <c r="BO15" s="41">
        <f t="shared" si="10"/>
        <v>0.00260000000000005</v>
      </c>
      <c r="BP15" s="41">
        <f>IF(VLOOKUP($Q15,武学奇术!$A:$ZZ,22,FALSE)=1,0,(1-$BI15))*(1-$BL15)</f>
        <v>0</v>
      </c>
      <c r="BQ15" s="41" cm="1">
        <f t="array" ref="BQ15">SUM(_xlfn.XLOOKUP(R15:AF15,增益!$A:$A,增益!$W:$W,0))+$I$5</f>
        <v>0.11</v>
      </c>
    </row>
    <row r="16" spans="1:69">
      <c r="A16" s="58" t="s">
        <v>117</v>
      </c>
      <c r="B16" s="87">
        <f>期望!B16</f>
        <v>0.0887</v>
      </c>
      <c r="C16" s="56" t="s">
        <v>118</v>
      </c>
      <c r="D16" s="96" t="s">
        <v>174</v>
      </c>
      <c r="E16" s="56" t="s">
        <v>120</v>
      </c>
      <c r="F16" s="96" t="s">
        <v>119</v>
      </c>
      <c r="H16" s="85" t="s">
        <v>121</v>
      </c>
      <c r="I16" s="98"/>
      <c r="J16" s="99"/>
      <c r="K16" s="55">
        <f t="shared" si="0"/>
        <v>133319.311313084</v>
      </c>
      <c r="L16" s="55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弹道",$B$21,0))*(1+$BQ16)</f>
        <v>134918.119593881</v>
      </c>
      <c r="M16" s="55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弹道",$B$21,0))*(1+$BQ16)</f>
        <v>119727.82932864</v>
      </c>
      <c r="N16" s="55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弹道",$B$21,0))*(1+$BQ16)</f>
        <v>62752.613764596</v>
      </c>
      <c r="O16" s="55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弹道",$B$21,0))*(1+$BQ16)</f>
        <v>36817.9465450142</v>
      </c>
      <c r="P16" s="56">
        <v>2</v>
      </c>
      <c r="Q16" s="57" t="s">
        <v>102</v>
      </c>
      <c r="R16" s="57" t="s">
        <v>116</v>
      </c>
      <c r="S16" s="57" t="s">
        <v>122</v>
      </c>
      <c r="T16" s="57" t="s">
        <v>92</v>
      </c>
      <c r="U16" s="57" t="s">
        <v>107</v>
      </c>
      <c r="V16" s="57" t="s">
        <v>86</v>
      </c>
      <c r="W16" s="57" t="s">
        <v>72</v>
      </c>
      <c r="X16" s="57" t="s">
        <v>72</v>
      </c>
      <c r="Y16" s="57" t="s">
        <v>112</v>
      </c>
      <c r="Z16" s="57" t="s">
        <v>113</v>
      </c>
      <c r="AA16" s="57" t="s">
        <v>173</v>
      </c>
      <c r="AB16" s="57" t="s">
        <v>72</v>
      </c>
      <c r="AC16" s="57" t="s">
        <v>72</v>
      </c>
      <c r="AD16" s="57" t="s">
        <v>72</v>
      </c>
      <c r="AE16" s="57" t="s">
        <v>72</v>
      </c>
      <c r="AF16" s="57" t="s">
        <v>87</v>
      </c>
      <c r="AG16" t="str">
        <f>VLOOKUP($Q16,武学奇术!$A:$ZZ,25,FALSE)</f>
        <v>伞</v>
      </c>
      <c r="AH16" s="41">
        <f>VLOOKUP($Q16,武学奇术!$A:$ZZ,26,FALSE)</f>
        <v>1.174955</v>
      </c>
      <c r="AI16" s="42">
        <f>VLOOKUP($Q16,武学奇术!$A:$ZZ,27,FALSE)*(1+IF(OR($AG16=$F$4,$AG16=$F$5),$B$22,0))</f>
        <v>454.02</v>
      </c>
      <c r="AJ16" s="41">
        <f>VLOOKUP($Q16,武学奇术!$A:$ZZ,28,FALSE)</f>
        <v>1.762375</v>
      </c>
      <c r="AK16" s="42">
        <f>VLOOKUP($Q16,武学奇术!$A:$ZZ,29,FALSE)*(1+IF(OR($AG16=$F$4,$AG16=$F$5),$B$22,0))</f>
        <v>247.94</v>
      </c>
      <c r="AL16" s="41" cm="1">
        <f t="array" ref="AL16">$G$3+IFERROR(VLOOKUP($AG16,$F$4:$G$7,2,FALSE),0)+VLOOKUP($Q16,武学奇术!$A:$ZZ,2,FALSE)+SUM(_xlfn.XLOOKUP($R16:$AF16,增益!$A:$A,增益!$B:$B,0))</f>
        <v>1.1441</v>
      </c>
      <c r="AM16" s="41" cm="1">
        <f t="array" ref="AM16">VLOOKUP($Q16,武学奇术!$A:$ZZ,5,FALSE)+SUM(_xlfn.XLOOKUP($R16:$AF16,增益!$A:$A,增益!$E:$E,0))</f>
        <v>0.075</v>
      </c>
      <c r="AN16" cm="1">
        <f t="array" ref="AN16">$D$10*(1+$AM16)+VLOOKUP($Q16,武学奇术!$A:$ZZ,3,FALSE)+SUM(_xlfn.XLOOKUP($R16:$AF16,增益!$A:$A,增益!$C:$C,0))-$I$2</f>
        <v>1912.055</v>
      </c>
      <c r="AO16" cm="1">
        <f t="array" ref="AO16">$E$10*(1+$AM16)+VLOOKUP($Q16,武学奇术!$A:$ZZ,4,FALSE)+SUM(_xlfn.XLOOKUP($R16:$AF16,增益!$A:$A,增益!$D:$D,0))-$I$2</f>
        <v>5879.45</v>
      </c>
      <c r="AP16" s="49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0.3925</v>
      </c>
      <c r="AQ16" s="49" cm="1">
        <f t="array" ref="AQ16">$G$10+VLOOKUP($Q16,武学奇术!$A:$ZZ,7,FALSE)+SUM(_xlfn.XLOOKUP(R16:AF16,增益!$A:$A,增益!$G:$G,0))</f>
        <v>0.1</v>
      </c>
      <c r="AR16" s="41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49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49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49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49" cm="1">
        <f t="array" ref="AZ16">$G$12+VLOOKUP($Q16,武学奇术!$A:$ZZ,12,FALSE)+SUM(_xlfn.XLOOKUP(R16:AF16,增益!$A:$A,增益!$L:$L,0))</f>
        <v>0</v>
      </c>
      <c r="BA16">
        <f t="shared" si="5"/>
        <v>571.2</v>
      </c>
      <c r="BB16">
        <f t="shared" si="6"/>
        <v>1077.4</v>
      </c>
      <c r="BC16" s="49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49" cm="1">
        <f t="array" ref="BD16">$G$13+VLOOKUP($Q16,武学奇术!$A:$ZZ,14,FALSE)+SUM(_xlfn.XLOOKUP(R16:AF16,增益!$A:$A,增益!$N:$N,0))</f>
        <v>0.25</v>
      </c>
      <c r="BE16">
        <f t="shared" si="7"/>
        <v>0</v>
      </c>
      <c r="BF16">
        <f t="shared" si="8"/>
        <v>0</v>
      </c>
      <c r="BG16" s="49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49" cm="1">
        <f t="array" ref="BH16">$G$14+VLOOKUP($Q16,武学奇术!$A:$ZZ,16,FALSE)+SUM(_xlfn.XLOOKUP(R16:AF16,增益!$A:$A,增益!$P:$P,0))</f>
        <v>0</v>
      </c>
      <c r="BI16" s="41">
        <f>MIN(IF(VLOOKUP($Q16,武学奇术!$A:$ZZ,23,FALSE)=1,100%,$B$8),100%)</f>
        <v>1</v>
      </c>
      <c r="BJ16" s="41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0.9045</v>
      </c>
      <c r="BK16" s="41" cm="1">
        <f t="array" ref="BK16">1+$B$13+VLOOKUP($Q16,武学奇术!$A:$ZZ,18,FALSE)+SUM(_xlfn.XLOOKUP(R16:AF16,增益!$A:$A,增益!$R:$R,0))</f>
        <v>2.15</v>
      </c>
      <c r="BL16" s="41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0.0929</v>
      </c>
      <c r="BM16" s="41" cm="1">
        <f t="array" ref="BM16">1+$B$14+VLOOKUP($Q16,武学奇术!$A:$ZZ,20,FALSE)+SUM(_xlfn.XLOOKUP(R16:AF16,增益!$A:$A,增益!$T:$T,0))</f>
        <v>1.35</v>
      </c>
      <c r="BN16" s="41">
        <f t="shared" si="9"/>
        <v>0.9045</v>
      </c>
      <c r="BO16" s="41">
        <f t="shared" si="10"/>
        <v>0.00260000000000005</v>
      </c>
      <c r="BP16" s="41">
        <f>IF(VLOOKUP($Q16,武学奇术!$A:$ZZ,22,FALSE)=1,0,(1-$BI16))*(1-$BL16)</f>
        <v>0</v>
      </c>
      <c r="BQ16" s="41" cm="1">
        <f t="array" ref="BQ16">SUM(_xlfn.XLOOKUP(R16:AF16,增益!$A:$A,增益!$W:$W,0))+$I$5</f>
        <v>0.11</v>
      </c>
    </row>
    <row r="17" ht="15.15" spans="1:69">
      <c r="A17" s="58" t="s">
        <v>123</v>
      </c>
      <c r="B17" s="87">
        <f>期望!B17</f>
        <v>0.0852</v>
      </c>
      <c r="C17" s="56" t="s">
        <v>124</v>
      </c>
      <c r="D17" s="96" t="s">
        <v>174</v>
      </c>
      <c r="E17" s="56" t="s">
        <v>125</v>
      </c>
      <c r="F17" s="96" t="s">
        <v>174</v>
      </c>
      <c r="H17" s="88"/>
      <c r="I17" s="100"/>
      <c r="J17" s="101"/>
      <c r="K17" s="55">
        <f t="shared" si="0"/>
        <v>25061.232546458</v>
      </c>
      <c r="L17" s="55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弹道",$B$21,0))*(1+$BQ17)</f>
        <v>24915.3210089067</v>
      </c>
      <c r="M17" s="55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弹道",$B$21,0))*(1+$BQ17)</f>
        <v>26789.2994324935</v>
      </c>
      <c r="N17" s="55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弹道",$B$21,0))*(1+$BQ17)</f>
        <v>14076.4525474049</v>
      </c>
      <c r="O17" s="55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弹道",$B$21,0))*(1+$BQ17)</f>
        <v>8308.97958925911</v>
      </c>
      <c r="P17" s="56">
        <v>1</v>
      </c>
      <c r="Q17" s="57" t="s">
        <v>154</v>
      </c>
      <c r="R17" s="57" t="s">
        <v>103</v>
      </c>
      <c r="S17" s="57" t="s">
        <v>100</v>
      </c>
      <c r="T17" s="57" t="s">
        <v>72</v>
      </c>
      <c r="U17" s="57" t="s">
        <v>72</v>
      </c>
      <c r="V17" s="57" t="s">
        <v>72</v>
      </c>
      <c r="W17" s="57" t="s">
        <v>72</v>
      </c>
      <c r="X17" s="57" t="s">
        <v>72</v>
      </c>
      <c r="Y17" s="57" t="s">
        <v>112</v>
      </c>
      <c r="Z17" s="57" t="s">
        <v>113</v>
      </c>
      <c r="AA17" s="57" t="s">
        <v>173</v>
      </c>
      <c r="AB17" s="57" t="s">
        <v>72</v>
      </c>
      <c r="AC17" s="57" t="s">
        <v>72</v>
      </c>
      <c r="AD17" s="57" t="s">
        <v>72</v>
      </c>
      <c r="AE17" s="57" t="s">
        <v>72</v>
      </c>
      <c r="AF17" s="57" t="s">
        <v>87</v>
      </c>
      <c r="AG17" t="str">
        <f>VLOOKUP($Q17,武学奇术!$A:$ZZ,25,FALSE)</f>
        <v>扇</v>
      </c>
      <c r="AH17" s="41">
        <f>VLOOKUP($Q17,武学奇术!$A:$ZZ,26,FALSE)</f>
        <v>1.2798</v>
      </c>
      <c r="AI17" s="42">
        <f>VLOOKUP($Q17,武学奇术!$A:$ZZ,27,FALSE)*(1+IF(OR($AG17=$F$4,$AG17=$F$5),$B$22,0))</f>
        <v>497</v>
      </c>
      <c r="AJ17" s="41">
        <f>VLOOKUP($Q17,武学奇术!$A:$ZZ,28,FALSE)</f>
        <v>1.9197</v>
      </c>
      <c r="AK17" s="42">
        <f>VLOOKUP($Q17,武学奇术!$A:$ZZ,29,FALSE)*(1+IF(OR($AG17=$F$4,$AG17=$F$5),$B$22,0))</f>
        <v>270.2</v>
      </c>
      <c r="AL17" s="41" cm="1">
        <f t="array" ref="AL17">$G$3+IFERROR(VLOOKUP($AG17,$F$4:$G$7,2,FALSE),0)+VLOOKUP($Q17,武学奇术!$A:$ZZ,2,FALSE)+SUM(_xlfn.XLOOKUP($R17:$AF17,增益!$A:$A,增益!$B:$B,0))</f>
        <v>0.3889</v>
      </c>
      <c r="AM17" s="41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1735.4</v>
      </c>
      <c r="AO17" cm="1">
        <f t="array" ref="AO17">$E$10*(1+$AM17)+VLOOKUP($Q17,武学奇术!$A:$ZZ,4,FALSE)+SUM(_xlfn.XLOOKUP($R17:$AF17,增益!$A:$A,增益!$D:$D,0))-$I$2</f>
        <v>5426</v>
      </c>
      <c r="AP17" s="49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0.3475</v>
      </c>
      <c r="AQ17" s="49" cm="1">
        <f t="array" ref="AQ17">$G$10+VLOOKUP($Q17,武学奇术!$A:$ZZ,7,FALSE)+SUM(_xlfn.XLOOKUP(R17:AF17,增益!$A:$A,增益!$G:$G,0))</f>
        <v>0</v>
      </c>
      <c r="AR17" s="41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49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49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49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49" cm="1">
        <f t="array" ref="AZ17">$G$12+VLOOKUP($Q17,武学奇术!$A:$ZZ,12,FALSE)+SUM(_xlfn.XLOOKUP(R17:AF17,增益!$A:$A,增益!$L:$L,0))</f>
        <v>0</v>
      </c>
      <c r="BA17">
        <f t="shared" si="5"/>
        <v>571.2</v>
      </c>
      <c r="BB17">
        <f t="shared" si="6"/>
        <v>1077.4</v>
      </c>
      <c r="BC17" s="49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49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49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49" cm="1">
        <f t="array" ref="BH17">$G$14+VLOOKUP($Q17,武学奇术!$A:$ZZ,16,FALSE)+SUM(_xlfn.XLOOKUP(R17:AF17,增益!$A:$A,增益!$P:$P,0))</f>
        <v>0</v>
      </c>
      <c r="BI17" s="41">
        <f>MIN(IF(VLOOKUP($Q17,武学奇术!$A:$ZZ,23,FALSE)=1,100%,$B$8),100%)</f>
        <v>1</v>
      </c>
      <c r="BJ17" s="41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0.9045</v>
      </c>
      <c r="BK17" s="41" cm="1">
        <f t="array" ref="BK17">1+$B$13+VLOOKUP($Q17,武学奇术!$A:$ZZ,18,FALSE)+SUM(_xlfn.XLOOKUP(R17:AF17,增益!$A:$A,增益!$R:$R,0))</f>
        <v>1.77</v>
      </c>
      <c r="BL17" s="41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0.0929</v>
      </c>
      <c r="BM17" s="41" cm="1">
        <f t="array" ref="BM17">1+$B$14+VLOOKUP($Q17,武学奇术!$A:$ZZ,20,FALSE)+SUM(_xlfn.XLOOKUP(R17:AF17,增益!$A:$A,增益!$T:$T,0))</f>
        <v>1.35</v>
      </c>
      <c r="BN17" s="41">
        <f t="shared" si="9"/>
        <v>0.9045</v>
      </c>
      <c r="BO17" s="41">
        <f t="shared" si="10"/>
        <v>0.00260000000000005</v>
      </c>
      <c r="BP17" s="41">
        <f>IF(VLOOKUP($Q17,武学奇术!$A:$ZZ,22,FALSE)=1,0,(1-$BI17))*(1-$BL17)</f>
        <v>0</v>
      </c>
      <c r="BQ17" s="41" cm="1">
        <f t="array" ref="BQ17">SUM(_xlfn.XLOOKUP(R17:AF17,增益!$A:$A,增益!$W:$W,0))+$I$5</f>
        <v>0.11</v>
      </c>
    </row>
    <row r="18" spans="1:69">
      <c r="A18" s="58" t="s">
        <v>127</v>
      </c>
      <c r="B18" s="87">
        <f>期望!B18</f>
        <v>0</v>
      </c>
      <c r="C18" s="56" t="s">
        <v>128</v>
      </c>
      <c r="D18" s="96" t="s">
        <v>174</v>
      </c>
      <c r="K18" s="55">
        <f t="shared" si="0"/>
        <v>19585.3656497622</v>
      </c>
      <c r="L18" s="55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弹道",$B$21,0))*(1+$BQ18)</f>
        <v>19479.712986578</v>
      </c>
      <c r="M18" s="55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弹道",$B$21,0))*(1+$BQ18)</f>
        <v>20855.8852535111</v>
      </c>
      <c r="N18" s="55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弹道",$B$21,0))*(1+$BQ18)</f>
        <v>10943.6589812236</v>
      </c>
      <c r="O18" s="55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弹道",$B$21,0))*(1+$BQ18)</f>
        <v>6438.51407095744</v>
      </c>
      <c r="P18" s="56">
        <v>1</v>
      </c>
      <c r="Q18" s="57" t="s">
        <v>146</v>
      </c>
      <c r="R18" s="57" t="s">
        <v>110</v>
      </c>
      <c r="S18" s="57" t="s">
        <v>111</v>
      </c>
      <c r="T18" s="57" t="s">
        <v>72</v>
      </c>
      <c r="U18" s="57" t="s">
        <v>107</v>
      </c>
      <c r="V18" s="57" t="s">
        <v>72</v>
      </c>
      <c r="W18" s="57" t="s">
        <v>72</v>
      </c>
      <c r="X18" s="57" t="s">
        <v>72</v>
      </c>
      <c r="Y18" s="57" t="s">
        <v>112</v>
      </c>
      <c r="Z18" s="57" t="s">
        <v>113</v>
      </c>
      <c r="AA18" s="57" t="s">
        <v>173</v>
      </c>
      <c r="AB18" s="57" t="s">
        <v>72</v>
      </c>
      <c r="AC18" s="57" t="s">
        <v>72</v>
      </c>
      <c r="AD18" s="57" t="s">
        <v>72</v>
      </c>
      <c r="AE18" s="57" t="s">
        <v>72</v>
      </c>
      <c r="AF18" s="57" t="s">
        <v>87</v>
      </c>
      <c r="AG18" t="str">
        <f>VLOOKUP($Q18,武学奇术!$A:$ZZ,25,FALSE)</f>
        <v>扇</v>
      </c>
      <c r="AH18" s="41">
        <f>VLOOKUP($Q18,武学奇术!$A:$ZZ,26,FALSE)</f>
        <v>0.9271</v>
      </c>
      <c r="AI18" s="42">
        <f>VLOOKUP($Q18,武学奇术!$A:$ZZ,27,FALSE)*(1+IF(OR($AG18=$F$4,$AG18=$F$5),$B$22,0))</f>
        <v>359.8</v>
      </c>
      <c r="AJ18" s="41">
        <f>VLOOKUP($Q18,武学奇术!$A:$ZZ,28,FALSE)</f>
        <v>1.3907</v>
      </c>
      <c r="AK18" s="42">
        <f>VLOOKUP($Q18,武学奇术!$A:$ZZ,29,FALSE)*(1+IF(OR($AG18=$F$4,$AG18=$F$5),$B$22,0))</f>
        <v>196</v>
      </c>
      <c r="AL18" s="41" cm="1">
        <f t="array" ref="AL18">$G$3+IFERROR(VLOOKUP($AG18,$F$4:$G$7,2,FALSE),0)+VLOOKUP($Q18,武学奇术!$A:$ZZ,2,FALSE)+SUM(_xlfn.XLOOKUP($R18:$AF18,增益!$A:$A,增益!$B:$B,0))</f>
        <v>0.3989</v>
      </c>
      <c r="AM18" s="41" cm="1">
        <f t="array" ref="AM18">VLOOKUP($Q18,武学奇术!$A:$ZZ,5,FALSE)+SUM(_xlfn.XLOOKUP($R18:$AF18,增益!$A:$A,增益!$E:$E,0))</f>
        <v>0.075</v>
      </c>
      <c r="AN18" cm="1">
        <f t="array" ref="AN18">$D$10*(1+$AM18)+VLOOKUP($Q18,武学奇术!$A:$ZZ,3,FALSE)+SUM(_xlfn.XLOOKUP($R18:$AF18,增益!$A:$A,增益!$C:$C,0))-$I$2</f>
        <v>1912.055</v>
      </c>
      <c r="AO18" cm="1">
        <f t="array" ref="AO18">$E$10*(1+$AM18)+VLOOKUP($Q18,武学奇术!$A:$ZZ,4,FALSE)+SUM(_xlfn.XLOOKUP($R18:$AF18,增益!$A:$A,增益!$D:$D,0))-$I$2</f>
        <v>5879.45</v>
      </c>
      <c r="AP18" s="49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0.3575</v>
      </c>
      <c r="AQ18" s="49" cm="1">
        <f t="array" ref="AQ18">$G$10+VLOOKUP($Q18,武学奇术!$A:$ZZ,7,FALSE)+SUM(_xlfn.XLOOKUP(R18:AF18,增益!$A:$A,增益!$G:$G,0))</f>
        <v>0</v>
      </c>
      <c r="AR18" s="41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49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49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49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49" cm="1">
        <f t="array" ref="AZ18">$G$12+VLOOKUP($Q18,武学奇术!$A:$ZZ,12,FALSE)+SUM(_xlfn.XLOOKUP(R18:AF18,增益!$A:$A,增益!$L:$L,0))</f>
        <v>0</v>
      </c>
      <c r="BA18">
        <f t="shared" si="5"/>
        <v>571.2</v>
      </c>
      <c r="BB18">
        <f t="shared" si="6"/>
        <v>1077.4</v>
      </c>
      <c r="BC18" s="49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49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49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49" cm="1">
        <f t="array" ref="BH18">$G$14+VLOOKUP($Q18,武学奇术!$A:$ZZ,16,FALSE)+SUM(_xlfn.XLOOKUP(R18:AF18,增益!$A:$A,增益!$P:$P,0))</f>
        <v>0</v>
      </c>
      <c r="BI18" s="41">
        <f>MIN(IF(VLOOKUP($Q18,武学奇术!$A:$ZZ,23,FALSE)=1,100%,$B$8),100%)</f>
        <v>1</v>
      </c>
      <c r="BJ18" s="41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0.9045</v>
      </c>
      <c r="BK18" s="41" cm="1">
        <f t="array" ref="BK18">1+$B$13+VLOOKUP($Q18,武学奇术!$A:$ZZ,18,FALSE)+SUM(_xlfn.XLOOKUP(R18:AF18,增益!$A:$A,增益!$R:$R,0))</f>
        <v>1.78</v>
      </c>
      <c r="BL18" s="41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0.0929</v>
      </c>
      <c r="BM18" s="41" cm="1">
        <f t="array" ref="BM18">1+$B$14+VLOOKUP($Q18,武学奇术!$A:$ZZ,20,FALSE)+SUM(_xlfn.XLOOKUP(R18:AF18,增益!$A:$A,增益!$T:$T,0))</f>
        <v>1.35</v>
      </c>
      <c r="BN18" s="41">
        <f t="shared" si="9"/>
        <v>0.9045</v>
      </c>
      <c r="BO18" s="41">
        <f t="shared" si="10"/>
        <v>0.00260000000000005</v>
      </c>
      <c r="BP18" s="41">
        <f>IF(VLOOKUP($Q18,武学奇术!$A:$ZZ,22,FALSE)=1,0,(1-$BI18))*(1-$BL18)</f>
        <v>0</v>
      </c>
      <c r="BQ18" s="41" cm="1">
        <f t="array" ref="BQ18">SUM(_xlfn.XLOOKUP(R18:AF18,增益!$A:$A,增益!$W:$W,0))+$I$5</f>
        <v>0.11</v>
      </c>
    </row>
    <row r="19" spans="1:69">
      <c r="A19" s="58" t="s">
        <v>130</v>
      </c>
      <c r="B19" s="87">
        <f>期望!B19</f>
        <v>0.2678</v>
      </c>
      <c r="C19" s="56" t="s">
        <v>131</v>
      </c>
      <c r="D19" s="96" t="s">
        <v>174</v>
      </c>
      <c r="K19" s="55">
        <f t="shared" si="0"/>
        <v>128422.352497576</v>
      </c>
      <c r="L19" s="55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弹道",$B$21,0))*(1+$BQ19)</f>
        <v>129919.162162876</v>
      </c>
      <c r="M19" s="55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弹道",$B$21,0))*(1+$BQ19)</f>
        <v>115744.075459805</v>
      </c>
      <c r="N19" s="55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弹道",$B$21,0))*(1+$BQ19)</f>
        <v>60709.8888611569</v>
      </c>
      <c r="O19" s="55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弹道",$B$21,0))*(1+$BQ19)</f>
        <v>35683.4255298653</v>
      </c>
      <c r="P19" s="56">
        <v>1</v>
      </c>
      <c r="Q19" s="57" t="s">
        <v>155</v>
      </c>
      <c r="R19" s="57" t="s">
        <v>110</v>
      </c>
      <c r="S19" s="57" t="s">
        <v>111</v>
      </c>
      <c r="T19" s="57" t="s">
        <v>72</v>
      </c>
      <c r="U19" s="57" t="s">
        <v>107</v>
      </c>
      <c r="V19" s="57" t="s">
        <v>156</v>
      </c>
      <c r="W19" s="57" t="s">
        <v>72</v>
      </c>
      <c r="X19" s="57" t="s">
        <v>72</v>
      </c>
      <c r="Y19" s="57" t="s">
        <v>112</v>
      </c>
      <c r="Z19" s="57" t="s">
        <v>113</v>
      </c>
      <c r="AA19" s="57" t="s">
        <v>173</v>
      </c>
      <c r="AB19" s="57" t="s">
        <v>72</v>
      </c>
      <c r="AC19" s="57" t="s">
        <v>72</v>
      </c>
      <c r="AD19" s="57" t="s">
        <v>72</v>
      </c>
      <c r="AE19" s="57" t="s">
        <v>72</v>
      </c>
      <c r="AF19" s="57" t="s">
        <v>87</v>
      </c>
      <c r="AG19" t="str">
        <f>VLOOKUP($Q19,武学奇术!$A:$ZZ,25,FALSE)</f>
        <v>扇</v>
      </c>
      <c r="AH19" s="41">
        <f>VLOOKUP($Q19,武学奇术!$A:$ZZ,26,FALSE)</f>
        <v>4.376825</v>
      </c>
      <c r="AI19" s="42">
        <f>VLOOKUP($Q19,武学奇术!$A:$ZZ,27,FALSE)*(1+IF(OR($AG19=$F$4,$AG19=$F$5),$B$22,0))</f>
        <v>1695.05</v>
      </c>
      <c r="AJ19" s="41">
        <f>VLOOKUP($Q19,武学奇术!$A:$ZZ,28,FALSE)</f>
        <v>6.56531</v>
      </c>
      <c r="AK19" s="42">
        <f>VLOOKUP($Q19,武学奇术!$A:$ZZ,29,FALSE)*(1+IF(OR($AG19=$F$4,$AG19=$F$5),$B$22,0))</f>
        <v>923.65</v>
      </c>
      <c r="AL19" s="41" cm="1">
        <f t="array" ref="AL19">$G$3+IFERROR(VLOOKUP($AG19,$F$4:$G$7,2,FALSE),0)+VLOOKUP($Q19,武学奇术!$A:$ZZ,2,FALSE)+SUM(_xlfn.XLOOKUP($R19:$AF19,增益!$A:$A,增益!$B:$B,0))</f>
        <v>0.4989</v>
      </c>
      <c r="AM19" s="41" cm="1">
        <f t="array" ref="AM19">VLOOKUP($Q19,武学奇术!$A:$ZZ,5,FALSE)+SUM(_xlfn.XLOOKUP($R19:$AF19,增益!$A:$A,增益!$E:$E,0))</f>
        <v>0.075</v>
      </c>
      <c r="AN19" cm="1">
        <f t="array" ref="AN19">$D$10*(1+$AM19)+VLOOKUP($Q19,武学奇术!$A:$ZZ,3,FALSE)+SUM(_xlfn.XLOOKUP($R19:$AF19,增益!$A:$A,增益!$C:$C,0))-$I$2</f>
        <v>1912.055</v>
      </c>
      <c r="AO19" cm="1">
        <f t="array" ref="AO19">$E$10*(1+$AM19)+VLOOKUP($Q19,武学奇术!$A:$ZZ,4,FALSE)+SUM(_xlfn.XLOOKUP($R19:$AF19,增益!$A:$A,增益!$D:$D,0))-$I$2</f>
        <v>5879.45</v>
      </c>
      <c r="AP19" s="49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0.3575</v>
      </c>
      <c r="AQ19" s="49" cm="1">
        <f t="array" ref="AQ19">$G$10+VLOOKUP($Q19,武学奇术!$A:$ZZ,7,FALSE)+SUM(_xlfn.XLOOKUP(R19:AF19,增益!$A:$A,增益!$G:$G,0))</f>
        <v>0.1</v>
      </c>
      <c r="AR19" s="41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49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49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49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49" cm="1">
        <f t="array" ref="AZ19">$G$12+VLOOKUP($Q19,武学奇术!$A:$ZZ,12,FALSE)+SUM(_xlfn.XLOOKUP(R19:AF19,增益!$A:$A,增益!$L:$L,0))</f>
        <v>0</v>
      </c>
      <c r="BA19">
        <f t="shared" si="5"/>
        <v>571.2</v>
      </c>
      <c r="BB19">
        <f t="shared" si="6"/>
        <v>1077.4</v>
      </c>
      <c r="BC19" s="49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49" cm="1">
        <f t="array" ref="BD19">$G$13+VLOOKUP($Q19,武学奇术!$A:$ZZ,14,FALSE)+SUM(_xlfn.XLOOKUP(R19:AF19,增益!$A:$A,增益!$N:$N,0))</f>
        <v>0.25</v>
      </c>
      <c r="BE19">
        <f t="shared" si="7"/>
        <v>0</v>
      </c>
      <c r="BF19">
        <f t="shared" si="8"/>
        <v>0</v>
      </c>
      <c r="BG19" s="49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49" cm="1">
        <f t="array" ref="BH19">$G$14+VLOOKUP($Q19,武学奇术!$A:$ZZ,16,FALSE)+SUM(_xlfn.XLOOKUP(R19:AF19,增益!$A:$A,增益!$P:$P,0))</f>
        <v>0</v>
      </c>
      <c r="BI19" s="41">
        <f>MIN(IF(VLOOKUP($Q19,武学奇术!$A:$ZZ,23,FALSE)=1,100%,$B$8),100%)</f>
        <v>1</v>
      </c>
      <c r="BJ19" s="41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0.9045</v>
      </c>
      <c r="BK19" s="41" cm="1">
        <f t="array" ref="BK19">1+$B$13+VLOOKUP($Q19,武学奇术!$A:$ZZ,18,FALSE)+SUM(_xlfn.XLOOKUP(R19:AF19,增益!$A:$A,增益!$R:$R,0))</f>
        <v>2.14</v>
      </c>
      <c r="BL19" s="41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0.0929</v>
      </c>
      <c r="BM19" s="41" cm="1">
        <f t="array" ref="BM19">1+$B$14+VLOOKUP($Q19,武学奇术!$A:$ZZ,20,FALSE)+SUM(_xlfn.XLOOKUP(R19:AF19,增益!$A:$A,增益!$T:$T,0))</f>
        <v>1.35</v>
      </c>
      <c r="BN19" s="41">
        <f t="shared" si="9"/>
        <v>0.9045</v>
      </c>
      <c r="BO19" s="41">
        <f t="shared" si="10"/>
        <v>0.00260000000000005</v>
      </c>
      <c r="BP19" s="41">
        <f>IF(VLOOKUP($Q19,武学奇术!$A:$ZZ,22,FALSE)=1,0,(1-$BI19))*(1-$BL19)</f>
        <v>0</v>
      </c>
      <c r="BQ19" s="41" cm="1">
        <f t="array" ref="BQ19">SUM(_xlfn.XLOOKUP(R19:AF19,增益!$A:$A,增益!$W:$W,0))+$I$5</f>
        <v>0.11</v>
      </c>
    </row>
    <row r="20" spans="1:69">
      <c r="A20" s="58" t="s">
        <v>132</v>
      </c>
      <c r="B20" s="87">
        <f>期望!B20</f>
        <v>0</v>
      </c>
      <c r="C20" s="56" t="s">
        <v>133</v>
      </c>
      <c r="D20" s="96" t="s">
        <v>174</v>
      </c>
      <c r="K20" s="55">
        <f t="shared" si="0"/>
        <v>83635.927148621</v>
      </c>
      <c r="L20" s="55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弹道",$B$21,0))*(1+$BQ20)</f>
        <v>83727.7548042508</v>
      </c>
      <c r="M20" s="55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弹道",$B$21,0))*(1+$BQ20)</f>
        <v>83849.279933395</v>
      </c>
      <c r="N20" s="55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弹道",$B$21,0))*(1+$BQ20)</f>
        <v>44067.2393706583</v>
      </c>
      <c r="O20" s="55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弹道",$B$21,0))*(1+$BQ20)</f>
        <v>26023.9010128759</v>
      </c>
      <c r="P20" s="56">
        <v>1</v>
      </c>
      <c r="Q20" s="57" t="s">
        <v>84</v>
      </c>
      <c r="R20" s="57" t="s">
        <v>116</v>
      </c>
      <c r="S20" s="57" t="s">
        <v>122</v>
      </c>
      <c r="T20" s="57" t="s">
        <v>92</v>
      </c>
      <c r="U20" s="57" t="s">
        <v>107</v>
      </c>
      <c r="V20" s="57" t="s">
        <v>86</v>
      </c>
      <c r="W20" s="57" t="s">
        <v>72</v>
      </c>
      <c r="X20" s="57" t="s">
        <v>72</v>
      </c>
      <c r="Y20" s="57" t="s">
        <v>72</v>
      </c>
      <c r="Z20" s="57" t="s">
        <v>113</v>
      </c>
      <c r="AA20" s="57" t="s">
        <v>173</v>
      </c>
      <c r="AB20" s="57" t="s">
        <v>72</v>
      </c>
      <c r="AC20" s="57" t="s">
        <v>72</v>
      </c>
      <c r="AD20" s="57" t="s">
        <v>72</v>
      </c>
      <c r="AE20" s="57" t="s">
        <v>72</v>
      </c>
      <c r="AF20" s="57" t="s">
        <v>87</v>
      </c>
      <c r="AG20" t="str">
        <f>VLOOKUP($Q20,武学奇术!$A:$ZZ,25,FALSE)</f>
        <v>伞</v>
      </c>
      <c r="AH20" s="41">
        <f>VLOOKUP($Q20,武学奇术!$A:$ZZ,26,FALSE)</f>
        <v>2.3397</v>
      </c>
      <c r="AI20" s="42">
        <f>VLOOKUP($Q20,武学奇术!$A:$ZZ,27,FALSE)*(1+IF(OR($AG20=$F$4,$AG20=$F$5),$B$22,0))</f>
        <v>907.2</v>
      </c>
      <c r="AJ20" s="41">
        <f>VLOOKUP($Q20,武学奇术!$A:$ZZ,28,FALSE)</f>
        <v>3.5095</v>
      </c>
      <c r="AK20" s="42">
        <f>VLOOKUP($Q20,武学奇术!$A:$ZZ,29,FALSE)*(1+IF(OR($AG20=$F$4,$AG20=$F$5),$B$22,0))</f>
        <v>494.2</v>
      </c>
      <c r="AL20" s="41" cm="1">
        <f t="array" ref="AL20">$G$3+IFERROR(VLOOKUP($AG20,$F$4:$G$7,2,FALSE),0)+VLOOKUP($Q20,武学奇术!$A:$ZZ,2,FALSE)+SUM(_xlfn.XLOOKUP($R20:$AF20,增益!$A:$A,增益!$B:$B,0))</f>
        <v>1.1441</v>
      </c>
      <c r="AM20" s="41" cm="1">
        <f t="array" ref="AM20">VLOOKUP($Q20,武学奇术!$A:$ZZ,5,FALSE)+SUM(_xlfn.XLOOKUP($R20:$AF20,增益!$A:$A,增益!$E:$E,0))</f>
        <v>0.075</v>
      </c>
      <c r="AN20" cm="1">
        <f t="array" ref="AN20">$D$10*(1+$AM20)+VLOOKUP($Q20,武学奇术!$A:$ZZ,3,FALSE)+SUM(_xlfn.XLOOKUP($R20:$AF20,增益!$A:$A,增益!$C:$C,0))-$I$2</f>
        <v>1912.055</v>
      </c>
      <c r="AO20" cm="1">
        <f t="array" ref="AO20">$E$10*(1+$AM20)+VLOOKUP($Q20,武学奇术!$A:$ZZ,4,FALSE)+SUM(_xlfn.XLOOKUP($R20:$AF20,增益!$A:$A,增益!$D:$D,0))-$I$2</f>
        <v>5879.45</v>
      </c>
      <c r="AP20" s="49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0.2675</v>
      </c>
      <c r="AQ20" s="49" cm="1">
        <f t="array" ref="AQ20">$G$10+VLOOKUP($Q20,武学奇术!$A:$ZZ,7,FALSE)+SUM(_xlfn.XLOOKUP(R20:AF20,增益!$A:$A,增益!$G:$G,0))</f>
        <v>0.1</v>
      </c>
      <c r="AR20" s="41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49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49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49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49" cm="1">
        <f t="array" ref="AZ20">$G$12+VLOOKUP($Q20,武学奇术!$A:$ZZ,12,FALSE)+SUM(_xlfn.XLOOKUP(R20:AF20,增益!$A:$A,增益!$L:$L,0))</f>
        <v>0</v>
      </c>
      <c r="BA20">
        <f t="shared" si="5"/>
        <v>571.2</v>
      </c>
      <c r="BB20">
        <f t="shared" si="6"/>
        <v>1077.4</v>
      </c>
      <c r="BC20" s="49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49" cm="1">
        <f t="array" ref="BD20">$G$13+VLOOKUP($Q20,武学奇术!$A:$ZZ,14,FALSE)+SUM(_xlfn.XLOOKUP(R20:AF20,增益!$A:$A,增益!$N:$N,0))</f>
        <v>0.25</v>
      </c>
      <c r="BE20">
        <f t="shared" si="7"/>
        <v>0</v>
      </c>
      <c r="BF20">
        <f t="shared" si="8"/>
        <v>0</v>
      </c>
      <c r="BG20" s="49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49" cm="1">
        <f t="array" ref="BH20">$G$14+VLOOKUP($Q20,武学奇术!$A:$ZZ,16,FALSE)+SUM(_xlfn.XLOOKUP(R20:AF20,增益!$A:$A,增益!$P:$P,0))</f>
        <v>0</v>
      </c>
      <c r="BI20" s="41">
        <f>MIN(IF(VLOOKUP($Q20,武学奇术!$A:$ZZ,23,FALSE)=1,100%,$B$8),100%)</f>
        <v>1</v>
      </c>
      <c r="BJ20" s="41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0.9045</v>
      </c>
      <c r="BK20" s="41" cm="1">
        <f t="array" ref="BK20">1+$B$13+VLOOKUP($Q20,武学奇术!$A:$ZZ,18,FALSE)+SUM(_xlfn.XLOOKUP(R20:AF20,增益!$A:$A,增益!$R:$R,0))</f>
        <v>1.9</v>
      </c>
      <c r="BL20" s="41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0.0929</v>
      </c>
      <c r="BM20" s="41" cm="1">
        <f t="array" ref="BM20">1+$B$14+VLOOKUP($Q20,武学奇术!$A:$ZZ,20,FALSE)+SUM(_xlfn.XLOOKUP(R20:AF20,增益!$A:$A,增益!$T:$T,0))</f>
        <v>1.35</v>
      </c>
      <c r="BN20" s="41">
        <f t="shared" si="9"/>
        <v>0.9045</v>
      </c>
      <c r="BO20" s="41">
        <f t="shared" si="10"/>
        <v>0.00260000000000005</v>
      </c>
      <c r="BP20" s="41">
        <f>IF(VLOOKUP($Q20,武学奇术!$A:$ZZ,22,FALSE)=1,0,(1-$BI20))*(1-$BL20)</f>
        <v>0</v>
      </c>
      <c r="BQ20" s="41" cm="1">
        <f t="array" ref="BQ20">SUM(_xlfn.XLOOKUP(R20:AF20,增益!$A:$A,增益!$W:$W,0))+$I$5</f>
        <v>0.11</v>
      </c>
    </row>
    <row r="21" ht="15.15" spans="1:69">
      <c r="A21" s="102" t="s">
        <v>175</v>
      </c>
      <c r="B21" s="103">
        <f>期望!B21</f>
        <v>0.32</v>
      </c>
      <c r="C21" s="56" t="s">
        <v>135</v>
      </c>
      <c r="D21" s="56"/>
      <c r="E21" s="56" t="s">
        <v>136</v>
      </c>
      <c r="F21" s="56" t="str">
        <f>期望!F21</f>
        <v>全蹭</v>
      </c>
      <c r="K21" s="55">
        <f t="shared" si="0"/>
        <v>31087.0733248575</v>
      </c>
      <c r="L21" s="55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弹道",$B$21,0))*(1+$BQ21)</f>
        <v>30450.4132111877</v>
      </c>
      <c r="M21" s="55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弹道",$B$21,0))*(1+$BQ21)</f>
        <v>37602.4196641543</v>
      </c>
      <c r="N21" s="55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弹道",$B$21,0))*(1+$BQ21)</f>
        <v>19772.9955916803</v>
      </c>
      <c r="O21" s="55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弹道",$B$21,0))*(1+$BQ21)</f>
        <v>11692.3469876908</v>
      </c>
      <c r="P21" s="56">
        <v>1</v>
      </c>
      <c r="Q21" s="57" t="s">
        <v>94</v>
      </c>
      <c r="R21" s="57" t="s">
        <v>116</v>
      </c>
      <c r="S21" s="57" t="s">
        <v>122</v>
      </c>
      <c r="T21" s="57" t="s">
        <v>72</v>
      </c>
      <c r="U21" s="57" t="s">
        <v>107</v>
      </c>
      <c r="V21" s="57" t="s">
        <v>72</v>
      </c>
      <c r="W21" s="57" t="s">
        <v>72</v>
      </c>
      <c r="X21" s="57" t="s">
        <v>72</v>
      </c>
      <c r="Y21" s="57" t="s">
        <v>72</v>
      </c>
      <c r="Z21" s="57" t="s">
        <v>72</v>
      </c>
      <c r="AA21" s="57" t="s">
        <v>173</v>
      </c>
      <c r="AB21" s="57" t="s">
        <v>72</v>
      </c>
      <c r="AC21" s="57" t="s">
        <v>72</v>
      </c>
      <c r="AD21" s="57" t="s">
        <v>72</v>
      </c>
      <c r="AE21" s="57" t="s">
        <v>72</v>
      </c>
      <c r="AF21" s="57" t="s">
        <v>87</v>
      </c>
      <c r="AG21" t="str">
        <f>VLOOKUP($Q21,武学奇术!$A:$ZZ,25,FALSE)</f>
        <v>伞</v>
      </c>
      <c r="AH21" s="41">
        <f>VLOOKUP($Q21,武学奇术!$A:$ZZ,26,FALSE)</f>
        <v>1.7001</v>
      </c>
      <c r="AI21" s="42">
        <f>VLOOKUP($Q21,武学奇术!$A:$ZZ,27,FALSE)*(1+IF(OR($AG21=$F$4,$AG21=$F$5),$B$22,0))</f>
        <v>659.4</v>
      </c>
      <c r="AJ21" s="41">
        <f>VLOOKUP($Q21,武学奇术!$A:$ZZ,28,FALSE)</f>
        <v>2.5502</v>
      </c>
      <c r="AK21" s="42">
        <f>VLOOKUP($Q21,武学奇术!$A:$ZZ,29,FALSE)*(1+IF(OR($AG21=$F$4,$AG21=$F$5),$B$22,0))</f>
        <v>358.4</v>
      </c>
      <c r="AL21" s="41" cm="1">
        <f t="array" ref="AL21">$G$3+IFERROR(VLOOKUP($AG21,$F$4:$G$7,2,FALSE),0)+VLOOKUP($Q21,武学奇术!$A:$ZZ,2,FALSE)+SUM(_xlfn.XLOOKUP($R21:$AF21,增益!$A:$A,增益!$B:$B,0))</f>
        <v>0.3441</v>
      </c>
      <c r="AM21" s="41" cm="1">
        <f t="array" ref="AM21">VLOOKUP($Q21,武学奇术!$A:$ZZ,5,FALSE)+SUM(_xlfn.XLOOKUP($R21:$AF21,增益!$A:$A,增益!$E:$E,0))</f>
        <v>0.075</v>
      </c>
      <c r="AN21" cm="1">
        <f t="array" ref="AN21">$D$10*(1+$AM21)+VLOOKUP($Q21,武学奇术!$A:$ZZ,3,FALSE)+SUM(_xlfn.XLOOKUP($R21:$AF21,增益!$A:$A,增益!$C:$C,0))-$I$2</f>
        <v>1912.055</v>
      </c>
      <c r="AO21" cm="1">
        <f t="array" ref="AO21">$E$10*(1+$AM21)+VLOOKUP($Q21,武学奇术!$A:$ZZ,4,FALSE)+SUM(_xlfn.XLOOKUP($R21:$AF21,增益!$A:$A,增益!$D:$D,0))-$I$2</f>
        <v>5879.45</v>
      </c>
      <c r="AP21" s="49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0.2425</v>
      </c>
      <c r="AQ21" s="49" cm="1">
        <f t="array" ref="AQ21">$G$10+VLOOKUP($Q21,武学奇术!$A:$ZZ,7,FALSE)+SUM(_xlfn.XLOOKUP(R21:AF21,增益!$A:$A,增益!$G:$G,0))</f>
        <v>0.1</v>
      </c>
      <c r="AR21" s="41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49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49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49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49" cm="1">
        <f t="array" ref="AZ21">$G$12+VLOOKUP($Q21,武学奇术!$A:$ZZ,12,FALSE)+SUM(_xlfn.XLOOKUP(R21:AF21,增益!$A:$A,增益!$L:$L,0))</f>
        <v>0</v>
      </c>
      <c r="BA21">
        <f t="shared" si="5"/>
        <v>571.2</v>
      </c>
      <c r="BB21">
        <f t="shared" si="6"/>
        <v>1077.4</v>
      </c>
      <c r="BC21" s="49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49" cm="1">
        <f t="array" ref="BD21">$G$13+VLOOKUP($Q21,武学奇术!$A:$ZZ,14,FALSE)+SUM(_xlfn.XLOOKUP(R21:AF21,增益!$A:$A,增益!$N:$N,0))</f>
        <v>0.25</v>
      </c>
      <c r="BE21">
        <f t="shared" si="7"/>
        <v>0</v>
      </c>
      <c r="BF21">
        <f t="shared" si="8"/>
        <v>0</v>
      </c>
      <c r="BG21" s="49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49" cm="1">
        <f t="array" ref="BH21">$G$14+VLOOKUP($Q21,武学奇术!$A:$ZZ,16,FALSE)+SUM(_xlfn.XLOOKUP(R21:AF21,增益!$A:$A,增益!$P:$P,0))</f>
        <v>0</v>
      </c>
      <c r="BI21" s="41">
        <f>MIN(IF(VLOOKUP($Q21,武学奇术!$A:$ZZ,23,FALSE)=1,100%,$B$8),100%)</f>
        <v>1</v>
      </c>
      <c r="BJ21" s="41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0.9045</v>
      </c>
      <c r="BK21" s="41" cm="1">
        <f t="array" ref="BK21">1+$B$13+VLOOKUP($Q21,武学奇术!$A:$ZZ,18,FALSE)+SUM(_xlfn.XLOOKUP(R21:AF21,增益!$A:$A,增益!$R:$R,0))</f>
        <v>1.54</v>
      </c>
      <c r="BL21" s="41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0.0929</v>
      </c>
      <c r="BM21" s="41" cm="1">
        <f t="array" ref="BM21">1+$B$14+VLOOKUP($Q21,武学奇术!$A:$ZZ,20,FALSE)+SUM(_xlfn.XLOOKUP(R21:AF21,增益!$A:$A,增益!$T:$T,0))</f>
        <v>1.35</v>
      </c>
      <c r="BN21" s="41">
        <f t="shared" si="9"/>
        <v>0.9045</v>
      </c>
      <c r="BO21" s="41">
        <f t="shared" si="10"/>
        <v>0.00260000000000005</v>
      </c>
      <c r="BP21" s="41">
        <f>IF(VLOOKUP($Q21,武学奇术!$A:$ZZ,22,FALSE)=1,0,(1-$BI21))*(1-$BL21)</f>
        <v>0</v>
      </c>
      <c r="BQ21" s="41" cm="1">
        <f t="array" ref="BQ21">SUM(_xlfn.XLOOKUP(R21:AF21,增益!$A:$A,增益!$W:$W,0))+$I$5</f>
        <v>0.11</v>
      </c>
    </row>
    <row r="22" spans="1:69">
      <c r="A22" t="s">
        <v>141</v>
      </c>
      <c r="B22" s="44">
        <f>期望!B22</f>
        <v>0.4</v>
      </c>
      <c r="C22" s="57" t="str">
        <f>期望!C22</f>
        <v>易水歌</v>
      </c>
      <c r="D22" s="57"/>
      <c r="E22" s="56"/>
      <c r="F22" s="56"/>
      <c r="K22" s="55">
        <f t="shared" si="0"/>
        <v>13101.0330230535</v>
      </c>
      <c r="L22" s="55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弹道",$B$21,0))*(1+$BQ22)</f>
        <v>12841.9171225894</v>
      </c>
      <c r="M22" s="55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弹道",$B$21,0))*(1+$BQ22)</f>
        <v>15758.6405310738</v>
      </c>
      <c r="N22" s="55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弹道",$B$21,0))*(1+$BQ22)</f>
        <v>8285.10782102541</v>
      </c>
      <c r="O22" s="55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弹道",$B$21,0))*(1+$BQ22)</f>
        <v>4897.14858199619</v>
      </c>
      <c r="P22" s="56">
        <v>1</v>
      </c>
      <c r="Q22" s="57" t="s">
        <v>99</v>
      </c>
      <c r="R22" s="57" t="s">
        <v>116</v>
      </c>
      <c r="S22" s="57" t="s">
        <v>143</v>
      </c>
      <c r="T22" s="57" t="s">
        <v>72</v>
      </c>
      <c r="U22" s="57" t="s">
        <v>107</v>
      </c>
      <c r="V22" s="57" t="s">
        <v>72</v>
      </c>
      <c r="W22" s="57" t="s">
        <v>72</v>
      </c>
      <c r="X22" s="57" t="s">
        <v>72</v>
      </c>
      <c r="Y22" s="57" t="s">
        <v>72</v>
      </c>
      <c r="Z22" s="57" t="s">
        <v>72</v>
      </c>
      <c r="AA22" s="57" t="s">
        <v>173</v>
      </c>
      <c r="AB22" s="57" t="s">
        <v>72</v>
      </c>
      <c r="AC22" s="57" t="s">
        <v>72</v>
      </c>
      <c r="AD22" s="57" t="s">
        <v>72</v>
      </c>
      <c r="AE22" s="57" t="s">
        <v>72</v>
      </c>
      <c r="AF22" s="57" t="s">
        <v>87</v>
      </c>
      <c r="AG22" t="str">
        <f>VLOOKUP($Q22,武学奇术!$A:$ZZ,25,FALSE)</f>
        <v>伞</v>
      </c>
      <c r="AH22" s="41">
        <f>VLOOKUP($Q22,武学奇术!$A:$ZZ,26,FALSE)</f>
        <v>0.54</v>
      </c>
      <c r="AI22" s="42">
        <f>VLOOKUP($Q22,武学奇术!$A:$ZZ,27,FALSE)*(1+IF(OR($AG22=$F$4,$AG22=$F$5),$B$22,0))</f>
        <v>207.2</v>
      </c>
      <c r="AJ22" s="41">
        <f>VLOOKUP($Q22,武学奇术!$A:$ZZ,28,FALSE)</f>
        <v>0.81</v>
      </c>
      <c r="AK22" s="42">
        <f>VLOOKUP($Q22,武学奇术!$A:$ZZ,29,FALSE)*(1+IF(OR($AG22=$F$4,$AG22=$F$5),$B$22,0))</f>
        <v>114.1</v>
      </c>
      <c r="AL22" s="41" cm="1">
        <f t="array" ref="AL22">$G$3+IFERROR(VLOOKUP($AG22,$F$4:$G$7,2,FALSE),0)+VLOOKUP($Q22,武学奇术!$A:$ZZ,2,FALSE)+SUM(_xlfn.XLOOKUP($R22:$AF22,增益!$A:$A,增益!$B:$B,0))</f>
        <v>0.3441</v>
      </c>
      <c r="AM22" s="41" cm="1">
        <f t="array" ref="AM22">VLOOKUP($Q22,武学奇术!$A:$ZZ,5,FALSE)+SUM(_xlfn.XLOOKUP($R22:$AF22,增益!$A:$A,增益!$E:$E,0))</f>
        <v>0.075</v>
      </c>
      <c r="AN22" cm="1">
        <f t="array" ref="AN22">$D$10*(1+$AM22)+VLOOKUP($Q22,武学奇术!$A:$ZZ,3,FALSE)+SUM(_xlfn.XLOOKUP($R22:$AF22,增益!$A:$A,增益!$C:$C,0))-$I$2</f>
        <v>1912.055</v>
      </c>
      <c r="AO22" cm="1">
        <f t="array" ref="AO22">$E$10*(1+$AM22)+VLOOKUP($Q22,武学奇术!$A:$ZZ,4,FALSE)+SUM(_xlfn.XLOOKUP($R22:$AF22,增益!$A:$A,增益!$D:$D,0))-$I$2</f>
        <v>5879.45</v>
      </c>
      <c r="AP22" s="49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0.2425</v>
      </c>
      <c r="AQ22" s="49" cm="1">
        <f t="array" ref="AQ22">$G$10+VLOOKUP($Q22,武学奇术!$A:$ZZ,7,FALSE)+SUM(_xlfn.XLOOKUP(R22:AF22,增益!$A:$A,增益!$G:$G,0))</f>
        <v>0.1</v>
      </c>
      <c r="AR22" s="41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49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49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49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49" cm="1">
        <f t="array" ref="AZ22">$G$12+VLOOKUP($Q22,武学奇术!$A:$ZZ,12,FALSE)+SUM(_xlfn.XLOOKUP(R22:AF22,增益!$A:$A,增益!$L:$L,0))</f>
        <v>0</v>
      </c>
      <c r="BA22">
        <f t="shared" si="5"/>
        <v>571.2</v>
      </c>
      <c r="BB22">
        <f t="shared" si="6"/>
        <v>1077.4</v>
      </c>
      <c r="BC22" s="49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49" cm="1">
        <f t="array" ref="BD22">$G$13+VLOOKUP($Q22,武学奇术!$A:$ZZ,14,FALSE)+SUM(_xlfn.XLOOKUP(R22:AF22,增益!$A:$A,增益!$N:$N,0))</f>
        <v>0.25</v>
      </c>
      <c r="BE22">
        <f t="shared" si="7"/>
        <v>0</v>
      </c>
      <c r="BF22">
        <f t="shared" si="8"/>
        <v>0</v>
      </c>
      <c r="BG22" s="49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49" cm="1">
        <f t="array" ref="BH22">$G$14+VLOOKUP($Q22,武学奇术!$A:$ZZ,16,FALSE)+SUM(_xlfn.XLOOKUP(R22:AF22,增益!$A:$A,增益!$P:$P,0))</f>
        <v>0</v>
      </c>
      <c r="BI22" s="41">
        <f>MIN(IF(VLOOKUP($Q22,武学奇术!$A:$ZZ,23,FALSE)=1,100%,$B$8),100%)</f>
        <v>1</v>
      </c>
      <c r="BJ22" s="41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0.9045</v>
      </c>
      <c r="BK22" s="41" cm="1">
        <f t="array" ref="BK22">1+$B$13+VLOOKUP($Q22,武学奇术!$A:$ZZ,18,FALSE)+SUM(_xlfn.XLOOKUP(R22:AF22,增益!$A:$A,增益!$R:$R,0))</f>
        <v>1.55</v>
      </c>
      <c r="BL22" s="41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0.0929</v>
      </c>
      <c r="BM22" s="41" cm="1">
        <f t="array" ref="BM22">1+$B$14+VLOOKUP($Q22,武学奇术!$A:$ZZ,20,FALSE)+SUM(_xlfn.XLOOKUP(R22:AF22,增益!$A:$A,增益!$T:$T,0))</f>
        <v>1.35</v>
      </c>
      <c r="BN22" s="41">
        <f t="shared" si="9"/>
        <v>0.9045</v>
      </c>
      <c r="BO22" s="41">
        <f t="shared" si="10"/>
        <v>0.00260000000000005</v>
      </c>
      <c r="BP22" s="41">
        <f>IF(VLOOKUP($Q22,武学奇术!$A:$ZZ,22,FALSE)=1,0,(1-$BI22))*(1-$BL22)</f>
        <v>0</v>
      </c>
      <c r="BQ22" s="41" cm="1">
        <f t="array" ref="BQ22">SUM(_xlfn.XLOOKUP(R22:AF22,增益!$A:$A,增益!$W:$W,0))+$I$5</f>
        <v>0.11</v>
      </c>
    </row>
    <row r="23" spans="1:69">
      <c r="A23" s="56" t="s">
        <v>144</v>
      </c>
      <c r="B23" s="104">
        <f>期望!B23</f>
        <v>200</v>
      </c>
      <c r="K23" s="55">
        <f t="shared" si="0"/>
        <v>205095.487549631</v>
      </c>
      <c r="L23" s="55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弹道",$B$21,0))*(1+$BQ23)</f>
        <v>205420.749546647</v>
      </c>
      <c r="M23" s="55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弹道",$B$21,0))*(1+$BQ23)</f>
        <v>204658.657104321</v>
      </c>
      <c r="N23" s="55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弹道",$B$21,0))*(1+$BQ23)</f>
        <v>107550.130652695</v>
      </c>
      <c r="O23" s="55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弹道",$B$21,0))*(1+$BQ23)</f>
        <v>63501.2560429296</v>
      </c>
      <c r="P23" s="56">
        <v>4</v>
      </c>
      <c r="Q23" s="57" t="s">
        <v>102</v>
      </c>
      <c r="R23" s="57" t="s">
        <v>116</v>
      </c>
      <c r="S23" s="57" t="s">
        <v>143</v>
      </c>
      <c r="T23" s="57" t="s">
        <v>92</v>
      </c>
      <c r="U23" s="57" t="s">
        <v>107</v>
      </c>
      <c r="V23" s="57" t="s">
        <v>86</v>
      </c>
      <c r="W23" s="57" t="s">
        <v>72</v>
      </c>
      <c r="X23" s="57" t="s">
        <v>72</v>
      </c>
      <c r="Y23" s="57" t="s">
        <v>72</v>
      </c>
      <c r="Z23" s="57" t="s">
        <v>72</v>
      </c>
      <c r="AA23" s="57" t="s">
        <v>72</v>
      </c>
      <c r="AB23" s="57" t="s">
        <v>72</v>
      </c>
      <c r="AC23" s="57" t="s">
        <v>72</v>
      </c>
      <c r="AD23" s="57" t="s">
        <v>72</v>
      </c>
      <c r="AE23" s="57" t="s">
        <v>72</v>
      </c>
      <c r="AF23" s="57" t="s">
        <v>87</v>
      </c>
      <c r="AG23" t="str">
        <f>VLOOKUP($Q23,武学奇术!$A:$ZZ,25,FALSE)</f>
        <v>伞</v>
      </c>
      <c r="AH23" s="41">
        <f>VLOOKUP($Q23,武学奇术!$A:$ZZ,26,FALSE)</f>
        <v>1.174955</v>
      </c>
      <c r="AI23" s="42">
        <f>VLOOKUP($Q23,武学奇术!$A:$ZZ,27,FALSE)*(1+IF(OR($AG23=$F$4,$AG23=$F$5),$B$22,0))</f>
        <v>454.02</v>
      </c>
      <c r="AJ23" s="41">
        <f>VLOOKUP($Q23,武学奇术!$A:$ZZ,28,FALSE)</f>
        <v>1.762375</v>
      </c>
      <c r="AK23" s="42">
        <f>VLOOKUP($Q23,武学奇术!$A:$ZZ,29,FALSE)*(1+IF(OR($AG23=$F$4,$AG23=$F$5),$B$22,0))</f>
        <v>247.94</v>
      </c>
      <c r="AL23" s="41" cm="1">
        <f t="array" ref="AL23">$G$3+IFERROR(VLOOKUP($AG23,$F$4:$G$7,2,FALSE),0)+VLOOKUP($Q23,武学奇术!$A:$ZZ,2,FALSE)+SUM(_xlfn.XLOOKUP($R23:$AF23,增益!$A:$A,增益!$B:$B,0))</f>
        <v>0.9741</v>
      </c>
      <c r="AM23" s="41" cm="1">
        <f t="array" ref="AM23">VLOOKUP($Q23,武学奇术!$A:$ZZ,5,FALSE)+SUM(_xlfn.XLOOKUP($R23:$AF23,增益!$A:$A,增益!$E:$E,0))</f>
        <v>0.075</v>
      </c>
      <c r="AN23" cm="1">
        <f t="array" ref="AN23">$D$10*(1+$AM23)+VLOOKUP($Q23,武学奇术!$A:$ZZ,3,FALSE)+SUM(_xlfn.XLOOKUP($R23:$AF23,增益!$A:$A,增益!$C:$C,0))-$I$2</f>
        <v>1912.055</v>
      </c>
      <c r="AO23" cm="1">
        <f t="array" ref="AO23">$E$10*(1+$AM23)+VLOOKUP($Q23,武学奇术!$A:$ZZ,4,FALSE)+SUM(_xlfn.XLOOKUP($R23:$AF23,增益!$A:$A,增益!$D:$D,0))-$I$2</f>
        <v>5879.45</v>
      </c>
      <c r="AP23" s="49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0.2675</v>
      </c>
      <c r="AQ23" s="49" cm="1">
        <f t="array" ref="AQ23">$G$10+VLOOKUP($Q23,武学奇术!$A:$ZZ,7,FALSE)+SUM(_xlfn.XLOOKUP(R23:AF23,增益!$A:$A,增益!$G:$G,0))</f>
        <v>0.1</v>
      </c>
      <c r="AR23" s="41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49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49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49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49" cm="1">
        <f t="array" ref="AZ23">$G$12+VLOOKUP($Q23,武学奇术!$A:$ZZ,12,FALSE)+SUM(_xlfn.XLOOKUP(R23:AF23,增益!$A:$A,增益!$L:$L,0))</f>
        <v>0</v>
      </c>
      <c r="BA23">
        <f t="shared" si="5"/>
        <v>571.2</v>
      </c>
      <c r="BB23">
        <f t="shared" si="6"/>
        <v>1077.4</v>
      </c>
      <c r="BC23" s="49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49" cm="1">
        <f t="array" ref="BD23">$G$13+VLOOKUP($Q23,武学奇术!$A:$ZZ,14,FALSE)+SUM(_xlfn.XLOOKUP(R23:AF23,增益!$A:$A,增益!$N:$N,0))</f>
        <v>0.25</v>
      </c>
      <c r="BE23">
        <f t="shared" si="7"/>
        <v>0</v>
      </c>
      <c r="BF23">
        <f t="shared" si="8"/>
        <v>0</v>
      </c>
      <c r="BG23" s="49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49" cm="1">
        <f t="array" ref="BH23">$G$14+VLOOKUP($Q23,武学奇术!$A:$ZZ,16,FALSE)+SUM(_xlfn.XLOOKUP(R23:AF23,增益!$A:$A,增益!$P:$P,0))</f>
        <v>0</v>
      </c>
      <c r="BI23" s="41">
        <f>MIN(IF(VLOOKUP($Q23,武学奇术!$A:$ZZ,23,FALSE)=1,100%,$B$8),100%)</f>
        <v>1</v>
      </c>
      <c r="BJ23" s="41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0.9045</v>
      </c>
      <c r="BK23" s="41" cm="1">
        <f t="array" ref="BK23">1+$B$13+VLOOKUP($Q23,武学奇术!$A:$ZZ,18,FALSE)+SUM(_xlfn.XLOOKUP(R23:AF23,增益!$A:$A,增益!$R:$R,0))</f>
        <v>1.91</v>
      </c>
      <c r="BL23" s="41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0.0929</v>
      </c>
      <c r="BM23" s="41" cm="1">
        <f t="array" ref="BM23">1+$B$14+VLOOKUP($Q23,武学奇术!$A:$ZZ,20,FALSE)+SUM(_xlfn.XLOOKUP(R23:AF23,增益!$A:$A,增益!$T:$T,0))</f>
        <v>1.35</v>
      </c>
      <c r="BN23" s="41">
        <f t="shared" si="9"/>
        <v>0.9045</v>
      </c>
      <c r="BO23" s="41">
        <f t="shared" si="10"/>
        <v>0.00260000000000005</v>
      </c>
      <c r="BP23" s="41">
        <f>IF(VLOOKUP($Q23,武学奇术!$A:$ZZ,22,FALSE)=1,0,(1-$BI23))*(1-$BL23)</f>
        <v>0</v>
      </c>
      <c r="BQ23" s="41" cm="1">
        <f t="array" ref="BQ23">SUM(_xlfn.XLOOKUP(R23:AF23,增益!$A:$A,增益!$W:$W,0))+$I$5</f>
        <v>0.11</v>
      </c>
    </row>
    <row r="24" spans="1:69">
      <c r="A24" s="56"/>
      <c r="B24" s="104">
        <f>期望!B24</f>
        <v>400</v>
      </c>
      <c r="K24" s="55">
        <f t="shared" si="0"/>
        <v>309102.417722077</v>
      </c>
      <c r="L24" s="55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弹道",$B$21,0))*(1+$BQ24)</f>
        <v>309744.376279761</v>
      </c>
      <c r="M24" s="55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弹道",$B$21,0))*(1+$BQ24)</f>
        <v>306987.985656482</v>
      </c>
      <c r="N24" s="55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弹道",$B$21,0))*(1+$BQ24)</f>
        <v>161325.195979042</v>
      </c>
      <c r="O24" s="55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弹道",$B$21,0))*(1+$BQ24)</f>
        <v>95251.8840643944</v>
      </c>
      <c r="P24" s="56">
        <v>6</v>
      </c>
      <c r="Q24" s="57" t="s">
        <v>102</v>
      </c>
      <c r="R24" s="57" t="s">
        <v>116</v>
      </c>
      <c r="S24" s="57" t="s">
        <v>145</v>
      </c>
      <c r="T24" s="57" t="s">
        <v>92</v>
      </c>
      <c r="U24" s="57" t="s">
        <v>107</v>
      </c>
      <c r="V24" s="57" t="s">
        <v>86</v>
      </c>
      <c r="W24" s="57" t="s">
        <v>72</v>
      </c>
      <c r="X24" s="57" t="s">
        <v>72</v>
      </c>
      <c r="Y24" s="57" t="s">
        <v>72</v>
      </c>
      <c r="Z24" s="57" t="s">
        <v>72</v>
      </c>
      <c r="AA24" s="57" t="s">
        <v>72</v>
      </c>
      <c r="AB24" s="57" t="s">
        <v>72</v>
      </c>
      <c r="AC24" s="57" t="s">
        <v>72</v>
      </c>
      <c r="AD24" s="57" t="s">
        <v>72</v>
      </c>
      <c r="AE24" s="57" t="s">
        <v>72</v>
      </c>
      <c r="AF24" s="57" t="s">
        <v>87</v>
      </c>
      <c r="AG24" t="str">
        <f>VLOOKUP($Q24,武学奇术!$A:$ZZ,25,FALSE)</f>
        <v>伞</v>
      </c>
      <c r="AH24" s="41">
        <f>VLOOKUP($Q24,武学奇术!$A:$ZZ,26,FALSE)</f>
        <v>1.174955</v>
      </c>
      <c r="AI24" s="42">
        <f>VLOOKUP($Q24,武学奇术!$A:$ZZ,27,FALSE)*(1+IF(OR($AG24=$F$4,$AG24=$F$5),$B$22,0))</f>
        <v>454.02</v>
      </c>
      <c r="AJ24" s="41">
        <f>VLOOKUP($Q24,武学奇术!$A:$ZZ,28,FALSE)</f>
        <v>1.762375</v>
      </c>
      <c r="AK24" s="42">
        <f>VLOOKUP($Q24,武学奇术!$A:$ZZ,29,FALSE)*(1+IF(OR($AG24=$F$4,$AG24=$F$5),$B$22,0))</f>
        <v>247.94</v>
      </c>
      <c r="AL24" s="41" cm="1">
        <f t="array" ref="AL24">$G$3+IFERROR(VLOOKUP($AG24,$F$4:$G$7,2,FALSE),0)+VLOOKUP($Q24,武学奇术!$A:$ZZ,2,FALSE)+SUM(_xlfn.XLOOKUP($R24:$AF24,增益!$A:$A,增益!$B:$B,0))</f>
        <v>0.9741</v>
      </c>
      <c r="AM24" s="41" cm="1">
        <f t="array" ref="AM24">VLOOKUP($Q24,武学奇术!$A:$ZZ,5,FALSE)+SUM(_xlfn.XLOOKUP($R24:$AF24,增益!$A:$A,增益!$E:$E,0))</f>
        <v>0.075</v>
      </c>
      <c r="AN24" cm="1">
        <f t="array" ref="AN24">$D$10*(1+$AM24)+VLOOKUP($Q24,武学奇术!$A:$ZZ,3,FALSE)+SUM(_xlfn.XLOOKUP($R24:$AF24,增益!$A:$A,增益!$C:$C,0))-$I$2</f>
        <v>1912.055</v>
      </c>
      <c r="AO24" cm="1">
        <f t="array" ref="AO24">$E$10*(1+$AM24)+VLOOKUP($Q24,武学奇术!$A:$ZZ,4,FALSE)+SUM(_xlfn.XLOOKUP($R24:$AF24,增益!$A:$A,增益!$D:$D,0))-$I$2</f>
        <v>5879.45</v>
      </c>
      <c r="AP24" s="49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0.2675</v>
      </c>
      <c r="AQ24" s="49" cm="1">
        <f t="array" ref="AQ24">$G$10+VLOOKUP($Q24,武学奇术!$A:$ZZ,7,FALSE)+SUM(_xlfn.XLOOKUP(R24:AF24,增益!$A:$A,增益!$G:$G,0))</f>
        <v>0.1</v>
      </c>
      <c r="AR24" s="41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49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49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49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49" cm="1">
        <f t="array" ref="AZ24">$G$12+VLOOKUP($Q24,武学奇术!$A:$ZZ,12,FALSE)+SUM(_xlfn.XLOOKUP(R24:AF24,增益!$A:$A,增益!$L:$L,0))</f>
        <v>0</v>
      </c>
      <c r="BA24">
        <f t="shared" si="5"/>
        <v>571.2</v>
      </c>
      <c r="BB24">
        <f t="shared" si="6"/>
        <v>1077.4</v>
      </c>
      <c r="BC24" s="49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49" cm="1">
        <f t="array" ref="BD24">$G$13+VLOOKUP($Q24,武学奇术!$A:$ZZ,14,FALSE)+SUM(_xlfn.XLOOKUP(R24:AF24,增益!$A:$A,增益!$N:$N,0))</f>
        <v>0.25</v>
      </c>
      <c r="BE24">
        <f t="shared" si="7"/>
        <v>0</v>
      </c>
      <c r="BF24">
        <f t="shared" si="8"/>
        <v>0</v>
      </c>
      <c r="BG24" s="49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49" cm="1">
        <f t="array" ref="BH24">$G$14+VLOOKUP($Q24,武学奇术!$A:$ZZ,16,FALSE)+SUM(_xlfn.XLOOKUP(R24:AF24,增益!$A:$A,增益!$P:$P,0))</f>
        <v>0</v>
      </c>
      <c r="BI24" s="41">
        <f>MIN(IF(VLOOKUP($Q24,武学奇术!$A:$ZZ,23,FALSE)=1,100%,$B$8),100%)</f>
        <v>1</v>
      </c>
      <c r="BJ24" s="41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0.9045</v>
      </c>
      <c r="BK24" s="41" cm="1">
        <f t="array" ref="BK24">1+$B$13+VLOOKUP($Q24,武学奇术!$A:$ZZ,18,FALSE)+SUM(_xlfn.XLOOKUP(R24:AF24,增益!$A:$A,增益!$R:$R,0))</f>
        <v>1.92</v>
      </c>
      <c r="BL24" s="41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0.0929</v>
      </c>
      <c r="BM24" s="41" cm="1">
        <f t="array" ref="BM24">1+$B$14+VLOOKUP($Q24,武学奇术!$A:$ZZ,20,FALSE)+SUM(_xlfn.XLOOKUP(R24:AF24,增益!$A:$A,增益!$T:$T,0))</f>
        <v>1.35</v>
      </c>
      <c r="BN24" s="41">
        <f t="shared" si="9"/>
        <v>0.9045</v>
      </c>
      <c r="BO24" s="41">
        <f t="shared" si="10"/>
        <v>0.00260000000000005</v>
      </c>
      <c r="BP24" s="41">
        <f>IF(VLOOKUP($Q24,武学奇术!$A:$ZZ,22,FALSE)=1,0,(1-$BI24))*(1-$BL24)</f>
        <v>0</v>
      </c>
      <c r="BQ24" s="41" cm="1">
        <f t="array" ref="BQ24">SUM(_xlfn.XLOOKUP(R24:AF24,增益!$A:$A,增益!$W:$W,0))+$I$5</f>
        <v>0.11</v>
      </c>
    </row>
    <row r="25" spans="1:69">
      <c r="K25" s="55">
        <f t="shared" si="0"/>
        <v>14331.5712670955</v>
      </c>
      <c r="L25" s="55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弹道",$B$21,0))*(1+$BQ25)</f>
        <v>14049.0266976746</v>
      </c>
      <c r="M25" s="55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弹道",$B$21,0))*(1+$BQ25)</f>
        <v>17229.9301372391</v>
      </c>
      <c r="N25" s="55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弹道",$B$21,0))*(1+$BQ25)</f>
        <v>9063.8881920481</v>
      </c>
      <c r="O25" s="55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弹道",$B$21,0))*(1+$BQ25)</f>
        <v>5364.86517132647</v>
      </c>
      <c r="P25" s="56">
        <v>1</v>
      </c>
      <c r="Q25" s="57" t="s">
        <v>146</v>
      </c>
      <c r="R25" s="57" t="s">
        <v>116</v>
      </c>
      <c r="S25" s="57" t="s">
        <v>143</v>
      </c>
      <c r="T25" s="57" t="s">
        <v>72</v>
      </c>
      <c r="U25" s="57" t="s">
        <v>107</v>
      </c>
      <c r="V25" s="57" t="s">
        <v>72</v>
      </c>
      <c r="W25" s="57" t="s">
        <v>72</v>
      </c>
      <c r="X25" s="57" t="s">
        <v>72</v>
      </c>
      <c r="Y25" s="57" t="s">
        <v>72</v>
      </c>
      <c r="Z25" s="57" t="s">
        <v>72</v>
      </c>
      <c r="AA25" s="57" t="s">
        <v>72</v>
      </c>
      <c r="AB25" s="57" t="s">
        <v>72</v>
      </c>
      <c r="AC25" s="57" t="s">
        <v>72</v>
      </c>
      <c r="AD25" s="57" t="s">
        <v>72</v>
      </c>
      <c r="AE25" s="57" t="s">
        <v>72</v>
      </c>
      <c r="AF25" s="57" t="s">
        <v>87</v>
      </c>
      <c r="AG25" t="str">
        <f>VLOOKUP($Q25,武学奇术!$A:$ZZ,25,FALSE)</f>
        <v>扇</v>
      </c>
      <c r="AH25" s="41">
        <f>VLOOKUP($Q25,武学奇术!$A:$ZZ,26,FALSE)</f>
        <v>0.9271</v>
      </c>
      <c r="AI25" s="42">
        <f>VLOOKUP($Q25,武学奇术!$A:$ZZ,27,FALSE)*(1+IF(OR($AG25=$F$4,$AG25=$F$5),$B$22,0))</f>
        <v>359.8</v>
      </c>
      <c r="AJ25" s="41">
        <f>VLOOKUP($Q25,武学奇术!$A:$ZZ,28,FALSE)</f>
        <v>1.3907</v>
      </c>
      <c r="AK25" s="42">
        <f>VLOOKUP($Q25,武学奇术!$A:$ZZ,29,FALSE)*(1+IF(OR($AG25=$F$4,$AG25=$F$5),$B$22,0))</f>
        <v>196</v>
      </c>
      <c r="AL25" s="41" cm="1">
        <f t="array" ref="AL25">$G$3+IFERROR(VLOOKUP($AG25,$F$4:$G$7,2,FALSE),0)+VLOOKUP($Q25,武学奇术!$A:$ZZ,2,FALSE)+SUM(_xlfn.XLOOKUP($R25:$AF25,增益!$A:$A,增益!$B:$B,0))</f>
        <v>0.2389</v>
      </c>
      <c r="AM25" s="41" cm="1">
        <f t="array" ref="AM25">VLOOKUP($Q25,武学奇术!$A:$ZZ,5,FALSE)+SUM(_xlfn.XLOOKUP($R25:$AF25,增益!$A:$A,增益!$E:$E,0))</f>
        <v>0.075</v>
      </c>
      <c r="AN25" cm="1">
        <f t="array" ref="AN25">$D$10*(1+$AM25)+VLOOKUP($Q25,武学奇术!$A:$ZZ,3,FALSE)+SUM(_xlfn.XLOOKUP($R25:$AF25,增益!$A:$A,增益!$C:$C,0))-$I$2</f>
        <v>1912.055</v>
      </c>
      <c r="AO25" cm="1">
        <f t="array" ref="AO25">$E$10*(1+$AM25)+VLOOKUP($Q25,武学奇术!$A:$ZZ,4,FALSE)+SUM(_xlfn.XLOOKUP($R25:$AF25,增益!$A:$A,增益!$D:$D,0))-$I$2</f>
        <v>5879.45</v>
      </c>
      <c r="AP25" s="49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0.2425</v>
      </c>
      <c r="AQ25" s="49" cm="1">
        <f t="array" ref="AQ25">$G$10+VLOOKUP($Q25,武学奇术!$A:$ZZ,7,FALSE)+SUM(_xlfn.XLOOKUP(R25:AF25,增益!$A:$A,增益!$G:$G,0))</f>
        <v>0</v>
      </c>
      <c r="AR25" s="41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49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49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49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49" cm="1">
        <f t="array" ref="AZ25">$G$12+VLOOKUP($Q25,武学奇术!$A:$ZZ,12,FALSE)+SUM(_xlfn.XLOOKUP(R25:AF25,增益!$A:$A,增益!$L:$L,0))</f>
        <v>0</v>
      </c>
      <c r="BA25">
        <f t="shared" si="5"/>
        <v>571.2</v>
      </c>
      <c r="BB25">
        <f t="shared" si="6"/>
        <v>1077.4</v>
      </c>
      <c r="BC25" s="49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49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49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49" cm="1">
        <f t="array" ref="BH25">$G$14+VLOOKUP($Q25,武学奇术!$A:$ZZ,16,FALSE)+SUM(_xlfn.XLOOKUP(R25:AF25,增益!$A:$A,增益!$P:$P,0))</f>
        <v>0</v>
      </c>
      <c r="BI25" s="41">
        <f>MIN(IF(VLOOKUP($Q25,武学奇术!$A:$ZZ,23,FALSE)=1,100%,$B$8),100%)</f>
        <v>1</v>
      </c>
      <c r="BJ25" s="41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0.9045</v>
      </c>
      <c r="BK25" s="41" cm="1">
        <f t="array" ref="BK25">1+$B$13+VLOOKUP($Q25,武学奇术!$A:$ZZ,18,FALSE)+SUM(_xlfn.XLOOKUP(R25:AF25,增益!$A:$A,增益!$R:$R,0))</f>
        <v>1.55</v>
      </c>
      <c r="BL25" s="41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0.0929</v>
      </c>
      <c r="BM25" s="41" cm="1">
        <f t="array" ref="BM25">1+$B$14+VLOOKUP($Q25,武学奇术!$A:$ZZ,20,FALSE)+SUM(_xlfn.XLOOKUP(R25:AF25,增益!$A:$A,增益!$T:$T,0))</f>
        <v>1.35</v>
      </c>
      <c r="BN25" s="41">
        <f t="shared" si="9"/>
        <v>0.9045</v>
      </c>
      <c r="BO25" s="41">
        <f t="shared" si="10"/>
        <v>0.00260000000000005</v>
      </c>
      <c r="BP25" s="41">
        <f>IF(VLOOKUP($Q25,武学奇术!$A:$ZZ,22,FALSE)=1,0,(1-$BI25))*(1-$BL25)</f>
        <v>0</v>
      </c>
      <c r="BQ25" s="41" cm="1">
        <f t="array" ref="BQ25">SUM(_xlfn.XLOOKUP(R25:AF25,增益!$A:$A,增益!$W:$W,0))+$I$5</f>
        <v>0.11</v>
      </c>
    </row>
    <row r="26" spans="1:69">
      <c r="K26" s="55">
        <f t="shared" si="0"/>
        <v>69873.1040815565</v>
      </c>
      <c r="L26" s="55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弹道",$B$21,0))*(1+$BQ26)</f>
        <v>68542.2278732835</v>
      </c>
      <c r="M26" s="55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弹道",$B$21,0))*(1+$BQ26)</f>
        <v>83556.7483715408</v>
      </c>
      <c r="N26" s="55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弹道",$B$21,0))*(1+$BQ26)</f>
        <v>43937.3255597971</v>
      </c>
      <c r="O26" s="55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弹道",$B$21,0))*(1+$BQ26)</f>
        <v>25980.7634369714</v>
      </c>
      <c r="P26" s="56">
        <v>1</v>
      </c>
      <c r="Q26" s="57" t="s">
        <v>126</v>
      </c>
      <c r="R26" s="57" t="s">
        <v>116</v>
      </c>
      <c r="S26" s="57" t="s">
        <v>145</v>
      </c>
      <c r="T26" s="57" t="s">
        <v>72</v>
      </c>
      <c r="U26" s="57" t="s">
        <v>107</v>
      </c>
      <c r="V26" s="57" t="s">
        <v>86</v>
      </c>
      <c r="W26" s="57" t="s">
        <v>158</v>
      </c>
      <c r="X26" s="57" t="s">
        <v>72</v>
      </c>
      <c r="Y26" s="57" t="s">
        <v>72</v>
      </c>
      <c r="Z26" s="57" t="s">
        <v>72</v>
      </c>
      <c r="AA26" s="57" t="s">
        <v>72</v>
      </c>
      <c r="AB26" s="57" t="s">
        <v>72</v>
      </c>
      <c r="AC26" s="57" t="s">
        <v>72</v>
      </c>
      <c r="AD26" s="57" t="s">
        <v>72</v>
      </c>
      <c r="AE26" s="57" t="s">
        <v>72</v>
      </c>
      <c r="AF26" s="57" t="s">
        <v>87</v>
      </c>
      <c r="AG26" t="str">
        <f>VLOOKUP($Q26,武学奇术!$A:$ZZ,25,FALSE)</f>
        <v>扇</v>
      </c>
      <c r="AH26" s="41">
        <f>VLOOKUP($Q26,武学奇术!$A:$ZZ,26,FALSE)</f>
        <v>2.76138</v>
      </c>
      <c r="AI26" s="42">
        <f>VLOOKUP($Q26,武学奇术!$A:$ZZ,27,FALSE)*(1+IF(OR($AG26=$F$4,$AG26=$F$5),$B$22,0))</f>
        <v>1069.81</v>
      </c>
      <c r="AJ26" s="41">
        <f>VLOOKUP($Q26,武学奇术!$A:$ZZ,28,FALSE)</f>
        <v>4.14207</v>
      </c>
      <c r="AK26" s="42">
        <f>VLOOKUP($Q26,武学奇术!$A:$ZZ,29,FALSE)*(1+IF(OR($AG26=$F$4,$AG26=$F$5),$B$22,0))</f>
        <v>582.61</v>
      </c>
      <c r="AL26" s="41" cm="1">
        <f t="array" ref="AL26">$G$3+IFERROR(VLOOKUP($AG26,$F$4:$G$7,2,FALSE),0)+VLOOKUP($Q26,武学奇术!$A:$ZZ,2,FALSE)+SUM(_xlfn.XLOOKUP($R26:$AF26,增益!$A:$A,增益!$B:$B,0))</f>
        <v>0.8389</v>
      </c>
      <c r="AM26" s="41" cm="1">
        <f t="array" ref="AM26">VLOOKUP($Q26,武学奇术!$A:$ZZ,5,FALSE)+SUM(_xlfn.XLOOKUP($R26:$AF26,增益!$A:$A,增益!$E:$E,0))</f>
        <v>0.075</v>
      </c>
      <c r="AN26" cm="1">
        <f t="array" ref="AN26">$D$10*(1+$AM26)+VLOOKUP($Q26,武学奇术!$A:$ZZ,3,FALSE)+SUM(_xlfn.XLOOKUP($R26:$AF26,增益!$A:$A,增益!$C:$C,0))-$I$2</f>
        <v>1912.055</v>
      </c>
      <c r="AO26" cm="1">
        <f t="array" ref="AO26">$E$10*(1+$AM26)+VLOOKUP($Q26,武学奇术!$A:$ZZ,4,FALSE)+SUM(_xlfn.XLOOKUP($R26:$AF26,增益!$A:$A,增益!$D:$D,0))-$I$2</f>
        <v>5879.45</v>
      </c>
      <c r="AP26" s="49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0.2425</v>
      </c>
      <c r="AQ26" s="49" cm="1">
        <f t="array" ref="AQ26">$G$10+VLOOKUP($Q26,武学奇术!$A:$ZZ,7,FALSE)+SUM(_xlfn.XLOOKUP(R26:AF26,增益!$A:$A,增益!$G:$G,0))</f>
        <v>0.1</v>
      </c>
      <c r="AR26" s="41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49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49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49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49" cm="1">
        <f t="array" ref="AZ26">$G$12+VLOOKUP($Q26,武学奇术!$A:$ZZ,12,FALSE)+SUM(_xlfn.XLOOKUP(R26:AF26,增益!$A:$A,增益!$L:$L,0))</f>
        <v>0</v>
      </c>
      <c r="BA26">
        <f t="shared" si="5"/>
        <v>571.2</v>
      </c>
      <c r="BB26">
        <f t="shared" si="6"/>
        <v>1077.4</v>
      </c>
      <c r="BC26" s="49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49" cm="1">
        <f t="array" ref="BD26">$G$13+VLOOKUP($Q26,武学奇术!$A:$ZZ,14,FALSE)+SUM(_xlfn.XLOOKUP(R26:AF26,增益!$A:$A,增益!$N:$N,0))</f>
        <v>0.25</v>
      </c>
      <c r="BE26">
        <f t="shared" si="7"/>
        <v>0</v>
      </c>
      <c r="BF26">
        <f t="shared" si="8"/>
        <v>0</v>
      </c>
      <c r="BG26" s="49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49" cm="1">
        <f t="array" ref="BH26">$G$14+VLOOKUP($Q26,武学奇术!$A:$ZZ,16,FALSE)+SUM(_xlfn.XLOOKUP(R26:AF26,增益!$A:$A,增益!$P:$P,0))</f>
        <v>0</v>
      </c>
      <c r="BI26" s="41">
        <f>MIN(IF(VLOOKUP($Q26,武学奇术!$A:$ZZ,23,FALSE)=1,100%,$B$8),100%)</f>
        <v>1</v>
      </c>
      <c r="BJ26" s="41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0.9045</v>
      </c>
      <c r="BK26" s="41" cm="1">
        <f t="array" ref="BK26">1+$B$13+VLOOKUP($Q26,武学奇术!$A:$ZZ,18,FALSE)+SUM(_xlfn.XLOOKUP(R26:AF26,增益!$A:$A,增益!$R:$R,0))</f>
        <v>1.56</v>
      </c>
      <c r="BL26" s="41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0.0929</v>
      </c>
      <c r="BM26" s="41" cm="1">
        <f t="array" ref="BM26">1+$B$14+VLOOKUP($Q26,武学奇术!$A:$ZZ,20,FALSE)+SUM(_xlfn.XLOOKUP(R26:AF26,增益!$A:$A,增益!$T:$T,0))</f>
        <v>1.35</v>
      </c>
      <c r="BN26" s="41">
        <f t="shared" si="9"/>
        <v>0.9045</v>
      </c>
      <c r="BO26" s="41">
        <f t="shared" si="10"/>
        <v>0.00260000000000005</v>
      </c>
      <c r="BP26" s="41">
        <f>IF(VLOOKUP($Q26,武学奇术!$A:$ZZ,22,FALSE)=1,0,(1-$BI26))*(1-$BL26)</f>
        <v>0</v>
      </c>
      <c r="BQ26" s="41" cm="1">
        <f t="array" ref="BQ26">SUM(_xlfn.XLOOKUP(R26:AF26,增益!$A:$A,增益!$W:$W,0))+$I$5</f>
        <v>0.11</v>
      </c>
    </row>
    <row r="27" spans="1:69">
      <c r="K27" s="55">
        <f t="shared" si="0"/>
        <v>97146.4998488282</v>
      </c>
      <c r="L27" s="55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弹道",$B$21,0))*(1+$BQ27)</f>
        <v>97353.8337831377</v>
      </c>
      <c r="M27" s="55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弹道",$B$21,0))*(1+$BQ27)</f>
        <v>96427.5982281889</v>
      </c>
      <c r="N27" s="55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弹道",$B$21,0))*(1+$BQ27)</f>
        <v>50705.1217620509</v>
      </c>
      <c r="O27" s="55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弹道",$B$21,0))*(1+$BQ27)</f>
        <v>29982.3929847026</v>
      </c>
      <c r="P27" s="56">
        <v>1</v>
      </c>
      <c r="Q27" s="57" t="s">
        <v>155</v>
      </c>
      <c r="R27" s="57" t="s">
        <v>116</v>
      </c>
      <c r="S27" s="57" t="s">
        <v>145</v>
      </c>
      <c r="T27" s="57" t="s">
        <v>72</v>
      </c>
      <c r="U27" s="57" t="s">
        <v>107</v>
      </c>
      <c r="V27" s="57" t="s">
        <v>156</v>
      </c>
      <c r="W27" s="57" t="s">
        <v>72</v>
      </c>
      <c r="X27" s="57" t="s">
        <v>72</v>
      </c>
      <c r="Y27" s="57" t="s">
        <v>72</v>
      </c>
      <c r="Z27" s="57" t="s">
        <v>72</v>
      </c>
      <c r="AA27" s="57" t="s">
        <v>72</v>
      </c>
      <c r="AB27" s="57" t="s">
        <v>72</v>
      </c>
      <c r="AC27" s="57" t="s">
        <v>72</v>
      </c>
      <c r="AD27" s="57" t="s">
        <v>72</v>
      </c>
      <c r="AE27" s="57" t="s">
        <v>72</v>
      </c>
      <c r="AF27" s="57" t="s">
        <v>87</v>
      </c>
      <c r="AG27" t="str">
        <f>VLOOKUP($Q27,武学奇术!$A:$ZZ,25,FALSE)</f>
        <v>扇</v>
      </c>
      <c r="AH27" s="41">
        <f>VLOOKUP($Q27,武学奇术!$A:$ZZ,26,FALSE)</f>
        <v>4.376825</v>
      </c>
      <c r="AI27" s="42">
        <f>VLOOKUP($Q27,武学奇术!$A:$ZZ,27,FALSE)*(1+IF(OR($AG27=$F$4,$AG27=$F$5),$B$22,0))</f>
        <v>1695.05</v>
      </c>
      <c r="AJ27" s="41">
        <f>VLOOKUP($Q27,武学奇术!$A:$ZZ,28,FALSE)</f>
        <v>6.56531</v>
      </c>
      <c r="AK27" s="42">
        <f>VLOOKUP($Q27,武学奇术!$A:$ZZ,29,FALSE)*(1+IF(OR($AG27=$F$4,$AG27=$F$5),$B$22,0))</f>
        <v>923.65</v>
      </c>
      <c r="AL27" s="41" cm="1">
        <f t="array" ref="AL27">$G$3+IFERROR(VLOOKUP($AG27,$F$4:$G$7,2,FALSE),0)+VLOOKUP($Q27,武学奇术!$A:$ZZ,2,FALSE)+SUM(_xlfn.XLOOKUP($R27:$AF27,增益!$A:$A,增益!$B:$B,0))</f>
        <v>0.3389</v>
      </c>
      <c r="AM27" s="41" cm="1">
        <f t="array" ref="AM27">VLOOKUP($Q27,武学奇术!$A:$ZZ,5,FALSE)+SUM(_xlfn.XLOOKUP($R27:$AF27,增益!$A:$A,增益!$E:$E,0))</f>
        <v>0.075</v>
      </c>
      <c r="AN27" cm="1">
        <f t="array" ref="AN27">$D$10*(1+$AM27)+VLOOKUP($Q27,武学奇术!$A:$ZZ,3,FALSE)+SUM(_xlfn.XLOOKUP($R27:$AF27,增益!$A:$A,增益!$C:$C,0))-$I$2</f>
        <v>1912.055</v>
      </c>
      <c r="AO27" cm="1">
        <f t="array" ref="AO27">$E$10*(1+$AM27)+VLOOKUP($Q27,武学奇术!$A:$ZZ,4,FALSE)+SUM(_xlfn.XLOOKUP($R27:$AF27,增益!$A:$A,增益!$D:$D,0))-$I$2</f>
        <v>5879.45</v>
      </c>
      <c r="AP27" s="49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0.2425</v>
      </c>
      <c r="AQ27" s="49" cm="1">
        <f t="array" ref="AQ27">$G$10+VLOOKUP($Q27,武学奇术!$A:$ZZ,7,FALSE)+SUM(_xlfn.XLOOKUP(R27:AF27,增益!$A:$A,增益!$G:$G,0))</f>
        <v>0.1</v>
      </c>
      <c r="AR27" s="41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49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49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49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49" cm="1">
        <f t="array" ref="AZ27">$G$12+VLOOKUP($Q27,武学奇术!$A:$ZZ,12,FALSE)+SUM(_xlfn.XLOOKUP(R27:AF27,增益!$A:$A,增益!$L:$L,0))</f>
        <v>0</v>
      </c>
      <c r="BA27">
        <f t="shared" si="5"/>
        <v>571.2</v>
      </c>
      <c r="BB27">
        <f t="shared" si="6"/>
        <v>1077.4</v>
      </c>
      <c r="BC27" s="49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49" cm="1">
        <f t="array" ref="BD27">$G$13+VLOOKUP($Q27,武学奇术!$A:$ZZ,14,FALSE)+SUM(_xlfn.XLOOKUP(R27:AF27,增益!$A:$A,增益!$N:$N,0))</f>
        <v>0.25</v>
      </c>
      <c r="BE27">
        <f t="shared" si="7"/>
        <v>0</v>
      </c>
      <c r="BF27">
        <f t="shared" si="8"/>
        <v>0</v>
      </c>
      <c r="BG27" s="49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49" cm="1">
        <f t="array" ref="BH27">$G$14+VLOOKUP($Q27,武学奇术!$A:$ZZ,16,FALSE)+SUM(_xlfn.XLOOKUP(R27:AF27,增益!$A:$A,增益!$P:$P,0))</f>
        <v>0</v>
      </c>
      <c r="BI27" s="41">
        <f>MIN(IF(VLOOKUP($Q27,武学奇术!$A:$ZZ,23,FALSE)=1,100%,$B$8),100%)</f>
        <v>1</v>
      </c>
      <c r="BJ27" s="41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0.9045</v>
      </c>
      <c r="BK27" s="41" cm="1">
        <f t="array" ref="BK27">1+$B$13+VLOOKUP($Q27,武学奇术!$A:$ZZ,18,FALSE)+SUM(_xlfn.XLOOKUP(R27:AF27,增益!$A:$A,增益!$R:$R,0))</f>
        <v>1.92</v>
      </c>
      <c r="BL27" s="41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0.0929</v>
      </c>
      <c r="BM27" s="41" cm="1">
        <f t="array" ref="BM27">1+$B$14+VLOOKUP($Q27,武学奇术!$A:$ZZ,20,FALSE)+SUM(_xlfn.XLOOKUP(R27:AF27,增益!$A:$A,增益!$T:$T,0))</f>
        <v>1.35</v>
      </c>
      <c r="BN27" s="41">
        <f t="shared" si="9"/>
        <v>0.9045</v>
      </c>
      <c r="BO27" s="41">
        <f t="shared" si="10"/>
        <v>0.00260000000000005</v>
      </c>
      <c r="BP27" s="41">
        <f>IF(VLOOKUP($Q27,武学奇术!$A:$ZZ,22,FALSE)=1,0,(1-$BI27))*(1-$BL27)</f>
        <v>0</v>
      </c>
      <c r="BQ27" s="41" cm="1">
        <f t="array" ref="BQ27">SUM(_xlfn.XLOOKUP(R27:AF27,增益!$A:$A,增益!$W:$W,0))+$I$5</f>
        <v>0.11</v>
      </c>
    </row>
    <row r="28" spans="1:69">
      <c r="K28" s="55">
        <f t="shared" si="0"/>
        <v>31153.059084228</v>
      </c>
      <c r="L28" s="55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弹道",$B$21,0))*(1+$BQ28)</f>
        <v>30581.6790691332</v>
      </c>
      <c r="M28" s="55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弹道",$B$21,0))*(1+$BQ28)</f>
        <v>37042.9014785408</v>
      </c>
      <c r="N28" s="55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弹道",$B$21,0))*(1+$BQ28)</f>
        <v>19478.7764771549</v>
      </c>
      <c r="O28" s="55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弹道",$B$21,0))*(1+$BQ28)</f>
        <v>11518.3666739092</v>
      </c>
      <c r="P28" s="56">
        <v>1</v>
      </c>
      <c r="Q28" s="57" t="s">
        <v>94</v>
      </c>
      <c r="R28" s="57" t="s">
        <v>116</v>
      </c>
      <c r="S28" s="57" t="s">
        <v>149</v>
      </c>
      <c r="T28" s="57" t="s">
        <v>72</v>
      </c>
      <c r="U28" s="57" t="s">
        <v>107</v>
      </c>
      <c r="V28" s="57" t="s">
        <v>72</v>
      </c>
      <c r="W28" s="57" t="s">
        <v>72</v>
      </c>
      <c r="X28" s="57" t="s">
        <v>72</v>
      </c>
      <c r="Y28" s="57" t="s">
        <v>72</v>
      </c>
      <c r="Z28" s="57" t="s">
        <v>72</v>
      </c>
      <c r="AA28" s="57" t="s">
        <v>72</v>
      </c>
      <c r="AB28" s="57" t="s">
        <v>72</v>
      </c>
      <c r="AC28" s="57" t="s">
        <v>72</v>
      </c>
      <c r="AD28" s="57" t="s">
        <v>72</v>
      </c>
      <c r="AE28" s="57" t="s">
        <v>72</v>
      </c>
      <c r="AF28" s="57" t="s">
        <v>87</v>
      </c>
      <c r="AG28" t="str">
        <f>VLOOKUP($Q28,武学奇术!$A:$ZZ,25,FALSE)</f>
        <v>伞</v>
      </c>
      <c r="AH28" s="41">
        <f>VLOOKUP($Q28,武学奇术!$A:$ZZ,26,FALSE)</f>
        <v>1.7001</v>
      </c>
      <c r="AI28" s="42">
        <f>VLOOKUP($Q28,武学奇术!$A:$ZZ,27,FALSE)*(1+IF(OR($AG28=$F$4,$AG28=$F$5),$B$22,0))</f>
        <v>659.4</v>
      </c>
      <c r="AJ28" s="41">
        <f>VLOOKUP($Q28,武学奇术!$A:$ZZ,28,FALSE)</f>
        <v>2.5502</v>
      </c>
      <c r="AK28" s="42">
        <f>VLOOKUP($Q28,武学奇术!$A:$ZZ,29,FALSE)*(1+IF(OR($AG28=$F$4,$AG28=$F$5),$B$22,0))</f>
        <v>358.4</v>
      </c>
      <c r="AL28" s="41" cm="1">
        <f t="array" ref="AL28">$G$3+IFERROR(VLOOKUP($AG28,$F$4:$G$7,2,FALSE),0)+VLOOKUP($Q28,武学奇术!$A:$ZZ,2,FALSE)+SUM(_xlfn.XLOOKUP($R28:$AF28,增益!$A:$A,增益!$B:$B,0))</f>
        <v>0.3241</v>
      </c>
      <c r="AM28" s="41" cm="1">
        <f t="array" ref="AM28">VLOOKUP($Q28,武学奇术!$A:$ZZ,5,FALSE)+SUM(_xlfn.XLOOKUP($R28:$AF28,增益!$A:$A,增益!$E:$E,0))</f>
        <v>0.075</v>
      </c>
      <c r="AN28" cm="1">
        <f t="array" ref="AN28">$D$10*(1+$AM28)+VLOOKUP($Q28,武学奇术!$A:$ZZ,3,FALSE)+SUM(_xlfn.XLOOKUP($R28:$AF28,增益!$A:$A,增益!$C:$C,0))-$I$2</f>
        <v>1912.055</v>
      </c>
      <c r="AO28" cm="1">
        <f t="array" ref="AO28">$E$10*(1+$AM28)+VLOOKUP($Q28,武学奇术!$A:$ZZ,4,FALSE)+SUM(_xlfn.XLOOKUP($R28:$AF28,增益!$A:$A,增益!$D:$D,0))-$I$2</f>
        <v>5879.45</v>
      </c>
      <c r="AP28" s="49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0.2425</v>
      </c>
      <c r="AQ28" s="49" cm="1">
        <f t="array" ref="AQ28">$G$10+VLOOKUP($Q28,武学奇术!$A:$ZZ,7,FALSE)+SUM(_xlfn.XLOOKUP(R28:AF28,增益!$A:$A,增益!$G:$G,0))</f>
        <v>0.1</v>
      </c>
      <c r="AR28" s="41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49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49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49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49" cm="1">
        <f t="array" ref="AZ28">$G$12+VLOOKUP($Q28,武学奇术!$A:$ZZ,12,FALSE)+SUM(_xlfn.XLOOKUP(R28:AF28,增益!$A:$A,增益!$L:$L,0))</f>
        <v>0</v>
      </c>
      <c r="BA28">
        <f t="shared" si="5"/>
        <v>571.2</v>
      </c>
      <c r="BB28">
        <f t="shared" si="6"/>
        <v>1077.4</v>
      </c>
      <c r="BC28" s="49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49" cm="1">
        <f t="array" ref="BD28">$G$13+VLOOKUP($Q28,武学奇术!$A:$ZZ,14,FALSE)+SUM(_xlfn.XLOOKUP(R28:AF28,增益!$A:$A,增益!$N:$N,0))</f>
        <v>0.25</v>
      </c>
      <c r="BE28">
        <f t="shared" si="7"/>
        <v>0</v>
      </c>
      <c r="BF28">
        <f t="shared" si="8"/>
        <v>0</v>
      </c>
      <c r="BG28" s="49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49" cm="1">
        <f t="array" ref="BH28">$G$14+VLOOKUP($Q28,武学奇术!$A:$ZZ,16,FALSE)+SUM(_xlfn.XLOOKUP(R28:AF28,增益!$A:$A,增益!$P:$P,0))</f>
        <v>0</v>
      </c>
      <c r="BI28" s="41">
        <f>MIN(IF(VLOOKUP($Q28,武学奇术!$A:$ZZ,23,FALSE)=1,100%,$B$8),100%)</f>
        <v>1</v>
      </c>
      <c r="BJ28" s="41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0.9045</v>
      </c>
      <c r="BK28" s="41" cm="1">
        <f t="array" ref="BK28">1+$B$13+VLOOKUP($Q28,武学奇术!$A:$ZZ,18,FALSE)+SUM(_xlfn.XLOOKUP(R28:AF28,增益!$A:$A,增益!$R:$R,0))</f>
        <v>1.57</v>
      </c>
      <c r="BL28" s="41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0.0929</v>
      </c>
      <c r="BM28" s="41" cm="1">
        <f t="array" ref="BM28">1+$B$14+VLOOKUP($Q28,武学奇术!$A:$ZZ,20,FALSE)+SUM(_xlfn.XLOOKUP(R28:AF28,增益!$A:$A,增益!$T:$T,0))</f>
        <v>1.35</v>
      </c>
      <c r="BN28" s="41">
        <f t="shared" si="9"/>
        <v>0.9045</v>
      </c>
      <c r="BO28" s="41">
        <f t="shared" si="10"/>
        <v>0.00260000000000005</v>
      </c>
      <c r="BP28" s="41">
        <f>IF(VLOOKUP($Q28,武学奇术!$A:$ZZ,22,FALSE)=1,0,(1-$BI28))*(1-$BL28)</f>
        <v>0</v>
      </c>
      <c r="BQ28" s="41" cm="1">
        <f t="array" ref="BQ28">SUM(_xlfn.XLOOKUP(R28:AF28,增益!$A:$A,增益!$W:$W,0))+$I$5</f>
        <v>0.11</v>
      </c>
    </row>
    <row r="29" spans="1:69">
      <c r="K29" s="55">
        <f t="shared" si="0"/>
        <v>78105.6119412079</v>
      </c>
      <c r="L29" s="55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弹道",$B$21,0))*(1+$BQ29)</f>
        <v>78306.4012295695</v>
      </c>
      <c r="M29" s="55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弹道",$B$21,0))*(1+$BQ29)</f>
        <v>77201.0930070963</v>
      </c>
      <c r="N29" s="55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弹道",$B$21,0))*(1+$BQ29)</f>
        <v>40573.2648857873</v>
      </c>
      <c r="O29" s="55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弹道",$B$21,0))*(1+$BQ29)</f>
        <v>23960.5349515033</v>
      </c>
      <c r="P29" s="56">
        <v>1</v>
      </c>
      <c r="Q29" s="57" t="s">
        <v>84</v>
      </c>
      <c r="R29" s="57" t="s">
        <v>116</v>
      </c>
      <c r="S29" s="57" t="s">
        <v>149</v>
      </c>
      <c r="T29" s="57" t="s">
        <v>92</v>
      </c>
      <c r="U29" s="57" t="s">
        <v>107</v>
      </c>
      <c r="V29" s="57" t="s">
        <v>86</v>
      </c>
      <c r="W29" s="57" t="s">
        <v>72</v>
      </c>
      <c r="X29" s="57" t="s">
        <v>72</v>
      </c>
      <c r="Y29" s="57" t="s">
        <v>72</v>
      </c>
      <c r="Z29" s="57" t="s">
        <v>72</v>
      </c>
      <c r="AA29" s="57" t="s">
        <v>72</v>
      </c>
      <c r="AB29" s="57" t="s">
        <v>72</v>
      </c>
      <c r="AC29" s="57" t="s">
        <v>72</v>
      </c>
      <c r="AD29" s="57" t="s">
        <v>72</v>
      </c>
      <c r="AE29" s="57" t="s">
        <v>72</v>
      </c>
      <c r="AF29" s="57" t="s">
        <v>87</v>
      </c>
      <c r="AG29" t="str">
        <f>VLOOKUP($Q29,武学奇术!$A:$ZZ,25,FALSE)</f>
        <v>伞</v>
      </c>
      <c r="AH29" s="41">
        <f>VLOOKUP($Q29,武学奇术!$A:$ZZ,26,FALSE)</f>
        <v>2.3397</v>
      </c>
      <c r="AI29" s="42">
        <f>VLOOKUP($Q29,武学奇术!$A:$ZZ,27,FALSE)*(1+IF(OR($AG29=$F$4,$AG29=$F$5),$B$22,0))</f>
        <v>907.2</v>
      </c>
      <c r="AJ29" s="41">
        <f>VLOOKUP($Q29,武学奇术!$A:$ZZ,28,FALSE)</f>
        <v>3.5095</v>
      </c>
      <c r="AK29" s="42">
        <f>VLOOKUP($Q29,武学奇术!$A:$ZZ,29,FALSE)*(1+IF(OR($AG29=$F$4,$AG29=$F$5),$B$22,0))</f>
        <v>494.2</v>
      </c>
      <c r="AL29" s="41" cm="1">
        <f t="array" ref="AL29">$G$3+IFERROR(VLOOKUP($AG29,$F$4:$G$7,2,FALSE),0)+VLOOKUP($Q29,武学奇术!$A:$ZZ,2,FALSE)+SUM(_xlfn.XLOOKUP($R29:$AF29,增益!$A:$A,增益!$B:$B,0))</f>
        <v>0.9741</v>
      </c>
      <c r="AM29" s="41" cm="1">
        <f t="array" ref="AM29">VLOOKUP($Q29,武学奇术!$A:$ZZ,5,FALSE)+SUM(_xlfn.XLOOKUP($R29:$AF29,增益!$A:$A,增益!$E:$E,0))</f>
        <v>0.075</v>
      </c>
      <c r="AN29" cm="1">
        <f t="array" ref="AN29">$D$10*(1+$AM29)+VLOOKUP($Q29,武学奇术!$A:$ZZ,3,FALSE)+SUM(_xlfn.XLOOKUP($R29:$AF29,增益!$A:$A,增益!$C:$C,0))-$I$2</f>
        <v>1912.055</v>
      </c>
      <c r="AO29" cm="1">
        <f t="array" ref="AO29">$E$10*(1+$AM29)+VLOOKUP($Q29,武学奇术!$A:$ZZ,4,FALSE)+SUM(_xlfn.XLOOKUP($R29:$AF29,增益!$A:$A,增益!$D:$D,0))-$I$2</f>
        <v>5879.45</v>
      </c>
      <c r="AP29" s="49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0.2675</v>
      </c>
      <c r="AQ29" s="49" cm="1">
        <f t="array" ref="AQ29">$G$10+VLOOKUP($Q29,武学奇术!$A:$ZZ,7,FALSE)+SUM(_xlfn.XLOOKUP(R29:AF29,增益!$A:$A,增益!$G:$G,0))</f>
        <v>0.1</v>
      </c>
      <c r="AR29" s="41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49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49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49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49" cm="1">
        <f t="array" ref="AZ29">$G$12+VLOOKUP($Q29,武学奇术!$A:$ZZ,12,FALSE)+SUM(_xlfn.XLOOKUP(R29:AF29,增益!$A:$A,增益!$L:$L,0))</f>
        <v>0</v>
      </c>
      <c r="BA29">
        <f t="shared" si="5"/>
        <v>571.2</v>
      </c>
      <c r="BB29">
        <f t="shared" si="6"/>
        <v>1077.4</v>
      </c>
      <c r="BC29" s="49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49" cm="1">
        <f t="array" ref="BD29">$G$13+VLOOKUP($Q29,武学奇术!$A:$ZZ,14,FALSE)+SUM(_xlfn.XLOOKUP(R29:AF29,增益!$A:$A,增益!$N:$N,0))</f>
        <v>0.25</v>
      </c>
      <c r="BE29">
        <f t="shared" si="7"/>
        <v>0</v>
      </c>
      <c r="BF29">
        <f t="shared" si="8"/>
        <v>0</v>
      </c>
      <c r="BG29" s="49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49" cm="1">
        <f t="array" ref="BH29">$G$14+VLOOKUP($Q29,武学奇术!$A:$ZZ,16,FALSE)+SUM(_xlfn.XLOOKUP(R29:AF29,增益!$A:$A,增益!$P:$P,0))</f>
        <v>0</v>
      </c>
      <c r="BI29" s="41">
        <f>MIN(IF(VLOOKUP($Q29,武学奇术!$A:$ZZ,23,FALSE)=1,100%,$B$8),100%)</f>
        <v>1</v>
      </c>
      <c r="BJ29" s="41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0.9045</v>
      </c>
      <c r="BK29" s="41" cm="1">
        <f t="array" ref="BK29">1+$B$13+VLOOKUP($Q29,武学奇术!$A:$ZZ,18,FALSE)+SUM(_xlfn.XLOOKUP(R29:AF29,增益!$A:$A,增益!$R:$R,0))</f>
        <v>1.93</v>
      </c>
      <c r="BL29" s="41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0.0929</v>
      </c>
      <c r="BM29" s="41" cm="1">
        <f t="array" ref="BM29">1+$B$14+VLOOKUP($Q29,武学奇术!$A:$ZZ,20,FALSE)+SUM(_xlfn.XLOOKUP(R29:AF29,增益!$A:$A,增益!$T:$T,0))</f>
        <v>1.35</v>
      </c>
      <c r="BN29" s="41">
        <f t="shared" si="9"/>
        <v>0.9045</v>
      </c>
      <c r="BO29" s="41">
        <f t="shared" si="10"/>
        <v>0.00260000000000005</v>
      </c>
      <c r="BP29" s="41">
        <f>IF(VLOOKUP($Q29,武学奇术!$A:$ZZ,22,FALSE)=1,0,(1-$BI29))*(1-$BL29)</f>
        <v>0</v>
      </c>
      <c r="BQ29" s="41" cm="1">
        <f t="array" ref="BQ29">SUM(_xlfn.XLOOKUP(R29:AF29,增益!$A:$A,增益!$W:$W,0))+$I$5</f>
        <v>0.11</v>
      </c>
    </row>
    <row r="30" spans="1:69">
      <c r="K30" s="55">
        <f t="shared" si="0"/>
        <v>13127.5628465316</v>
      </c>
      <c r="L30" s="55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弹道",$B$21,0))*(1+$BQ30)</f>
        <v>12895.6861840601</v>
      </c>
      <c r="M30" s="55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弹道",$B$21,0))*(1+$BQ30)</f>
        <v>15524.1543986272</v>
      </c>
      <c r="N30" s="55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弹道",$B$21,0))*(1+$BQ30)</f>
        <v>8161.82669877223</v>
      </c>
      <c r="O30" s="55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弹道",$B$21,0))*(1+$BQ30)</f>
        <v>4824.27976893174</v>
      </c>
      <c r="P30" s="56">
        <v>1</v>
      </c>
      <c r="Q30" s="57" t="s">
        <v>99</v>
      </c>
      <c r="R30" s="57" t="s">
        <v>116</v>
      </c>
      <c r="S30" s="57" t="s">
        <v>151</v>
      </c>
      <c r="T30" s="57" t="s">
        <v>72</v>
      </c>
      <c r="U30" s="57" t="s">
        <v>107</v>
      </c>
      <c r="V30" s="57" t="s">
        <v>72</v>
      </c>
      <c r="W30" s="57" t="s">
        <v>72</v>
      </c>
      <c r="X30" s="57" t="s">
        <v>72</v>
      </c>
      <c r="Y30" s="57" t="s">
        <v>72</v>
      </c>
      <c r="Z30" s="57" t="s">
        <v>72</v>
      </c>
      <c r="AA30" s="57" t="s">
        <v>72</v>
      </c>
      <c r="AB30" s="57" t="s">
        <v>72</v>
      </c>
      <c r="AC30" s="57" t="s">
        <v>72</v>
      </c>
      <c r="AD30" s="57" t="s">
        <v>72</v>
      </c>
      <c r="AE30" s="57" t="s">
        <v>72</v>
      </c>
      <c r="AF30" s="57" t="s">
        <v>87</v>
      </c>
      <c r="AG30" t="str">
        <f>VLOOKUP($Q30,武学奇术!$A:$ZZ,25,FALSE)</f>
        <v>伞</v>
      </c>
      <c r="AH30" s="41">
        <f>VLOOKUP($Q30,武学奇术!$A:$ZZ,26,FALSE)</f>
        <v>0.54</v>
      </c>
      <c r="AI30" s="42">
        <f>VLOOKUP($Q30,武学奇术!$A:$ZZ,27,FALSE)*(1+IF(OR($AG30=$F$4,$AG30=$F$5),$B$22,0))</f>
        <v>207.2</v>
      </c>
      <c r="AJ30" s="41">
        <f>VLOOKUP($Q30,武学奇术!$A:$ZZ,28,FALSE)</f>
        <v>0.81</v>
      </c>
      <c r="AK30" s="42">
        <f>VLOOKUP($Q30,武学奇术!$A:$ZZ,29,FALSE)*(1+IF(OR($AG30=$F$4,$AG30=$F$5),$B$22,0))</f>
        <v>114.1</v>
      </c>
      <c r="AL30" s="41" cm="1">
        <f t="array" ref="AL30">$G$3+IFERROR(VLOOKUP($AG30,$F$4:$G$7,2,FALSE),0)+VLOOKUP($Q30,武学奇术!$A:$ZZ,2,FALSE)+SUM(_xlfn.XLOOKUP($R30:$AF30,增益!$A:$A,增益!$B:$B,0))</f>
        <v>0.3241</v>
      </c>
      <c r="AM30" s="41" cm="1">
        <f t="array" ref="AM30">VLOOKUP($Q30,武学奇术!$A:$ZZ,5,FALSE)+SUM(_xlfn.XLOOKUP($R30:$AF30,增益!$A:$A,增益!$E:$E,0))</f>
        <v>0.075</v>
      </c>
      <c r="AN30" cm="1">
        <f t="array" ref="AN30">$D$10*(1+$AM30)+VLOOKUP($Q30,武学奇术!$A:$ZZ,3,FALSE)+SUM(_xlfn.XLOOKUP($R30:$AF30,增益!$A:$A,增益!$C:$C,0))-$I$2</f>
        <v>1912.055</v>
      </c>
      <c r="AO30" cm="1">
        <f t="array" ref="AO30">$E$10*(1+$AM30)+VLOOKUP($Q30,武学奇术!$A:$ZZ,4,FALSE)+SUM(_xlfn.XLOOKUP($R30:$AF30,增益!$A:$A,增益!$D:$D,0))-$I$2</f>
        <v>5879.45</v>
      </c>
      <c r="AP30" s="49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0.2425</v>
      </c>
      <c r="AQ30" s="49" cm="1">
        <f t="array" ref="AQ30">$G$10+VLOOKUP($Q30,武学奇术!$A:$ZZ,7,FALSE)+SUM(_xlfn.XLOOKUP(R30:AF30,增益!$A:$A,增益!$G:$G,0))</f>
        <v>0.1</v>
      </c>
      <c r="AR30" s="41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49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49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49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49" cm="1">
        <f t="array" ref="AZ30">$G$12+VLOOKUP($Q30,武学奇术!$A:$ZZ,12,FALSE)+SUM(_xlfn.XLOOKUP(R30:AF30,增益!$A:$A,增益!$L:$L,0))</f>
        <v>0</v>
      </c>
      <c r="BA30">
        <f t="shared" si="5"/>
        <v>571.2</v>
      </c>
      <c r="BB30">
        <f t="shared" si="6"/>
        <v>1077.4</v>
      </c>
      <c r="BC30" s="49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49" cm="1">
        <f t="array" ref="BD30">$G$13+VLOOKUP($Q30,武学奇术!$A:$ZZ,14,FALSE)+SUM(_xlfn.XLOOKUP(R30:AF30,增益!$A:$A,增益!$N:$N,0))</f>
        <v>0.25</v>
      </c>
      <c r="BE30">
        <f t="shared" si="7"/>
        <v>0</v>
      </c>
      <c r="BF30">
        <f t="shared" si="8"/>
        <v>0</v>
      </c>
      <c r="BG30" s="49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49" cm="1">
        <f t="array" ref="BH30">$G$14+VLOOKUP($Q30,武学奇术!$A:$ZZ,16,FALSE)+SUM(_xlfn.XLOOKUP(R30:AF30,增益!$A:$A,增益!$P:$P,0))</f>
        <v>0</v>
      </c>
      <c r="BI30" s="41">
        <f>MIN(IF(VLOOKUP($Q30,武学奇术!$A:$ZZ,23,FALSE)=1,100%,$B$8),100%)</f>
        <v>1</v>
      </c>
      <c r="BJ30" s="41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0.9045</v>
      </c>
      <c r="BK30" s="41" cm="1">
        <f t="array" ref="BK30">1+$B$13+VLOOKUP($Q30,武学奇术!$A:$ZZ,18,FALSE)+SUM(_xlfn.XLOOKUP(R30:AF30,增益!$A:$A,增益!$R:$R,0))</f>
        <v>1.58</v>
      </c>
      <c r="BL30" s="41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0.0929</v>
      </c>
      <c r="BM30" s="41" cm="1">
        <f t="array" ref="BM30">1+$B$14+VLOOKUP($Q30,武学奇术!$A:$ZZ,20,FALSE)+SUM(_xlfn.XLOOKUP(R30:AF30,增益!$A:$A,增益!$T:$T,0))</f>
        <v>1.35</v>
      </c>
      <c r="BN30" s="41">
        <f t="shared" si="9"/>
        <v>0.9045</v>
      </c>
      <c r="BO30" s="41">
        <f t="shared" si="10"/>
        <v>0.00260000000000005</v>
      </c>
      <c r="BP30" s="41">
        <f>IF(VLOOKUP($Q30,武学奇术!$A:$ZZ,22,FALSE)=1,0,(1-$BI30))*(1-$BL30)</f>
        <v>0</v>
      </c>
      <c r="BQ30" s="41" cm="1">
        <f t="array" ref="BQ30">SUM(_xlfn.XLOOKUP(R30:AF30,增益!$A:$A,增益!$W:$W,0))+$I$5</f>
        <v>0.11</v>
      </c>
    </row>
    <row r="31" spans="1:69">
      <c r="K31" s="55">
        <f t="shared" si="0"/>
        <v>52003.465086223</v>
      </c>
      <c r="L31" s="55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弹道",$B$21,0))*(1+$BQ31)</f>
        <v>52161.813366557</v>
      </c>
      <c r="M31" s="55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弹道",$B$21,0))*(1+$BQ31)</f>
        <v>51164.6642760803</v>
      </c>
      <c r="N31" s="55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弹道",$B$21,0))*(1+$BQ31)</f>
        <v>26887.5326631737</v>
      </c>
      <c r="O31" s="55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弹道",$B$21,0))*(1+$BQ31)</f>
        <v>15875.3140107324</v>
      </c>
      <c r="P31" s="56">
        <v>1</v>
      </c>
      <c r="Q31" s="57" t="s">
        <v>102</v>
      </c>
      <c r="R31" s="57" t="s">
        <v>116</v>
      </c>
      <c r="S31" s="57" t="s">
        <v>151</v>
      </c>
      <c r="T31" s="57" t="s">
        <v>92</v>
      </c>
      <c r="U31" s="57" t="s">
        <v>107</v>
      </c>
      <c r="V31" s="57" t="s">
        <v>86</v>
      </c>
      <c r="W31" s="57" t="s">
        <v>72</v>
      </c>
      <c r="X31" s="57" t="s">
        <v>72</v>
      </c>
      <c r="Y31" s="57" t="s">
        <v>72</v>
      </c>
      <c r="Z31" s="57" t="s">
        <v>72</v>
      </c>
      <c r="AA31" s="57" t="s">
        <v>72</v>
      </c>
      <c r="AB31" s="57" t="s">
        <v>72</v>
      </c>
      <c r="AC31" s="57" t="s">
        <v>72</v>
      </c>
      <c r="AD31" s="57" t="s">
        <v>72</v>
      </c>
      <c r="AE31" s="57" t="s">
        <v>72</v>
      </c>
      <c r="AF31" s="57" t="s">
        <v>87</v>
      </c>
      <c r="AG31" t="str">
        <f>VLOOKUP($Q31,武学奇术!$A:$ZZ,25,FALSE)</f>
        <v>伞</v>
      </c>
      <c r="AH31" s="41">
        <f>VLOOKUP($Q31,武学奇术!$A:$ZZ,26,FALSE)</f>
        <v>1.174955</v>
      </c>
      <c r="AI31" s="42">
        <f>VLOOKUP($Q31,武学奇术!$A:$ZZ,27,FALSE)*(1+IF(OR($AG31=$F$4,$AG31=$F$5),$B$22,0))</f>
        <v>454.02</v>
      </c>
      <c r="AJ31" s="41">
        <f>VLOOKUP($Q31,武学奇术!$A:$ZZ,28,FALSE)</f>
        <v>1.762375</v>
      </c>
      <c r="AK31" s="42">
        <f>VLOOKUP($Q31,武学奇术!$A:$ZZ,29,FALSE)*(1+IF(OR($AG31=$F$4,$AG31=$F$5),$B$22,0))</f>
        <v>247.94</v>
      </c>
      <c r="AL31" s="41" cm="1">
        <f t="array" ref="AL31">$G$3+IFERROR(VLOOKUP($AG31,$F$4:$G$7,2,FALSE),0)+VLOOKUP($Q31,武学奇术!$A:$ZZ,2,FALSE)+SUM(_xlfn.XLOOKUP($R31:$AF31,增益!$A:$A,增益!$B:$B,0))</f>
        <v>0.9741</v>
      </c>
      <c r="AM31" s="41" cm="1">
        <f t="array" ref="AM31">VLOOKUP($Q31,武学奇术!$A:$ZZ,5,FALSE)+SUM(_xlfn.XLOOKUP($R31:$AF31,增益!$A:$A,增益!$E:$E,0))</f>
        <v>0.075</v>
      </c>
      <c r="AN31" cm="1">
        <f t="array" ref="AN31">$D$10*(1+$AM31)+VLOOKUP($Q31,武学奇术!$A:$ZZ,3,FALSE)+SUM(_xlfn.XLOOKUP($R31:$AF31,增益!$A:$A,增益!$C:$C,0))-$I$2</f>
        <v>1912.055</v>
      </c>
      <c r="AO31" cm="1">
        <f t="array" ref="AO31">$E$10*(1+$AM31)+VLOOKUP($Q31,武学奇术!$A:$ZZ,4,FALSE)+SUM(_xlfn.XLOOKUP($R31:$AF31,增益!$A:$A,增益!$D:$D,0))-$I$2</f>
        <v>5879.45</v>
      </c>
      <c r="AP31" s="49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0.2675</v>
      </c>
      <c r="AQ31" s="49" cm="1">
        <f t="array" ref="AQ31">$G$10+VLOOKUP($Q31,武学奇术!$A:$ZZ,7,FALSE)+SUM(_xlfn.XLOOKUP(R31:AF31,增益!$A:$A,增益!$G:$G,0))</f>
        <v>0.1</v>
      </c>
      <c r="AR31" s="41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49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49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49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49" cm="1">
        <f t="array" ref="AZ31">$G$12+VLOOKUP($Q31,武学奇术!$A:$ZZ,12,FALSE)+SUM(_xlfn.XLOOKUP(R31:AF31,增益!$A:$A,增益!$L:$L,0))</f>
        <v>0</v>
      </c>
      <c r="BA31">
        <f t="shared" si="5"/>
        <v>571.2</v>
      </c>
      <c r="BB31">
        <f t="shared" si="6"/>
        <v>1077.4</v>
      </c>
      <c r="BC31" s="49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49" cm="1">
        <f t="array" ref="BD31">$G$13+VLOOKUP($Q31,武学奇术!$A:$ZZ,14,FALSE)+SUM(_xlfn.XLOOKUP(R31:AF31,增益!$A:$A,增益!$N:$N,0))</f>
        <v>0.25</v>
      </c>
      <c r="BE31">
        <f t="shared" si="7"/>
        <v>0</v>
      </c>
      <c r="BF31">
        <f t="shared" si="8"/>
        <v>0</v>
      </c>
      <c r="BG31" s="49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49" cm="1">
        <f t="array" ref="BH31">$G$14+VLOOKUP($Q31,武学奇术!$A:$ZZ,16,FALSE)+SUM(_xlfn.XLOOKUP(R31:AF31,增益!$A:$A,增益!$P:$P,0))</f>
        <v>0</v>
      </c>
      <c r="BI31" s="41">
        <f>MIN(IF(VLOOKUP($Q31,武学奇术!$A:$ZZ,23,FALSE)=1,100%,$B$8),100%)</f>
        <v>1</v>
      </c>
      <c r="BJ31" s="41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0.9045</v>
      </c>
      <c r="BK31" s="41" cm="1">
        <f t="array" ref="BK31">1+$B$13+VLOOKUP($Q31,武学奇术!$A:$ZZ,18,FALSE)+SUM(_xlfn.XLOOKUP(R31:AF31,增益!$A:$A,增益!$R:$R,0))</f>
        <v>1.94</v>
      </c>
      <c r="BL31" s="41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0.0929</v>
      </c>
      <c r="BM31" s="41" cm="1">
        <f t="array" ref="BM31">1+$B$14+VLOOKUP($Q31,武学奇术!$A:$ZZ,20,FALSE)+SUM(_xlfn.XLOOKUP(R31:AF31,增益!$A:$A,增益!$T:$T,0))</f>
        <v>1.35</v>
      </c>
      <c r="BN31" s="41">
        <f t="shared" si="9"/>
        <v>0.9045</v>
      </c>
      <c r="BO31" s="41">
        <f t="shared" si="10"/>
        <v>0.00260000000000005</v>
      </c>
      <c r="BP31" s="41">
        <f>IF(VLOOKUP($Q31,武学奇术!$A:$ZZ,22,FALSE)=1,0,(1-$BI31))*(1-$BL31)</f>
        <v>0</v>
      </c>
      <c r="BQ31" s="41" cm="1">
        <f t="array" ref="BQ31">SUM(_xlfn.XLOOKUP(R31:AF31,增益!$A:$A,增益!$W:$W,0))+$I$5</f>
        <v>0.11</v>
      </c>
    </row>
    <row r="32" spans="1:69">
      <c r="K32" s="55">
        <f t="shared" si="0"/>
        <v>268649.861141989</v>
      </c>
      <c r="L32" s="55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弹道",$B$21,0))*(1+$BQ32)</f>
        <v>272292.608465331</v>
      </c>
      <c r="M32" s="55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弹道",$B$21,0))*(1+$BQ32)</f>
        <v>237222.034678386</v>
      </c>
      <c r="N32" s="55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弹道",$B$21,0))*(1+$BQ32)</f>
        <v>124334.524413393</v>
      </c>
      <c r="O32" s="55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弹道",$B$21,0))*(1+$BQ32)</f>
        <v>72949.023139093</v>
      </c>
      <c r="P32" s="56">
        <v>4</v>
      </c>
      <c r="Q32" s="57" t="s">
        <v>102</v>
      </c>
      <c r="R32" s="57" t="s">
        <v>116</v>
      </c>
      <c r="S32" s="57" t="s">
        <v>151</v>
      </c>
      <c r="T32" s="57" t="s">
        <v>92</v>
      </c>
      <c r="U32" s="57" t="s">
        <v>107</v>
      </c>
      <c r="V32" s="57" t="s">
        <v>86</v>
      </c>
      <c r="W32" s="57" t="s">
        <v>72</v>
      </c>
      <c r="X32" s="57" t="s">
        <v>72</v>
      </c>
      <c r="Y32" s="57" t="s">
        <v>112</v>
      </c>
      <c r="Z32" s="57" t="s">
        <v>113</v>
      </c>
      <c r="AA32" s="57" t="s">
        <v>72</v>
      </c>
      <c r="AB32" s="57" t="s">
        <v>72</v>
      </c>
      <c r="AC32" s="57" t="s">
        <v>72</v>
      </c>
      <c r="AD32" s="57" t="s">
        <v>72</v>
      </c>
      <c r="AE32" s="57" t="s">
        <v>72</v>
      </c>
      <c r="AF32" s="57" t="s">
        <v>87</v>
      </c>
      <c r="AG32" t="str">
        <f>VLOOKUP($Q32,武学奇术!$A:$ZZ,25,FALSE)</f>
        <v>伞</v>
      </c>
      <c r="AH32" s="41">
        <f>VLOOKUP($Q32,武学奇术!$A:$ZZ,26,FALSE)</f>
        <v>1.174955</v>
      </c>
      <c r="AI32" s="42">
        <f>VLOOKUP($Q32,武学奇术!$A:$ZZ,27,FALSE)*(1+IF(OR($AG32=$F$4,$AG32=$F$5),$B$22,0))</f>
        <v>454.02</v>
      </c>
      <c r="AJ32" s="41">
        <f>VLOOKUP($Q32,武学奇术!$A:$ZZ,28,FALSE)</f>
        <v>1.762375</v>
      </c>
      <c r="AK32" s="42">
        <f>VLOOKUP($Q32,武学奇术!$A:$ZZ,29,FALSE)*(1+IF(OR($AG32=$F$4,$AG32=$F$5),$B$22,0))</f>
        <v>247.94</v>
      </c>
      <c r="AL32" s="41" cm="1">
        <f t="array" ref="AL32">$G$3+IFERROR(VLOOKUP($AG32,$F$4:$G$7,2,FALSE),0)+VLOOKUP($Q32,武学奇术!$A:$ZZ,2,FALSE)+SUM(_xlfn.XLOOKUP($R32:$AF32,增益!$A:$A,增益!$B:$B,0))</f>
        <v>1.1241</v>
      </c>
      <c r="AM32" s="41" cm="1">
        <f t="array" ref="AM32">VLOOKUP($Q32,武学奇术!$A:$ZZ,5,FALSE)+SUM(_xlfn.XLOOKUP($R32:$AF32,增益!$A:$A,增益!$E:$E,0))</f>
        <v>0.075</v>
      </c>
      <c r="AN32" cm="1">
        <f t="array" ref="AN32">$D$10*(1+$AM32)+VLOOKUP($Q32,武学奇术!$A:$ZZ,3,FALSE)+SUM(_xlfn.XLOOKUP($R32:$AF32,增益!$A:$A,增益!$C:$C,0))-$I$2</f>
        <v>1912.055</v>
      </c>
      <c r="AO32" cm="1">
        <f t="array" ref="AO32">$E$10*(1+$AM32)+VLOOKUP($Q32,武学奇术!$A:$ZZ,4,FALSE)+SUM(_xlfn.XLOOKUP($R32:$AF32,增益!$A:$A,增益!$D:$D,0))-$I$2</f>
        <v>5879.45</v>
      </c>
      <c r="AP32" s="49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0.3925</v>
      </c>
      <c r="AQ32" s="49" cm="1">
        <f t="array" ref="AQ32">$G$10+VLOOKUP($Q32,武学奇术!$A:$ZZ,7,FALSE)+SUM(_xlfn.XLOOKUP(R32:AF32,增益!$A:$A,增益!$G:$G,0))</f>
        <v>0.1</v>
      </c>
      <c r="AR32" s="41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49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49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49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49" cm="1">
        <f t="array" ref="AZ32">$G$12+VLOOKUP($Q32,武学奇术!$A:$ZZ,12,FALSE)+SUM(_xlfn.XLOOKUP(R32:AF32,增益!$A:$A,增益!$L:$L,0))</f>
        <v>0</v>
      </c>
      <c r="BA32">
        <f t="shared" si="5"/>
        <v>571.2</v>
      </c>
      <c r="BB32">
        <f t="shared" si="6"/>
        <v>1077.4</v>
      </c>
      <c r="BC32" s="49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49" cm="1">
        <f t="array" ref="BD32">$G$13+VLOOKUP($Q32,武学奇术!$A:$ZZ,14,FALSE)+SUM(_xlfn.XLOOKUP(R32:AF32,增益!$A:$A,增益!$N:$N,0))</f>
        <v>0.25</v>
      </c>
      <c r="BE32">
        <f t="shared" si="7"/>
        <v>0</v>
      </c>
      <c r="BF32">
        <f t="shared" si="8"/>
        <v>0</v>
      </c>
      <c r="BG32" s="49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49" cm="1">
        <f t="array" ref="BH32">$G$14+VLOOKUP($Q32,武学奇术!$A:$ZZ,16,FALSE)+SUM(_xlfn.XLOOKUP(R32:AF32,增益!$A:$A,增益!$P:$P,0))</f>
        <v>0</v>
      </c>
      <c r="BI32" s="41">
        <f>MIN(IF(VLOOKUP($Q32,武学奇术!$A:$ZZ,23,FALSE)=1,100%,$B$8),100%)</f>
        <v>1</v>
      </c>
      <c r="BJ32" s="41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0.9045</v>
      </c>
      <c r="BK32" s="41" cm="1">
        <f t="array" ref="BK32">1+$B$13+VLOOKUP($Q32,武学奇术!$A:$ZZ,18,FALSE)+SUM(_xlfn.XLOOKUP(R32:AF32,增益!$A:$A,增益!$R:$R,0))</f>
        <v>2.19</v>
      </c>
      <c r="BL32" s="41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0.0929</v>
      </c>
      <c r="BM32" s="41" cm="1">
        <f t="array" ref="BM32">1+$B$14+VLOOKUP($Q32,武学奇术!$A:$ZZ,20,FALSE)+SUM(_xlfn.XLOOKUP(R32:AF32,增益!$A:$A,增益!$T:$T,0))</f>
        <v>1.35</v>
      </c>
      <c r="BN32" s="41">
        <f t="shared" si="9"/>
        <v>0.9045</v>
      </c>
      <c r="BO32" s="41">
        <f t="shared" si="10"/>
        <v>0.00260000000000005</v>
      </c>
      <c r="BP32" s="41">
        <f>IF(VLOOKUP($Q32,武学奇术!$A:$ZZ,22,FALSE)=1,0,(1-$BI32))*(1-$BL32)</f>
        <v>0</v>
      </c>
      <c r="BQ32" s="41" cm="1">
        <f t="array" ref="BQ32">SUM(_xlfn.XLOOKUP(R32:AF32,增益!$A:$A,增益!$W:$W,0))+$I$5</f>
        <v>0.11</v>
      </c>
    </row>
    <row r="33" spans="3:69">
      <c r="K33" s="55">
        <f t="shared" si="0"/>
        <v>337218.083644135</v>
      </c>
      <c r="L33" s="55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弹道",$B$21,0))*(1+$BQ33)</f>
        <v>341919.942136832</v>
      </c>
      <c r="M33" s="55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弹道",$B$21,0))*(1+$BQ33)</f>
        <v>296527.543347983</v>
      </c>
      <c r="N33" s="55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弹道",$B$21,0))*(1+$BQ33)</f>
        <v>155418.155516742</v>
      </c>
      <c r="O33" s="55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弹道",$B$21,0))*(1+$BQ33)</f>
        <v>91186.2789238663</v>
      </c>
      <c r="P33" s="56">
        <v>5</v>
      </c>
      <c r="Q33" s="57" t="s">
        <v>102</v>
      </c>
      <c r="R33" s="57" t="s">
        <v>116</v>
      </c>
      <c r="S33" s="57" t="s">
        <v>152</v>
      </c>
      <c r="T33" s="57" t="s">
        <v>92</v>
      </c>
      <c r="U33" s="57" t="s">
        <v>107</v>
      </c>
      <c r="V33" s="57" t="s">
        <v>86</v>
      </c>
      <c r="W33" s="57" t="s">
        <v>72</v>
      </c>
      <c r="X33" s="57" t="s">
        <v>72</v>
      </c>
      <c r="Y33" s="57" t="s">
        <v>112</v>
      </c>
      <c r="Z33" s="57" t="s">
        <v>113</v>
      </c>
      <c r="AA33" s="57" t="s">
        <v>72</v>
      </c>
      <c r="AB33" s="57" t="s">
        <v>72</v>
      </c>
      <c r="AC33" s="57" t="s">
        <v>72</v>
      </c>
      <c r="AD33" s="57" t="s">
        <v>72</v>
      </c>
      <c r="AE33" s="57" t="s">
        <v>72</v>
      </c>
      <c r="AF33" s="57" t="s">
        <v>87</v>
      </c>
      <c r="AG33" t="str">
        <f>VLOOKUP($Q33,武学奇术!$A:$ZZ,25,FALSE)</f>
        <v>伞</v>
      </c>
      <c r="AH33" s="41">
        <f>VLOOKUP($Q33,武学奇术!$A:$ZZ,26,FALSE)</f>
        <v>1.174955</v>
      </c>
      <c r="AI33" s="42">
        <f>VLOOKUP($Q33,武学奇术!$A:$ZZ,27,FALSE)*(1+IF(OR($AG33=$F$4,$AG33=$F$5),$B$22,0))</f>
        <v>454.02</v>
      </c>
      <c r="AJ33" s="41">
        <f>VLOOKUP($Q33,武学奇术!$A:$ZZ,28,FALSE)</f>
        <v>1.762375</v>
      </c>
      <c r="AK33" s="42">
        <f>VLOOKUP($Q33,武学奇术!$A:$ZZ,29,FALSE)*(1+IF(OR($AG33=$F$4,$AG33=$F$5),$B$22,0))</f>
        <v>247.94</v>
      </c>
      <c r="AL33" s="41" cm="1">
        <f t="array" ref="AL33">$G$3+IFERROR(VLOOKUP($AG33,$F$4:$G$7,2,FALSE),0)+VLOOKUP($Q33,武学奇术!$A:$ZZ,2,FALSE)+SUM(_xlfn.XLOOKUP($R33:$AF33,增益!$A:$A,增益!$B:$B,0))</f>
        <v>1.1241</v>
      </c>
      <c r="AM33" s="41" cm="1">
        <f t="array" ref="AM33">VLOOKUP($Q33,武学奇术!$A:$ZZ,5,FALSE)+SUM(_xlfn.XLOOKUP($R33:$AF33,增益!$A:$A,增益!$E:$E,0))</f>
        <v>0.075</v>
      </c>
      <c r="AN33" cm="1">
        <f t="array" ref="AN33">$D$10*(1+$AM33)+VLOOKUP($Q33,武学奇术!$A:$ZZ,3,FALSE)+SUM(_xlfn.XLOOKUP($R33:$AF33,增益!$A:$A,增益!$C:$C,0))-$I$2</f>
        <v>1912.055</v>
      </c>
      <c r="AO33" cm="1">
        <f t="array" ref="AO33">$E$10*(1+$AM33)+VLOOKUP($Q33,武学奇术!$A:$ZZ,4,FALSE)+SUM(_xlfn.XLOOKUP($R33:$AF33,增益!$A:$A,增益!$D:$D,0))-$I$2</f>
        <v>5879.45</v>
      </c>
      <c r="AP33" s="49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0.3925</v>
      </c>
      <c r="AQ33" s="49" cm="1">
        <f t="array" ref="AQ33">$G$10+VLOOKUP($Q33,武学奇术!$A:$ZZ,7,FALSE)+SUM(_xlfn.XLOOKUP(R33:AF33,增益!$A:$A,增益!$G:$G,0))</f>
        <v>0.1</v>
      </c>
      <c r="AR33" s="41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49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49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49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49" cm="1">
        <f t="array" ref="AZ33">$G$12+VLOOKUP($Q33,武学奇术!$A:$ZZ,12,FALSE)+SUM(_xlfn.XLOOKUP(R33:AF33,增益!$A:$A,增益!$L:$L,0))</f>
        <v>0</v>
      </c>
      <c r="BA33">
        <f t="shared" si="5"/>
        <v>571.2</v>
      </c>
      <c r="BB33">
        <f t="shared" si="6"/>
        <v>1077.4</v>
      </c>
      <c r="BC33" s="49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49" cm="1">
        <f t="array" ref="BD33">$G$13+VLOOKUP($Q33,武学奇术!$A:$ZZ,14,FALSE)+SUM(_xlfn.XLOOKUP(R33:AF33,增益!$A:$A,增益!$N:$N,0))</f>
        <v>0.25</v>
      </c>
      <c r="BE33">
        <f t="shared" si="7"/>
        <v>0</v>
      </c>
      <c r="BF33">
        <f t="shared" si="8"/>
        <v>0</v>
      </c>
      <c r="BG33" s="49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49" cm="1">
        <f t="array" ref="BH33">$G$14+VLOOKUP($Q33,武学奇术!$A:$ZZ,16,FALSE)+SUM(_xlfn.XLOOKUP(R33:AF33,增益!$A:$A,增益!$P:$P,0))</f>
        <v>0</v>
      </c>
      <c r="BI33" s="41">
        <f>MIN(IF(VLOOKUP($Q33,武学奇术!$A:$ZZ,23,FALSE)=1,100%,$B$8),100%)</f>
        <v>1</v>
      </c>
      <c r="BJ33" s="41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0.9045</v>
      </c>
      <c r="BK33" s="41" cm="1">
        <f t="array" ref="BK33">1+$B$13+VLOOKUP($Q33,武学奇术!$A:$ZZ,18,FALSE)+SUM(_xlfn.XLOOKUP(R33:AF33,增益!$A:$A,增益!$R:$R,0))</f>
        <v>2.2</v>
      </c>
      <c r="BL33" s="41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0.0929</v>
      </c>
      <c r="BM33" s="41" cm="1">
        <f t="array" ref="BM33">1+$B$14+VLOOKUP($Q33,武学奇术!$A:$ZZ,20,FALSE)+SUM(_xlfn.XLOOKUP(R33:AF33,增益!$A:$A,增益!$T:$T,0))</f>
        <v>1.35</v>
      </c>
      <c r="BN33" s="41">
        <f t="shared" si="9"/>
        <v>0.9045</v>
      </c>
      <c r="BO33" s="41">
        <f t="shared" si="10"/>
        <v>0.00260000000000005</v>
      </c>
      <c r="BP33" s="41">
        <f>IF(VLOOKUP($Q33,武学奇术!$A:$ZZ,22,FALSE)=1,0,(1-$BI33))*(1-$BL33)</f>
        <v>0</v>
      </c>
      <c r="BQ33" s="41" cm="1">
        <f t="array" ref="BQ33">SUM(_xlfn.XLOOKUP(R33:AF33,增益!$A:$A,增益!$W:$W,0))+$I$5</f>
        <v>0.11</v>
      </c>
    </row>
    <row r="34" spans="3:69">
      <c r="K34" s="55">
        <f t="shared" si="0"/>
        <v>27676.2794712251</v>
      </c>
      <c r="L34" s="55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弹道",$B$21,0))*(1+$BQ34)</f>
        <v>27602.1238962992</v>
      </c>
      <c r="M34" s="55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弹道",$B$21,0))*(1+$BQ34)</f>
        <v>28750.7241626566</v>
      </c>
      <c r="N34" s="55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弹道",$B$21,0))*(1+$BQ34)</f>
        <v>15083.1278121854</v>
      </c>
      <c r="O34" s="55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弹道",$B$21,0))*(1+$BQ34)</f>
        <v>8869.4229112918</v>
      </c>
      <c r="P34" s="56">
        <v>1</v>
      </c>
      <c r="Q34" s="57" t="s">
        <v>154</v>
      </c>
      <c r="R34" s="57" t="s">
        <v>116</v>
      </c>
      <c r="S34" s="57" t="s">
        <v>151</v>
      </c>
      <c r="T34" s="57" t="s">
        <v>72</v>
      </c>
      <c r="U34" s="57" t="s">
        <v>107</v>
      </c>
      <c r="V34" s="57" t="s">
        <v>72</v>
      </c>
      <c r="W34" s="57" t="s">
        <v>72</v>
      </c>
      <c r="X34" s="57" t="s">
        <v>72</v>
      </c>
      <c r="Y34" s="57" t="s">
        <v>112</v>
      </c>
      <c r="Z34" s="57" t="s">
        <v>113</v>
      </c>
      <c r="AA34" s="57" t="s">
        <v>72</v>
      </c>
      <c r="AB34" s="57" t="s">
        <v>72</v>
      </c>
      <c r="AC34" s="57" t="s">
        <v>72</v>
      </c>
      <c r="AD34" s="57" t="s">
        <v>72</v>
      </c>
      <c r="AE34" s="57" t="s">
        <v>72</v>
      </c>
      <c r="AF34" s="57" t="s">
        <v>87</v>
      </c>
      <c r="AG34" t="str">
        <f>VLOOKUP($Q34,武学奇术!$A:$ZZ,25,FALSE)</f>
        <v>扇</v>
      </c>
      <c r="AH34" s="41">
        <f>VLOOKUP($Q34,武学奇术!$A:$ZZ,26,FALSE)</f>
        <v>1.2798</v>
      </c>
      <c r="AI34" s="42">
        <f>VLOOKUP($Q34,武学奇术!$A:$ZZ,27,FALSE)*(1+IF(OR($AG34=$F$4,$AG34=$F$5),$B$22,0))</f>
        <v>497</v>
      </c>
      <c r="AJ34" s="41">
        <f>VLOOKUP($Q34,武学奇术!$A:$ZZ,28,FALSE)</f>
        <v>1.9197</v>
      </c>
      <c r="AK34" s="42">
        <f>VLOOKUP($Q34,武学奇术!$A:$ZZ,29,FALSE)*(1+IF(OR($AG34=$F$4,$AG34=$F$5),$B$22,0))</f>
        <v>270.2</v>
      </c>
      <c r="AL34" s="41" cm="1">
        <f t="array" ref="AL34">$G$3+IFERROR(VLOOKUP($AG34,$F$4:$G$7,2,FALSE),0)+VLOOKUP($Q34,武学奇术!$A:$ZZ,2,FALSE)+SUM(_xlfn.XLOOKUP($R34:$AF34,增益!$A:$A,增益!$B:$B,0))</f>
        <v>0.3889</v>
      </c>
      <c r="AM34" s="41" cm="1">
        <f t="array" ref="AM34">VLOOKUP($Q34,武学奇术!$A:$ZZ,5,FALSE)+SUM(_xlfn.XLOOKUP($R34:$AF34,增益!$A:$A,增益!$E:$E,0))</f>
        <v>0.075</v>
      </c>
      <c r="AN34" cm="1">
        <f t="array" ref="AN34">$D$10*(1+$AM34)+VLOOKUP($Q34,武学奇术!$A:$ZZ,3,FALSE)+SUM(_xlfn.XLOOKUP($R34:$AF34,增益!$A:$A,增益!$C:$C,0))-$I$2</f>
        <v>1912.055</v>
      </c>
      <c r="AO34" cm="1">
        <f t="array" ref="AO34">$E$10*(1+$AM34)+VLOOKUP($Q34,武学奇术!$A:$ZZ,4,FALSE)+SUM(_xlfn.XLOOKUP($R34:$AF34,增益!$A:$A,增益!$D:$D,0))-$I$2</f>
        <v>5879.45</v>
      </c>
      <c r="AP34" s="49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0.3675</v>
      </c>
      <c r="AQ34" s="49" cm="1">
        <f t="array" ref="AQ34">$G$10+VLOOKUP($Q34,武学奇术!$A:$ZZ,7,FALSE)+SUM(_xlfn.XLOOKUP(R34:AF34,增益!$A:$A,增益!$G:$G,0))</f>
        <v>0</v>
      </c>
      <c r="AR34" s="41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49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49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49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49" cm="1">
        <f t="array" ref="AZ34">$G$12+VLOOKUP($Q34,武学奇术!$A:$ZZ,12,FALSE)+SUM(_xlfn.XLOOKUP(R34:AF34,增益!$A:$A,增益!$L:$L,0))</f>
        <v>0</v>
      </c>
      <c r="BA34">
        <f t="shared" si="5"/>
        <v>571.2</v>
      </c>
      <c r="BB34">
        <f t="shared" si="6"/>
        <v>1077.4</v>
      </c>
      <c r="BC34" s="49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49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49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49" cm="1">
        <f t="array" ref="BH34">$G$14+VLOOKUP($Q34,武学奇术!$A:$ZZ,16,FALSE)+SUM(_xlfn.XLOOKUP(R34:AF34,增益!$A:$A,增益!$P:$P,0))</f>
        <v>0</v>
      </c>
      <c r="BI34" s="41">
        <f>MIN(IF(VLOOKUP($Q34,武学奇术!$A:$ZZ,23,FALSE)=1,100%,$B$8),100%)</f>
        <v>1</v>
      </c>
      <c r="BJ34" s="41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0.9045</v>
      </c>
      <c r="BK34" s="41" cm="1">
        <f t="array" ref="BK34">1+$B$13+VLOOKUP($Q34,武学奇术!$A:$ZZ,18,FALSE)+SUM(_xlfn.XLOOKUP(R34:AF34,增益!$A:$A,增益!$R:$R,0))</f>
        <v>1.83</v>
      </c>
      <c r="BL34" s="41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0.0929</v>
      </c>
      <c r="BM34" s="41" cm="1">
        <f t="array" ref="BM34">1+$B$14+VLOOKUP($Q34,武学奇术!$A:$ZZ,20,FALSE)+SUM(_xlfn.XLOOKUP(R34:AF34,增益!$A:$A,增益!$T:$T,0))</f>
        <v>1.35</v>
      </c>
      <c r="BN34" s="41">
        <f t="shared" si="9"/>
        <v>0.9045</v>
      </c>
      <c r="BO34" s="41">
        <f t="shared" si="10"/>
        <v>0.00260000000000005</v>
      </c>
      <c r="BP34" s="41">
        <f>IF(VLOOKUP($Q34,武学奇术!$A:$ZZ,22,FALSE)=1,0,(1-$BI34))*(1-$BL34)</f>
        <v>0</v>
      </c>
      <c r="BQ34" s="41" cm="1">
        <f t="array" ref="BQ34">SUM(_xlfn.XLOOKUP(R34:AF34,增益!$A:$A,增益!$W:$W,0))+$I$5</f>
        <v>0.11</v>
      </c>
    </row>
    <row r="35" spans="3:69">
      <c r="K35" s="55">
        <f t="shared" si="0"/>
        <v>131579.8874766</v>
      </c>
      <c r="L35" s="55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弹道",$B$21,0))*(1+$BQ35)</f>
        <v>133420.436537428</v>
      </c>
      <c r="M35" s="55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弹道",$B$21,0))*(1+$BQ35)</f>
        <v>115645.036929705</v>
      </c>
      <c r="N35" s="55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弹道",$B$21,0))*(1+$BQ35)</f>
        <v>60645.6529715584</v>
      </c>
      <c r="O35" s="55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弹道",$B$21,0))*(1+$BQ35)</f>
        <v>35628.3156248168</v>
      </c>
      <c r="P35" s="56">
        <v>1</v>
      </c>
      <c r="Q35" s="57" t="s">
        <v>155</v>
      </c>
      <c r="R35" s="57" t="s">
        <v>116</v>
      </c>
      <c r="S35" s="57" t="s">
        <v>152</v>
      </c>
      <c r="T35" s="57" t="s">
        <v>72</v>
      </c>
      <c r="U35" s="57" t="s">
        <v>107</v>
      </c>
      <c r="V35" s="57" t="s">
        <v>156</v>
      </c>
      <c r="W35" s="57" t="s">
        <v>72</v>
      </c>
      <c r="X35" s="57" t="s">
        <v>72</v>
      </c>
      <c r="Y35" s="57" t="s">
        <v>112</v>
      </c>
      <c r="Z35" s="57" t="s">
        <v>113</v>
      </c>
      <c r="AA35" s="57" t="s">
        <v>72</v>
      </c>
      <c r="AB35" s="57" t="s">
        <v>72</v>
      </c>
      <c r="AC35" s="57" t="s">
        <v>72</v>
      </c>
      <c r="AD35" s="57" t="s">
        <v>72</v>
      </c>
      <c r="AE35" s="57" t="s">
        <v>72</v>
      </c>
      <c r="AF35" s="57" t="s">
        <v>87</v>
      </c>
      <c r="AG35" t="str">
        <f>VLOOKUP($Q35,武学奇术!$A:$ZZ,25,FALSE)</f>
        <v>扇</v>
      </c>
      <c r="AH35" s="41">
        <f>VLOOKUP($Q35,武学奇术!$A:$ZZ,26,FALSE)</f>
        <v>4.376825</v>
      </c>
      <c r="AI35" s="42">
        <f>VLOOKUP($Q35,武学奇术!$A:$ZZ,27,FALSE)*(1+IF(OR($AG35=$F$4,$AG35=$F$5),$B$22,0))</f>
        <v>1695.05</v>
      </c>
      <c r="AJ35" s="41">
        <f>VLOOKUP($Q35,武学奇术!$A:$ZZ,28,FALSE)</f>
        <v>6.56531</v>
      </c>
      <c r="AK35" s="42">
        <f>VLOOKUP($Q35,武学奇术!$A:$ZZ,29,FALSE)*(1+IF(OR($AG35=$F$4,$AG35=$F$5),$B$22,0))</f>
        <v>923.65</v>
      </c>
      <c r="AL35" s="41" cm="1">
        <f t="array" ref="AL35">$G$3+IFERROR(VLOOKUP($AG35,$F$4:$G$7,2,FALSE),0)+VLOOKUP($Q35,武学奇术!$A:$ZZ,2,FALSE)+SUM(_xlfn.XLOOKUP($R35:$AF35,增益!$A:$A,增益!$B:$B,0))</f>
        <v>0.4889</v>
      </c>
      <c r="AM35" s="41" cm="1">
        <f t="array" ref="AM35">VLOOKUP($Q35,武学奇术!$A:$ZZ,5,FALSE)+SUM(_xlfn.XLOOKUP($R35:$AF35,增益!$A:$A,增益!$E:$E,0))</f>
        <v>0.075</v>
      </c>
      <c r="AN35" cm="1">
        <f t="array" ref="AN35">$D$10*(1+$AM35)+VLOOKUP($Q35,武学奇术!$A:$ZZ,3,FALSE)+SUM(_xlfn.XLOOKUP($R35:$AF35,增益!$A:$A,增益!$C:$C,0))-$I$2</f>
        <v>1912.055</v>
      </c>
      <c r="AO35" cm="1">
        <f t="array" ref="AO35">$E$10*(1+$AM35)+VLOOKUP($Q35,武学奇术!$A:$ZZ,4,FALSE)+SUM(_xlfn.XLOOKUP($R35:$AF35,增益!$A:$A,增益!$D:$D,0))-$I$2</f>
        <v>5879.45</v>
      </c>
      <c r="AP35" s="49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0.3675</v>
      </c>
      <c r="AQ35" s="49" cm="1">
        <f t="array" ref="AQ35">$G$10+VLOOKUP($Q35,武学奇术!$A:$ZZ,7,FALSE)+SUM(_xlfn.XLOOKUP(R35:AF35,增益!$A:$A,增益!$G:$G,0))</f>
        <v>0.1</v>
      </c>
      <c r="AR35" s="41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49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49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49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49" cm="1">
        <f t="array" ref="AZ35">$G$12+VLOOKUP($Q35,武学奇术!$A:$ZZ,12,FALSE)+SUM(_xlfn.XLOOKUP(R35:AF35,增益!$A:$A,增益!$L:$L,0))</f>
        <v>0</v>
      </c>
      <c r="BA35">
        <f t="shared" si="5"/>
        <v>571.2</v>
      </c>
      <c r="BB35">
        <f t="shared" si="6"/>
        <v>1077.4</v>
      </c>
      <c r="BC35" s="49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49" cm="1">
        <f t="array" ref="BD35">$G$13+VLOOKUP($Q35,武学奇术!$A:$ZZ,14,FALSE)+SUM(_xlfn.XLOOKUP(R35:AF35,增益!$A:$A,增益!$N:$N,0))</f>
        <v>0.25</v>
      </c>
      <c r="BE35">
        <f t="shared" si="7"/>
        <v>0</v>
      </c>
      <c r="BF35">
        <f t="shared" si="8"/>
        <v>0</v>
      </c>
      <c r="BG35" s="49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49" cm="1">
        <f t="array" ref="BH35">$G$14+VLOOKUP($Q35,武学奇术!$A:$ZZ,16,FALSE)+SUM(_xlfn.XLOOKUP(R35:AF35,增益!$A:$A,增益!$P:$P,0))</f>
        <v>0</v>
      </c>
      <c r="BI35" s="41">
        <f>MIN(IF(VLOOKUP($Q35,武学奇术!$A:$ZZ,23,FALSE)=1,100%,$B$8),100%)</f>
        <v>1</v>
      </c>
      <c r="BJ35" s="41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0.9045</v>
      </c>
      <c r="BK35" s="41" cm="1">
        <f t="array" ref="BK35">1+$B$13+VLOOKUP($Q35,武学奇术!$A:$ZZ,18,FALSE)+SUM(_xlfn.XLOOKUP(R35:AF35,增益!$A:$A,增益!$R:$R,0))</f>
        <v>2.2</v>
      </c>
      <c r="BL35" s="41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0.0929</v>
      </c>
      <c r="BM35" s="41" cm="1">
        <f t="array" ref="BM35">1+$B$14+VLOOKUP($Q35,武学奇术!$A:$ZZ,20,FALSE)+SUM(_xlfn.XLOOKUP(R35:AF35,增益!$A:$A,增益!$T:$T,0))</f>
        <v>1.35</v>
      </c>
      <c r="BN35" s="41">
        <f t="shared" si="9"/>
        <v>0.9045</v>
      </c>
      <c r="BO35" s="41">
        <f t="shared" si="10"/>
        <v>0.00260000000000005</v>
      </c>
      <c r="BP35" s="41">
        <f>IF(VLOOKUP($Q35,武学奇术!$A:$ZZ,22,FALSE)=1,0,(1-$BI35))*(1-$BL35)</f>
        <v>0</v>
      </c>
      <c r="BQ35" s="41" cm="1">
        <f t="array" ref="BQ35">SUM(_xlfn.XLOOKUP(R35:AF35,增益!$A:$A,增益!$W:$W,0))+$I$5</f>
        <v>0.11</v>
      </c>
    </row>
    <row r="36" spans="3:69">
      <c r="K36" s="55">
        <f t="shared" si="0"/>
        <v>33435.7379010288</v>
      </c>
      <c r="L36" s="55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弹道",$B$21,0))*(1+$BQ36)</f>
        <v>32887.55504822</v>
      </c>
      <c r="M36" s="55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弹道",$B$21,0))*(1+$BQ36)</f>
        <v>39133.4992783687</v>
      </c>
      <c r="N36" s="55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弹道",$B$21,0))*(1+$BQ36)</f>
        <v>20554.7219051375</v>
      </c>
      <c r="O36" s="55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弹道",$B$21,0))*(1+$BQ36)</f>
        <v>12121.666567039</v>
      </c>
      <c r="P36" s="56">
        <v>1</v>
      </c>
      <c r="Q36" s="57" t="s">
        <v>94</v>
      </c>
      <c r="R36" s="57" t="s">
        <v>116</v>
      </c>
      <c r="S36" s="57" t="s">
        <v>153</v>
      </c>
      <c r="T36" s="57" t="s">
        <v>72</v>
      </c>
      <c r="U36" s="57" t="s">
        <v>157</v>
      </c>
      <c r="V36" s="57" t="s">
        <v>72</v>
      </c>
      <c r="W36" s="57" t="s">
        <v>72</v>
      </c>
      <c r="X36" s="57" t="s">
        <v>72</v>
      </c>
      <c r="Y36" s="57" t="s">
        <v>72</v>
      </c>
      <c r="Z36" s="57" t="s">
        <v>72</v>
      </c>
      <c r="AA36" s="57" t="s">
        <v>72</v>
      </c>
      <c r="AB36" s="57" t="s">
        <v>72</v>
      </c>
      <c r="AC36" s="57" t="s">
        <v>72</v>
      </c>
      <c r="AD36" s="57" t="s">
        <v>72</v>
      </c>
      <c r="AE36" s="57" t="s">
        <v>72</v>
      </c>
      <c r="AF36" s="57" t="s">
        <v>87</v>
      </c>
      <c r="AG36" t="str">
        <f>VLOOKUP($Q36,武学奇术!$A:$ZZ,25,FALSE)</f>
        <v>伞</v>
      </c>
      <c r="AH36" s="41">
        <f>VLOOKUP($Q36,武学奇术!$A:$ZZ,26,FALSE)</f>
        <v>1.7001</v>
      </c>
      <c r="AI36" s="42">
        <f>VLOOKUP($Q36,武学奇术!$A:$ZZ,27,FALSE)*(1+IF(OR($AG36=$F$4,$AG36=$F$5),$B$22,0))</f>
        <v>659.4</v>
      </c>
      <c r="AJ36" s="41">
        <f>VLOOKUP($Q36,武学奇术!$A:$ZZ,28,FALSE)</f>
        <v>2.5502</v>
      </c>
      <c r="AK36" s="42">
        <f>VLOOKUP($Q36,武学奇术!$A:$ZZ,29,FALSE)*(1+IF(OR($AG36=$F$4,$AG36=$F$5),$B$22,0))</f>
        <v>358.4</v>
      </c>
      <c r="AL36" s="41" cm="1">
        <f t="array" ref="AL36">$G$3+IFERROR(VLOOKUP($AG36,$F$4:$G$7,2,FALSE),0)+VLOOKUP($Q36,武学奇术!$A:$ZZ,2,FALSE)+SUM(_xlfn.XLOOKUP($R36:$AF36,增益!$A:$A,增益!$B:$B,0))</f>
        <v>0.3241</v>
      </c>
      <c r="AM36" s="41" cm="1">
        <f t="array" ref="AM36">VLOOKUP($Q36,武学奇术!$A:$ZZ,5,FALSE)+SUM(_xlfn.XLOOKUP($R36:$AF36,增益!$A:$A,增益!$E:$E,0))</f>
        <v>0.15</v>
      </c>
      <c r="AN36" cm="1">
        <f t="array" ref="AN36">$D$10*(1+$AM36)+VLOOKUP($Q36,武学奇术!$A:$ZZ,3,FALSE)+SUM(_xlfn.XLOOKUP($R36:$AF36,增益!$A:$A,增益!$C:$C,0))-$I$2</f>
        <v>2088.71</v>
      </c>
      <c r="AO36" cm="1">
        <f t="array" ref="AO36">$E$10*(1+$AM36)+VLOOKUP($Q36,武学奇术!$A:$ZZ,4,FALSE)+SUM(_xlfn.XLOOKUP($R36:$AF36,增益!$A:$A,增益!$D:$D,0))-$I$2</f>
        <v>6332.9</v>
      </c>
      <c r="AP36" s="49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0.2425</v>
      </c>
      <c r="AQ36" s="49" cm="1">
        <f t="array" ref="AQ36">$G$10+VLOOKUP($Q36,武学奇术!$A:$ZZ,7,FALSE)+SUM(_xlfn.XLOOKUP(R36:AF36,增益!$A:$A,增益!$G:$G,0))</f>
        <v>0.1</v>
      </c>
      <c r="AR36" s="41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49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49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49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49" cm="1">
        <f t="array" ref="AZ36">$G$12+VLOOKUP($Q36,武学奇术!$A:$ZZ,12,FALSE)+SUM(_xlfn.XLOOKUP(R36:AF36,增益!$A:$A,增益!$L:$L,0))</f>
        <v>0</v>
      </c>
      <c r="BA36">
        <f t="shared" si="5"/>
        <v>571.2</v>
      </c>
      <c r="BB36">
        <f t="shared" si="6"/>
        <v>1077.4</v>
      </c>
      <c r="BC36" s="49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49" cm="1">
        <f t="array" ref="BD36">$G$13+VLOOKUP($Q36,武学奇术!$A:$ZZ,14,FALSE)+SUM(_xlfn.XLOOKUP(R36:AF36,增益!$A:$A,增益!$N:$N,0))</f>
        <v>0.25</v>
      </c>
      <c r="BE36">
        <f t="shared" si="7"/>
        <v>0</v>
      </c>
      <c r="BF36">
        <f t="shared" si="8"/>
        <v>0</v>
      </c>
      <c r="BG36" s="49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49" cm="1">
        <f t="array" ref="BH36">$G$14+VLOOKUP($Q36,武学奇术!$A:$ZZ,16,FALSE)+SUM(_xlfn.XLOOKUP(R36:AF36,增益!$A:$A,增益!$P:$P,0))</f>
        <v>0</v>
      </c>
      <c r="BI36" s="41">
        <f>MIN(IF(VLOOKUP($Q36,武学奇术!$A:$ZZ,23,FALSE)=1,100%,$B$8),100%)</f>
        <v>1</v>
      </c>
      <c r="BJ36" s="41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0.9045</v>
      </c>
      <c r="BK36" s="41" cm="1">
        <f t="array" ref="BK36">1+$B$13+VLOOKUP($Q36,武学奇术!$A:$ZZ,18,FALSE)+SUM(_xlfn.XLOOKUP(R36:AF36,增益!$A:$A,增益!$R:$R,0))</f>
        <v>1.6</v>
      </c>
      <c r="BL36" s="41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0.0929</v>
      </c>
      <c r="BM36" s="41" cm="1">
        <f t="array" ref="BM36">1+$B$14+VLOOKUP($Q36,武学奇术!$A:$ZZ,20,FALSE)+SUM(_xlfn.XLOOKUP(R36:AF36,增益!$A:$A,增益!$T:$T,0))</f>
        <v>1.35</v>
      </c>
      <c r="BN36" s="41">
        <f t="shared" si="9"/>
        <v>0.9045</v>
      </c>
      <c r="BO36" s="41">
        <f t="shared" si="10"/>
        <v>0.00260000000000005</v>
      </c>
      <c r="BP36" s="41">
        <f>IF(VLOOKUP($Q36,武学奇术!$A:$ZZ,22,FALSE)=1,0,(1-$BI36))*(1-$BL36)</f>
        <v>0</v>
      </c>
      <c r="BQ36" s="41" cm="1">
        <f t="array" ref="BQ36">SUM(_xlfn.XLOOKUP(R36:AF36,增益!$A:$A,增益!$W:$W,0))+$I$5</f>
        <v>0.11</v>
      </c>
    </row>
    <row r="37" spans="3:69">
      <c r="K37" s="55">
        <f t="shared" si="0"/>
        <v>14010.6601570169</v>
      </c>
      <c r="L37" s="55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弹道",$B$21,0))*(1+$BQ37)</f>
        <v>13780.7004027045</v>
      </c>
      <c r="M37" s="55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弹道",$B$21,0))*(1+$BQ37)</f>
        <v>16400.6781982374</v>
      </c>
      <c r="N37" s="55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弹道",$B$21,0))*(1+$BQ37)</f>
        <v>8612.9377516903</v>
      </c>
      <c r="O37" s="55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弹道",$B$21,0))*(1+$BQ37)</f>
        <v>5077.22498616773</v>
      </c>
      <c r="P37" s="56">
        <v>1</v>
      </c>
      <c r="Q37" s="57" t="s">
        <v>99</v>
      </c>
      <c r="R37" s="57" t="s">
        <v>116</v>
      </c>
      <c r="S37" s="57" t="s">
        <v>153</v>
      </c>
      <c r="T37" s="57" t="s">
        <v>72</v>
      </c>
      <c r="U37" s="57" t="s">
        <v>157</v>
      </c>
      <c r="V37" s="57" t="s">
        <v>72</v>
      </c>
      <c r="W37" s="57" t="s">
        <v>72</v>
      </c>
      <c r="X37" s="57" t="s">
        <v>72</v>
      </c>
      <c r="Y37" s="57" t="s">
        <v>72</v>
      </c>
      <c r="Z37" s="57" t="s">
        <v>72</v>
      </c>
      <c r="AA37" s="57" t="s">
        <v>72</v>
      </c>
      <c r="AB37" s="57" t="s">
        <v>72</v>
      </c>
      <c r="AC37" s="57" t="s">
        <v>72</v>
      </c>
      <c r="AD37" s="57" t="s">
        <v>72</v>
      </c>
      <c r="AE37" s="57" t="s">
        <v>72</v>
      </c>
      <c r="AF37" s="57" t="s">
        <v>87</v>
      </c>
      <c r="AG37" t="str">
        <f>VLOOKUP($Q37,武学奇术!$A:$ZZ,25,FALSE)</f>
        <v>伞</v>
      </c>
      <c r="AH37" s="41">
        <f>VLOOKUP($Q37,武学奇术!$A:$ZZ,26,FALSE)</f>
        <v>0.54</v>
      </c>
      <c r="AI37" s="42">
        <f>VLOOKUP($Q37,武学奇术!$A:$ZZ,27,FALSE)*(1+IF(OR($AG37=$F$4,$AG37=$F$5),$B$22,0))</f>
        <v>207.2</v>
      </c>
      <c r="AJ37" s="41">
        <f>VLOOKUP($Q37,武学奇术!$A:$ZZ,28,FALSE)</f>
        <v>0.81</v>
      </c>
      <c r="AK37" s="42">
        <f>VLOOKUP($Q37,武学奇术!$A:$ZZ,29,FALSE)*(1+IF(OR($AG37=$F$4,$AG37=$F$5),$B$22,0))</f>
        <v>114.1</v>
      </c>
      <c r="AL37" s="41" cm="1">
        <f t="array" ref="AL37">$G$3+IFERROR(VLOOKUP($AG37,$F$4:$G$7,2,FALSE),0)+VLOOKUP($Q37,武学奇术!$A:$ZZ,2,FALSE)+SUM(_xlfn.XLOOKUP($R37:$AF37,增益!$A:$A,增益!$B:$B,0))</f>
        <v>0.3241</v>
      </c>
      <c r="AM37" s="41" cm="1">
        <f t="array" ref="AM37">VLOOKUP($Q37,武学奇术!$A:$ZZ,5,FALSE)+SUM(_xlfn.XLOOKUP($R37:$AF37,增益!$A:$A,增益!$E:$E,0))</f>
        <v>0.15</v>
      </c>
      <c r="AN37" cm="1">
        <f t="array" ref="AN37">$D$10*(1+$AM37)+VLOOKUP($Q37,武学奇术!$A:$ZZ,3,FALSE)+SUM(_xlfn.XLOOKUP($R37:$AF37,增益!$A:$A,增益!$C:$C,0))-$I$2</f>
        <v>2088.71</v>
      </c>
      <c r="AO37" cm="1">
        <f t="array" ref="AO37">$E$10*(1+$AM37)+VLOOKUP($Q37,武学奇术!$A:$ZZ,4,FALSE)+SUM(_xlfn.XLOOKUP($R37:$AF37,增益!$A:$A,增益!$D:$D,0))-$I$2</f>
        <v>6332.9</v>
      </c>
      <c r="AP37" s="49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0.2425</v>
      </c>
      <c r="AQ37" s="49" cm="1">
        <f t="array" ref="AQ37">$G$10+VLOOKUP($Q37,武学奇术!$A:$ZZ,7,FALSE)+SUM(_xlfn.XLOOKUP(R37:AF37,增益!$A:$A,增益!$G:$G,0))</f>
        <v>0.1</v>
      </c>
      <c r="AR37" s="41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49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49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49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49" cm="1">
        <f t="array" ref="AZ37">$G$12+VLOOKUP($Q37,武学奇术!$A:$ZZ,12,FALSE)+SUM(_xlfn.XLOOKUP(R37:AF37,增益!$A:$A,增益!$L:$L,0))</f>
        <v>0</v>
      </c>
      <c r="BA37">
        <f t="shared" si="5"/>
        <v>571.2</v>
      </c>
      <c r="BB37">
        <f t="shared" si="6"/>
        <v>1077.4</v>
      </c>
      <c r="BC37" s="49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49" cm="1">
        <f t="array" ref="BD37">$G$13+VLOOKUP($Q37,武学奇术!$A:$ZZ,14,FALSE)+SUM(_xlfn.XLOOKUP(R37:AF37,增益!$A:$A,增益!$N:$N,0))</f>
        <v>0.25</v>
      </c>
      <c r="BE37">
        <f t="shared" si="7"/>
        <v>0</v>
      </c>
      <c r="BF37">
        <f t="shared" si="8"/>
        <v>0</v>
      </c>
      <c r="BG37" s="49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49" cm="1">
        <f t="array" ref="BH37">$G$14+VLOOKUP($Q37,武学奇术!$A:$ZZ,16,FALSE)+SUM(_xlfn.XLOOKUP(R37:AF37,增益!$A:$A,增益!$P:$P,0))</f>
        <v>0</v>
      </c>
      <c r="BI37" s="41">
        <f>MIN(IF(VLOOKUP($Q37,武学奇术!$A:$ZZ,23,FALSE)=1,100%,$B$8),100%)</f>
        <v>1</v>
      </c>
      <c r="BJ37" s="41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0.9045</v>
      </c>
      <c r="BK37" s="41" cm="1">
        <f t="array" ref="BK37">1+$B$13+VLOOKUP($Q37,武学奇术!$A:$ZZ,18,FALSE)+SUM(_xlfn.XLOOKUP(R37:AF37,增益!$A:$A,增益!$R:$R,0))</f>
        <v>1.6</v>
      </c>
      <c r="BL37" s="41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0.0929</v>
      </c>
      <c r="BM37" s="41" cm="1">
        <f t="array" ref="BM37">1+$B$14+VLOOKUP($Q37,武学奇术!$A:$ZZ,20,FALSE)+SUM(_xlfn.XLOOKUP(R37:AF37,增益!$A:$A,增益!$T:$T,0))</f>
        <v>1.35</v>
      </c>
      <c r="BN37" s="41">
        <f t="shared" si="9"/>
        <v>0.9045</v>
      </c>
      <c r="BO37" s="41">
        <f t="shared" si="10"/>
        <v>0.00260000000000005</v>
      </c>
      <c r="BP37" s="41">
        <f>IF(VLOOKUP($Q37,武学奇术!$A:$ZZ,22,FALSE)=1,0,(1-$BI37))*(1-$BL37)</f>
        <v>0</v>
      </c>
      <c r="BQ37" s="41" cm="1">
        <f t="array" ref="BQ37">SUM(_xlfn.XLOOKUP(R37:AF37,增益!$A:$A,增益!$W:$W,0))+$I$5</f>
        <v>0.11</v>
      </c>
    </row>
    <row r="38" spans="3:69">
      <c r="K38" s="55">
        <f t="shared" si="0"/>
        <v>176729.565356427</v>
      </c>
      <c r="L38" s="55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弹道",$B$21,0))*(1+$BQ38)</f>
        <v>177417.804795651</v>
      </c>
      <c r="M38" s="55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弹道",$B$21,0))*(1+$BQ38)</f>
        <v>172441.450694749</v>
      </c>
      <c r="N38" s="55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弹道",$B$21,0))*(1+$BQ38)</f>
        <v>90519.2881610466</v>
      </c>
      <c r="O38" s="55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弹道",$B$21,0))*(1+$BQ38)</f>
        <v>53304.1684000566</v>
      </c>
      <c r="P38" s="56">
        <v>4</v>
      </c>
      <c r="Q38" s="57" t="s">
        <v>102</v>
      </c>
      <c r="R38" s="57" t="s">
        <v>116</v>
      </c>
      <c r="S38" s="57" t="s">
        <v>153</v>
      </c>
      <c r="T38" s="57" t="s">
        <v>92</v>
      </c>
      <c r="U38" s="57" t="s">
        <v>157</v>
      </c>
      <c r="V38" s="57" t="s">
        <v>72</v>
      </c>
      <c r="W38" s="57" t="s">
        <v>72</v>
      </c>
      <c r="X38" s="57" t="s">
        <v>72</v>
      </c>
      <c r="Y38" s="57" t="s">
        <v>72</v>
      </c>
      <c r="Z38" s="57" t="s">
        <v>72</v>
      </c>
      <c r="AA38" s="57" t="s">
        <v>72</v>
      </c>
      <c r="AB38" s="57" t="s">
        <v>72</v>
      </c>
      <c r="AC38" s="57" t="s">
        <v>72</v>
      </c>
      <c r="AD38" s="57" t="s">
        <v>72</v>
      </c>
      <c r="AE38" s="57" t="s">
        <v>72</v>
      </c>
      <c r="AF38" s="57" t="s">
        <v>87</v>
      </c>
      <c r="AG38" t="str">
        <f>VLOOKUP($Q38,武学奇术!$A:$ZZ,25,FALSE)</f>
        <v>伞</v>
      </c>
      <c r="AH38" s="41">
        <f>VLOOKUP($Q38,武学奇术!$A:$ZZ,26,FALSE)</f>
        <v>1.174955</v>
      </c>
      <c r="AI38" s="42">
        <f>VLOOKUP($Q38,武学奇术!$A:$ZZ,27,FALSE)*(1+IF(OR($AG38=$F$4,$AG38=$F$5),$B$22,0))</f>
        <v>454.02</v>
      </c>
      <c r="AJ38" s="41">
        <f>VLOOKUP($Q38,武学奇术!$A:$ZZ,28,FALSE)</f>
        <v>1.762375</v>
      </c>
      <c r="AK38" s="42">
        <f>VLOOKUP($Q38,武学奇术!$A:$ZZ,29,FALSE)*(1+IF(OR($AG38=$F$4,$AG38=$F$5),$B$22,0))</f>
        <v>247.94</v>
      </c>
      <c r="AL38" s="41" cm="1">
        <f t="array" ref="AL38">$G$3+IFERROR(VLOOKUP($AG38,$F$4:$G$7,2,FALSE),0)+VLOOKUP($Q38,武学奇术!$A:$ZZ,2,FALSE)+SUM(_xlfn.XLOOKUP($R38:$AF38,增益!$A:$A,增益!$B:$B,0))</f>
        <v>0.5741</v>
      </c>
      <c r="AM38" s="41" cm="1">
        <f t="array" ref="AM38">VLOOKUP($Q38,武学奇术!$A:$ZZ,5,FALSE)+SUM(_xlfn.XLOOKUP($R38:$AF38,增益!$A:$A,增益!$E:$E,0))</f>
        <v>0.15</v>
      </c>
      <c r="AN38" cm="1">
        <f t="array" ref="AN38">$D$10*(1+$AM38)+VLOOKUP($Q38,武学奇术!$A:$ZZ,3,FALSE)+SUM(_xlfn.XLOOKUP($R38:$AF38,增益!$A:$A,增益!$C:$C,0))-$I$2</f>
        <v>2088.71</v>
      </c>
      <c r="AO38" cm="1">
        <f t="array" ref="AO38">$E$10*(1+$AM38)+VLOOKUP($Q38,武学奇术!$A:$ZZ,4,FALSE)+SUM(_xlfn.XLOOKUP($R38:$AF38,增益!$A:$A,增益!$D:$D,0))-$I$2</f>
        <v>6332.9</v>
      </c>
      <c r="AP38" s="49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0.2675</v>
      </c>
      <c r="AQ38" s="49" cm="1">
        <f t="array" ref="AQ38">$G$10+VLOOKUP($Q38,武学奇术!$A:$ZZ,7,FALSE)+SUM(_xlfn.XLOOKUP(R38:AF38,增益!$A:$A,增益!$G:$G,0))</f>
        <v>0.1</v>
      </c>
      <c r="AR38" s="41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49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49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49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49" cm="1">
        <f t="array" ref="AZ38">$G$12+VLOOKUP($Q38,武学奇术!$A:$ZZ,12,FALSE)+SUM(_xlfn.XLOOKUP(R38:AF38,增益!$A:$A,增益!$L:$L,0))</f>
        <v>0</v>
      </c>
      <c r="BA38">
        <f t="shared" si="5"/>
        <v>571.2</v>
      </c>
      <c r="BB38">
        <f t="shared" si="6"/>
        <v>1077.4</v>
      </c>
      <c r="BC38" s="49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49" cm="1">
        <f t="array" ref="BD38">$G$13+VLOOKUP($Q38,武学奇术!$A:$ZZ,14,FALSE)+SUM(_xlfn.XLOOKUP(R38:AF38,增益!$A:$A,增益!$N:$N,0))</f>
        <v>0.25</v>
      </c>
      <c r="BE38">
        <f t="shared" si="7"/>
        <v>0</v>
      </c>
      <c r="BF38">
        <f t="shared" si="8"/>
        <v>0</v>
      </c>
      <c r="BG38" s="49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49" cm="1">
        <f t="array" ref="BH38">$G$14+VLOOKUP($Q38,武学奇术!$A:$ZZ,16,FALSE)+SUM(_xlfn.XLOOKUP(R38:AF38,增益!$A:$A,增益!$P:$P,0))</f>
        <v>0</v>
      </c>
      <c r="BI38" s="41">
        <f>MIN(IF(VLOOKUP($Q38,武学奇术!$A:$ZZ,23,FALSE)=1,100%,$B$8),100%)</f>
        <v>1</v>
      </c>
      <c r="BJ38" s="41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0.9045</v>
      </c>
      <c r="BK38" s="41" cm="1">
        <f t="array" ref="BK38">1+$B$13+VLOOKUP($Q38,武学奇术!$A:$ZZ,18,FALSE)+SUM(_xlfn.XLOOKUP(R38:AF38,增益!$A:$A,增益!$R:$R,0))</f>
        <v>1.96</v>
      </c>
      <c r="BL38" s="41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0.0929</v>
      </c>
      <c r="BM38" s="41" cm="1">
        <f t="array" ref="BM38">1+$B$14+VLOOKUP($Q38,武学奇术!$A:$ZZ,20,FALSE)+SUM(_xlfn.XLOOKUP(R38:AF38,增益!$A:$A,增益!$T:$T,0))</f>
        <v>1.35</v>
      </c>
      <c r="BN38" s="41">
        <f t="shared" si="9"/>
        <v>0.9045</v>
      </c>
      <c r="BO38" s="41">
        <f t="shared" si="10"/>
        <v>0.00260000000000005</v>
      </c>
      <c r="BP38" s="41">
        <f>IF(VLOOKUP($Q38,武学奇术!$A:$ZZ,22,FALSE)=1,0,(1-$BI38))*(1-$BL38)</f>
        <v>0</v>
      </c>
      <c r="BQ38" s="41" cm="1">
        <f t="array" ref="BQ38">SUM(_xlfn.XLOOKUP(R38:AF38,增益!$A:$A,增益!$W:$W,0))+$I$5</f>
        <v>0.11</v>
      </c>
    </row>
    <row r="39" spans="3:69">
      <c r="E39" s="4"/>
      <c r="F39" s="4"/>
      <c r="K39" s="55">
        <f t="shared" si="0"/>
        <v>110819.463493464</v>
      </c>
      <c r="L39" s="55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弹道",$B$21,0))*(1+$BQ39)</f>
        <v>111251.028666252</v>
      </c>
      <c r="M39" s="55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弹道",$B$21,0))*(1+$BQ39)</f>
        <v>108130.572332287</v>
      </c>
      <c r="N39" s="55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弹道",$B$21,0))*(1+$BQ39)</f>
        <v>56760.7289113531</v>
      </c>
      <c r="O39" s="55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弹道",$B$21,0))*(1+$BQ39)</f>
        <v>33424.7375765681</v>
      </c>
      <c r="P39" s="56">
        <v>2</v>
      </c>
      <c r="Q39" s="57" t="s">
        <v>102</v>
      </c>
      <c r="R39" s="57" t="s">
        <v>116</v>
      </c>
      <c r="S39" s="57" t="s">
        <v>153</v>
      </c>
      <c r="T39" s="57" t="s">
        <v>92</v>
      </c>
      <c r="U39" s="57" t="s">
        <v>157</v>
      </c>
      <c r="V39" s="57" t="s">
        <v>86</v>
      </c>
      <c r="W39" s="57" t="s">
        <v>72</v>
      </c>
      <c r="X39" s="57" t="s">
        <v>72</v>
      </c>
      <c r="Y39" s="57" t="s">
        <v>72</v>
      </c>
      <c r="Z39" s="57" t="s">
        <v>72</v>
      </c>
      <c r="AA39" s="57" t="s">
        <v>72</v>
      </c>
      <c r="AB39" s="57" t="s">
        <v>72</v>
      </c>
      <c r="AC39" s="57" t="s">
        <v>72</v>
      </c>
      <c r="AD39" s="57" t="s">
        <v>72</v>
      </c>
      <c r="AE39" s="57" t="s">
        <v>72</v>
      </c>
      <c r="AF39" s="57" t="s">
        <v>87</v>
      </c>
      <c r="AG39" t="str">
        <f>VLOOKUP($Q39,武学奇术!$A:$ZZ,25,FALSE)</f>
        <v>伞</v>
      </c>
      <c r="AH39" s="41">
        <f>VLOOKUP($Q39,武学奇术!$A:$ZZ,26,FALSE)</f>
        <v>1.174955</v>
      </c>
      <c r="AI39" s="42">
        <f>VLOOKUP($Q39,武学奇术!$A:$ZZ,27,FALSE)*(1+IF(OR($AG39=$F$4,$AG39=$F$5),$B$22,0))</f>
        <v>454.02</v>
      </c>
      <c r="AJ39" s="41">
        <f>VLOOKUP($Q39,武学奇术!$A:$ZZ,28,FALSE)</f>
        <v>1.762375</v>
      </c>
      <c r="AK39" s="42">
        <f>VLOOKUP($Q39,武学奇术!$A:$ZZ,29,FALSE)*(1+IF(OR($AG39=$F$4,$AG39=$F$5),$B$22,0))</f>
        <v>247.94</v>
      </c>
      <c r="AL39" s="41" cm="1">
        <f t="array" ref="AL39">$G$3+IFERROR(VLOOKUP($AG39,$F$4:$G$7,2,FALSE),0)+VLOOKUP($Q39,武学奇术!$A:$ZZ,2,FALSE)+SUM(_xlfn.XLOOKUP($R39:$AF39,增益!$A:$A,增益!$B:$B,0))</f>
        <v>0.9741</v>
      </c>
      <c r="AM39" s="41" cm="1">
        <f t="array" ref="AM39">VLOOKUP($Q39,武学奇术!$A:$ZZ,5,FALSE)+SUM(_xlfn.XLOOKUP($R39:$AF39,增益!$A:$A,增益!$E:$E,0))</f>
        <v>0.15</v>
      </c>
      <c r="AN39" cm="1">
        <f t="array" ref="AN39">$D$10*(1+$AM39)+VLOOKUP($Q39,武学奇术!$A:$ZZ,3,FALSE)+SUM(_xlfn.XLOOKUP($R39:$AF39,增益!$A:$A,增益!$C:$C,0))-$I$2</f>
        <v>2088.71</v>
      </c>
      <c r="AO39" cm="1">
        <f t="array" ref="AO39">$E$10*(1+$AM39)+VLOOKUP($Q39,武学奇术!$A:$ZZ,4,FALSE)+SUM(_xlfn.XLOOKUP($R39:$AF39,增益!$A:$A,增益!$D:$D,0))-$I$2</f>
        <v>6332.9</v>
      </c>
      <c r="AP39" s="49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0.2675</v>
      </c>
      <c r="AQ39" s="49" cm="1">
        <f t="array" ref="AQ39">$G$10+VLOOKUP($Q39,武学奇术!$A:$ZZ,7,FALSE)+SUM(_xlfn.XLOOKUP(R39:AF39,增益!$A:$A,增益!$G:$G,0))</f>
        <v>0.1</v>
      </c>
      <c r="AR39" s="41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49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49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49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49" cm="1">
        <f t="array" ref="AZ39">$G$12+VLOOKUP($Q39,武学奇术!$A:$ZZ,12,FALSE)+SUM(_xlfn.XLOOKUP(R39:AF39,增益!$A:$A,增益!$L:$L,0))</f>
        <v>0</v>
      </c>
      <c r="BA39">
        <f t="shared" si="5"/>
        <v>571.2</v>
      </c>
      <c r="BB39">
        <f t="shared" si="6"/>
        <v>1077.4</v>
      </c>
      <c r="BC39" s="49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49" cm="1">
        <f t="array" ref="BD39">$G$13+VLOOKUP($Q39,武学奇术!$A:$ZZ,14,FALSE)+SUM(_xlfn.XLOOKUP(R39:AF39,增益!$A:$A,增益!$N:$N,0))</f>
        <v>0.25</v>
      </c>
      <c r="BE39">
        <f t="shared" si="7"/>
        <v>0</v>
      </c>
      <c r="BF39">
        <f t="shared" si="8"/>
        <v>0</v>
      </c>
      <c r="BG39" s="49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49" cm="1">
        <f t="array" ref="BH39">$G$14+VLOOKUP($Q39,武学奇术!$A:$ZZ,16,FALSE)+SUM(_xlfn.XLOOKUP(R39:AF39,增益!$A:$A,增益!$P:$P,0))</f>
        <v>0</v>
      </c>
      <c r="BI39" s="41">
        <f>MIN(IF(VLOOKUP($Q39,武学奇术!$A:$ZZ,23,FALSE)=1,100%,$B$8),100%)</f>
        <v>1</v>
      </c>
      <c r="BJ39" s="41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0.9045</v>
      </c>
      <c r="BK39" s="41" cm="1">
        <f t="array" ref="BK39">1+$B$13+VLOOKUP($Q39,武学奇术!$A:$ZZ,18,FALSE)+SUM(_xlfn.XLOOKUP(R39:AF39,增益!$A:$A,增益!$R:$R,0))</f>
        <v>1.96</v>
      </c>
      <c r="BL39" s="41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0.0929</v>
      </c>
      <c r="BM39" s="41" cm="1">
        <f t="array" ref="BM39">1+$B$14+VLOOKUP($Q39,武学奇术!$A:$ZZ,20,FALSE)+SUM(_xlfn.XLOOKUP(R39:AF39,增益!$A:$A,增益!$T:$T,0))</f>
        <v>1.35</v>
      </c>
      <c r="BN39" s="41">
        <f t="shared" si="9"/>
        <v>0.9045</v>
      </c>
      <c r="BO39" s="41">
        <f t="shared" si="10"/>
        <v>0.00260000000000005</v>
      </c>
      <c r="BP39" s="41">
        <f>IF(VLOOKUP($Q39,武学奇术!$A:$ZZ,22,FALSE)=1,0,(1-$BI39))*(1-$BL39)</f>
        <v>0</v>
      </c>
      <c r="BQ39" s="41" cm="1">
        <f t="array" ref="BQ39">SUM(_xlfn.XLOOKUP(R39:AF39,增益!$A:$A,增益!$W:$W,0))+$I$5</f>
        <v>0.11</v>
      </c>
    </row>
    <row r="40" spans="3:69">
      <c r="K40" s="55">
        <f t="shared" si="0"/>
        <v>15555.1302081349</v>
      </c>
      <c r="L40" s="55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弹道",$B$21,0))*(1+$BQ40)</f>
        <v>15300.739866082</v>
      </c>
      <c r="M40" s="55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弹道",$B$21,0))*(1+$BQ40)</f>
        <v>18199.6479761175</v>
      </c>
      <c r="N40" s="55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弹道",$B$21,0))*(1+$BQ40)</f>
        <v>9562.96241630124</v>
      </c>
      <c r="O40" s="55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弹道",$B$21,0))*(1+$BQ40)</f>
        <v>5644.70410955244</v>
      </c>
      <c r="P40" s="56">
        <v>1</v>
      </c>
      <c r="Q40" s="57" t="s">
        <v>146</v>
      </c>
      <c r="R40" s="57" t="s">
        <v>116</v>
      </c>
      <c r="S40" s="57" t="s">
        <v>153</v>
      </c>
      <c r="T40" s="57" t="s">
        <v>72</v>
      </c>
      <c r="U40" s="57" t="s">
        <v>157</v>
      </c>
      <c r="V40" s="57" t="s">
        <v>72</v>
      </c>
      <c r="W40" s="57" t="s">
        <v>72</v>
      </c>
      <c r="X40" s="57" t="s">
        <v>72</v>
      </c>
      <c r="Y40" s="57" t="s">
        <v>72</v>
      </c>
      <c r="Z40" s="57" t="s">
        <v>72</v>
      </c>
      <c r="AA40" s="57" t="s">
        <v>72</v>
      </c>
      <c r="AB40" s="57" t="s">
        <v>72</v>
      </c>
      <c r="AC40" s="57" t="s">
        <v>72</v>
      </c>
      <c r="AD40" s="57" t="s">
        <v>72</v>
      </c>
      <c r="AE40" s="57" t="s">
        <v>72</v>
      </c>
      <c r="AF40" s="57" t="s">
        <v>87</v>
      </c>
      <c r="AG40" t="str">
        <f>VLOOKUP($Q40,武学奇术!$A:$ZZ,25,FALSE)</f>
        <v>扇</v>
      </c>
      <c r="AH40" s="41">
        <f>VLOOKUP($Q40,武学奇术!$A:$ZZ,26,FALSE)</f>
        <v>0.9271</v>
      </c>
      <c r="AI40" s="42">
        <f>VLOOKUP($Q40,武学奇术!$A:$ZZ,27,FALSE)*(1+IF(OR($AG40=$F$4,$AG40=$F$5),$B$22,0))</f>
        <v>359.8</v>
      </c>
      <c r="AJ40" s="41">
        <f>VLOOKUP($Q40,武学奇术!$A:$ZZ,28,FALSE)</f>
        <v>1.3907</v>
      </c>
      <c r="AK40" s="42">
        <f>VLOOKUP($Q40,武学奇术!$A:$ZZ,29,FALSE)*(1+IF(OR($AG40=$F$4,$AG40=$F$5),$B$22,0))</f>
        <v>196</v>
      </c>
      <c r="AL40" s="41" cm="1">
        <f t="array" ref="AL40">$G$3+IFERROR(VLOOKUP($AG40,$F$4:$G$7,2,FALSE),0)+VLOOKUP($Q40,武学奇术!$A:$ZZ,2,FALSE)+SUM(_xlfn.XLOOKUP($R40:$AF40,增益!$A:$A,增益!$B:$B,0))</f>
        <v>0.2389</v>
      </c>
      <c r="AM40" s="41" cm="1">
        <f t="array" ref="AM40">VLOOKUP($Q40,武学奇术!$A:$ZZ,5,FALSE)+SUM(_xlfn.XLOOKUP($R40:$AF40,增益!$A:$A,增益!$E:$E,0))</f>
        <v>0.15</v>
      </c>
      <c r="AN40" cm="1">
        <f t="array" ref="AN40">$D$10*(1+$AM40)+VLOOKUP($Q40,武学奇术!$A:$ZZ,3,FALSE)+SUM(_xlfn.XLOOKUP($R40:$AF40,增益!$A:$A,增益!$C:$C,0))-$I$2</f>
        <v>2088.71</v>
      </c>
      <c r="AO40" cm="1">
        <f t="array" ref="AO40">$E$10*(1+$AM40)+VLOOKUP($Q40,武学奇术!$A:$ZZ,4,FALSE)+SUM(_xlfn.XLOOKUP($R40:$AF40,增益!$A:$A,增益!$D:$D,0))-$I$2</f>
        <v>6332.9</v>
      </c>
      <c r="AP40" s="49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0.2425</v>
      </c>
      <c r="AQ40" s="49" cm="1">
        <f t="array" ref="AQ40">$G$10+VLOOKUP($Q40,武学奇术!$A:$ZZ,7,FALSE)+SUM(_xlfn.XLOOKUP(R40:AF40,增益!$A:$A,增益!$G:$G,0))</f>
        <v>0</v>
      </c>
      <c r="AR40" s="41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49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49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49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49" cm="1">
        <f t="array" ref="AZ40">$G$12+VLOOKUP($Q40,武学奇术!$A:$ZZ,12,FALSE)+SUM(_xlfn.XLOOKUP(R40:AF40,增益!$A:$A,增益!$L:$L,0))</f>
        <v>0</v>
      </c>
      <c r="BA40">
        <f t="shared" si="5"/>
        <v>571.2</v>
      </c>
      <c r="BB40">
        <f t="shared" si="6"/>
        <v>1077.4</v>
      </c>
      <c r="BC40" s="49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49" cm="1">
        <f t="array" ref="BD40">$G$13+VLOOKUP($Q40,武学奇术!$A:$ZZ,14,FALSE)+SUM(_xlfn.XLOOKUP(R40:AF40,增益!$A:$A,增益!$N:$N,0))</f>
        <v>0.15</v>
      </c>
      <c r="BE40">
        <f t="shared" si="7"/>
        <v>0</v>
      </c>
      <c r="BF40">
        <f t="shared" si="8"/>
        <v>0</v>
      </c>
      <c r="BG40" s="49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49" cm="1">
        <f t="array" ref="BH40">$G$14+VLOOKUP($Q40,武学奇术!$A:$ZZ,16,FALSE)+SUM(_xlfn.XLOOKUP(R40:AF40,增益!$A:$A,增益!$P:$P,0))</f>
        <v>0</v>
      </c>
      <c r="BI40" s="41">
        <f>MIN(IF(VLOOKUP($Q40,武学奇术!$A:$ZZ,23,FALSE)=1,100%,$B$8),100%)</f>
        <v>1</v>
      </c>
      <c r="BJ40" s="41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0.9045</v>
      </c>
      <c r="BK40" s="41" cm="1">
        <f t="array" ref="BK40">1+$B$13+VLOOKUP($Q40,武学奇术!$A:$ZZ,18,FALSE)+SUM(_xlfn.XLOOKUP(R40:AF40,增益!$A:$A,增益!$R:$R,0))</f>
        <v>1.6</v>
      </c>
      <c r="BL40" s="41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0.0929</v>
      </c>
      <c r="BM40" s="41" cm="1">
        <f t="array" ref="BM40">1+$B$14+VLOOKUP($Q40,武学奇术!$A:$ZZ,20,FALSE)+SUM(_xlfn.XLOOKUP(R40:AF40,增益!$A:$A,增益!$T:$T,0))</f>
        <v>1.35</v>
      </c>
      <c r="BN40" s="41">
        <f t="shared" si="9"/>
        <v>0.9045</v>
      </c>
      <c r="BO40" s="41">
        <f t="shared" si="10"/>
        <v>0.00260000000000005</v>
      </c>
      <c r="BP40" s="41">
        <f>IF(VLOOKUP($Q40,武学奇术!$A:$ZZ,22,FALSE)=1,0,(1-$BI40))*(1-$BL40)</f>
        <v>0</v>
      </c>
      <c r="BQ40" s="41" cm="1">
        <f t="array" ref="BQ40">SUM(_xlfn.XLOOKUP(R40:AF40,增益!$A:$A,增益!$W:$W,0))+$I$5</f>
        <v>0.11</v>
      </c>
    </row>
    <row r="41" spans="3:69">
      <c r="K41" s="55">
        <f t="shared" si="0"/>
        <v>125937.282090987</v>
      </c>
      <c r="L41" s="55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弹道",$B$21,0))*(1+$BQ41)</f>
        <v>123528.399474632</v>
      </c>
      <c r="M41" s="55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弹道",$B$21,0))*(1+$BQ41)</f>
        <v>150754.694478323</v>
      </c>
      <c r="N41" s="55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弹道",$B$21,0))*(1+$BQ41)</f>
        <v>77205.249671645</v>
      </c>
      <c r="O41" s="55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弹道",$B$21,0))*(1+$BQ41)</f>
        <v>42740.3552852727</v>
      </c>
      <c r="P41" s="56">
        <v>1</v>
      </c>
      <c r="Q41" s="57" t="s">
        <v>129</v>
      </c>
      <c r="R41" s="57" t="s">
        <v>116</v>
      </c>
      <c r="S41" s="57" t="s">
        <v>153</v>
      </c>
      <c r="T41" s="57" t="s">
        <v>72</v>
      </c>
      <c r="U41" s="57" t="s">
        <v>157</v>
      </c>
      <c r="V41" s="57" t="s">
        <v>72</v>
      </c>
      <c r="W41" s="57" t="s">
        <v>72</v>
      </c>
      <c r="X41" s="57" t="s">
        <v>72</v>
      </c>
      <c r="Y41" s="57" t="s">
        <v>72</v>
      </c>
      <c r="Z41" s="57" t="s">
        <v>72</v>
      </c>
      <c r="AA41" s="57" t="s">
        <v>72</v>
      </c>
      <c r="AB41" s="57" t="s">
        <v>72</v>
      </c>
      <c r="AC41" s="57" t="s">
        <v>72</v>
      </c>
      <c r="AD41" s="57" t="s">
        <v>72</v>
      </c>
      <c r="AE41" s="57" t="s">
        <v>72</v>
      </c>
      <c r="AF41" s="57" t="s">
        <v>87</v>
      </c>
      <c r="AG41" t="str">
        <f>VLOOKUP($Q41,武学奇术!$A:$ZZ,25,FALSE)</f>
        <v>单体奇术</v>
      </c>
      <c r="AH41" s="41">
        <f>VLOOKUP($Q41,武学奇术!$A:$ZZ,26,FALSE)</f>
        <v>7.1074</v>
      </c>
      <c r="AI41" s="42">
        <f>VLOOKUP($Q41,武学奇术!$A:$ZZ,27,FALSE)*(1+IF(OR($AG41=$F$4,$AG41=$F$5),$B$22,0))</f>
        <v>1320</v>
      </c>
      <c r="AJ41" s="41">
        <f>VLOOKUP($Q41,武学奇术!$A:$ZZ,28,FALSE)</f>
        <v>10.6596</v>
      </c>
      <c r="AK41" s="42">
        <f>VLOOKUP($Q41,武学奇术!$A:$ZZ,29,FALSE)*(1+IF(OR($AG41=$F$4,$AG41=$F$5),$B$22,0))</f>
        <v>0</v>
      </c>
      <c r="AL41" s="41" cm="1">
        <f t="array" ref="AL41">$G$3+IFERROR(VLOOKUP($AG41,$F$4:$G$7,2,FALSE),0)+VLOOKUP($Q41,武学奇术!$A:$ZZ,2,FALSE)+SUM(_xlfn.XLOOKUP($R41:$AF41,增益!$A:$A,增益!$B:$B,0))</f>
        <v>0.4215</v>
      </c>
      <c r="AM41" s="41" cm="1">
        <f t="array" ref="AM41">VLOOKUP($Q41,武学奇术!$A:$ZZ,5,FALSE)+SUM(_xlfn.XLOOKUP($R41:$AF41,增益!$A:$A,增益!$E:$E,0))</f>
        <v>0.15</v>
      </c>
      <c r="AN41" cm="1">
        <f t="array" ref="AN41">$D$10*(1+$AM41)+VLOOKUP($Q41,武学奇术!$A:$ZZ,3,FALSE)+SUM(_xlfn.XLOOKUP($R41:$AF41,增益!$A:$A,增益!$C:$C,0))-$I$2</f>
        <v>2088.71</v>
      </c>
      <c r="AO41" cm="1">
        <f t="array" ref="AO41">$E$10*(1+$AM41)+VLOOKUP($Q41,武学奇术!$A:$ZZ,4,FALSE)+SUM(_xlfn.XLOOKUP($R41:$AF41,增益!$A:$A,增益!$D:$D,0))-$I$2</f>
        <v>6332.9</v>
      </c>
      <c r="AP41" s="49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0.2425</v>
      </c>
      <c r="AQ41" s="49" cm="1">
        <f t="array" ref="AQ41">$G$10+VLOOKUP($Q41,武学奇术!$A:$ZZ,7,FALSE)+SUM(_xlfn.XLOOKUP(R41:AF41,增益!$A:$A,增益!$G:$G,0))</f>
        <v>0</v>
      </c>
      <c r="AR41" s="41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49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49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49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49" cm="1">
        <f t="array" ref="AZ41">$G$12+VLOOKUP($Q41,武学奇术!$A:$ZZ,12,FALSE)+SUM(_xlfn.XLOOKUP(R41:AF41,增益!$A:$A,增益!$L:$L,0))</f>
        <v>0</v>
      </c>
      <c r="BA41">
        <f t="shared" si="5"/>
        <v>571.2</v>
      </c>
      <c r="BB41">
        <f t="shared" si="6"/>
        <v>1077.4</v>
      </c>
      <c r="BC41" s="49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49" cm="1">
        <f t="array" ref="BD41">$G$13+VLOOKUP($Q41,武学奇术!$A:$ZZ,14,FALSE)+SUM(_xlfn.XLOOKUP(R41:AF41,增益!$A:$A,增益!$N:$N,0))</f>
        <v>0.15</v>
      </c>
      <c r="BE41">
        <f t="shared" si="7"/>
        <v>0</v>
      </c>
      <c r="BF41">
        <f t="shared" si="8"/>
        <v>0</v>
      </c>
      <c r="BG41" s="49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49" cm="1">
        <f t="array" ref="BH41">$G$14+VLOOKUP($Q41,武学奇术!$A:$ZZ,16,FALSE)+SUM(_xlfn.XLOOKUP(R41:AF41,增益!$A:$A,增益!$P:$P,0))</f>
        <v>0</v>
      </c>
      <c r="BI41" s="41">
        <f>MIN(IF(VLOOKUP($Q41,武学奇术!$A:$ZZ,23,FALSE)=1,100%,$B$8),100%)</f>
        <v>1</v>
      </c>
      <c r="BJ41" s="41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0.9045</v>
      </c>
      <c r="BK41" s="41" cm="1">
        <f t="array" ref="BK41">1+$B$13+VLOOKUP($Q41,武学奇术!$A:$ZZ,18,FALSE)+SUM(_xlfn.XLOOKUP(R41:AF41,增益!$A:$A,增益!$R:$R,0))</f>
        <v>1.6</v>
      </c>
      <c r="BL41" s="41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0.0929</v>
      </c>
      <c r="BM41" s="41" cm="1">
        <f t="array" ref="BM41">1+$B$14+VLOOKUP($Q41,武学奇术!$A:$ZZ,20,FALSE)+SUM(_xlfn.XLOOKUP(R41:AF41,增益!$A:$A,增益!$T:$T,0))</f>
        <v>1.35</v>
      </c>
      <c r="BN41" s="41">
        <f t="shared" si="9"/>
        <v>0.9045</v>
      </c>
      <c r="BO41" s="41">
        <f t="shared" si="10"/>
        <v>0.00260000000000005</v>
      </c>
      <c r="BP41" s="41">
        <f>IF(VLOOKUP($Q41,武学奇术!$A:$ZZ,22,FALSE)=1,0,(1-$BI41))*(1-$BL41)</f>
        <v>0</v>
      </c>
      <c r="BQ41" s="41" cm="1">
        <f t="array" ref="BQ41">SUM(_xlfn.XLOOKUP(R41:AF41,增益!$A:$A,增益!$W:$W,0))+$I$5</f>
        <v>0.11</v>
      </c>
    </row>
    <row r="42" spans="3:69">
      <c r="K42" s="55">
        <f t="shared" si="0"/>
        <v>33435.7379010288</v>
      </c>
      <c r="L42" s="55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弹道",$B$21,0))*(1+$BQ42)</f>
        <v>32887.55504822</v>
      </c>
      <c r="M42" s="55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弹道",$B$21,0))*(1+$BQ42)</f>
        <v>39133.4992783687</v>
      </c>
      <c r="N42" s="55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弹道",$B$21,0))*(1+$BQ42)</f>
        <v>20554.7219051375</v>
      </c>
      <c r="O42" s="55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弹道",$B$21,0))*(1+$BQ42)</f>
        <v>12121.666567039</v>
      </c>
      <c r="P42" s="56">
        <v>1</v>
      </c>
      <c r="Q42" s="57" t="s">
        <v>94</v>
      </c>
      <c r="R42" s="57" t="s">
        <v>116</v>
      </c>
      <c r="S42" s="57" t="s">
        <v>153</v>
      </c>
      <c r="T42" s="57" t="s">
        <v>72</v>
      </c>
      <c r="U42" s="57" t="s">
        <v>157</v>
      </c>
      <c r="V42" s="57" t="s">
        <v>72</v>
      </c>
      <c r="W42" s="57" t="s">
        <v>72</v>
      </c>
      <c r="X42" s="57" t="s">
        <v>72</v>
      </c>
      <c r="Y42" s="57" t="s">
        <v>72</v>
      </c>
      <c r="Z42" s="57" t="s">
        <v>72</v>
      </c>
      <c r="AA42" s="57" t="s">
        <v>72</v>
      </c>
      <c r="AB42" s="57" t="s">
        <v>72</v>
      </c>
      <c r="AC42" s="57" t="s">
        <v>72</v>
      </c>
      <c r="AD42" s="57" t="s">
        <v>72</v>
      </c>
      <c r="AE42" s="57" t="s">
        <v>72</v>
      </c>
      <c r="AF42" s="57" t="s">
        <v>87</v>
      </c>
      <c r="AG42" t="str">
        <f>VLOOKUP($Q42,武学奇术!$A:$ZZ,25,FALSE)</f>
        <v>伞</v>
      </c>
      <c r="AH42" s="41">
        <f>VLOOKUP($Q42,武学奇术!$A:$ZZ,26,FALSE)</f>
        <v>1.7001</v>
      </c>
      <c r="AI42" s="42">
        <f>VLOOKUP($Q42,武学奇术!$A:$ZZ,27,FALSE)*(1+IF(OR($AG42=$F$4,$AG42=$F$5),$B$22,0))</f>
        <v>659.4</v>
      </c>
      <c r="AJ42" s="41">
        <f>VLOOKUP($Q42,武学奇术!$A:$ZZ,28,FALSE)</f>
        <v>2.5502</v>
      </c>
      <c r="AK42" s="42">
        <f>VLOOKUP($Q42,武学奇术!$A:$ZZ,29,FALSE)*(1+IF(OR($AG42=$F$4,$AG42=$F$5),$B$22,0))</f>
        <v>358.4</v>
      </c>
      <c r="AL42" s="41" cm="1">
        <f t="array" ref="AL42">$G$3+IFERROR(VLOOKUP($AG42,$F$4:$G$7,2,FALSE),0)+VLOOKUP($Q42,武学奇术!$A:$ZZ,2,FALSE)+SUM(_xlfn.XLOOKUP($R42:$AF42,增益!$A:$A,增益!$B:$B,0))</f>
        <v>0.3241</v>
      </c>
      <c r="AM42" s="41" cm="1">
        <f t="array" ref="AM42">VLOOKUP($Q42,武学奇术!$A:$ZZ,5,FALSE)+SUM(_xlfn.XLOOKUP($R42:$AF42,增益!$A:$A,增益!$E:$E,0))</f>
        <v>0.15</v>
      </c>
      <c r="AN42" cm="1">
        <f t="array" ref="AN42">$D$10*(1+$AM42)+VLOOKUP($Q42,武学奇术!$A:$ZZ,3,FALSE)+SUM(_xlfn.XLOOKUP($R42:$AF42,增益!$A:$A,增益!$C:$C,0))-$I$2</f>
        <v>2088.71</v>
      </c>
      <c r="AO42" cm="1">
        <f t="array" ref="AO42">$E$10*(1+$AM42)+VLOOKUP($Q42,武学奇术!$A:$ZZ,4,FALSE)+SUM(_xlfn.XLOOKUP($R42:$AF42,增益!$A:$A,增益!$D:$D,0))-$I$2</f>
        <v>6332.9</v>
      </c>
      <c r="AP42" s="49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0.2425</v>
      </c>
      <c r="AQ42" s="49" cm="1">
        <f t="array" ref="AQ42">$G$10+VLOOKUP($Q42,武学奇术!$A:$ZZ,7,FALSE)+SUM(_xlfn.XLOOKUP(R42:AF42,增益!$A:$A,增益!$G:$G,0))</f>
        <v>0.1</v>
      </c>
      <c r="AR42" s="41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49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49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49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49" cm="1">
        <f t="array" ref="AZ42">$G$12+VLOOKUP($Q42,武学奇术!$A:$ZZ,12,FALSE)+SUM(_xlfn.XLOOKUP(R42:AF42,增益!$A:$A,增益!$L:$L,0))</f>
        <v>0</v>
      </c>
      <c r="BA42">
        <f t="shared" si="5"/>
        <v>571.2</v>
      </c>
      <c r="BB42">
        <f t="shared" si="6"/>
        <v>1077.4</v>
      </c>
      <c r="BC42" s="49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49" cm="1">
        <f t="array" ref="BD42">$G$13+VLOOKUP($Q42,武学奇术!$A:$ZZ,14,FALSE)+SUM(_xlfn.XLOOKUP(R42:AF42,增益!$A:$A,增益!$N:$N,0))</f>
        <v>0.25</v>
      </c>
      <c r="BE42">
        <f t="shared" si="7"/>
        <v>0</v>
      </c>
      <c r="BF42">
        <f t="shared" si="8"/>
        <v>0</v>
      </c>
      <c r="BG42" s="49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49" cm="1">
        <f t="array" ref="BH42">$G$14+VLOOKUP($Q42,武学奇术!$A:$ZZ,16,FALSE)+SUM(_xlfn.XLOOKUP(R42:AF42,增益!$A:$A,增益!$P:$P,0))</f>
        <v>0</v>
      </c>
      <c r="BI42" s="41">
        <f>MIN(IF(VLOOKUP($Q42,武学奇术!$A:$ZZ,23,FALSE)=1,100%,$B$8),100%)</f>
        <v>1</v>
      </c>
      <c r="BJ42" s="41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0.9045</v>
      </c>
      <c r="BK42" s="41" cm="1">
        <f t="array" ref="BK42">1+$B$13+VLOOKUP($Q42,武学奇术!$A:$ZZ,18,FALSE)+SUM(_xlfn.XLOOKUP(R42:AF42,增益!$A:$A,增益!$R:$R,0))</f>
        <v>1.6</v>
      </c>
      <c r="BL42" s="41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0.0929</v>
      </c>
      <c r="BM42" s="41" cm="1">
        <f t="array" ref="BM42">1+$B$14+VLOOKUP($Q42,武学奇术!$A:$ZZ,20,FALSE)+SUM(_xlfn.XLOOKUP(R42:AF42,增益!$A:$A,增益!$T:$T,0))</f>
        <v>1.35</v>
      </c>
      <c r="BN42" s="41">
        <f t="shared" si="9"/>
        <v>0.9045</v>
      </c>
      <c r="BO42" s="41">
        <f t="shared" si="10"/>
        <v>0.00260000000000005</v>
      </c>
      <c r="BP42" s="41">
        <f>IF(VLOOKUP($Q42,武学奇术!$A:$ZZ,22,FALSE)=1,0,(1-$BI42))*(1-$BL42)</f>
        <v>0</v>
      </c>
      <c r="BQ42" s="41" cm="1">
        <f t="array" ref="BQ42">SUM(_xlfn.XLOOKUP(R42:AF42,增益!$A:$A,增益!$W:$W,0))+$I$5</f>
        <v>0.11</v>
      </c>
    </row>
    <row r="43" spans="3:69">
      <c r="K43" s="55">
        <f t="shared" si="0"/>
        <v>83611.392938889</v>
      </c>
      <c r="L43" s="55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弹道",$B$21,0))*(1+$BQ43)</f>
        <v>83937.5953975594</v>
      </c>
      <c r="M43" s="55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弹道",$B$21,0))*(1+$BQ43)</f>
        <v>81576.8795692511</v>
      </c>
      <c r="N43" s="55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弹道",$B$21,0))*(1+$BQ43)</f>
        <v>42825.303774265</v>
      </c>
      <c r="O43" s="55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弹道",$B$21,0))*(1+$BQ43)</f>
        <v>25223.2893490847</v>
      </c>
      <c r="P43" s="56">
        <v>1</v>
      </c>
      <c r="Q43" s="57" t="s">
        <v>84</v>
      </c>
      <c r="R43" s="57" t="s">
        <v>116</v>
      </c>
      <c r="S43" s="57" t="s">
        <v>153</v>
      </c>
      <c r="T43" s="57" t="s">
        <v>92</v>
      </c>
      <c r="U43" s="57" t="s">
        <v>157</v>
      </c>
      <c r="V43" s="57" t="s">
        <v>86</v>
      </c>
      <c r="W43" s="57" t="s">
        <v>72</v>
      </c>
      <c r="X43" s="57" t="s">
        <v>72</v>
      </c>
      <c r="Y43" s="57" t="s">
        <v>72</v>
      </c>
      <c r="Z43" s="57" t="s">
        <v>72</v>
      </c>
      <c r="AA43" s="57" t="s">
        <v>72</v>
      </c>
      <c r="AB43" s="57" t="s">
        <v>72</v>
      </c>
      <c r="AC43" s="57" t="s">
        <v>72</v>
      </c>
      <c r="AD43" s="57" t="s">
        <v>72</v>
      </c>
      <c r="AE43" s="57" t="s">
        <v>72</v>
      </c>
      <c r="AF43" s="57" t="s">
        <v>87</v>
      </c>
      <c r="AG43" t="str">
        <f>VLOOKUP($Q43,武学奇术!$A:$ZZ,25,FALSE)</f>
        <v>伞</v>
      </c>
      <c r="AH43" s="41">
        <f>VLOOKUP($Q43,武学奇术!$A:$ZZ,26,FALSE)</f>
        <v>2.3397</v>
      </c>
      <c r="AI43" s="42">
        <f>VLOOKUP($Q43,武学奇术!$A:$ZZ,27,FALSE)*(1+IF(OR($AG43=$F$4,$AG43=$F$5),$B$22,0))</f>
        <v>907.2</v>
      </c>
      <c r="AJ43" s="41">
        <f>VLOOKUP($Q43,武学奇术!$A:$ZZ,28,FALSE)</f>
        <v>3.5095</v>
      </c>
      <c r="AK43" s="42">
        <f>VLOOKUP($Q43,武学奇术!$A:$ZZ,29,FALSE)*(1+IF(OR($AG43=$F$4,$AG43=$F$5),$B$22,0))</f>
        <v>494.2</v>
      </c>
      <c r="AL43" s="41" cm="1">
        <f t="array" ref="AL43">$G$3+IFERROR(VLOOKUP($AG43,$F$4:$G$7,2,FALSE),0)+VLOOKUP($Q43,武学奇术!$A:$ZZ,2,FALSE)+SUM(_xlfn.XLOOKUP($R43:$AF43,增益!$A:$A,增益!$B:$B,0))</f>
        <v>0.9741</v>
      </c>
      <c r="AM43" s="41" cm="1">
        <f t="array" ref="AM43">VLOOKUP($Q43,武学奇术!$A:$ZZ,5,FALSE)+SUM(_xlfn.XLOOKUP($R43:$AF43,增益!$A:$A,增益!$E:$E,0))</f>
        <v>0.15</v>
      </c>
      <c r="AN43" cm="1">
        <f t="array" ref="AN43">$D$10*(1+$AM43)+VLOOKUP($Q43,武学奇术!$A:$ZZ,3,FALSE)+SUM(_xlfn.XLOOKUP($R43:$AF43,增益!$A:$A,增益!$C:$C,0))-$I$2</f>
        <v>2088.71</v>
      </c>
      <c r="AO43" cm="1">
        <f t="array" ref="AO43">$E$10*(1+$AM43)+VLOOKUP($Q43,武学奇术!$A:$ZZ,4,FALSE)+SUM(_xlfn.XLOOKUP($R43:$AF43,增益!$A:$A,增益!$D:$D,0))-$I$2</f>
        <v>6332.9</v>
      </c>
      <c r="AP43" s="49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0.2675</v>
      </c>
      <c r="AQ43" s="49" cm="1">
        <f t="array" ref="AQ43">$G$10+VLOOKUP($Q43,武学奇术!$A:$ZZ,7,FALSE)+SUM(_xlfn.XLOOKUP(R43:AF43,增益!$A:$A,增益!$G:$G,0))</f>
        <v>0.1</v>
      </c>
      <c r="AR43" s="41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49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49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49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49" cm="1">
        <f t="array" ref="AZ43">$G$12+VLOOKUP($Q43,武学奇术!$A:$ZZ,12,FALSE)+SUM(_xlfn.XLOOKUP(R43:AF43,增益!$A:$A,增益!$L:$L,0))</f>
        <v>0</v>
      </c>
      <c r="BA43">
        <f t="shared" si="5"/>
        <v>571.2</v>
      </c>
      <c r="BB43">
        <f t="shared" si="6"/>
        <v>1077.4</v>
      </c>
      <c r="BC43" s="49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49" cm="1">
        <f t="array" ref="BD43">$G$13+VLOOKUP($Q43,武学奇术!$A:$ZZ,14,FALSE)+SUM(_xlfn.XLOOKUP(R43:AF43,增益!$A:$A,增益!$N:$N,0))</f>
        <v>0.25</v>
      </c>
      <c r="BE43">
        <f t="shared" si="7"/>
        <v>0</v>
      </c>
      <c r="BF43">
        <f t="shared" si="8"/>
        <v>0</v>
      </c>
      <c r="BG43" s="49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49" cm="1">
        <f t="array" ref="BH43">$G$14+VLOOKUP($Q43,武学奇术!$A:$ZZ,16,FALSE)+SUM(_xlfn.XLOOKUP(R43:AF43,增益!$A:$A,增益!$P:$P,0))</f>
        <v>0</v>
      </c>
      <c r="BI43" s="41">
        <f>MIN(IF(VLOOKUP($Q43,武学奇术!$A:$ZZ,23,FALSE)=1,100%,$B$8),100%)</f>
        <v>1</v>
      </c>
      <c r="BJ43" s="41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0.9045</v>
      </c>
      <c r="BK43" s="41" cm="1">
        <f t="array" ref="BK43">1+$B$13+VLOOKUP($Q43,武学奇术!$A:$ZZ,18,FALSE)+SUM(_xlfn.XLOOKUP(R43:AF43,增益!$A:$A,增益!$R:$R,0))</f>
        <v>1.96</v>
      </c>
      <c r="BL43" s="41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0.0929</v>
      </c>
      <c r="BM43" s="41" cm="1">
        <f t="array" ref="BM43">1+$B$14+VLOOKUP($Q43,武学奇术!$A:$ZZ,20,FALSE)+SUM(_xlfn.XLOOKUP(R43:AF43,增益!$A:$A,增益!$T:$T,0))</f>
        <v>1.35</v>
      </c>
      <c r="BN43" s="41">
        <f t="shared" si="9"/>
        <v>0.9045</v>
      </c>
      <c r="BO43" s="41">
        <f t="shared" si="10"/>
        <v>0.00260000000000005</v>
      </c>
      <c r="BP43" s="41">
        <f>IF(VLOOKUP($Q43,武学奇术!$A:$ZZ,22,FALSE)=1,0,(1-$BI43))*(1-$BL43)</f>
        <v>0</v>
      </c>
      <c r="BQ43" s="41" cm="1">
        <f t="array" ref="BQ43">SUM(_xlfn.XLOOKUP(R43:AF43,增益!$A:$A,增益!$W:$W,0))+$I$5</f>
        <v>0.11</v>
      </c>
    </row>
    <row r="44" spans="3:69">
      <c r="K44" s="55">
        <f t="shared" si="0"/>
        <v>14010.6601570169</v>
      </c>
      <c r="L44" s="55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弹道",$B$21,0))*(1+$BQ44)</f>
        <v>13780.7004027045</v>
      </c>
      <c r="M44" s="55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弹道",$B$21,0))*(1+$BQ44)</f>
        <v>16400.6781982374</v>
      </c>
      <c r="N44" s="55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弹道",$B$21,0))*(1+$BQ44)</f>
        <v>8612.9377516903</v>
      </c>
      <c r="O44" s="55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弹道",$B$21,0))*(1+$BQ44)</f>
        <v>5077.22498616773</v>
      </c>
      <c r="P44" s="56">
        <v>1</v>
      </c>
      <c r="Q44" s="57" t="s">
        <v>99</v>
      </c>
      <c r="R44" s="57" t="s">
        <v>116</v>
      </c>
      <c r="S44" s="57" t="s">
        <v>153</v>
      </c>
      <c r="T44" s="57" t="s">
        <v>72</v>
      </c>
      <c r="U44" s="57" t="s">
        <v>157</v>
      </c>
      <c r="V44" s="57" t="s">
        <v>72</v>
      </c>
      <c r="W44" s="57" t="s">
        <v>72</v>
      </c>
      <c r="X44" s="57" t="s">
        <v>72</v>
      </c>
      <c r="Y44" s="57" t="s">
        <v>72</v>
      </c>
      <c r="Z44" s="57" t="s">
        <v>72</v>
      </c>
      <c r="AA44" s="57" t="s">
        <v>72</v>
      </c>
      <c r="AB44" s="57" t="s">
        <v>72</v>
      </c>
      <c r="AC44" s="57" t="s">
        <v>72</v>
      </c>
      <c r="AD44" s="57" t="s">
        <v>72</v>
      </c>
      <c r="AE44" s="57" t="s">
        <v>72</v>
      </c>
      <c r="AF44" s="57" t="s">
        <v>87</v>
      </c>
      <c r="AG44" t="str">
        <f>VLOOKUP($Q44,武学奇术!$A:$ZZ,25,FALSE)</f>
        <v>伞</v>
      </c>
      <c r="AH44" s="41">
        <f>VLOOKUP($Q44,武学奇术!$A:$ZZ,26,FALSE)</f>
        <v>0.54</v>
      </c>
      <c r="AI44" s="42">
        <f>VLOOKUP($Q44,武学奇术!$A:$ZZ,27,FALSE)*(1+IF(OR($AG44=$F$4,$AG44=$F$5),$B$22,0))</f>
        <v>207.2</v>
      </c>
      <c r="AJ44" s="41">
        <f>VLOOKUP($Q44,武学奇术!$A:$ZZ,28,FALSE)</f>
        <v>0.81</v>
      </c>
      <c r="AK44" s="42">
        <f>VLOOKUP($Q44,武学奇术!$A:$ZZ,29,FALSE)*(1+IF(OR($AG44=$F$4,$AG44=$F$5),$B$22,0))</f>
        <v>114.1</v>
      </c>
      <c r="AL44" s="41" cm="1">
        <f t="array" ref="AL44">$G$3+IFERROR(VLOOKUP($AG44,$F$4:$G$7,2,FALSE),0)+VLOOKUP($Q44,武学奇术!$A:$ZZ,2,FALSE)+SUM(_xlfn.XLOOKUP($R44:$AF44,增益!$A:$A,增益!$B:$B,0))</f>
        <v>0.3241</v>
      </c>
      <c r="AM44" s="41" cm="1">
        <f t="array" ref="AM44">VLOOKUP($Q44,武学奇术!$A:$ZZ,5,FALSE)+SUM(_xlfn.XLOOKUP($R44:$AF44,增益!$A:$A,增益!$E:$E,0))</f>
        <v>0.15</v>
      </c>
      <c r="AN44" cm="1">
        <f t="array" ref="AN44">$D$10*(1+$AM44)+VLOOKUP($Q44,武学奇术!$A:$ZZ,3,FALSE)+SUM(_xlfn.XLOOKUP($R44:$AF44,增益!$A:$A,增益!$C:$C,0))-$I$2</f>
        <v>2088.71</v>
      </c>
      <c r="AO44" cm="1">
        <f t="array" ref="AO44">$E$10*(1+$AM44)+VLOOKUP($Q44,武学奇术!$A:$ZZ,4,FALSE)+SUM(_xlfn.XLOOKUP($R44:$AF44,增益!$A:$A,增益!$D:$D,0))-$I$2</f>
        <v>6332.9</v>
      </c>
      <c r="AP44" s="49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0.2425</v>
      </c>
      <c r="AQ44" s="49" cm="1">
        <f t="array" ref="AQ44">$G$10+VLOOKUP($Q44,武学奇术!$A:$ZZ,7,FALSE)+SUM(_xlfn.XLOOKUP(R44:AF44,增益!$A:$A,增益!$G:$G,0))</f>
        <v>0.1</v>
      </c>
      <c r="AR44" s="41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49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49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49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49" cm="1">
        <f t="array" ref="AZ44">$G$12+VLOOKUP($Q44,武学奇术!$A:$ZZ,12,FALSE)+SUM(_xlfn.XLOOKUP(R44:AF44,增益!$A:$A,增益!$L:$L,0))</f>
        <v>0</v>
      </c>
      <c r="BA44">
        <f t="shared" si="5"/>
        <v>571.2</v>
      </c>
      <c r="BB44">
        <f t="shared" si="6"/>
        <v>1077.4</v>
      </c>
      <c r="BC44" s="49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49" cm="1">
        <f t="array" ref="BD44">$G$13+VLOOKUP($Q44,武学奇术!$A:$ZZ,14,FALSE)+SUM(_xlfn.XLOOKUP(R44:AF44,增益!$A:$A,增益!$N:$N,0))</f>
        <v>0.25</v>
      </c>
      <c r="BE44">
        <f t="shared" si="7"/>
        <v>0</v>
      </c>
      <c r="BF44">
        <f t="shared" si="8"/>
        <v>0</v>
      </c>
      <c r="BG44" s="49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49" cm="1">
        <f t="array" ref="BH44">$G$14+VLOOKUP($Q44,武学奇术!$A:$ZZ,16,FALSE)+SUM(_xlfn.XLOOKUP(R44:AF44,增益!$A:$A,增益!$P:$P,0))</f>
        <v>0</v>
      </c>
      <c r="BI44" s="41">
        <f>MIN(IF(VLOOKUP($Q44,武学奇术!$A:$ZZ,23,FALSE)=1,100%,$B$8),100%)</f>
        <v>1</v>
      </c>
      <c r="BJ44" s="41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0.9045</v>
      </c>
      <c r="BK44" s="41" cm="1">
        <f t="array" ref="BK44">1+$B$13+VLOOKUP($Q44,武学奇术!$A:$ZZ,18,FALSE)+SUM(_xlfn.XLOOKUP(R44:AF44,增益!$A:$A,增益!$R:$R,0))</f>
        <v>1.6</v>
      </c>
      <c r="BL44" s="41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0.0929</v>
      </c>
      <c r="BM44" s="41" cm="1">
        <f t="array" ref="BM44">1+$B$14+VLOOKUP($Q44,武学奇术!$A:$ZZ,20,FALSE)+SUM(_xlfn.XLOOKUP(R44:AF44,增益!$A:$A,增益!$T:$T,0))</f>
        <v>1.35</v>
      </c>
      <c r="BN44" s="41">
        <f t="shared" si="9"/>
        <v>0.9045</v>
      </c>
      <c r="BO44" s="41">
        <f t="shared" si="10"/>
        <v>0.00260000000000005</v>
      </c>
      <c r="BP44" s="41">
        <f>IF(VLOOKUP($Q44,武学奇术!$A:$ZZ,22,FALSE)=1,0,(1-$BI44))*(1-$BL44)</f>
        <v>0</v>
      </c>
      <c r="BQ44" s="41" cm="1">
        <f t="array" ref="BQ44">SUM(_xlfn.XLOOKUP(R44:AF44,增益!$A:$A,增益!$W:$W,0))+$I$5</f>
        <v>0.11</v>
      </c>
    </row>
    <row r="45" spans="3:69">
      <c r="K45" s="55">
        <f t="shared" si="0"/>
        <v>166229.195240196</v>
      </c>
      <c r="L45" s="55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弹道",$B$21,0))*(1+$BQ45)</f>
        <v>166876.542999378</v>
      </c>
      <c r="M45" s="55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弹道",$B$21,0))*(1+$BQ45)</f>
        <v>162195.85849843</v>
      </c>
      <c r="N45" s="55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弹道",$B$21,0))*(1+$BQ45)</f>
        <v>85141.0933670297</v>
      </c>
      <c r="O45" s="55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弹道",$B$21,0))*(1+$BQ45)</f>
        <v>50137.1063648521</v>
      </c>
      <c r="P45" s="56">
        <v>3</v>
      </c>
      <c r="Q45" s="57" t="s">
        <v>102</v>
      </c>
      <c r="R45" s="57" t="s">
        <v>116</v>
      </c>
      <c r="S45" s="57" t="s">
        <v>153</v>
      </c>
      <c r="T45" s="57" t="s">
        <v>92</v>
      </c>
      <c r="U45" s="57" t="s">
        <v>157</v>
      </c>
      <c r="V45" s="57" t="s">
        <v>86</v>
      </c>
      <c r="W45" s="57" t="s">
        <v>72</v>
      </c>
      <c r="X45" s="57" t="s">
        <v>72</v>
      </c>
      <c r="Y45" s="57" t="s">
        <v>72</v>
      </c>
      <c r="Z45" s="57" t="s">
        <v>72</v>
      </c>
      <c r="AA45" s="57" t="s">
        <v>72</v>
      </c>
      <c r="AB45" s="57" t="s">
        <v>72</v>
      </c>
      <c r="AC45" s="57" t="s">
        <v>72</v>
      </c>
      <c r="AD45" s="57" t="s">
        <v>72</v>
      </c>
      <c r="AE45" s="57" t="s">
        <v>72</v>
      </c>
      <c r="AF45" s="57" t="s">
        <v>87</v>
      </c>
      <c r="AG45" t="str">
        <f>VLOOKUP($Q45,武学奇术!$A:$ZZ,25,FALSE)</f>
        <v>伞</v>
      </c>
      <c r="AH45" s="41">
        <f>VLOOKUP($Q45,武学奇术!$A:$ZZ,26,FALSE)</f>
        <v>1.174955</v>
      </c>
      <c r="AI45" s="42">
        <f>VLOOKUP($Q45,武学奇术!$A:$ZZ,27,FALSE)*(1+IF(OR($AG45=$F$4,$AG45=$F$5),$B$22,0))</f>
        <v>454.02</v>
      </c>
      <c r="AJ45" s="41">
        <f>VLOOKUP($Q45,武学奇术!$A:$ZZ,28,FALSE)</f>
        <v>1.762375</v>
      </c>
      <c r="AK45" s="42">
        <f>VLOOKUP($Q45,武学奇术!$A:$ZZ,29,FALSE)*(1+IF(OR($AG45=$F$4,$AG45=$F$5),$B$22,0))</f>
        <v>247.94</v>
      </c>
      <c r="AL45" s="41" cm="1">
        <f t="array" ref="AL45">$G$3+IFERROR(VLOOKUP($AG45,$F$4:$G$7,2,FALSE),0)+VLOOKUP($Q45,武学奇术!$A:$ZZ,2,FALSE)+SUM(_xlfn.XLOOKUP($R45:$AF45,增益!$A:$A,增益!$B:$B,0))</f>
        <v>0.9741</v>
      </c>
      <c r="AM45" s="41" cm="1">
        <f t="array" ref="AM45">VLOOKUP($Q45,武学奇术!$A:$ZZ,5,FALSE)+SUM(_xlfn.XLOOKUP($R45:$AF45,增益!$A:$A,增益!$E:$E,0))</f>
        <v>0.15</v>
      </c>
      <c r="AN45" cm="1">
        <f t="array" ref="AN45">$D$10*(1+$AM45)+VLOOKUP($Q45,武学奇术!$A:$ZZ,3,FALSE)+SUM(_xlfn.XLOOKUP($R45:$AF45,增益!$A:$A,增益!$C:$C,0))-$I$2</f>
        <v>2088.71</v>
      </c>
      <c r="AO45" cm="1">
        <f t="array" ref="AO45">$E$10*(1+$AM45)+VLOOKUP($Q45,武学奇术!$A:$ZZ,4,FALSE)+SUM(_xlfn.XLOOKUP($R45:$AF45,增益!$A:$A,增益!$D:$D,0))-$I$2</f>
        <v>6332.9</v>
      </c>
      <c r="AP45" s="49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0.2675</v>
      </c>
      <c r="AQ45" s="49" cm="1">
        <f t="array" ref="AQ45">$G$10+VLOOKUP($Q45,武学奇术!$A:$ZZ,7,FALSE)+SUM(_xlfn.XLOOKUP(R45:AF45,增益!$A:$A,增益!$G:$G,0))</f>
        <v>0.1</v>
      </c>
      <c r="AR45" s="41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49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49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49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49" cm="1">
        <f t="array" ref="AZ45">$G$12+VLOOKUP($Q45,武学奇术!$A:$ZZ,12,FALSE)+SUM(_xlfn.XLOOKUP(R45:AF45,增益!$A:$A,增益!$L:$L,0))</f>
        <v>0</v>
      </c>
      <c r="BA45">
        <f t="shared" si="5"/>
        <v>571.2</v>
      </c>
      <c r="BB45">
        <f t="shared" si="6"/>
        <v>1077.4</v>
      </c>
      <c r="BC45" s="49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49" cm="1">
        <f t="array" ref="BD45">$G$13+VLOOKUP($Q45,武学奇术!$A:$ZZ,14,FALSE)+SUM(_xlfn.XLOOKUP(R45:AF45,增益!$A:$A,增益!$N:$N,0))</f>
        <v>0.25</v>
      </c>
      <c r="BE45">
        <f t="shared" si="7"/>
        <v>0</v>
      </c>
      <c r="BF45">
        <f t="shared" si="8"/>
        <v>0</v>
      </c>
      <c r="BG45" s="49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49" cm="1">
        <f t="array" ref="BH45">$G$14+VLOOKUP($Q45,武学奇术!$A:$ZZ,16,FALSE)+SUM(_xlfn.XLOOKUP(R45:AF45,增益!$A:$A,增益!$P:$P,0))</f>
        <v>0</v>
      </c>
      <c r="BI45" s="41">
        <f>MIN(IF(VLOOKUP($Q45,武学奇术!$A:$ZZ,23,FALSE)=1,100%,$B$8),100%)</f>
        <v>1</v>
      </c>
      <c r="BJ45" s="41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0.9045</v>
      </c>
      <c r="BK45" s="41" cm="1">
        <f t="array" ref="BK45">1+$B$13+VLOOKUP($Q45,武学奇术!$A:$ZZ,18,FALSE)+SUM(_xlfn.XLOOKUP(R45:AF45,增益!$A:$A,增益!$R:$R,0))</f>
        <v>1.96</v>
      </c>
      <c r="BL45" s="41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0.0929</v>
      </c>
      <c r="BM45" s="41" cm="1">
        <f t="array" ref="BM45">1+$B$14+VLOOKUP($Q45,武学奇术!$A:$ZZ,20,FALSE)+SUM(_xlfn.XLOOKUP(R45:AF45,增益!$A:$A,增益!$T:$T,0))</f>
        <v>1.35</v>
      </c>
      <c r="BN45" s="41">
        <f t="shared" si="9"/>
        <v>0.9045</v>
      </c>
      <c r="BO45" s="41">
        <f t="shared" si="10"/>
        <v>0.00260000000000005</v>
      </c>
      <c r="BP45" s="41">
        <f>IF(VLOOKUP($Q45,武学奇术!$A:$ZZ,22,FALSE)=1,0,(1-$BI45))*(1-$BL45)</f>
        <v>0</v>
      </c>
      <c r="BQ45" s="41" cm="1">
        <f t="array" ref="BQ45">SUM(_xlfn.XLOOKUP(R45:AF45,增益!$A:$A,增益!$W:$W,0))+$I$5</f>
        <v>0.11</v>
      </c>
    </row>
    <row r="46" spans="3:69">
      <c r="K46" s="55">
        <f t="shared" si="0"/>
        <v>966554.577187437</v>
      </c>
      <c r="L46" s="55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弹道",$B$21,0))*(1+$BQ46)</f>
        <v>980320.216677385</v>
      </c>
      <c r="M46" s="55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弹道",$B$21,0))*(1+$BQ46)</f>
        <v>847164.944034107</v>
      </c>
      <c r="N46" s="55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弹道",$B$21,0))*(1+$BQ46)</f>
        <v>443583.808451306</v>
      </c>
      <c r="O46" s="55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弹道",$B$21,0))*(1+$BQ46)</f>
        <v>259638.028729199</v>
      </c>
      <c r="P46" s="56">
        <v>13</v>
      </c>
      <c r="Q46" s="57" t="s">
        <v>102</v>
      </c>
      <c r="R46" s="57" t="s">
        <v>116</v>
      </c>
      <c r="S46" s="57" t="s">
        <v>153</v>
      </c>
      <c r="T46" s="57" t="s">
        <v>160</v>
      </c>
      <c r="U46" s="57" t="s">
        <v>157</v>
      </c>
      <c r="V46" s="57" t="s">
        <v>86</v>
      </c>
      <c r="W46" s="57" t="s">
        <v>72</v>
      </c>
      <c r="X46" s="57" t="s">
        <v>72</v>
      </c>
      <c r="Y46" s="57" t="s">
        <v>161</v>
      </c>
      <c r="Z46" s="57" t="s">
        <v>72</v>
      </c>
      <c r="AA46" s="57" t="s">
        <v>72</v>
      </c>
      <c r="AB46" s="57" t="s">
        <v>72</v>
      </c>
      <c r="AC46" s="57" t="s">
        <v>162</v>
      </c>
      <c r="AD46" s="57" t="s">
        <v>72</v>
      </c>
      <c r="AE46" s="57" t="s">
        <v>72</v>
      </c>
      <c r="AF46" s="57" t="s">
        <v>87</v>
      </c>
      <c r="AG46" t="str">
        <f>VLOOKUP($Q46,武学奇术!$A:$ZZ,25,FALSE)</f>
        <v>伞</v>
      </c>
      <c r="AH46" s="41">
        <f>VLOOKUP($Q46,武学奇术!$A:$ZZ,26,FALSE)</f>
        <v>1.174955</v>
      </c>
      <c r="AI46" s="42">
        <f>VLOOKUP($Q46,武学奇术!$A:$ZZ,27,FALSE)*(1+IF(OR($AG46=$F$4,$AG46=$F$5),$B$22,0))</f>
        <v>454.02</v>
      </c>
      <c r="AJ46" s="41">
        <f>VLOOKUP($Q46,武学奇术!$A:$ZZ,28,FALSE)</f>
        <v>1.762375</v>
      </c>
      <c r="AK46" s="42">
        <f>VLOOKUP($Q46,武学奇术!$A:$ZZ,29,FALSE)*(1+IF(OR($AG46=$F$4,$AG46=$F$5),$B$22,0))</f>
        <v>247.94</v>
      </c>
      <c r="AL46" s="41" cm="1">
        <f t="array" ref="AL46">$G$3+IFERROR(VLOOKUP($AG46,$F$4:$G$7,2,FALSE),0)+VLOOKUP($Q46,武学奇术!$A:$ZZ,2,FALSE)+SUM(_xlfn.XLOOKUP($R46:$AF46,增益!$A:$A,增益!$B:$B,0))</f>
        <v>1.0241</v>
      </c>
      <c r="AM46" s="41" cm="1">
        <f t="array" ref="AM46">VLOOKUP($Q46,武学奇术!$A:$ZZ,5,FALSE)+SUM(_xlfn.XLOOKUP($R46:$AF46,增益!$A:$A,增益!$E:$E,0))</f>
        <v>0.15</v>
      </c>
      <c r="AN46" cm="1">
        <f t="array" ref="AN46">$D$10*(1+$AM46)+VLOOKUP($Q46,武学奇术!$A:$ZZ,3,FALSE)+SUM(_xlfn.XLOOKUP($R46:$AF46,增益!$A:$A,增益!$C:$C,0))-$I$2</f>
        <v>2088.71</v>
      </c>
      <c r="AO46" cm="1">
        <f t="array" ref="AO46">$E$10*(1+$AM46)+VLOOKUP($Q46,武学奇术!$A:$ZZ,4,FALSE)+SUM(_xlfn.XLOOKUP($R46:$AF46,增益!$A:$A,增益!$D:$D,0))-$I$2</f>
        <v>6332.9</v>
      </c>
      <c r="AP46" s="49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0.3925</v>
      </c>
      <c r="AQ46" s="49" cm="1">
        <f t="array" ref="AQ46">$G$10+VLOOKUP($Q46,武学奇术!$A:$ZZ,7,FALSE)+SUM(_xlfn.XLOOKUP(R46:AF46,增益!$A:$A,增益!$G:$G,0))</f>
        <v>0.1</v>
      </c>
      <c r="AR46" s="41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49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49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49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49" cm="1">
        <f t="array" ref="AZ46">$G$12+VLOOKUP($Q46,武学奇术!$A:$ZZ,12,FALSE)+SUM(_xlfn.XLOOKUP(R46:AF46,增益!$A:$A,增益!$L:$L,0))</f>
        <v>0</v>
      </c>
      <c r="BA46">
        <f t="shared" si="5"/>
        <v>571.2</v>
      </c>
      <c r="BB46">
        <f t="shared" si="6"/>
        <v>1077.4</v>
      </c>
      <c r="BC46" s="49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49" cm="1">
        <f t="array" ref="BD46">$G$13+VLOOKUP($Q46,武学奇术!$A:$ZZ,14,FALSE)+SUM(_xlfn.XLOOKUP(R46:AF46,增益!$A:$A,增益!$N:$N,0))</f>
        <v>0.25</v>
      </c>
      <c r="BE46">
        <f t="shared" si="7"/>
        <v>0</v>
      </c>
      <c r="BF46">
        <f t="shared" si="8"/>
        <v>0</v>
      </c>
      <c r="BG46" s="49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49" cm="1">
        <f t="array" ref="BH46">$G$14+VLOOKUP($Q46,武学奇术!$A:$ZZ,16,FALSE)+SUM(_xlfn.XLOOKUP(R46:AF46,增益!$A:$A,增益!$P:$P,0))</f>
        <v>0</v>
      </c>
      <c r="BI46" s="41">
        <f>MIN(IF(VLOOKUP($Q46,武学奇术!$A:$ZZ,23,FALSE)=1,100%,$B$8),100%)</f>
        <v>1</v>
      </c>
      <c r="BJ46" s="41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0.9045</v>
      </c>
      <c r="BK46" s="41" cm="1">
        <f t="array" ref="BK46">1+$B$13+VLOOKUP($Q46,武学奇术!$A:$ZZ,18,FALSE)+SUM(_xlfn.XLOOKUP(R46:AF46,增益!$A:$A,增益!$R:$R,0))</f>
        <v>2.21</v>
      </c>
      <c r="BL46" s="41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0.0929</v>
      </c>
      <c r="BM46" s="41" cm="1">
        <f t="array" ref="BM46">1+$B$14+VLOOKUP($Q46,武学奇术!$A:$ZZ,20,FALSE)+SUM(_xlfn.XLOOKUP(R46:AF46,增益!$A:$A,增益!$T:$T,0))</f>
        <v>1.35</v>
      </c>
      <c r="BN46" s="41">
        <f t="shared" si="9"/>
        <v>0.9045</v>
      </c>
      <c r="BO46" s="41">
        <f t="shared" si="10"/>
        <v>0.00260000000000005</v>
      </c>
      <c r="BP46" s="41">
        <f>IF(VLOOKUP($Q46,武学奇术!$A:$ZZ,22,FALSE)=1,0,(1-$BI46))*(1-$BL46)</f>
        <v>0</v>
      </c>
      <c r="BQ46" s="41" cm="1">
        <f t="array" ref="BQ46">SUM(_xlfn.XLOOKUP(R46:AF46,增益!$A:$A,增益!$W:$W,0))+$I$5</f>
        <v>0.21</v>
      </c>
    </row>
    <row r="47" spans="3:69">
      <c r="C47" s="44"/>
      <c r="K47" s="55">
        <f t="shared" si="0"/>
        <v>371751.760456707</v>
      </c>
      <c r="L47" s="55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弹道",$B$21,0))*(1+$BQ47)</f>
        <v>377046.23718361</v>
      </c>
      <c r="M47" s="55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弹道",$B$21,0))*(1+$BQ47)</f>
        <v>325832.670782349</v>
      </c>
      <c r="N47" s="55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弹道",$B$21,0))*(1+$BQ47)</f>
        <v>170609.157096656</v>
      </c>
      <c r="O47" s="55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弹道",$B$21,0))*(1+$BQ47)</f>
        <v>99860.7802804611</v>
      </c>
      <c r="P47" s="56">
        <v>5</v>
      </c>
      <c r="Q47" s="57" t="s">
        <v>102</v>
      </c>
      <c r="R47" s="57" t="s">
        <v>116</v>
      </c>
      <c r="S47" s="57" t="s">
        <v>153</v>
      </c>
      <c r="T47" s="57" t="s">
        <v>160</v>
      </c>
      <c r="U47" s="57" t="s">
        <v>157</v>
      </c>
      <c r="V47" s="57" t="s">
        <v>86</v>
      </c>
      <c r="W47" s="57" t="s">
        <v>72</v>
      </c>
      <c r="X47" s="57" t="s">
        <v>72</v>
      </c>
      <c r="Y47" s="57" t="s">
        <v>161</v>
      </c>
      <c r="Z47" s="57" t="s">
        <v>72</v>
      </c>
      <c r="AA47" s="57" t="s">
        <v>72</v>
      </c>
      <c r="AB47" s="57" t="s">
        <v>72</v>
      </c>
      <c r="AC47" s="57" t="s">
        <v>162</v>
      </c>
      <c r="AD47" s="57" t="s">
        <v>72</v>
      </c>
      <c r="AE47" s="57" t="s">
        <v>72</v>
      </c>
      <c r="AF47" s="57" t="s">
        <v>87</v>
      </c>
      <c r="AG47" t="str">
        <f>VLOOKUP($Q47,武学奇术!$A:$ZZ,25,FALSE)</f>
        <v>伞</v>
      </c>
      <c r="AH47" s="41">
        <f>VLOOKUP($Q47,武学奇术!$A:$ZZ,26,FALSE)</f>
        <v>1.174955</v>
      </c>
      <c r="AI47" s="42">
        <f>VLOOKUP($Q47,武学奇术!$A:$ZZ,27,FALSE)*(1+IF(OR($AG47=$F$4,$AG47=$F$5),$B$22,0))</f>
        <v>454.02</v>
      </c>
      <c r="AJ47" s="41">
        <f>VLOOKUP($Q47,武学奇术!$A:$ZZ,28,FALSE)</f>
        <v>1.762375</v>
      </c>
      <c r="AK47" s="42">
        <f>VLOOKUP($Q47,武学奇术!$A:$ZZ,29,FALSE)*(1+IF(OR($AG47=$F$4,$AG47=$F$5),$B$22,0))</f>
        <v>247.94</v>
      </c>
      <c r="AL47" s="41" cm="1">
        <f t="array" ref="AL47">$G$3+IFERROR(VLOOKUP($AG47,$F$4:$G$7,2,FALSE),0)+VLOOKUP($Q47,武学奇术!$A:$ZZ,2,FALSE)+SUM(_xlfn.XLOOKUP($R47:$AF47,增益!$A:$A,增益!$B:$B,0))</f>
        <v>1.0241</v>
      </c>
      <c r="AM47" s="41" cm="1">
        <f t="array" ref="AM47">VLOOKUP($Q47,武学奇术!$A:$ZZ,5,FALSE)+SUM(_xlfn.XLOOKUP($R47:$AF47,增益!$A:$A,增益!$E:$E,0))</f>
        <v>0.15</v>
      </c>
      <c r="AN47" cm="1">
        <f t="array" ref="AN47">$D$10*(1+$AM47)+VLOOKUP($Q47,武学奇术!$A:$ZZ,3,FALSE)+SUM(_xlfn.XLOOKUP($R47:$AF47,增益!$A:$A,增益!$C:$C,0))-$I$2</f>
        <v>2088.71</v>
      </c>
      <c r="AO47" cm="1">
        <f t="array" ref="AO47">$E$10*(1+$AM47)+VLOOKUP($Q47,武学奇术!$A:$ZZ,4,FALSE)+SUM(_xlfn.XLOOKUP($R47:$AF47,增益!$A:$A,增益!$D:$D,0))-$I$2</f>
        <v>6332.9</v>
      </c>
      <c r="AP47" s="49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0.3925</v>
      </c>
      <c r="AQ47" s="49" cm="1">
        <f t="array" ref="AQ47">$G$10+VLOOKUP($Q47,武学奇术!$A:$ZZ,7,FALSE)+SUM(_xlfn.XLOOKUP(R47:AF47,增益!$A:$A,增益!$G:$G,0))</f>
        <v>0.1</v>
      </c>
      <c r="AR47" s="41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49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49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49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49" cm="1">
        <f t="array" ref="AZ47">$G$12+VLOOKUP($Q47,武学奇术!$A:$ZZ,12,FALSE)+SUM(_xlfn.XLOOKUP(R47:AF47,增益!$A:$A,增益!$L:$L,0))</f>
        <v>0</v>
      </c>
      <c r="BA47">
        <f t="shared" si="5"/>
        <v>571.2</v>
      </c>
      <c r="BB47">
        <f t="shared" si="6"/>
        <v>1077.4</v>
      </c>
      <c r="BC47" s="49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49" cm="1">
        <f t="array" ref="BD47">$G$13+VLOOKUP($Q47,武学奇术!$A:$ZZ,14,FALSE)+SUM(_xlfn.XLOOKUP(R47:AF47,增益!$A:$A,增益!$N:$N,0))</f>
        <v>0.25</v>
      </c>
      <c r="BE47">
        <f t="shared" si="7"/>
        <v>0</v>
      </c>
      <c r="BF47">
        <f t="shared" si="8"/>
        <v>0</v>
      </c>
      <c r="BG47" s="49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49" cm="1">
        <f t="array" ref="BH47">$G$14+VLOOKUP($Q47,武学奇术!$A:$ZZ,16,FALSE)+SUM(_xlfn.XLOOKUP(R47:AF47,增益!$A:$A,增益!$P:$P,0))</f>
        <v>0</v>
      </c>
      <c r="BI47" s="41">
        <f>MIN(IF(VLOOKUP($Q47,武学奇术!$A:$ZZ,23,FALSE)=1,100%,$B$8),100%)</f>
        <v>1</v>
      </c>
      <c r="BJ47" s="41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0.9045</v>
      </c>
      <c r="BK47" s="41" cm="1">
        <f t="array" ref="BK47">1+$B$13+VLOOKUP($Q47,武学奇术!$A:$ZZ,18,FALSE)+SUM(_xlfn.XLOOKUP(R47:AF47,增益!$A:$A,增益!$R:$R,0))</f>
        <v>2.21</v>
      </c>
      <c r="BL47" s="41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0.0929</v>
      </c>
      <c r="BM47" s="41" cm="1">
        <f t="array" ref="BM47">1+$B$14+VLOOKUP($Q47,武学奇术!$A:$ZZ,20,FALSE)+SUM(_xlfn.XLOOKUP(R47:AF47,增益!$A:$A,增益!$T:$T,0))</f>
        <v>1.35</v>
      </c>
      <c r="BN47" s="41">
        <f t="shared" si="9"/>
        <v>0.9045</v>
      </c>
      <c r="BO47" s="41">
        <f t="shared" si="10"/>
        <v>0.00260000000000005</v>
      </c>
      <c r="BP47" s="41">
        <f>IF(VLOOKUP($Q47,武学奇术!$A:$ZZ,22,FALSE)=1,0,(1-$BI47))*(1-$BL47)</f>
        <v>0</v>
      </c>
      <c r="BQ47" s="41" cm="1">
        <f t="array" ref="BQ47">SUM(_xlfn.XLOOKUP(R47:AF47,增益!$A:$A,增益!$W:$W,0))+$I$5</f>
        <v>0.21</v>
      </c>
    </row>
    <row r="48" spans="3:69">
      <c r="C48" s="44"/>
      <c r="K48" s="55">
        <f t="shared" si="0"/>
        <v>94707.6780074307</v>
      </c>
      <c r="L48" s="55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弹道",$B$21,0))*(1+$BQ48)</f>
        <v>94318.2237597769</v>
      </c>
      <c r="M48" s="55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弹道",$B$21,0))*(1+$BQ48)</f>
        <v>99723.2430055137</v>
      </c>
      <c r="N48" s="55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弹道",$B$21,0))*(1+$BQ48)</f>
        <v>50982.8236539335</v>
      </c>
      <c r="O48" s="55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弹道",$B$21,0))*(1+$BQ48)</f>
        <v>28096.5784148938</v>
      </c>
      <c r="P48" s="56">
        <v>1</v>
      </c>
      <c r="Q48" s="57" t="s">
        <v>147</v>
      </c>
      <c r="R48" s="57" t="s">
        <v>116</v>
      </c>
      <c r="S48" s="57" t="s">
        <v>153</v>
      </c>
      <c r="T48" s="57" t="s">
        <v>72</v>
      </c>
      <c r="U48" s="57" t="s">
        <v>157</v>
      </c>
      <c r="V48" s="57" t="s">
        <v>72</v>
      </c>
      <c r="W48" s="57" t="s">
        <v>72</v>
      </c>
      <c r="X48" s="57" t="s">
        <v>72</v>
      </c>
      <c r="Y48" s="57" t="s">
        <v>161</v>
      </c>
      <c r="Z48" s="57" t="s">
        <v>72</v>
      </c>
      <c r="AA48" s="57" t="s">
        <v>72</v>
      </c>
      <c r="AB48" s="57" t="s">
        <v>72</v>
      </c>
      <c r="AC48" s="57" t="s">
        <v>162</v>
      </c>
      <c r="AD48" s="57" t="s">
        <v>72</v>
      </c>
      <c r="AE48" s="57" t="s">
        <v>72</v>
      </c>
      <c r="AF48" s="57" t="s">
        <v>87</v>
      </c>
      <c r="AG48" t="str">
        <f>VLOOKUP($Q48,武学奇术!$A:$ZZ,25,FALSE)</f>
        <v>单体奇术</v>
      </c>
      <c r="AH48" s="41">
        <f>VLOOKUP($Q48,武学奇术!$A:$ZZ,26,FALSE)</f>
        <v>3.9855</v>
      </c>
      <c r="AI48" s="42">
        <f>VLOOKUP($Q48,武学奇术!$A:$ZZ,27,FALSE)*(1+IF(OR($AG48=$F$4,$AG48=$F$5),$B$22,0))</f>
        <v>749</v>
      </c>
      <c r="AJ48" s="41">
        <f>VLOOKUP($Q48,武学奇术!$A:$ZZ,28,FALSE)</f>
        <v>5.97825</v>
      </c>
      <c r="AK48" s="42">
        <f>VLOOKUP($Q48,武学奇术!$A:$ZZ,29,FALSE)*(1+IF(OR($AG48=$F$4,$AG48=$F$5),$B$22,0))</f>
        <v>0</v>
      </c>
      <c r="AL48" s="41" cm="1">
        <f t="array" ref="AL48">$G$3+IFERROR(VLOOKUP($AG48,$F$4:$G$7,2,FALSE),0)+VLOOKUP($Q48,武学奇术!$A:$ZZ,2,FALSE)+SUM(_xlfn.XLOOKUP($R48:$AF48,增益!$A:$A,增益!$B:$B,0))</f>
        <v>0.4215</v>
      </c>
      <c r="AM48" s="41" cm="1">
        <f t="array" ref="AM48">VLOOKUP($Q48,武学奇术!$A:$ZZ,5,FALSE)+SUM(_xlfn.XLOOKUP($R48:$AF48,增益!$A:$A,增益!$E:$E,0))</f>
        <v>0.15</v>
      </c>
      <c r="AN48" cm="1">
        <f t="array" ref="AN48">$D$10*(1+$AM48)+VLOOKUP($Q48,武学奇术!$A:$ZZ,3,FALSE)+SUM(_xlfn.XLOOKUP($R48:$AF48,增益!$A:$A,增益!$C:$C,0))-$I$2</f>
        <v>2088.71</v>
      </c>
      <c r="AO48" cm="1">
        <f t="array" ref="AO48">$E$10*(1+$AM48)+VLOOKUP($Q48,武学奇术!$A:$ZZ,4,FALSE)+SUM(_xlfn.XLOOKUP($R48:$AF48,增益!$A:$A,增益!$D:$D,0))-$I$2</f>
        <v>6332.9</v>
      </c>
      <c r="AP48" s="49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0.3675</v>
      </c>
      <c r="AQ48" s="49" cm="1">
        <f t="array" ref="AQ48">$G$10+VLOOKUP($Q48,武学奇术!$A:$ZZ,7,FALSE)+SUM(_xlfn.XLOOKUP(R48:AF48,增益!$A:$A,增益!$G:$G,0))</f>
        <v>0</v>
      </c>
      <c r="AR48" s="41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49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49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49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49" cm="1">
        <f t="array" ref="AZ48">$G$12+VLOOKUP($Q48,武学奇术!$A:$ZZ,12,FALSE)+SUM(_xlfn.XLOOKUP(R48:AF48,增益!$A:$A,增益!$L:$L,0))</f>
        <v>0</v>
      </c>
      <c r="BA48">
        <f t="shared" si="5"/>
        <v>571.2</v>
      </c>
      <c r="BB48">
        <f t="shared" si="6"/>
        <v>1077.4</v>
      </c>
      <c r="BC48" s="49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49" cm="1">
        <f t="array" ref="BD48">$G$13+VLOOKUP($Q48,武学奇术!$A:$ZZ,14,FALSE)+SUM(_xlfn.XLOOKUP(R48:AF48,增益!$A:$A,增益!$N:$N,0))</f>
        <v>0.15</v>
      </c>
      <c r="BE48">
        <f t="shared" si="7"/>
        <v>0</v>
      </c>
      <c r="BF48">
        <f t="shared" si="8"/>
        <v>0</v>
      </c>
      <c r="BG48" s="49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49" cm="1">
        <f t="array" ref="BH48">$G$14+VLOOKUP($Q48,武学奇术!$A:$ZZ,16,FALSE)+SUM(_xlfn.XLOOKUP(R48:AF48,增益!$A:$A,增益!$P:$P,0))</f>
        <v>0</v>
      </c>
      <c r="BI48" s="41">
        <f>MIN(IF(VLOOKUP($Q48,武学奇术!$A:$ZZ,23,FALSE)=1,100%,$B$8),100%)</f>
        <v>1</v>
      </c>
      <c r="BJ48" s="41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0.9045</v>
      </c>
      <c r="BK48" s="41" cm="1">
        <f t="array" ref="BK48">1+$B$13+VLOOKUP($Q48,武学奇术!$A:$ZZ,18,FALSE)+SUM(_xlfn.XLOOKUP(R48:AF48,增益!$A:$A,增益!$R:$R,0))</f>
        <v>1.85</v>
      </c>
      <c r="BL48" s="41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0.0929</v>
      </c>
      <c r="BM48" s="41" cm="1">
        <f t="array" ref="BM48">1+$B$14+VLOOKUP($Q48,武学奇术!$A:$ZZ,20,FALSE)+SUM(_xlfn.XLOOKUP(R48:AF48,增益!$A:$A,增益!$T:$T,0))</f>
        <v>1.35</v>
      </c>
      <c r="BN48" s="41">
        <f t="shared" si="9"/>
        <v>0.9045</v>
      </c>
      <c r="BO48" s="41">
        <f t="shared" si="10"/>
        <v>0.00260000000000005</v>
      </c>
      <c r="BP48" s="41">
        <f>IF(VLOOKUP($Q48,武学奇术!$A:$ZZ,22,FALSE)=1,0,(1-$BI48))*(1-$BL48)</f>
        <v>0</v>
      </c>
      <c r="BQ48" s="41" cm="1">
        <f t="array" ref="BQ48">SUM(_xlfn.XLOOKUP(R48:AF48,增益!$A:$A,增益!$W:$W,0))+$I$5</f>
        <v>0.21</v>
      </c>
    </row>
    <row r="49" spans="5:69">
      <c r="K49" s="55">
        <f t="shared" si="0"/>
        <v>67279.1020836929</v>
      </c>
      <c r="L49" s="55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弹道",$B$21,0))*(1+$BQ49)</f>
        <v>67001.8821598316</v>
      </c>
      <c r="M49" s="55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弹道",$B$21,0))*(1+$BQ49)</f>
        <v>70847.5227423627</v>
      </c>
      <c r="N49" s="55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弹道",$B$21,0))*(1+$BQ49)</f>
        <v>36217.233599909</v>
      </c>
      <c r="O49" s="55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弹道",$B$21,0))*(1+$BQ49)</f>
        <v>19954.8207239937</v>
      </c>
      <c r="P49" s="56">
        <v>12</v>
      </c>
      <c r="Q49" s="57" t="s">
        <v>148</v>
      </c>
      <c r="R49" s="57" t="s">
        <v>116</v>
      </c>
      <c r="S49" s="57" t="s">
        <v>153</v>
      </c>
      <c r="T49" s="57" t="s">
        <v>72</v>
      </c>
      <c r="U49" s="57" t="s">
        <v>157</v>
      </c>
      <c r="V49" s="57" t="s">
        <v>72</v>
      </c>
      <c r="W49" s="57" t="s">
        <v>72</v>
      </c>
      <c r="X49" s="57" t="s">
        <v>72</v>
      </c>
      <c r="Y49" s="57" t="s">
        <v>161</v>
      </c>
      <c r="Z49" s="57" t="s">
        <v>72</v>
      </c>
      <c r="AA49" s="57" t="s">
        <v>72</v>
      </c>
      <c r="AB49" s="57" t="s">
        <v>72</v>
      </c>
      <c r="AC49" s="57" t="s">
        <v>162</v>
      </c>
      <c r="AD49" s="57" t="s">
        <v>72</v>
      </c>
      <c r="AE49" s="57" t="s">
        <v>72</v>
      </c>
      <c r="AF49" s="57" t="s">
        <v>87</v>
      </c>
      <c r="AG49" t="str">
        <f>VLOOKUP($Q49,武学奇术!$A:$ZZ,25,FALSE)</f>
        <v>单体奇术</v>
      </c>
      <c r="AH49" s="41">
        <f>VLOOKUP($Q49,武学奇术!$A:$ZZ,26,FALSE)</f>
        <v>0.236</v>
      </c>
      <c r="AI49" s="42">
        <f>VLOOKUP($Q49,武学奇术!$A:$ZZ,27,FALSE)*(1+IF(OR($AG49=$F$4,$AG49=$F$5),$B$22,0))</f>
        <v>44</v>
      </c>
      <c r="AJ49" s="41">
        <f>VLOOKUP($Q49,武学奇术!$A:$ZZ,28,FALSE)</f>
        <v>0.354</v>
      </c>
      <c r="AK49" s="42">
        <f>VLOOKUP($Q49,武学奇术!$A:$ZZ,29,FALSE)*(1+IF(OR($AG49=$F$4,$AG49=$F$5),$B$22,0))</f>
        <v>0</v>
      </c>
      <c r="AL49" s="41" cm="1">
        <f t="array" ref="AL49">$G$3+IFERROR(VLOOKUP($AG49,$F$4:$G$7,2,FALSE),0)+VLOOKUP($Q49,武学奇术!$A:$ZZ,2,FALSE)+SUM(_xlfn.XLOOKUP($R49:$AF49,增益!$A:$A,增益!$B:$B,0))</f>
        <v>0.4215</v>
      </c>
      <c r="AM49" s="41" cm="1">
        <f t="array" ref="AM49">VLOOKUP($Q49,武学奇术!$A:$ZZ,5,FALSE)+SUM(_xlfn.XLOOKUP($R49:$AF49,增益!$A:$A,增益!$E:$E,0))</f>
        <v>0.15</v>
      </c>
      <c r="AN49" cm="1">
        <f t="array" ref="AN49">$D$10*(1+$AM49)+VLOOKUP($Q49,武学奇术!$A:$ZZ,3,FALSE)+SUM(_xlfn.XLOOKUP($R49:$AF49,增益!$A:$A,增益!$C:$C,0))-$I$2</f>
        <v>2088.71</v>
      </c>
      <c r="AO49" cm="1">
        <f t="array" ref="AO49">$E$10*(1+$AM49)+VLOOKUP($Q49,武学奇术!$A:$ZZ,4,FALSE)+SUM(_xlfn.XLOOKUP($R49:$AF49,增益!$A:$A,增益!$D:$D,0))-$I$2</f>
        <v>6332.9</v>
      </c>
      <c r="AP49" s="49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0.3675</v>
      </c>
      <c r="AQ49" s="49" cm="1">
        <f t="array" ref="AQ49">$G$10+VLOOKUP($Q49,武学奇术!$A:$ZZ,7,FALSE)+SUM(_xlfn.XLOOKUP(R49:AF49,增益!$A:$A,增益!$G:$G,0))</f>
        <v>0</v>
      </c>
      <c r="AR49" s="41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49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49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49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49" cm="1">
        <f t="array" ref="AZ49">$G$12+VLOOKUP($Q49,武学奇术!$A:$ZZ,12,FALSE)+SUM(_xlfn.XLOOKUP(R49:AF49,增益!$A:$A,增益!$L:$L,0))</f>
        <v>0</v>
      </c>
      <c r="BA49">
        <f t="shared" si="5"/>
        <v>571.2</v>
      </c>
      <c r="BB49">
        <f t="shared" si="6"/>
        <v>1077.4</v>
      </c>
      <c r="BC49" s="49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49" cm="1">
        <f t="array" ref="BD49">$G$13+VLOOKUP($Q49,武学奇术!$A:$ZZ,14,FALSE)+SUM(_xlfn.XLOOKUP(R49:AF49,增益!$A:$A,增益!$N:$N,0))</f>
        <v>0.15</v>
      </c>
      <c r="BE49">
        <f t="shared" si="7"/>
        <v>0</v>
      </c>
      <c r="BF49">
        <f t="shared" si="8"/>
        <v>0</v>
      </c>
      <c r="BG49" s="49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49" cm="1">
        <f t="array" ref="BH49">$G$14+VLOOKUP($Q49,武学奇术!$A:$ZZ,16,FALSE)+SUM(_xlfn.XLOOKUP(R49:AF49,增益!$A:$A,增益!$P:$P,0))</f>
        <v>0</v>
      </c>
      <c r="BI49" s="41">
        <f>MIN(IF(VLOOKUP($Q49,武学奇术!$A:$ZZ,23,FALSE)=1,100%,$B$8),100%)</f>
        <v>1</v>
      </c>
      <c r="BJ49" s="41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0.9045</v>
      </c>
      <c r="BK49" s="41" cm="1">
        <f t="array" ref="BK49">1+$B$13+VLOOKUP($Q49,武学奇术!$A:$ZZ,18,FALSE)+SUM(_xlfn.XLOOKUP(R49:AF49,增益!$A:$A,增益!$R:$R,0))</f>
        <v>1.85</v>
      </c>
      <c r="BL49" s="41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0.0929</v>
      </c>
      <c r="BM49" s="41" cm="1">
        <f t="array" ref="BM49">1+$B$14+VLOOKUP($Q49,武学奇术!$A:$ZZ,20,FALSE)+SUM(_xlfn.XLOOKUP(R49:AF49,增益!$A:$A,增益!$T:$T,0))</f>
        <v>1.35</v>
      </c>
      <c r="BN49" s="41">
        <f t="shared" si="9"/>
        <v>0.9045</v>
      </c>
      <c r="BO49" s="41">
        <f t="shared" si="10"/>
        <v>0.00260000000000005</v>
      </c>
      <c r="BP49" s="41">
        <f>IF(VLOOKUP($Q49,武学奇术!$A:$ZZ,22,FALSE)=1,0,(1-$BI49))*(1-$BL49)</f>
        <v>0</v>
      </c>
      <c r="BQ49" s="41" cm="1">
        <f t="array" ref="BQ49">SUM(_xlfn.XLOOKUP(R49:AF49,增益!$A:$A,增益!$W:$W,0))+$I$5</f>
        <v>0.21</v>
      </c>
    </row>
    <row r="50" spans="5:69">
      <c r="K50" s="55">
        <f t="shared" si="0"/>
        <v>39246.1428821542</v>
      </c>
      <c r="L50" s="55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弹道",$B$21,0))*(1+$BQ50)</f>
        <v>39084.4312599018</v>
      </c>
      <c r="M50" s="55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弹道",$B$21,0))*(1+$BQ50)</f>
        <v>41327.7215997116</v>
      </c>
      <c r="N50" s="55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弹道",$B$21,0))*(1+$BQ50)</f>
        <v>21126.7195999469</v>
      </c>
      <c r="O50" s="55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弹道",$B$21,0))*(1+$BQ50)</f>
        <v>11640.3120889963</v>
      </c>
      <c r="P50" s="56">
        <v>7</v>
      </c>
      <c r="Q50" s="57" t="s">
        <v>148</v>
      </c>
      <c r="R50" s="57" t="s">
        <v>116</v>
      </c>
      <c r="S50" s="57" t="s">
        <v>153</v>
      </c>
      <c r="T50" s="57" t="s">
        <v>72</v>
      </c>
      <c r="U50" s="57" t="s">
        <v>157</v>
      </c>
      <c r="V50" s="57" t="s">
        <v>72</v>
      </c>
      <c r="W50" s="57" t="s">
        <v>72</v>
      </c>
      <c r="X50" s="57" t="s">
        <v>72</v>
      </c>
      <c r="Y50" s="57" t="s">
        <v>161</v>
      </c>
      <c r="Z50" s="57" t="s">
        <v>72</v>
      </c>
      <c r="AA50" s="57" t="s">
        <v>72</v>
      </c>
      <c r="AB50" s="57" t="s">
        <v>72</v>
      </c>
      <c r="AC50" s="57" t="s">
        <v>162</v>
      </c>
      <c r="AD50" s="57" t="s">
        <v>72</v>
      </c>
      <c r="AE50" s="57" t="s">
        <v>72</v>
      </c>
      <c r="AF50" s="57" t="s">
        <v>87</v>
      </c>
      <c r="AG50" t="str">
        <f>VLOOKUP($Q50,武学奇术!$A:$ZZ,25,FALSE)</f>
        <v>单体奇术</v>
      </c>
      <c r="AH50" s="41">
        <f>VLOOKUP($Q50,武学奇术!$A:$ZZ,26,FALSE)</f>
        <v>0.236</v>
      </c>
      <c r="AI50" s="42">
        <f>VLOOKUP($Q50,武学奇术!$A:$ZZ,27,FALSE)*(1+IF(OR($AG50=$F$4,$AG50=$F$5),$B$22,0))</f>
        <v>44</v>
      </c>
      <c r="AJ50" s="41">
        <f>VLOOKUP($Q50,武学奇术!$A:$ZZ,28,FALSE)</f>
        <v>0.354</v>
      </c>
      <c r="AK50" s="42">
        <f>VLOOKUP($Q50,武学奇术!$A:$ZZ,29,FALSE)*(1+IF(OR($AG50=$F$4,$AG50=$F$5),$B$22,0))</f>
        <v>0</v>
      </c>
      <c r="AL50" s="41" cm="1">
        <f t="array" ref="AL50">$G$3+IFERROR(VLOOKUP($AG50,$F$4:$G$7,2,FALSE),0)+VLOOKUP($Q50,武学奇术!$A:$ZZ,2,FALSE)+SUM(_xlfn.XLOOKUP($R50:$AF50,增益!$A:$A,增益!$B:$B,0))</f>
        <v>0.4215</v>
      </c>
      <c r="AM50" s="41" cm="1">
        <f t="array" ref="AM50">VLOOKUP($Q50,武学奇术!$A:$ZZ,5,FALSE)+SUM(_xlfn.XLOOKUP($R50:$AF50,增益!$A:$A,增益!$E:$E,0))</f>
        <v>0.15</v>
      </c>
      <c r="AN50" cm="1">
        <f t="array" ref="AN50">$D$10*(1+$AM50)+VLOOKUP($Q50,武学奇术!$A:$ZZ,3,FALSE)+SUM(_xlfn.XLOOKUP($R50:$AF50,增益!$A:$A,增益!$C:$C,0))-$I$2</f>
        <v>2088.71</v>
      </c>
      <c r="AO50" cm="1">
        <f t="array" ref="AO50">$E$10*(1+$AM50)+VLOOKUP($Q50,武学奇术!$A:$ZZ,4,FALSE)+SUM(_xlfn.XLOOKUP($R50:$AF50,增益!$A:$A,增益!$D:$D,0))-$I$2</f>
        <v>6332.9</v>
      </c>
      <c r="AP50" s="49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0.3675</v>
      </c>
      <c r="AQ50" s="49" cm="1">
        <f t="array" ref="AQ50">$G$10+VLOOKUP($Q50,武学奇术!$A:$ZZ,7,FALSE)+SUM(_xlfn.XLOOKUP(R50:AF50,增益!$A:$A,增益!$G:$G,0))</f>
        <v>0</v>
      </c>
      <c r="AR50" s="41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49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49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49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49" cm="1">
        <f t="array" ref="AZ50">$G$12+VLOOKUP($Q50,武学奇术!$A:$ZZ,12,FALSE)+SUM(_xlfn.XLOOKUP(R50:AF50,增益!$A:$A,增益!$L:$L,0))</f>
        <v>0</v>
      </c>
      <c r="BA50">
        <f t="shared" si="5"/>
        <v>571.2</v>
      </c>
      <c r="BB50">
        <f t="shared" si="6"/>
        <v>1077.4</v>
      </c>
      <c r="BC50" s="49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49" cm="1">
        <f t="array" ref="BD50">$G$13+VLOOKUP($Q50,武学奇术!$A:$ZZ,14,FALSE)+SUM(_xlfn.XLOOKUP(R50:AF50,增益!$A:$A,增益!$N:$N,0))</f>
        <v>0.15</v>
      </c>
      <c r="BE50">
        <f t="shared" si="7"/>
        <v>0</v>
      </c>
      <c r="BF50">
        <f t="shared" si="8"/>
        <v>0</v>
      </c>
      <c r="BG50" s="49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49" cm="1">
        <f t="array" ref="BH50">$G$14+VLOOKUP($Q50,武学奇术!$A:$ZZ,16,FALSE)+SUM(_xlfn.XLOOKUP(R50:AF50,增益!$A:$A,增益!$P:$P,0))</f>
        <v>0</v>
      </c>
      <c r="BI50" s="41">
        <f>MIN(IF(VLOOKUP($Q50,武学奇术!$A:$ZZ,23,FALSE)=1,100%,$B$8),100%)</f>
        <v>1</v>
      </c>
      <c r="BJ50" s="41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0.9045</v>
      </c>
      <c r="BK50" s="41" cm="1">
        <f t="array" ref="BK50">1+$B$13+VLOOKUP($Q50,武学奇术!$A:$ZZ,18,FALSE)+SUM(_xlfn.XLOOKUP(R50:AF50,增益!$A:$A,增益!$R:$R,0))</f>
        <v>1.85</v>
      </c>
      <c r="BL50" s="41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0.0929</v>
      </c>
      <c r="BM50" s="41" cm="1">
        <f t="array" ref="BM50">1+$B$14+VLOOKUP($Q50,武学奇术!$A:$ZZ,20,FALSE)+SUM(_xlfn.XLOOKUP(R50:AF50,增益!$A:$A,增益!$T:$T,0))</f>
        <v>1.35</v>
      </c>
      <c r="BN50" s="41">
        <f t="shared" si="9"/>
        <v>0.9045</v>
      </c>
      <c r="BO50" s="41">
        <f t="shared" si="10"/>
        <v>0.00260000000000005</v>
      </c>
      <c r="BP50" s="41">
        <f>IF(VLOOKUP($Q50,武学奇术!$A:$ZZ,22,FALSE)=1,0,(1-$BI50))*(1-$BL50)</f>
        <v>0</v>
      </c>
      <c r="BQ50" s="41" cm="1">
        <f t="array" ref="BQ50">SUM(_xlfn.XLOOKUP(R50:AF50,增益!$A:$A,增益!$W:$W,0))+$I$5</f>
        <v>0.21</v>
      </c>
    </row>
    <row r="51" spans="5:69">
      <c r="K51" s="55">
        <f t="shared" si="0"/>
        <v>20572.9485710466</v>
      </c>
      <c r="L51" s="55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弹道",$B$21,0))*(1+$BQ51)</f>
        <v>20488.1788422626</v>
      </c>
      <c r="M51" s="55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弹道",$B$21,0))*(1+$BQ51)</f>
        <v>21664.1185245241</v>
      </c>
      <c r="N51" s="55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弹道",$B$21,0))*(1+$BQ51)</f>
        <v>11074.6912660879</v>
      </c>
      <c r="O51" s="55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弹道",$B$21,0))*(1+$BQ51)</f>
        <v>6101.88732882452</v>
      </c>
      <c r="P51" s="56">
        <v>4</v>
      </c>
      <c r="Q51" s="57" t="s">
        <v>148</v>
      </c>
      <c r="R51" s="57" t="s">
        <v>116</v>
      </c>
      <c r="S51" s="57" t="s">
        <v>153</v>
      </c>
      <c r="T51" s="57" t="s">
        <v>72</v>
      </c>
      <c r="U51" s="57" t="s">
        <v>157</v>
      </c>
      <c r="V51" s="57" t="s">
        <v>72</v>
      </c>
      <c r="W51" s="57" t="s">
        <v>72</v>
      </c>
      <c r="X51" s="57" t="s">
        <v>72</v>
      </c>
      <c r="Y51" s="57" t="s">
        <v>161</v>
      </c>
      <c r="Z51" s="57" t="s">
        <v>72</v>
      </c>
      <c r="AA51" s="57" t="s">
        <v>72</v>
      </c>
      <c r="AB51" s="57" t="s">
        <v>72</v>
      </c>
      <c r="AC51" s="57" t="s">
        <v>72</v>
      </c>
      <c r="AD51" s="57" t="s">
        <v>72</v>
      </c>
      <c r="AE51" s="57" t="s">
        <v>72</v>
      </c>
      <c r="AF51" s="57" t="s">
        <v>87</v>
      </c>
      <c r="AG51" t="str">
        <f>VLOOKUP($Q51,武学奇术!$A:$ZZ,25,FALSE)</f>
        <v>单体奇术</v>
      </c>
      <c r="AH51" s="41">
        <f>VLOOKUP($Q51,武学奇术!$A:$ZZ,26,FALSE)</f>
        <v>0.236</v>
      </c>
      <c r="AI51" s="42">
        <f>VLOOKUP($Q51,武学奇术!$A:$ZZ,27,FALSE)*(1+IF(OR($AG51=$F$4,$AG51=$F$5),$B$22,0))</f>
        <v>44</v>
      </c>
      <c r="AJ51" s="41">
        <f>VLOOKUP($Q51,武学奇术!$A:$ZZ,28,FALSE)</f>
        <v>0.354</v>
      </c>
      <c r="AK51" s="42">
        <f>VLOOKUP($Q51,武学奇术!$A:$ZZ,29,FALSE)*(1+IF(OR($AG51=$F$4,$AG51=$F$5),$B$22,0))</f>
        <v>0</v>
      </c>
      <c r="AL51" s="41" cm="1">
        <f t="array" ref="AL51">$G$3+IFERROR(VLOOKUP($AG51,$F$4:$G$7,2,FALSE),0)+VLOOKUP($Q51,武学奇术!$A:$ZZ,2,FALSE)+SUM(_xlfn.XLOOKUP($R51:$AF51,增益!$A:$A,增益!$B:$B,0))</f>
        <v>0.4215</v>
      </c>
      <c r="AM51" s="41" cm="1">
        <f t="array" ref="AM51">VLOOKUP($Q51,武学奇术!$A:$ZZ,5,FALSE)+SUM(_xlfn.XLOOKUP($R51:$AF51,增益!$A:$A,增益!$E:$E,0))</f>
        <v>0.15</v>
      </c>
      <c r="AN51" cm="1">
        <f t="array" ref="AN51">$D$10*(1+$AM51)+VLOOKUP($Q51,武学奇术!$A:$ZZ,3,FALSE)+SUM(_xlfn.XLOOKUP($R51:$AF51,增益!$A:$A,增益!$C:$C,0))-$I$2</f>
        <v>2088.71</v>
      </c>
      <c r="AO51" cm="1">
        <f t="array" ref="AO51">$E$10*(1+$AM51)+VLOOKUP($Q51,武学奇术!$A:$ZZ,4,FALSE)+SUM(_xlfn.XLOOKUP($R51:$AF51,增益!$A:$A,增益!$D:$D,0))-$I$2</f>
        <v>6332.9</v>
      </c>
      <c r="AP51" s="49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0.3675</v>
      </c>
      <c r="AQ51" s="49" cm="1">
        <f t="array" ref="AQ51">$G$10+VLOOKUP($Q51,武学奇术!$A:$ZZ,7,FALSE)+SUM(_xlfn.XLOOKUP(R51:AF51,增益!$A:$A,增益!$G:$G,0))</f>
        <v>0</v>
      </c>
      <c r="AR51" s="41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49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49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49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49" cm="1">
        <f t="array" ref="AZ51">$G$12+VLOOKUP($Q51,武学奇术!$A:$ZZ,12,FALSE)+SUM(_xlfn.XLOOKUP(R51:AF51,增益!$A:$A,增益!$L:$L,0))</f>
        <v>0</v>
      </c>
      <c r="BA51">
        <f t="shared" si="5"/>
        <v>571.2</v>
      </c>
      <c r="BB51">
        <f t="shared" si="6"/>
        <v>1077.4</v>
      </c>
      <c r="BC51" s="49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49" cm="1">
        <f t="array" ref="BD51">$G$13+VLOOKUP($Q51,武学奇术!$A:$ZZ,14,FALSE)+SUM(_xlfn.XLOOKUP(R51:AF51,增益!$A:$A,增益!$N:$N,0))</f>
        <v>0.15</v>
      </c>
      <c r="BE51">
        <f t="shared" si="7"/>
        <v>0</v>
      </c>
      <c r="BF51">
        <f t="shared" si="8"/>
        <v>0</v>
      </c>
      <c r="BG51" s="49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49" cm="1">
        <f t="array" ref="BH51">$G$14+VLOOKUP($Q51,武学奇术!$A:$ZZ,16,FALSE)+SUM(_xlfn.XLOOKUP(R51:AF51,增益!$A:$A,增益!$P:$P,0))</f>
        <v>0</v>
      </c>
      <c r="BI51" s="41">
        <f>MIN(IF(VLOOKUP($Q51,武学奇术!$A:$ZZ,23,FALSE)=1,100%,$B$8),100%)</f>
        <v>1</v>
      </c>
      <c r="BJ51" s="41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0.9045</v>
      </c>
      <c r="BK51" s="41" cm="1">
        <f t="array" ref="BK51">1+$B$13+VLOOKUP($Q51,武学奇术!$A:$ZZ,18,FALSE)+SUM(_xlfn.XLOOKUP(R51:AF51,增益!$A:$A,增益!$R:$R,0))</f>
        <v>1.85</v>
      </c>
      <c r="BL51" s="41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0.0929</v>
      </c>
      <c r="BM51" s="41" cm="1">
        <f t="array" ref="BM51">1+$B$14+VLOOKUP($Q51,武学奇术!$A:$ZZ,20,FALSE)+SUM(_xlfn.XLOOKUP(R51:AF51,增益!$A:$A,增益!$T:$T,0))</f>
        <v>1.35</v>
      </c>
      <c r="BN51" s="41">
        <f t="shared" si="9"/>
        <v>0.9045</v>
      </c>
      <c r="BO51" s="41">
        <f t="shared" si="10"/>
        <v>0.00260000000000005</v>
      </c>
      <c r="BP51" s="41">
        <f>IF(VLOOKUP($Q51,武学奇术!$A:$ZZ,22,FALSE)=1,0,(1-$BI51))*(1-$BL51)</f>
        <v>0</v>
      </c>
      <c r="BQ51" s="41" cm="1">
        <f t="array" ref="BQ51">SUM(_xlfn.XLOOKUP(R51:AF51,增益!$A:$A,增益!$W:$W,0))+$I$5</f>
        <v>0.11</v>
      </c>
    </row>
    <row r="52" spans="5:69">
      <c r="K52" s="55">
        <f t="shared" si="0"/>
        <v>145885.19241231</v>
      </c>
      <c r="L52" s="55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弹道",$B$21,0))*(1+$BQ52)</f>
        <v>145282.593956416</v>
      </c>
      <c r="M52" s="55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弹道",$B$21,0))*(1+$BQ52)</f>
        <v>153637.30070909</v>
      </c>
      <c r="N52" s="55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弹道",$B$21,0))*(1+$BQ52)</f>
        <v>78531.1318683329</v>
      </c>
      <c r="O52" s="55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弹道",$B$21,0))*(1+$BQ52)</f>
        <v>43256.8558040065</v>
      </c>
      <c r="P52" s="56">
        <v>6</v>
      </c>
      <c r="Q52" s="57" t="s">
        <v>164</v>
      </c>
      <c r="R52" s="57" t="s">
        <v>116</v>
      </c>
      <c r="S52" s="57" t="s">
        <v>153</v>
      </c>
      <c r="T52" s="57" t="s">
        <v>72</v>
      </c>
      <c r="U52" s="57" t="s">
        <v>157</v>
      </c>
      <c r="V52" s="57" t="s">
        <v>72</v>
      </c>
      <c r="W52" s="57" t="s">
        <v>72</v>
      </c>
      <c r="X52" s="57" t="s">
        <v>72</v>
      </c>
      <c r="Y52" s="57" t="s">
        <v>161</v>
      </c>
      <c r="Z52" s="57" t="s">
        <v>72</v>
      </c>
      <c r="AA52" s="57" t="s">
        <v>72</v>
      </c>
      <c r="AB52" s="57" t="s">
        <v>72</v>
      </c>
      <c r="AC52" s="57" t="s">
        <v>162</v>
      </c>
      <c r="AD52" s="57" t="s">
        <v>72</v>
      </c>
      <c r="AE52" s="57" t="s">
        <v>72</v>
      </c>
      <c r="AF52" s="57" t="s">
        <v>87</v>
      </c>
      <c r="AG52" t="str">
        <f>VLOOKUP($Q52,武学奇术!$A:$ZZ,25,FALSE)</f>
        <v>单体奇术</v>
      </c>
      <c r="AH52" s="41">
        <f>VLOOKUP($Q52,武学奇术!$A:$ZZ,26,FALSE)</f>
        <v>1.0238</v>
      </c>
      <c r="AI52" s="42">
        <f>VLOOKUP($Q52,武学奇术!$A:$ZZ,27,FALSE)*(1+IF(OR($AG52=$F$4,$AG52=$F$5),$B$22,0))</f>
        <v>189</v>
      </c>
      <c r="AJ52" s="41">
        <f>VLOOKUP($Q52,武学奇术!$A:$ZZ,28,FALSE)</f>
        <v>1.5357</v>
      </c>
      <c r="AK52" s="42">
        <f>VLOOKUP($Q52,武学奇术!$A:$ZZ,29,FALSE)*(1+IF(OR($AG52=$F$4,$AG52=$F$5),$B$22,0))</f>
        <v>0</v>
      </c>
      <c r="AL52" s="41" cm="1">
        <f t="array" ref="AL52">$G$3+IFERROR(VLOOKUP($AG52,$F$4:$G$7,2,FALSE),0)+VLOOKUP($Q52,武学奇术!$A:$ZZ,2,FALSE)+SUM(_xlfn.XLOOKUP($R52:$AF52,增益!$A:$A,增益!$B:$B,0))</f>
        <v>0.4215</v>
      </c>
      <c r="AM52" s="41" cm="1">
        <f t="array" ref="AM52">VLOOKUP($Q52,武学奇术!$A:$ZZ,5,FALSE)+SUM(_xlfn.XLOOKUP($R52:$AF52,增益!$A:$A,增益!$E:$E,0))</f>
        <v>0.15</v>
      </c>
      <c r="AN52" cm="1">
        <f t="array" ref="AN52">$D$10*(1+$AM52)+VLOOKUP($Q52,武学奇术!$A:$ZZ,3,FALSE)+SUM(_xlfn.XLOOKUP($R52:$AF52,增益!$A:$A,增益!$C:$C,0))-$I$2</f>
        <v>2088.71</v>
      </c>
      <c r="AO52" cm="1">
        <f t="array" ref="AO52">$E$10*(1+$AM52)+VLOOKUP($Q52,武学奇术!$A:$ZZ,4,FALSE)+SUM(_xlfn.XLOOKUP($R52:$AF52,增益!$A:$A,增益!$D:$D,0))-$I$2</f>
        <v>6332.9</v>
      </c>
      <c r="AP52" s="49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0.3675</v>
      </c>
      <c r="AQ52" s="49" cm="1">
        <f t="array" ref="AQ52">$G$10+VLOOKUP($Q52,武学奇术!$A:$ZZ,7,FALSE)+SUM(_xlfn.XLOOKUP(R52:AF52,增益!$A:$A,增益!$G:$G,0))</f>
        <v>0</v>
      </c>
      <c r="AR52" s="41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49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49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49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49" cm="1">
        <f t="array" ref="AZ52">$G$12+VLOOKUP($Q52,武学奇术!$A:$ZZ,12,FALSE)+SUM(_xlfn.XLOOKUP(R52:AF52,增益!$A:$A,增益!$L:$L,0))</f>
        <v>0</v>
      </c>
      <c r="BA52">
        <f t="shared" si="5"/>
        <v>571.2</v>
      </c>
      <c r="BB52">
        <f t="shared" si="6"/>
        <v>1077.4</v>
      </c>
      <c r="BC52" s="49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49" cm="1">
        <f t="array" ref="BD52">$G$13+VLOOKUP($Q52,武学奇术!$A:$ZZ,14,FALSE)+SUM(_xlfn.XLOOKUP(R52:AF52,增益!$A:$A,增益!$N:$N,0))</f>
        <v>0.15</v>
      </c>
      <c r="BE52">
        <f t="shared" si="7"/>
        <v>0</v>
      </c>
      <c r="BF52">
        <f t="shared" si="8"/>
        <v>0</v>
      </c>
      <c r="BG52" s="49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49" cm="1">
        <f t="array" ref="BH52">$G$14+VLOOKUP($Q52,武学奇术!$A:$ZZ,16,FALSE)+SUM(_xlfn.XLOOKUP(R52:AF52,增益!$A:$A,增益!$P:$P,0))</f>
        <v>0</v>
      </c>
      <c r="BI52" s="41">
        <f>MIN(IF(VLOOKUP($Q52,武学奇术!$A:$ZZ,23,FALSE)=1,100%,$B$8),100%)</f>
        <v>1</v>
      </c>
      <c r="BJ52" s="41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0.9045</v>
      </c>
      <c r="BK52" s="41" cm="1">
        <f t="array" ref="BK52">1+$B$13+VLOOKUP($Q52,武学奇术!$A:$ZZ,18,FALSE)+SUM(_xlfn.XLOOKUP(R52:AF52,增益!$A:$A,增益!$R:$R,0))</f>
        <v>1.85</v>
      </c>
      <c r="BL52" s="41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0.0929</v>
      </c>
      <c r="BM52" s="41" cm="1">
        <f t="array" ref="BM52">1+$B$14+VLOOKUP($Q52,武学奇术!$A:$ZZ,20,FALSE)+SUM(_xlfn.XLOOKUP(R52:AF52,增益!$A:$A,增益!$T:$T,0))</f>
        <v>1.35</v>
      </c>
      <c r="BN52" s="41">
        <f t="shared" si="9"/>
        <v>0.9045</v>
      </c>
      <c r="BO52" s="41">
        <f t="shared" si="10"/>
        <v>0.00260000000000005</v>
      </c>
      <c r="BP52" s="41">
        <f>IF(VLOOKUP($Q52,武学奇术!$A:$ZZ,22,FALSE)=1,0,(1-$BI52))*(1-$BL52)</f>
        <v>0</v>
      </c>
      <c r="BQ52" s="41" cm="1">
        <f t="array" ref="BQ52">SUM(_xlfn.XLOOKUP(R52:AF52,增益!$A:$A,增益!$W:$W,0))+$I$5</f>
        <v>0.21</v>
      </c>
    </row>
    <row r="53" spans="5:69">
      <c r="K53" s="55">
        <f t="shared" si="0"/>
        <v>63328.610711286</v>
      </c>
      <c r="L53" s="55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弹道",$B$21,0))*(1+$BQ53)</f>
        <v>63067.0246155823</v>
      </c>
      <c r="M53" s="55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弹道",$B$21,0))*(1+$BQ53)</f>
        <v>66693.7805080109</v>
      </c>
      <c r="N53" s="55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弹道",$B$21,0))*(1+$BQ53)</f>
        <v>34090.2835759904</v>
      </c>
      <c r="O53" s="55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弹道",$B$21,0))*(1+$BQ53)</f>
        <v>18777.7667756765</v>
      </c>
      <c r="P53" s="56">
        <v>1</v>
      </c>
      <c r="Q53" s="57" t="s">
        <v>165</v>
      </c>
      <c r="R53" s="57" t="s">
        <v>116</v>
      </c>
      <c r="S53" s="57" t="s">
        <v>153</v>
      </c>
      <c r="T53" s="57" t="s">
        <v>72</v>
      </c>
      <c r="U53" s="57" t="s">
        <v>157</v>
      </c>
      <c r="V53" s="57" t="s">
        <v>72</v>
      </c>
      <c r="W53" s="57" t="s">
        <v>72</v>
      </c>
      <c r="X53" s="57" t="s">
        <v>72</v>
      </c>
      <c r="Y53" s="57" t="s">
        <v>161</v>
      </c>
      <c r="Z53" s="57" t="s">
        <v>72</v>
      </c>
      <c r="AA53" s="57" t="s">
        <v>72</v>
      </c>
      <c r="AB53" s="57" t="s">
        <v>72</v>
      </c>
      <c r="AC53" s="57" t="s">
        <v>162</v>
      </c>
      <c r="AD53" s="57" t="s">
        <v>72</v>
      </c>
      <c r="AE53" s="57" t="s">
        <v>72</v>
      </c>
      <c r="AF53" s="57" t="s">
        <v>87</v>
      </c>
      <c r="AG53" t="str">
        <f>VLOOKUP($Q53,武学奇术!$A:$ZZ,25,FALSE)</f>
        <v>单体奇术</v>
      </c>
      <c r="AH53" s="41">
        <f>VLOOKUP($Q53,武学奇术!$A:$ZZ,26,FALSE)</f>
        <v>1.7063</v>
      </c>
      <c r="AI53" s="42">
        <f>VLOOKUP($Q53,武学奇术!$A:$ZZ,27,FALSE)*(1+IF(OR($AG53=$F$4,$AG53=$F$5),$B$22,0))</f>
        <v>315</v>
      </c>
      <c r="AJ53" s="41">
        <f>VLOOKUP($Q53,武学奇术!$A:$ZZ,28,FALSE)</f>
        <v>2.55945</v>
      </c>
      <c r="AK53" s="42">
        <f>VLOOKUP($Q53,武学奇术!$A:$ZZ,29,FALSE)*(1+IF(OR($AG53=$F$4,$AG53=$F$5),$B$22,0))</f>
        <v>0</v>
      </c>
      <c r="AL53" s="41" cm="1">
        <f t="array" ref="AL53">$G$3+IFERROR(VLOOKUP($AG53,$F$4:$G$7,2,FALSE),0)+VLOOKUP($Q53,武学奇术!$A:$ZZ,2,FALSE)+SUM(_xlfn.XLOOKUP($R53:$AF53,增益!$A:$A,增益!$B:$B,0))</f>
        <v>1.2215</v>
      </c>
      <c r="AM53" s="41" cm="1">
        <f t="array" ref="AM53">VLOOKUP($Q53,武学奇术!$A:$ZZ,5,FALSE)+SUM(_xlfn.XLOOKUP($R53:$AF53,增益!$A:$A,增益!$E:$E,0))</f>
        <v>0.15</v>
      </c>
      <c r="AN53" cm="1">
        <f t="array" ref="AN53">$D$10*(1+$AM53)+VLOOKUP($Q53,武学奇术!$A:$ZZ,3,FALSE)+SUM(_xlfn.XLOOKUP($R53:$AF53,增益!$A:$A,增益!$C:$C,0))-$I$2</f>
        <v>2088.71</v>
      </c>
      <c r="AO53" cm="1">
        <f t="array" ref="AO53">$E$10*(1+$AM53)+VLOOKUP($Q53,武学奇术!$A:$ZZ,4,FALSE)+SUM(_xlfn.XLOOKUP($R53:$AF53,增益!$A:$A,增益!$D:$D,0))-$I$2</f>
        <v>6332.9</v>
      </c>
      <c r="AP53" s="49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0.3675</v>
      </c>
      <c r="AQ53" s="49" cm="1">
        <f t="array" ref="AQ53">$G$10+VLOOKUP($Q53,武学奇术!$A:$ZZ,7,FALSE)+SUM(_xlfn.XLOOKUP(R53:AF53,增益!$A:$A,增益!$G:$G,0))</f>
        <v>0</v>
      </c>
      <c r="AR53" s="41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49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49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49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49" cm="1">
        <f t="array" ref="AZ53">$G$12+VLOOKUP($Q53,武学奇术!$A:$ZZ,12,FALSE)+SUM(_xlfn.XLOOKUP(R53:AF53,增益!$A:$A,增益!$L:$L,0))</f>
        <v>0</v>
      </c>
      <c r="BA53">
        <f t="shared" si="5"/>
        <v>571.2</v>
      </c>
      <c r="BB53">
        <f t="shared" si="6"/>
        <v>1077.4</v>
      </c>
      <c r="BC53" s="49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49" cm="1">
        <f t="array" ref="BD53">$G$13+VLOOKUP($Q53,武学奇术!$A:$ZZ,14,FALSE)+SUM(_xlfn.XLOOKUP(R53:AF53,增益!$A:$A,增益!$N:$N,0))</f>
        <v>0.15</v>
      </c>
      <c r="BE53">
        <f t="shared" si="7"/>
        <v>0</v>
      </c>
      <c r="BF53">
        <f t="shared" si="8"/>
        <v>0</v>
      </c>
      <c r="BG53" s="49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49" cm="1">
        <f t="array" ref="BH53">$G$14+VLOOKUP($Q53,武学奇术!$A:$ZZ,16,FALSE)+SUM(_xlfn.XLOOKUP(R53:AF53,增益!$A:$A,增益!$P:$P,0))</f>
        <v>0</v>
      </c>
      <c r="BI53" s="41">
        <f>MIN(IF(VLOOKUP($Q53,武学奇术!$A:$ZZ,23,FALSE)=1,100%,$B$8),100%)</f>
        <v>1</v>
      </c>
      <c r="BJ53" s="41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0.9045</v>
      </c>
      <c r="BK53" s="41" cm="1">
        <f t="array" ref="BK53">1+$B$13+VLOOKUP($Q53,武学奇术!$A:$ZZ,18,FALSE)+SUM(_xlfn.XLOOKUP(R53:AF53,增益!$A:$A,增益!$R:$R,0))</f>
        <v>1.85</v>
      </c>
      <c r="BL53" s="41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0.0929</v>
      </c>
      <c r="BM53" s="41" cm="1">
        <f t="array" ref="BM53">1+$B$14+VLOOKUP($Q53,武学奇术!$A:$ZZ,20,FALSE)+SUM(_xlfn.XLOOKUP(R53:AF53,增益!$A:$A,增益!$T:$T,0))</f>
        <v>1.35</v>
      </c>
      <c r="BN53" s="41">
        <f t="shared" si="9"/>
        <v>0.9045</v>
      </c>
      <c r="BO53" s="41">
        <f t="shared" si="10"/>
        <v>0.00260000000000005</v>
      </c>
      <c r="BP53" s="41">
        <f>IF(VLOOKUP($Q53,武学奇术!$A:$ZZ,22,FALSE)=1,0,(1-$BI53))*(1-$BL53)</f>
        <v>0</v>
      </c>
      <c r="BQ53" s="41" cm="1">
        <f t="array" ref="BQ53">SUM(_xlfn.XLOOKUP(R53:AF53,增益!$A:$A,增益!$W:$W,0))+$I$5</f>
        <v>0.21</v>
      </c>
    </row>
    <row r="54" spans="5:69">
      <c r="K54" s="55">
        <f t="shared" si="0"/>
        <v>267451.592728884</v>
      </c>
      <c r="L54" s="55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弹道",$B$21,0))*(1+$BQ54)</f>
        <v>266346.852738539</v>
      </c>
      <c r="M54" s="55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弹道",$B$21,0))*(1+$BQ54)</f>
        <v>281663.499680561</v>
      </c>
      <c r="N54" s="55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弹道",$B$21,0))*(1+$BQ54)</f>
        <v>143971.271750562</v>
      </c>
      <c r="O54" s="55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弹道",$B$21,0))*(1+$BQ54)</f>
        <v>79302.9141081155</v>
      </c>
      <c r="P54" s="56">
        <v>7</v>
      </c>
      <c r="Q54" s="57" t="s">
        <v>166</v>
      </c>
      <c r="R54" s="57" t="s">
        <v>116</v>
      </c>
      <c r="S54" s="57" t="s">
        <v>153</v>
      </c>
      <c r="T54" s="57" t="s">
        <v>72</v>
      </c>
      <c r="U54" s="57" t="s">
        <v>157</v>
      </c>
      <c r="V54" s="57" t="s">
        <v>72</v>
      </c>
      <c r="W54" s="57" t="s">
        <v>72</v>
      </c>
      <c r="X54" s="57" t="s">
        <v>72</v>
      </c>
      <c r="Y54" s="57" t="s">
        <v>161</v>
      </c>
      <c r="Z54" s="57" t="s">
        <v>72</v>
      </c>
      <c r="AA54" s="57" t="s">
        <v>72</v>
      </c>
      <c r="AB54" s="57" t="s">
        <v>72</v>
      </c>
      <c r="AC54" s="57" t="s">
        <v>162</v>
      </c>
      <c r="AD54" s="57" t="s">
        <v>72</v>
      </c>
      <c r="AE54" s="57" t="s">
        <v>72</v>
      </c>
      <c r="AF54" s="57" t="s">
        <v>87</v>
      </c>
      <c r="AG54" t="str">
        <f>VLOOKUP($Q54,武学奇术!$A:$ZZ,25,FALSE)</f>
        <v>单体奇术</v>
      </c>
      <c r="AH54" s="41">
        <f>VLOOKUP($Q54,武学奇术!$A:$ZZ,26,FALSE)</f>
        <v>1.6088</v>
      </c>
      <c r="AI54" s="42">
        <f>VLOOKUP($Q54,武学奇术!$A:$ZZ,27,FALSE)*(1+IF(OR($AG54=$F$4,$AG54=$F$5),$B$22,0))</f>
        <v>297</v>
      </c>
      <c r="AJ54" s="41">
        <f>VLOOKUP($Q54,武学奇术!$A:$ZZ,28,FALSE)</f>
        <v>2.4132</v>
      </c>
      <c r="AK54" s="42">
        <f>VLOOKUP($Q54,武学奇术!$A:$ZZ,29,FALSE)*(1+IF(OR($AG54=$F$4,$AG54=$F$5),$B$22,0))</f>
        <v>0</v>
      </c>
      <c r="AL54" s="41" cm="1">
        <f t="array" ref="AL54">$G$3+IFERROR(VLOOKUP($AG54,$F$4:$G$7,2,FALSE),0)+VLOOKUP($Q54,武学奇术!$A:$ZZ,2,FALSE)+SUM(_xlfn.XLOOKUP($R54:$AF54,增益!$A:$A,增益!$B:$B,0))</f>
        <v>0.4215</v>
      </c>
      <c r="AM54" s="41" cm="1">
        <f t="array" ref="AM54">VLOOKUP($Q54,武学奇术!$A:$ZZ,5,FALSE)+SUM(_xlfn.XLOOKUP($R54:$AF54,增益!$A:$A,增益!$E:$E,0))</f>
        <v>0.15</v>
      </c>
      <c r="AN54" cm="1">
        <f t="array" ref="AN54">$D$10*(1+$AM54)+VLOOKUP($Q54,武学奇术!$A:$ZZ,3,FALSE)+SUM(_xlfn.XLOOKUP($R54:$AF54,增益!$A:$A,增益!$C:$C,0))-$I$2</f>
        <v>2088.71</v>
      </c>
      <c r="AO54" cm="1">
        <f t="array" ref="AO54">$E$10*(1+$AM54)+VLOOKUP($Q54,武学奇术!$A:$ZZ,4,FALSE)+SUM(_xlfn.XLOOKUP($R54:$AF54,增益!$A:$A,增益!$D:$D,0))-$I$2</f>
        <v>6332.9</v>
      </c>
      <c r="AP54" s="49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0.3675</v>
      </c>
      <c r="AQ54" s="49" cm="1">
        <f t="array" ref="AQ54">$G$10+VLOOKUP($Q54,武学奇术!$A:$ZZ,7,FALSE)+SUM(_xlfn.XLOOKUP(R54:AF54,增益!$A:$A,增益!$G:$G,0))</f>
        <v>0</v>
      </c>
      <c r="AR54" s="41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49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49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49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49" cm="1">
        <f t="array" ref="AZ54">$G$12+VLOOKUP($Q54,武学奇术!$A:$ZZ,12,FALSE)+SUM(_xlfn.XLOOKUP(R54:AF54,增益!$A:$A,增益!$L:$L,0))</f>
        <v>0</v>
      </c>
      <c r="BA54">
        <f t="shared" si="5"/>
        <v>571.2</v>
      </c>
      <c r="BB54">
        <f t="shared" si="6"/>
        <v>1077.4</v>
      </c>
      <c r="BC54" s="49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49" cm="1">
        <f t="array" ref="BD54">$G$13+VLOOKUP($Q54,武学奇术!$A:$ZZ,14,FALSE)+SUM(_xlfn.XLOOKUP(R54:AF54,增益!$A:$A,增益!$N:$N,0))</f>
        <v>0.15</v>
      </c>
      <c r="BE54">
        <f t="shared" si="7"/>
        <v>0</v>
      </c>
      <c r="BF54">
        <f t="shared" si="8"/>
        <v>0</v>
      </c>
      <c r="BG54" s="49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49" cm="1">
        <f t="array" ref="BH54">$G$14+VLOOKUP($Q54,武学奇术!$A:$ZZ,16,FALSE)+SUM(_xlfn.XLOOKUP(R54:AF54,增益!$A:$A,增益!$P:$P,0))</f>
        <v>0</v>
      </c>
      <c r="BI54" s="41">
        <f>MIN(IF(VLOOKUP($Q54,武学奇术!$A:$ZZ,23,FALSE)=1,100%,$B$8),100%)</f>
        <v>1</v>
      </c>
      <c r="BJ54" s="41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0.9045</v>
      </c>
      <c r="BK54" s="41" cm="1">
        <f t="array" ref="BK54">1+$B$13+VLOOKUP($Q54,武学奇术!$A:$ZZ,18,FALSE)+SUM(_xlfn.XLOOKUP(R54:AF54,增益!$A:$A,增益!$R:$R,0))</f>
        <v>1.85</v>
      </c>
      <c r="BL54" s="41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0.0929</v>
      </c>
      <c r="BM54" s="41" cm="1">
        <f t="array" ref="BM54">1+$B$14+VLOOKUP($Q54,武学奇术!$A:$ZZ,20,FALSE)+SUM(_xlfn.XLOOKUP(R54:AF54,增益!$A:$A,增益!$T:$T,0))</f>
        <v>1.35</v>
      </c>
      <c r="BN54" s="41">
        <f t="shared" si="9"/>
        <v>0.9045</v>
      </c>
      <c r="BO54" s="41">
        <f t="shared" si="10"/>
        <v>0.00260000000000005</v>
      </c>
      <c r="BP54" s="41">
        <f>IF(VLOOKUP($Q54,武学奇术!$A:$ZZ,22,FALSE)=1,0,(1-$BI54))*(1-$BL54)</f>
        <v>0</v>
      </c>
      <c r="BQ54" s="41" cm="1">
        <f t="array" ref="BQ54">SUM(_xlfn.XLOOKUP(R54:AF54,增益!$A:$A,增益!$W:$W,0))+$I$5</f>
        <v>0.21</v>
      </c>
    </row>
    <row r="55" spans="5:69">
      <c r="K55" s="55">
        <f t="shared" si="0"/>
        <v>48628.3974707701</v>
      </c>
      <c r="L55" s="55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弹道",$B$21,0))*(1+$BQ55)</f>
        <v>48427.5313188053</v>
      </c>
      <c r="M55" s="55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弹道",$B$21,0))*(1+$BQ55)</f>
        <v>51212.4335696967</v>
      </c>
      <c r="N55" s="55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弹道",$B$21,0))*(1+$BQ55)</f>
        <v>26177.043956111</v>
      </c>
      <c r="O55" s="55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弹道",$B$21,0))*(1+$BQ55)</f>
        <v>14418.9519346688</v>
      </c>
      <c r="P55" s="56">
        <v>2</v>
      </c>
      <c r="Q55" s="57" t="s">
        <v>164</v>
      </c>
      <c r="R55" s="57" t="s">
        <v>116</v>
      </c>
      <c r="S55" s="57" t="s">
        <v>153</v>
      </c>
      <c r="T55" s="57" t="s">
        <v>72</v>
      </c>
      <c r="U55" s="57" t="s">
        <v>157</v>
      </c>
      <c r="V55" s="57" t="s">
        <v>72</v>
      </c>
      <c r="W55" s="57" t="s">
        <v>72</v>
      </c>
      <c r="X55" s="57" t="s">
        <v>72</v>
      </c>
      <c r="Y55" s="57" t="s">
        <v>161</v>
      </c>
      <c r="Z55" s="57" t="s">
        <v>72</v>
      </c>
      <c r="AA55" s="57" t="s">
        <v>72</v>
      </c>
      <c r="AB55" s="57" t="s">
        <v>72</v>
      </c>
      <c r="AC55" s="57" t="s">
        <v>162</v>
      </c>
      <c r="AD55" s="57" t="s">
        <v>72</v>
      </c>
      <c r="AE55" s="57" t="s">
        <v>72</v>
      </c>
      <c r="AF55" s="57" t="s">
        <v>87</v>
      </c>
      <c r="AG55" t="str">
        <f>VLOOKUP($Q55,武学奇术!$A:$ZZ,25,FALSE)</f>
        <v>单体奇术</v>
      </c>
      <c r="AH55" s="41">
        <f>VLOOKUP($Q55,武学奇术!$A:$ZZ,26,FALSE)</f>
        <v>1.0238</v>
      </c>
      <c r="AI55" s="42">
        <f>VLOOKUP($Q55,武学奇术!$A:$ZZ,27,FALSE)*(1+IF(OR($AG55=$F$4,$AG55=$F$5),$B$22,0))</f>
        <v>189</v>
      </c>
      <c r="AJ55" s="41">
        <f>VLOOKUP($Q55,武学奇术!$A:$ZZ,28,FALSE)</f>
        <v>1.5357</v>
      </c>
      <c r="AK55" s="42">
        <f>VLOOKUP($Q55,武学奇术!$A:$ZZ,29,FALSE)*(1+IF(OR($AG55=$F$4,$AG55=$F$5),$B$22,0))</f>
        <v>0</v>
      </c>
      <c r="AL55" s="41" cm="1">
        <f t="array" ref="AL55">$G$3+IFERROR(VLOOKUP($AG55,$F$4:$G$7,2,FALSE),0)+VLOOKUP($Q55,武学奇术!$A:$ZZ,2,FALSE)+SUM(_xlfn.XLOOKUP($R55:$AF55,增益!$A:$A,增益!$B:$B,0))</f>
        <v>0.4215</v>
      </c>
      <c r="AM55" s="41" cm="1">
        <f t="array" ref="AM55">VLOOKUP($Q55,武学奇术!$A:$ZZ,5,FALSE)+SUM(_xlfn.XLOOKUP($R55:$AF55,增益!$A:$A,增益!$E:$E,0))</f>
        <v>0.15</v>
      </c>
      <c r="AN55" cm="1">
        <f t="array" ref="AN55">$D$10*(1+$AM55)+VLOOKUP($Q55,武学奇术!$A:$ZZ,3,FALSE)+SUM(_xlfn.XLOOKUP($R55:$AF55,增益!$A:$A,增益!$C:$C,0))-$I$2</f>
        <v>2088.71</v>
      </c>
      <c r="AO55" cm="1">
        <f t="array" ref="AO55">$E$10*(1+$AM55)+VLOOKUP($Q55,武学奇术!$A:$ZZ,4,FALSE)+SUM(_xlfn.XLOOKUP($R55:$AF55,增益!$A:$A,增益!$D:$D,0))-$I$2</f>
        <v>6332.9</v>
      </c>
      <c r="AP55" s="49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0.3675</v>
      </c>
      <c r="AQ55" s="49" cm="1">
        <f t="array" ref="AQ55">$G$10+VLOOKUP($Q55,武学奇术!$A:$ZZ,7,FALSE)+SUM(_xlfn.XLOOKUP(R55:AF55,增益!$A:$A,增益!$G:$G,0))</f>
        <v>0</v>
      </c>
      <c r="AR55" s="41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49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49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49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49" cm="1">
        <f t="array" ref="AZ55">$G$12+VLOOKUP($Q55,武学奇术!$A:$ZZ,12,FALSE)+SUM(_xlfn.XLOOKUP(R55:AF55,增益!$A:$A,增益!$L:$L,0))</f>
        <v>0</v>
      </c>
      <c r="BA55">
        <f t="shared" si="5"/>
        <v>571.2</v>
      </c>
      <c r="BB55">
        <f t="shared" si="6"/>
        <v>1077.4</v>
      </c>
      <c r="BC55" s="49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49" cm="1">
        <f t="array" ref="BD55">$G$13+VLOOKUP($Q55,武学奇术!$A:$ZZ,14,FALSE)+SUM(_xlfn.XLOOKUP(R55:AF55,增益!$A:$A,增益!$N:$N,0))</f>
        <v>0.15</v>
      </c>
      <c r="BE55">
        <f t="shared" si="7"/>
        <v>0</v>
      </c>
      <c r="BF55">
        <f t="shared" si="8"/>
        <v>0</v>
      </c>
      <c r="BG55" s="49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49" cm="1">
        <f t="array" ref="BH55">$G$14+VLOOKUP($Q55,武学奇术!$A:$ZZ,16,FALSE)+SUM(_xlfn.XLOOKUP(R55:AF55,增益!$A:$A,增益!$P:$P,0))</f>
        <v>0</v>
      </c>
      <c r="BI55" s="41">
        <f>MIN(IF(VLOOKUP($Q55,武学奇术!$A:$ZZ,23,FALSE)=1,100%,$B$8),100%)</f>
        <v>1</v>
      </c>
      <c r="BJ55" s="41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0.9045</v>
      </c>
      <c r="BK55" s="41" cm="1">
        <f t="array" ref="BK55">1+$B$13+VLOOKUP($Q55,武学奇术!$A:$ZZ,18,FALSE)+SUM(_xlfn.XLOOKUP(R55:AF55,增益!$A:$A,增益!$R:$R,0))</f>
        <v>1.85</v>
      </c>
      <c r="BL55" s="41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0.0929</v>
      </c>
      <c r="BM55" s="41" cm="1">
        <f t="array" ref="BM55">1+$B$14+VLOOKUP($Q55,武学奇术!$A:$ZZ,20,FALSE)+SUM(_xlfn.XLOOKUP(R55:AF55,增益!$A:$A,增益!$T:$T,0))</f>
        <v>1.35</v>
      </c>
      <c r="BN55" s="41">
        <f t="shared" si="9"/>
        <v>0.9045</v>
      </c>
      <c r="BO55" s="41">
        <f t="shared" si="10"/>
        <v>0.00260000000000005</v>
      </c>
      <c r="BP55" s="41">
        <f>IF(VLOOKUP($Q55,武学奇术!$A:$ZZ,22,FALSE)=1,0,(1-$BI55))*(1-$BL55)</f>
        <v>0</v>
      </c>
      <c r="BQ55" s="41" cm="1">
        <f t="array" ref="BQ55">SUM(_xlfn.XLOOKUP(R55:AF55,增益!$A:$A,增益!$W:$W,0))+$I$5</f>
        <v>0.21</v>
      </c>
    </row>
    <row r="56" spans="5:69">
      <c r="K56" s="55">
        <f t="shared" si="0"/>
        <v>63328.610711286</v>
      </c>
      <c r="L56" s="55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弹道",$B$21,0))*(1+$BQ56)</f>
        <v>63067.0246155823</v>
      </c>
      <c r="M56" s="55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弹道",$B$21,0))*(1+$BQ56)</f>
        <v>66693.7805080109</v>
      </c>
      <c r="N56" s="55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弹道",$B$21,0))*(1+$BQ56)</f>
        <v>34090.2835759904</v>
      </c>
      <c r="O56" s="55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弹道",$B$21,0))*(1+$BQ56)</f>
        <v>18777.7667756765</v>
      </c>
      <c r="P56" s="56">
        <v>1</v>
      </c>
      <c r="Q56" s="57" t="s">
        <v>165</v>
      </c>
      <c r="R56" s="57" t="s">
        <v>116</v>
      </c>
      <c r="S56" s="57" t="s">
        <v>153</v>
      </c>
      <c r="T56" s="57" t="s">
        <v>72</v>
      </c>
      <c r="U56" s="57" t="s">
        <v>157</v>
      </c>
      <c r="V56" s="57" t="s">
        <v>72</v>
      </c>
      <c r="W56" s="57" t="s">
        <v>72</v>
      </c>
      <c r="X56" s="57" t="s">
        <v>72</v>
      </c>
      <c r="Y56" s="57" t="s">
        <v>161</v>
      </c>
      <c r="Z56" s="57" t="s">
        <v>72</v>
      </c>
      <c r="AA56" s="57" t="s">
        <v>72</v>
      </c>
      <c r="AB56" s="57" t="s">
        <v>72</v>
      </c>
      <c r="AC56" s="57" t="s">
        <v>162</v>
      </c>
      <c r="AD56" s="57" t="s">
        <v>72</v>
      </c>
      <c r="AE56" s="57" t="s">
        <v>72</v>
      </c>
      <c r="AF56" s="57" t="s">
        <v>87</v>
      </c>
      <c r="AG56" t="str">
        <f>VLOOKUP($Q56,武学奇术!$A:$ZZ,25,FALSE)</f>
        <v>单体奇术</v>
      </c>
      <c r="AH56" s="41">
        <f>VLOOKUP($Q56,武学奇术!$A:$ZZ,26,FALSE)</f>
        <v>1.7063</v>
      </c>
      <c r="AI56" s="42">
        <f>VLOOKUP($Q56,武学奇术!$A:$ZZ,27,FALSE)*(1+IF(OR($AG56=$F$4,$AG56=$F$5),$B$22,0))</f>
        <v>315</v>
      </c>
      <c r="AJ56" s="41">
        <f>VLOOKUP($Q56,武学奇术!$A:$ZZ,28,FALSE)</f>
        <v>2.55945</v>
      </c>
      <c r="AK56" s="42">
        <f>VLOOKUP($Q56,武学奇术!$A:$ZZ,29,FALSE)*(1+IF(OR($AG56=$F$4,$AG56=$F$5),$B$22,0))</f>
        <v>0</v>
      </c>
      <c r="AL56" s="41" cm="1">
        <f t="array" ref="AL56">$G$3+IFERROR(VLOOKUP($AG56,$F$4:$G$7,2,FALSE),0)+VLOOKUP($Q56,武学奇术!$A:$ZZ,2,FALSE)+SUM(_xlfn.XLOOKUP($R56:$AF56,增益!$A:$A,增益!$B:$B,0))</f>
        <v>1.2215</v>
      </c>
      <c r="AM56" s="41" cm="1">
        <f t="array" ref="AM56">VLOOKUP($Q56,武学奇术!$A:$ZZ,5,FALSE)+SUM(_xlfn.XLOOKUP($R56:$AF56,增益!$A:$A,增益!$E:$E,0))</f>
        <v>0.15</v>
      </c>
      <c r="AN56" cm="1">
        <f t="array" ref="AN56">$D$10*(1+$AM56)+VLOOKUP($Q56,武学奇术!$A:$ZZ,3,FALSE)+SUM(_xlfn.XLOOKUP($R56:$AF56,增益!$A:$A,增益!$C:$C,0))-$I$2</f>
        <v>2088.71</v>
      </c>
      <c r="AO56" cm="1">
        <f t="array" ref="AO56">$E$10*(1+$AM56)+VLOOKUP($Q56,武学奇术!$A:$ZZ,4,FALSE)+SUM(_xlfn.XLOOKUP($R56:$AF56,增益!$A:$A,增益!$D:$D,0))-$I$2</f>
        <v>6332.9</v>
      </c>
      <c r="AP56" s="49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0.3675</v>
      </c>
      <c r="AQ56" s="49" cm="1">
        <f t="array" ref="AQ56">$G$10+VLOOKUP($Q56,武学奇术!$A:$ZZ,7,FALSE)+SUM(_xlfn.XLOOKUP(R56:AF56,增益!$A:$A,增益!$G:$G,0))</f>
        <v>0</v>
      </c>
      <c r="AR56" s="41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49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49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49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49" cm="1">
        <f t="array" ref="AZ56">$G$12+VLOOKUP($Q56,武学奇术!$A:$ZZ,12,FALSE)+SUM(_xlfn.XLOOKUP(R56:AF56,增益!$A:$A,增益!$L:$L,0))</f>
        <v>0</v>
      </c>
      <c r="BA56">
        <f t="shared" si="5"/>
        <v>571.2</v>
      </c>
      <c r="BB56">
        <f t="shared" si="6"/>
        <v>1077.4</v>
      </c>
      <c r="BC56" s="49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49" cm="1">
        <f t="array" ref="BD56">$G$13+VLOOKUP($Q56,武学奇术!$A:$ZZ,14,FALSE)+SUM(_xlfn.XLOOKUP(R56:AF56,增益!$A:$A,增益!$N:$N,0))</f>
        <v>0.15</v>
      </c>
      <c r="BE56">
        <f t="shared" si="7"/>
        <v>0</v>
      </c>
      <c r="BF56">
        <f t="shared" si="8"/>
        <v>0</v>
      </c>
      <c r="BG56" s="49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49" cm="1">
        <f t="array" ref="BH56">$G$14+VLOOKUP($Q56,武学奇术!$A:$ZZ,16,FALSE)+SUM(_xlfn.XLOOKUP(R56:AF56,增益!$A:$A,增益!$P:$P,0))</f>
        <v>0</v>
      </c>
      <c r="BI56" s="41">
        <f>MIN(IF(VLOOKUP($Q56,武学奇术!$A:$ZZ,23,FALSE)=1,100%,$B$8),100%)</f>
        <v>1</v>
      </c>
      <c r="BJ56" s="41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0.9045</v>
      </c>
      <c r="BK56" s="41" cm="1">
        <f t="array" ref="BK56">1+$B$13+VLOOKUP($Q56,武学奇术!$A:$ZZ,18,FALSE)+SUM(_xlfn.XLOOKUP(R56:AF56,增益!$A:$A,增益!$R:$R,0))</f>
        <v>1.85</v>
      </c>
      <c r="BL56" s="41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0.0929</v>
      </c>
      <c r="BM56" s="41" cm="1">
        <f t="array" ref="BM56">1+$B$14+VLOOKUP($Q56,武学奇术!$A:$ZZ,20,FALSE)+SUM(_xlfn.XLOOKUP(R56:AF56,增益!$A:$A,增益!$T:$T,0))</f>
        <v>1.35</v>
      </c>
      <c r="BN56" s="41">
        <f t="shared" si="9"/>
        <v>0.9045</v>
      </c>
      <c r="BO56" s="41">
        <f t="shared" si="10"/>
        <v>0.00260000000000005</v>
      </c>
      <c r="BP56" s="41">
        <f>IF(VLOOKUP($Q56,武学奇术!$A:$ZZ,22,FALSE)=1,0,(1-$BI56))*(1-$BL56)</f>
        <v>0</v>
      </c>
      <c r="BQ56" s="41" cm="1">
        <f t="array" ref="BQ56">SUM(_xlfn.XLOOKUP(R56:AF56,增益!$A:$A,增益!$W:$W,0))+$I$5</f>
        <v>0.21</v>
      </c>
    </row>
    <row r="57" spans="5:69">
      <c r="E57" s="4"/>
      <c r="K57" s="55">
        <f t="shared" si="0"/>
        <v>114622.111169522</v>
      </c>
      <c r="L57" s="55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弹道",$B$21,0))*(1+$BQ57)</f>
        <v>114148.65117366</v>
      </c>
      <c r="M57" s="55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弹道",$B$21,0))*(1+$BQ57)</f>
        <v>120712.928434526</v>
      </c>
      <c r="N57" s="55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弹道",$B$21,0))*(1+$BQ57)</f>
        <v>61701.9736073836</v>
      </c>
      <c r="O57" s="55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弹道",$B$21,0))*(1+$BQ57)</f>
        <v>33986.9631891923</v>
      </c>
      <c r="P57" s="56">
        <v>3</v>
      </c>
      <c r="Q57" s="57" t="s">
        <v>166</v>
      </c>
      <c r="R57" s="57" t="s">
        <v>116</v>
      </c>
      <c r="S57" s="57" t="s">
        <v>153</v>
      </c>
      <c r="T57" s="57" t="s">
        <v>72</v>
      </c>
      <c r="U57" s="57" t="s">
        <v>157</v>
      </c>
      <c r="V57" s="57" t="s">
        <v>72</v>
      </c>
      <c r="W57" s="57" t="s">
        <v>72</v>
      </c>
      <c r="X57" s="57" t="s">
        <v>72</v>
      </c>
      <c r="Y57" s="57" t="s">
        <v>161</v>
      </c>
      <c r="Z57" s="57" t="s">
        <v>72</v>
      </c>
      <c r="AA57" s="57" t="s">
        <v>72</v>
      </c>
      <c r="AB57" s="57" t="s">
        <v>72</v>
      </c>
      <c r="AC57" s="57" t="s">
        <v>162</v>
      </c>
      <c r="AD57" s="57" t="s">
        <v>72</v>
      </c>
      <c r="AE57" s="57" t="s">
        <v>72</v>
      </c>
      <c r="AF57" s="57" t="s">
        <v>87</v>
      </c>
      <c r="AG57" t="str">
        <f>VLOOKUP($Q57,武学奇术!$A:$ZZ,25,FALSE)</f>
        <v>单体奇术</v>
      </c>
      <c r="AH57" s="41">
        <f>VLOOKUP($Q57,武学奇术!$A:$ZZ,26,FALSE)</f>
        <v>1.6088</v>
      </c>
      <c r="AI57" s="42">
        <f>VLOOKUP($Q57,武学奇术!$A:$ZZ,27,FALSE)*(1+IF(OR($AG57=$F$4,$AG57=$F$5),$B$22,0))</f>
        <v>297</v>
      </c>
      <c r="AJ57" s="41">
        <f>VLOOKUP($Q57,武学奇术!$A:$ZZ,28,FALSE)</f>
        <v>2.4132</v>
      </c>
      <c r="AK57" s="42">
        <f>VLOOKUP($Q57,武学奇术!$A:$ZZ,29,FALSE)*(1+IF(OR($AG57=$F$4,$AG57=$F$5),$B$22,0))</f>
        <v>0</v>
      </c>
      <c r="AL57" s="41" cm="1">
        <f t="array" ref="AL57">$G$3+IFERROR(VLOOKUP($AG57,$F$4:$G$7,2,FALSE),0)+VLOOKUP($Q57,武学奇术!$A:$ZZ,2,FALSE)+SUM(_xlfn.XLOOKUP($R57:$AF57,增益!$A:$A,增益!$B:$B,0))</f>
        <v>0.4215</v>
      </c>
      <c r="AM57" s="41" cm="1">
        <f t="array" ref="AM57">VLOOKUP($Q57,武学奇术!$A:$ZZ,5,FALSE)+SUM(_xlfn.XLOOKUP($R57:$AF57,增益!$A:$A,增益!$E:$E,0))</f>
        <v>0.15</v>
      </c>
      <c r="AN57" cm="1">
        <f t="array" ref="AN57">$D$10*(1+$AM57)+VLOOKUP($Q57,武学奇术!$A:$ZZ,3,FALSE)+SUM(_xlfn.XLOOKUP($R57:$AF57,增益!$A:$A,增益!$C:$C,0))-$I$2</f>
        <v>2088.71</v>
      </c>
      <c r="AO57" cm="1">
        <f t="array" ref="AO57">$E$10*(1+$AM57)+VLOOKUP($Q57,武学奇术!$A:$ZZ,4,FALSE)+SUM(_xlfn.XLOOKUP($R57:$AF57,增益!$A:$A,增益!$D:$D,0))-$I$2</f>
        <v>6332.9</v>
      </c>
      <c r="AP57" s="49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0.3675</v>
      </c>
      <c r="AQ57" s="49" cm="1">
        <f t="array" ref="AQ57">$G$10+VLOOKUP($Q57,武学奇术!$A:$ZZ,7,FALSE)+SUM(_xlfn.XLOOKUP(R57:AF57,增益!$A:$A,增益!$G:$G,0))</f>
        <v>0</v>
      </c>
      <c r="AR57" s="41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49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49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49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49" cm="1">
        <f t="array" ref="AZ57">$G$12+VLOOKUP($Q57,武学奇术!$A:$ZZ,12,FALSE)+SUM(_xlfn.XLOOKUP(R57:AF57,增益!$A:$A,增益!$L:$L,0))</f>
        <v>0</v>
      </c>
      <c r="BA57">
        <f t="shared" si="5"/>
        <v>571.2</v>
      </c>
      <c r="BB57">
        <f t="shared" si="6"/>
        <v>1077.4</v>
      </c>
      <c r="BC57" s="49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49" cm="1">
        <f t="array" ref="BD57">$G$13+VLOOKUP($Q57,武学奇术!$A:$ZZ,14,FALSE)+SUM(_xlfn.XLOOKUP(R57:AF57,增益!$A:$A,增益!$N:$N,0))</f>
        <v>0.15</v>
      </c>
      <c r="BE57">
        <f t="shared" si="7"/>
        <v>0</v>
      </c>
      <c r="BF57">
        <f t="shared" si="8"/>
        <v>0</v>
      </c>
      <c r="BG57" s="49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49" cm="1">
        <f t="array" ref="BH57">$G$14+VLOOKUP($Q57,武学奇术!$A:$ZZ,16,FALSE)+SUM(_xlfn.XLOOKUP(R57:AF57,增益!$A:$A,增益!$P:$P,0))</f>
        <v>0</v>
      </c>
      <c r="BI57" s="41">
        <f>MIN(IF(VLOOKUP($Q57,武学奇术!$A:$ZZ,23,FALSE)=1,100%,$B$8),100%)</f>
        <v>1</v>
      </c>
      <c r="BJ57" s="41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0.9045</v>
      </c>
      <c r="BK57" s="41" cm="1">
        <f t="array" ref="BK57">1+$B$13+VLOOKUP($Q57,武学奇术!$A:$ZZ,18,FALSE)+SUM(_xlfn.XLOOKUP(R57:AF57,增益!$A:$A,增益!$R:$R,0))</f>
        <v>1.85</v>
      </c>
      <c r="BL57" s="41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0.0929</v>
      </c>
      <c r="BM57" s="41" cm="1">
        <f t="array" ref="BM57">1+$B$14+VLOOKUP($Q57,武学奇术!$A:$ZZ,20,FALSE)+SUM(_xlfn.XLOOKUP(R57:AF57,增益!$A:$A,增益!$T:$T,0))</f>
        <v>1.35</v>
      </c>
      <c r="BN57" s="41">
        <f t="shared" si="9"/>
        <v>0.9045</v>
      </c>
      <c r="BO57" s="41">
        <f t="shared" si="10"/>
        <v>0.00260000000000005</v>
      </c>
      <c r="BP57" s="41">
        <f>IF(VLOOKUP($Q57,武学奇术!$A:$ZZ,22,FALSE)=1,0,(1-$BI57))*(1-$BL57)</f>
        <v>0</v>
      </c>
      <c r="BQ57" s="41" cm="1">
        <f t="array" ref="BQ57">SUM(_xlfn.XLOOKUP(R57:AF57,增益!$A:$A,增益!$W:$W,0))+$I$5</f>
        <v>0.21</v>
      </c>
    </row>
    <row r="58" spans="5:69">
      <c r="K58" s="55">
        <f t="shared" si="0"/>
        <v>168822.545824216</v>
      </c>
      <c r="L58" s="55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弹道",$B$21,0))*(1+$BQ58)</f>
        <v>168126.204358574</v>
      </c>
      <c r="M58" s="55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弹道",$B$21,0))*(1+$BQ58)</f>
        <v>177783.729876105</v>
      </c>
      <c r="N58" s="55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弹道",$B$21,0))*(1+$BQ58)</f>
        <v>90879.0293830128</v>
      </c>
      <c r="O58" s="55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弹道",$B$21,0))*(1+$BQ58)</f>
        <v>50066.4070059481</v>
      </c>
      <c r="P58" s="56">
        <v>1</v>
      </c>
      <c r="Q58" s="57" t="s">
        <v>129</v>
      </c>
      <c r="R58" s="57" t="s">
        <v>116</v>
      </c>
      <c r="S58" s="57" t="s">
        <v>153</v>
      </c>
      <c r="T58" s="57" t="s">
        <v>72</v>
      </c>
      <c r="U58" s="57" t="s">
        <v>157</v>
      </c>
      <c r="V58" s="57" t="s">
        <v>72</v>
      </c>
      <c r="W58" s="57" t="s">
        <v>72</v>
      </c>
      <c r="X58" s="57" t="s">
        <v>72</v>
      </c>
      <c r="Y58" s="57" t="s">
        <v>161</v>
      </c>
      <c r="Z58" s="57" t="s">
        <v>72</v>
      </c>
      <c r="AA58" s="57" t="s">
        <v>72</v>
      </c>
      <c r="AB58" s="57" t="s">
        <v>72</v>
      </c>
      <c r="AC58" s="57" t="s">
        <v>162</v>
      </c>
      <c r="AD58" s="57" t="s">
        <v>72</v>
      </c>
      <c r="AE58" s="57" t="s">
        <v>72</v>
      </c>
      <c r="AF58" s="57" t="s">
        <v>87</v>
      </c>
      <c r="AG58" t="str">
        <f>VLOOKUP($Q58,武学奇术!$A:$ZZ,25,FALSE)</f>
        <v>单体奇术</v>
      </c>
      <c r="AH58" s="41">
        <f>VLOOKUP($Q58,武学奇术!$A:$ZZ,26,FALSE)</f>
        <v>7.1074</v>
      </c>
      <c r="AI58" s="42">
        <f>VLOOKUP($Q58,武学奇术!$A:$ZZ,27,FALSE)*(1+IF(OR($AG58=$F$4,$AG58=$F$5),$B$22,0))</f>
        <v>1320</v>
      </c>
      <c r="AJ58" s="41">
        <f>VLOOKUP($Q58,武学奇术!$A:$ZZ,28,FALSE)</f>
        <v>10.6596</v>
      </c>
      <c r="AK58" s="42">
        <f>VLOOKUP($Q58,武学奇术!$A:$ZZ,29,FALSE)*(1+IF(OR($AG58=$F$4,$AG58=$F$5),$B$22,0))</f>
        <v>0</v>
      </c>
      <c r="AL58" s="41" cm="1">
        <f t="array" ref="AL58">$G$3+IFERROR(VLOOKUP($AG58,$F$4:$G$7,2,FALSE),0)+VLOOKUP($Q58,武学奇术!$A:$ZZ,2,FALSE)+SUM(_xlfn.XLOOKUP($R58:$AF58,增益!$A:$A,增益!$B:$B,0))</f>
        <v>0.4215</v>
      </c>
      <c r="AM58" s="41" cm="1">
        <f t="array" ref="AM58">VLOOKUP($Q58,武学奇术!$A:$ZZ,5,FALSE)+SUM(_xlfn.XLOOKUP($R58:$AF58,增益!$A:$A,增益!$E:$E,0))</f>
        <v>0.15</v>
      </c>
      <c r="AN58" cm="1">
        <f t="array" ref="AN58">$D$10*(1+$AM58)+VLOOKUP($Q58,武学奇术!$A:$ZZ,3,FALSE)+SUM(_xlfn.XLOOKUP($R58:$AF58,增益!$A:$A,增益!$C:$C,0))-$I$2</f>
        <v>2088.71</v>
      </c>
      <c r="AO58" cm="1">
        <f t="array" ref="AO58">$E$10*(1+$AM58)+VLOOKUP($Q58,武学奇术!$A:$ZZ,4,FALSE)+SUM(_xlfn.XLOOKUP($R58:$AF58,增益!$A:$A,增益!$D:$D,0))-$I$2</f>
        <v>6332.9</v>
      </c>
      <c r="AP58" s="49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0.3675</v>
      </c>
      <c r="AQ58" s="49" cm="1">
        <f t="array" ref="AQ58">$G$10+VLOOKUP($Q58,武学奇术!$A:$ZZ,7,FALSE)+SUM(_xlfn.XLOOKUP(R58:AF58,增益!$A:$A,增益!$G:$G,0))</f>
        <v>0</v>
      </c>
      <c r="AR58" s="41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49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49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49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49" cm="1">
        <f t="array" ref="AZ58">$G$12+VLOOKUP($Q58,武学奇术!$A:$ZZ,12,FALSE)+SUM(_xlfn.XLOOKUP(R58:AF58,增益!$A:$A,增益!$L:$L,0))</f>
        <v>0</v>
      </c>
      <c r="BA58">
        <f t="shared" si="5"/>
        <v>571.2</v>
      </c>
      <c r="BB58">
        <f t="shared" si="6"/>
        <v>1077.4</v>
      </c>
      <c r="BC58" s="49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49" cm="1">
        <f t="array" ref="BD58">$G$13+VLOOKUP($Q58,武学奇术!$A:$ZZ,14,FALSE)+SUM(_xlfn.XLOOKUP(R58:AF58,增益!$A:$A,增益!$N:$N,0))</f>
        <v>0.15</v>
      </c>
      <c r="BE58">
        <f t="shared" si="7"/>
        <v>0</v>
      </c>
      <c r="BF58">
        <f t="shared" si="8"/>
        <v>0</v>
      </c>
      <c r="BG58" s="49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49" cm="1">
        <f t="array" ref="BH58">$G$14+VLOOKUP($Q58,武学奇术!$A:$ZZ,16,FALSE)+SUM(_xlfn.XLOOKUP(R58:AF58,增益!$A:$A,增益!$P:$P,0))</f>
        <v>0</v>
      </c>
      <c r="BI58" s="41">
        <f>MIN(IF(VLOOKUP($Q58,武学奇术!$A:$ZZ,23,FALSE)=1,100%,$B$8),100%)</f>
        <v>1</v>
      </c>
      <c r="BJ58" s="41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0.9045</v>
      </c>
      <c r="BK58" s="41" cm="1">
        <f t="array" ref="BK58">1+$B$13+VLOOKUP($Q58,武学奇术!$A:$ZZ,18,FALSE)+SUM(_xlfn.XLOOKUP(R58:AF58,增益!$A:$A,增益!$R:$R,0))</f>
        <v>1.85</v>
      </c>
      <c r="BL58" s="41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0.0929</v>
      </c>
      <c r="BM58" s="41" cm="1">
        <f t="array" ref="BM58">1+$B$14+VLOOKUP($Q58,武学奇术!$A:$ZZ,20,FALSE)+SUM(_xlfn.XLOOKUP(R58:AF58,增益!$A:$A,增益!$T:$T,0))</f>
        <v>1.35</v>
      </c>
      <c r="BN58" s="41">
        <f t="shared" si="9"/>
        <v>0.9045</v>
      </c>
      <c r="BO58" s="41">
        <f t="shared" si="10"/>
        <v>0.00260000000000005</v>
      </c>
      <c r="BP58" s="41">
        <f>IF(VLOOKUP($Q58,武学奇术!$A:$ZZ,22,FALSE)=1,0,(1-$BI58))*(1-$BL58)</f>
        <v>0</v>
      </c>
      <c r="BQ58" s="41" cm="1">
        <f t="array" ref="BQ58">SUM(_xlfn.XLOOKUP(R58:AF58,增益!$A:$A,增益!$W:$W,0))+$I$5</f>
        <v>0.21</v>
      </c>
    </row>
    <row r="59" spans="5:69">
      <c r="K59" s="55">
        <f t="shared" si="0"/>
        <v>80038.9234595317</v>
      </c>
      <c r="L59" s="55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弹道",$B$21,0))*(1+$BQ59)</f>
        <v>81179.3572283893</v>
      </c>
      <c r="M59" s="55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弹道",$B$21,0))*(1+$BQ59)</f>
        <v>70147.359744914</v>
      </c>
      <c r="N59" s="55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弹道",$B$21,0))*(1+$BQ59)</f>
        <v>36732.7408273254</v>
      </c>
      <c r="O59" s="55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弹道",$B$21,0))*(1+$BQ59)</f>
        <v>21504.4744361961</v>
      </c>
      <c r="P59" s="56">
        <v>1</v>
      </c>
      <c r="Q59" s="57" t="s">
        <v>84</v>
      </c>
      <c r="R59" s="57" t="s">
        <v>116</v>
      </c>
      <c r="S59" s="57" t="s">
        <v>153</v>
      </c>
      <c r="T59" s="57" t="s">
        <v>92</v>
      </c>
      <c r="U59" s="57" t="s">
        <v>157</v>
      </c>
      <c r="V59" s="57" t="s">
        <v>72</v>
      </c>
      <c r="W59" s="57" t="s">
        <v>72</v>
      </c>
      <c r="X59" s="57" t="s">
        <v>72</v>
      </c>
      <c r="Y59" s="57" t="s">
        <v>161</v>
      </c>
      <c r="Z59" s="57" t="s">
        <v>72</v>
      </c>
      <c r="AA59" s="57" t="s">
        <v>72</v>
      </c>
      <c r="AB59" s="57" t="s">
        <v>72</v>
      </c>
      <c r="AC59" s="57" t="s">
        <v>72</v>
      </c>
      <c r="AD59" s="57" t="s">
        <v>72</v>
      </c>
      <c r="AE59" s="57" t="s">
        <v>72</v>
      </c>
      <c r="AF59" s="57" t="s">
        <v>87</v>
      </c>
      <c r="AG59" t="str">
        <f>VLOOKUP($Q59,武学奇术!$A:$ZZ,25,FALSE)</f>
        <v>伞</v>
      </c>
      <c r="AH59" s="41">
        <f>VLOOKUP($Q59,武学奇术!$A:$ZZ,26,FALSE)</f>
        <v>2.3397</v>
      </c>
      <c r="AI59" s="42">
        <f>VLOOKUP($Q59,武学奇术!$A:$ZZ,27,FALSE)*(1+IF(OR($AG59=$F$4,$AG59=$F$5),$B$22,0))</f>
        <v>907.2</v>
      </c>
      <c r="AJ59" s="41">
        <f>VLOOKUP($Q59,武学奇术!$A:$ZZ,28,FALSE)</f>
        <v>3.5095</v>
      </c>
      <c r="AK59" s="42">
        <f>VLOOKUP($Q59,武学奇术!$A:$ZZ,29,FALSE)*(1+IF(OR($AG59=$F$4,$AG59=$F$5),$B$22,0))</f>
        <v>494.2</v>
      </c>
      <c r="AL59" s="41" cm="1">
        <f t="array" ref="AL59">$G$3+IFERROR(VLOOKUP($AG59,$F$4:$G$7,2,FALSE),0)+VLOOKUP($Q59,武学奇术!$A:$ZZ,2,FALSE)+SUM(_xlfn.XLOOKUP($R59:$AF59,增益!$A:$A,增益!$B:$B,0))</f>
        <v>0.5741</v>
      </c>
      <c r="AM59" s="41" cm="1">
        <f t="array" ref="AM59">VLOOKUP($Q59,武学奇术!$A:$ZZ,5,FALSE)+SUM(_xlfn.XLOOKUP($R59:$AF59,增益!$A:$A,增益!$E:$E,0))</f>
        <v>0.15</v>
      </c>
      <c r="AN59" cm="1">
        <f t="array" ref="AN59">$D$10*(1+$AM59)+VLOOKUP($Q59,武学奇术!$A:$ZZ,3,FALSE)+SUM(_xlfn.XLOOKUP($R59:$AF59,增益!$A:$A,增益!$C:$C,0))-$I$2</f>
        <v>2088.71</v>
      </c>
      <c r="AO59" cm="1">
        <f t="array" ref="AO59">$E$10*(1+$AM59)+VLOOKUP($Q59,武学奇术!$A:$ZZ,4,FALSE)+SUM(_xlfn.XLOOKUP($R59:$AF59,增益!$A:$A,增益!$D:$D,0))-$I$2</f>
        <v>6332.9</v>
      </c>
      <c r="AP59" s="49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0.3925</v>
      </c>
      <c r="AQ59" s="49" cm="1">
        <f t="array" ref="AQ59">$G$10+VLOOKUP($Q59,武学奇术!$A:$ZZ,7,FALSE)+SUM(_xlfn.XLOOKUP(R59:AF59,增益!$A:$A,增益!$G:$G,0))</f>
        <v>0.1</v>
      </c>
      <c r="AR59" s="41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49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49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49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49" cm="1">
        <f t="array" ref="AZ59">$G$12+VLOOKUP($Q59,武学奇术!$A:$ZZ,12,FALSE)+SUM(_xlfn.XLOOKUP(R59:AF59,增益!$A:$A,增益!$L:$L,0))</f>
        <v>0</v>
      </c>
      <c r="BA59">
        <f t="shared" si="5"/>
        <v>571.2</v>
      </c>
      <c r="BB59">
        <f t="shared" si="6"/>
        <v>1077.4</v>
      </c>
      <c r="BC59" s="49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49" cm="1">
        <f t="array" ref="BD59">$G$13+VLOOKUP($Q59,武学奇术!$A:$ZZ,14,FALSE)+SUM(_xlfn.XLOOKUP(R59:AF59,增益!$A:$A,增益!$N:$N,0))</f>
        <v>0.25</v>
      </c>
      <c r="BE59">
        <f t="shared" si="7"/>
        <v>0</v>
      </c>
      <c r="BF59">
        <f t="shared" si="8"/>
        <v>0</v>
      </c>
      <c r="BG59" s="49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49" cm="1">
        <f t="array" ref="BH59">$G$14+VLOOKUP($Q59,武学奇术!$A:$ZZ,16,FALSE)+SUM(_xlfn.XLOOKUP(R59:AF59,增益!$A:$A,增益!$P:$P,0))</f>
        <v>0</v>
      </c>
      <c r="BI59" s="41">
        <f>MIN(IF(VLOOKUP($Q59,武学奇术!$A:$ZZ,23,FALSE)=1,100%,$B$8),100%)</f>
        <v>1</v>
      </c>
      <c r="BJ59" s="41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0.9045</v>
      </c>
      <c r="BK59" s="41" cm="1">
        <f t="array" ref="BK59">1+$B$13+VLOOKUP($Q59,武学奇术!$A:$ZZ,18,FALSE)+SUM(_xlfn.XLOOKUP(R59:AF59,增益!$A:$A,增益!$R:$R,0))</f>
        <v>2.21</v>
      </c>
      <c r="BL59" s="41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0.0929</v>
      </c>
      <c r="BM59" s="41" cm="1">
        <f t="array" ref="BM59">1+$B$14+VLOOKUP($Q59,武学奇术!$A:$ZZ,20,FALSE)+SUM(_xlfn.XLOOKUP(R59:AF59,增益!$A:$A,增益!$T:$T,0))</f>
        <v>1.35</v>
      </c>
      <c r="BN59" s="41">
        <f t="shared" si="9"/>
        <v>0.9045</v>
      </c>
      <c r="BO59" s="41">
        <f t="shared" si="10"/>
        <v>0.00260000000000005</v>
      </c>
      <c r="BP59" s="41">
        <f>IF(VLOOKUP($Q59,武学奇术!$A:$ZZ,22,FALSE)=1,0,(1-$BI59))*(1-$BL59)</f>
        <v>0</v>
      </c>
      <c r="BQ59" s="41" cm="1">
        <f t="array" ref="BQ59">SUM(_xlfn.XLOOKUP(R59:AF59,增益!$A:$A,增益!$W:$W,0))+$I$5</f>
        <v>0.11</v>
      </c>
    </row>
    <row r="60" spans="5:69">
      <c r="K60" s="55">
        <f t="shared" si="0"/>
        <v>41021.2023719397</v>
      </c>
      <c r="L60" s="55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弹道",$B$21,0))*(1+$BQ60)</f>
        <v>40949.2057278361</v>
      </c>
      <c r="M60" s="55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弹道",$B$21,0))*(1+$BQ60)</f>
        <v>42250.7594836924</v>
      </c>
      <c r="N60" s="55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弹道",$B$21,0))*(1+$BQ60)</f>
        <v>22134.7057988303</v>
      </c>
      <c r="O60" s="55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弹道",$B$21,0))*(1+$BQ60)</f>
        <v>12972.5527208515</v>
      </c>
      <c r="P60" s="56">
        <v>1</v>
      </c>
      <c r="Q60" s="57" t="s">
        <v>94</v>
      </c>
      <c r="R60" s="57" t="s">
        <v>116</v>
      </c>
      <c r="S60" s="57" t="s">
        <v>153</v>
      </c>
      <c r="T60" s="57" t="s">
        <v>72</v>
      </c>
      <c r="U60" s="57" t="s">
        <v>157</v>
      </c>
      <c r="V60" s="57" t="s">
        <v>72</v>
      </c>
      <c r="W60" s="57" t="s">
        <v>72</v>
      </c>
      <c r="X60" s="57" t="s">
        <v>72</v>
      </c>
      <c r="Y60" s="57" t="s">
        <v>161</v>
      </c>
      <c r="Z60" s="57" t="s">
        <v>72</v>
      </c>
      <c r="AA60" s="57" t="s">
        <v>72</v>
      </c>
      <c r="AB60" s="57" t="s">
        <v>72</v>
      </c>
      <c r="AC60" s="57" t="s">
        <v>72</v>
      </c>
      <c r="AD60" s="57" t="s">
        <v>72</v>
      </c>
      <c r="AE60" s="57" t="s">
        <v>72</v>
      </c>
      <c r="AF60" s="57" t="s">
        <v>87</v>
      </c>
      <c r="AG60" t="str">
        <f>VLOOKUP($Q60,武学奇术!$A:$ZZ,25,FALSE)</f>
        <v>伞</v>
      </c>
      <c r="AH60" s="41">
        <f>VLOOKUP($Q60,武学奇术!$A:$ZZ,26,FALSE)</f>
        <v>1.7001</v>
      </c>
      <c r="AI60" s="42">
        <f>VLOOKUP($Q60,武学奇术!$A:$ZZ,27,FALSE)*(1+IF(OR($AG60=$F$4,$AG60=$F$5),$B$22,0))</f>
        <v>659.4</v>
      </c>
      <c r="AJ60" s="41">
        <f>VLOOKUP($Q60,武学奇术!$A:$ZZ,28,FALSE)</f>
        <v>2.5502</v>
      </c>
      <c r="AK60" s="42">
        <f>VLOOKUP($Q60,武学奇术!$A:$ZZ,29,FALSE)*(1+IF(OR($AG60=$F$4,$AG60=$F$5),$B$22,0))</f>
        <v>358.4</v>
      </c>
      <c r="AL60" s="41" cm="1">
        <f t="array" ref="AL60">$G$3+IFERROR(VLOOKUP($AG60,$F$4:$G$7,2,FALSE),0)+VLOOKUP($Q60,武学奇术!$A:$ZZ,2,FALSE)+SUM(_xlfn.XLOOKUP($R60:$AF60,增益!$A:$A,增益!$B:$B,0))</f>
        <v>0.3241</v>
      </c>
      <c r="AM60" s="41" cm="1">
        <f t="array" ref="AM60">VLOOKUP($Q60,武学奇术!$A:$ZZ,5,FALSE)+SUM(_xlfn.XLOOKUP($R60:$AF60,增益!$A:$A,增益!$E:$E,0))</f>
        <v>0.15</v>
      </c>
      <c r="AN60" cm="1">
        <f t="array" ref="AN60">$D$10*(1+$AM60)+VLOOKUP($Q60,武学奇术!$A:$ZZ,3,FALSE)+SUM(_xlfn.XLOOKUP($R60:$AF60,增益!$A:$A,增益!$C:$C,0))-$I$2</f>
        <v>2088.71</v>
      </c>
      <c r="AO60" cm="1">
        <f t="array" ref="AO60">$E$10*(1+$AM60)+VLOOKUP($Q60,武学奇术!$A:$ZZ,4,FALSE)+SUM(_xlfn.XLOOKUP($R60:$AF60,增益!$A:$A,增益!$D:$D,0))-$I$2</f>
        <v>6332.9</v>
      </c>
      <c r="AP60" s="49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0.3675</v>
      </c>
      <c r="AQ60" s="49" cm="1">
        <f t="array" ref="AQ60">$G$10+VLOOKUP($Q60,武学奇术!$A:$ZZ,7,FALSE)+SUM(_xlfn.XLOOKUP(R60:AF60,增益!$A:$A,增益!$G:$G,0))</f>
        <v>0.1</v>
      </c>
      <c r="AR60" s="41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49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49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49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49" cm="1">
        <f t="array" ref="AZ60">$G$12+VLOOKUP($Q60,武学奇术!$A:$ZZ,12,FALSE)+SUM(_xlfn.XLOOKUP(R60:AF60,增益!$A:$A,增益!$L:$L,0))</f>
        <v>0</v>
      </c>
      <c r="BA60">
        <f t="shared" si="5"/>
        <v>571.2</v>
      </c>
      <c r="BB60">
        <f t="shared" si="6"/>
        <v>1077.4</v>
      </c>
      <c r="BC60" s="49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49" cm="1">
        <f t="array" ref="BD60">$G$13+VLOOKUP($Q60,武学奇术!$A:$ZZ,14,FALSE)+SUM(_xlfn.XLOOKUP(R60:AF60,增益!$A:$A,增益!$N:$N,0))</f>
        <v>0.25</v>
      </c>
      <c r="BE60">
        <f t="shared" si="7"/>
        <v>0</v>
      </c>
      <c r="BF60">
        <f t="shared" si="8"/>
        <v>0</v>
      </c>
      <c r="BG60" s="49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49" cm="1">
        <f t="array" ref="BH60">$G$14+VLOOKUP($Q60,武学奇术!$A:$ZZ,16,FALSE)+SUM(_xlfn.XLOOKUP(R60:AF60,增益!$A:$A,增益!$P:$P,0))</f>
        <v>0</v>
      </c>
      <c r="BI60" s="41">
        <f>MIN(IF(VLOOKUP($Q60,武学奇术!$A:$ZZ,23,FALSE)=1,100%,$B$8),100%)</f>
        <v>1</v>
      </c>
      <c r="BJ60" s="41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0.9045</v>
      </c>
      <c r="BK60" s="41" cm="1">
        <f t="array" ref="BK60">1+$B$13+VLOOKUP($Q60,武学奇术!$A:$ZZ,18,FALSE)+SUM(_xlfn.XLOOKUP(R60:AF60,增益!$A:$A,增益!$R:$R,0))</f>
        <v>1.85</v>
      </c>
      <c r="BL60" s="41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0.0929</v>
      </c>
      <c r="BM60" s="41" cm="1">
        <f t="array" ref="BM60">1+$B$14+VLOOKUP($Q60,武学奇术!$A:$ZZ,20,FALSE)+SUM(_xlfn.XLOOKUP(R60:AF60,增益!$A:$A,增益!$T:$T,0))</f>
        <v>1.35</v>
      </c>
      <c r="BN60" s="41">
        <f t="shared" si="9"/>
        <v>0.9045</v>
      </c>
      <c r="BO60" s="41">
        <f t="shared" si="10"/>
        <v>0.00260000000000005</v>
      </c>
      <c r="BP60" s="41">
        <f>IF(VLOOKUP($Q60,武学奇术!$A:$ZZ,22,FALSE)=1,0,(1-$BI60))*(1-$BL60)</f>
        <v>0</v>
      </c>
      <c r="BQ60" s="41" cm="1">
        <f t="array" ref="BQ60">SUM(_xlfn.XLOOKUP(R60:AF60,增益!$A:$A,增益!$W:$W,0))+$I$5</f>
        <v>0.11</v>
      </c>
    </row>
    <row r="61" spans="5:69">
      <c r="K61" s="55">
        <f t="shared" si="0"/>
        <v>17188.7980900261</v>
      </c>
      <c r="L61" s="55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弹道",$B$21,0))*(1+$BQ61)</f>
        <v>17158.3394631369</v>
      </c>
      <c r="M61" s="55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弹道",$B$21,0))*(1+$BQ61)</f>
        <v>17706.8420084992</v>
      </c>
      <c r="N61" s="55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弹道",$B$21,0))*(1+$BQ61)</f>
        <v>9274.77808818209</v>
      </c>
      <c r="O61" s="55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弹道",$B$21,0))*(1+$BQ61)</f>
        <v>5433.37691080923</v>
      </c>
      <c r="P61" s="56">
        <v>1</v>
      </c>
      <c r="Q61" s="57" t="s">
        <v>99</v>
      </c>
      <c r="R61" s="57" t="s">
        <v>116</v>
      </c>
      <c r="S61" s="57" t="s">
        <v>153</v>
      </c>
      <c r="T61" s="57" t="s">
        <v>72</v>
      </c>
      <c r="U61" s="57" t="s">
        <v>157</v>
      </c>
      <c r="V61" s="57" t="s">
        <v>72</v>
      </c>
      <c r="W61" s="57" t="s">
        <v>72</v>
      </c>
      <c r="X61" s="57" t="s">
        <v>72</v>
      </c>
      <c r="Y61" s="57" t="s">
        <v>161</v>
      </c>
      <c r="Z61" s="57" t="s">
        <v>72</v>
      </c>
      <c r="AA61" s="57" t="s">
        <v>72</v>
      </c>
      <c r="AB61" s="57" t="s">
        <v>72</v>
      </c>
      <c r="AC61" s="57" t="s">
        <v>72</v>
      </c>
      <c r="AD61" s="57" t="s">
        <v>72</v>
      </c>
      <c r="AE61" s="57" t="s">
        <v>72</v>
      </c>
      <c r="AF61" s="57" t="s">
        <v>87</v>
      </c>
      <c r="AG61" t="str">
        <f>VLOOKUP($Q61,武学奇术!$A:$ZZ,25,FALSE)</f>
        <v>伞</v>
      </c>
      <c r="AH61" s="41">
        <f>VLOOKUP($Q61,武学奇术!$A:$ZZ,26,FALSE)</f>
        <v>0.54</v>
      </c>
      <c r="AI61" s="42">
        <f>VLOOKUP($Q61,武学奇术!$A:$ZZ,27,FALSE)*(1+IF(OR($AG61=$F$4,$AG61=$F$5),$B$22,0))</f>
        <v>207.2</v>
      </c>
      <c r="AJ61" s="41">
        <f>VLOOKUP($Q61,武学奇术!$A:$ZZ,28,FALSE)</f>
        <v>0.81</v>
      </c>
      <c r="AK61" s="42">
        <f>VLOOKUP($Q61,武学奇术!$A:$ZZ,29,FALSE)*(1+IF(OR($AG61=$F$4,$AG61=$F$5),$B$22,0))</f>
        <v>114.1</v>
      </c>
      <c r="AL61" s="41" cm="1">
        <f t="array" ref="AL61">$G$3+IFERROR(VLOOKUP($AG61,$F$4:$G$7,2,FALSE),0)+VLOOKUP($Q61,武学奇术!$A:$ZZ,2,FALSE)+SUM(_xlfn.XLOOKUP($R61:$AF61,增益!$A:$A,增益!$B:$B,0))</f>
        <v>0.3241</v>
      </c>
      <c r="AM61" s="41" cm="1">
        <f t="array" ref="AM61">VLOOKUP($Q61,武学奇术!$A:$ZZ,5,FALSE)+SUM(_xlfn.XLOOKUP($R61:$AF61,增益!$A:$A,增益!$E:$E,0))</f>
        <v>0.15</v>
      </c>
      <c r="AN61" cm="1">
        <f t="array" ref="AN61">$D$10*(1+$AM61)+VLOOKUP($Q61,武学奇术!$A:$ZZ,3,FALSE)+SUM(_xlfn.XLOOKUP($R61:$AF61,增益!$A:$A,增益!$C:$C,0))-$I$2</f>
        <v>2088.71</v>
      </c>
      <c r="AO61" cm="1">
        <f t="array" ref="AO61">$E$10*(1+$AM61)+VLOOKUP($Q61,武学奇术!$A:$ZZ,4,FALSE)+SUM(_xlfn.XLOOKUP($R61:$AF61,增益!$A:$A,增益!$D:$D,0))-$I$2</f>
        <v>6332.9</v>
      </c>
      <c r="AP61" s="49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0.3675</v>
      </c>
      <c r="AQ61" s="49" cm="1">
        <f t="array" ref="AQ61">$G$10+VLOOKUP($Q61,武学奇术!$A:$ZZ,7,FALSE)+SUM(_xlfn.XLOOKUP(R61:AF61,增益!$A:$A,增益!$G:$G,0))</f>
        <v>0.1</v>
      </c>
      <c r="AR61" s="41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49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49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49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49" cm="1">
        <f t="array" ref="AZ61">$G$12+VLOOKUP($Q61,武学奇术!$A:$ZZ,12,FALSE)+SUM(_xlfn.XLOOKUP(R61:AF61,增益!$A:$A,增益!$L:$L,0))</f>
        <v>0</v>
      </c>
      <c r="BA61">
        <f t="shared" si="5"/>
        <v>571.2</v>
      </c>
      <c r="BB61">
        <f t="shared" si="6"/>
        <v>1077.4</v>
      </c>
      <c r="BC61" s="49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49" cm="1">
        <f t="array" ref="BD61">$G$13+VLOOKUP($Q61,武学奇术!$A:$ZZ,14,FALSE)+SUM(_xlfn.XLOOKUP(R61:AF61,增益!$A:$A,增益!$N:$N,0))</f>
        <v>0.25</v>
      </c>
      <c r="BE61">
        <f t="shared" si="7"/>
        <v>0</v>
      </c>
      <c r="BF61">
        <f t="shared" si="8"/>
        <v>0</v>
      </c>
      <c r="BG61" s="49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49" cm="1">
        <f t="array" ref="BH61">$G$14+VLOOKUP($Q61,武学奇术!$A:$ZZ,16,FALSE)+SUM(_xlfn.XLOOKUP(R61:AF61,增益!$A:$A,增益!$P:$P,0))</f>
        <v>0</v>
      </c>
      <c r="BI61" s="41">
        <f>MIN(IF(VLOOKUP($Q61,武学奇术!$A:$ZZ,23,FALSE)=1,100%,$B$8),100%)</f>
        <v>1</v>
      </c>
      <c r="BJ61" s="41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0.9045</v>
      </c>
      <c r="BK61" s="41" cm="1">
        <f t="array" ref="BK61">1+$B$13+VLOOKUP($Q61,武学奇术!$A:$ZZ,18,FALSE)+SUM(_xlfn.XLOOKUP(R61:AF61,增益!$A:$A,增益!$R:$R,0))</f>
        <v>1.85</v>
      </c>
      <c r="BL61" s="41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0.0929</v>
      </c>
      <c r="BM61" s="41" cm="1">
        <f t="array" ref="BM61">1+$B$14+VLOOKUP($Q61,武学奇术!$A:$ZZ,20,FALSE)+SUM(_xlfn.XLOOKUP(R61:AF61,增益!$A:$A,增益!$T:$T,0))</f>
        <v>1.35</v>
      </c>
      <c r="BN61" s="41">
        <f t="shared" si="9"/>
        <v>0.9045</v>
      </c>
      <c r="BO61" s="41">
        <f t="shared" si="10"/>
        <v>0.00260000000000005</v>
      </c>
      <c r="BP61" s="41">
        <f>IF(VLOOKUP($Q61,武学奇术!$A:$ZZ,22,FALSE)=1,0,(1-$BI61))*(1-$BL61)</f>
        <v>0</v>
      </c>
      <c r="BQ61" s="41" cm="1">
        <f t="array" ref="BQ61">SUM(_xlfn.XLOOKUP(R61:AF61,增益!$A:$A,增益!$W:$W,0))+$I$5</f>
        <v>0.11</v>
      </c>
    </row>
    <row r="62" spans="5:69">
      <c r="K62" s="55">
        <f t="shared" si="0"/>
        <v>19080.1857815357</v>
      </c>
      <c r="L62" s="55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弹道",$B$21,0))*(1+$BQ62)</f>
        <v>19047.3603857573</v>
      </c>
      <c r="M62" s="55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弹道",$B$21,0))*(1+$BQ62)</f>
        <v>19645.6302408327</v>
      </c>
      <c r="N62" s="55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弹道",$B$21,0))*(1+$BQ62)</f>
        <v>10295.8704787877</v>
      </c>
      <c r="O62" s="55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弹道",$B$21,0))*(1+$BQ62)</f>
        <v>6039.42226066236</v>
      </c>
      <c r="P62" s="56">
        <v>1</v>
      </c>
      <c r="Q62" s="57" t="s">
        <v>146</v>
      </c>
      <c r="R62" s="57" t="s">
        <v>116</v>
      </c>
      <c r="S62" s="57" t="s">
        <v>153</v>
      </c>
      <c r="T62" s="57" t="s">
        <v>72</v>
      </c>
      <c r="U62" s="57" t="s">
        <v>157</v>
      </c>
      <c r="V62" s="57" t="s">
        <v>72</v>
      </c>
      <c r="W62" s="57" t="s">
        <v>72</v>
      </c>
      <c r="X62" s="57" t="s">
        <v>72</v>
      </c>
      <c r="Y62" s="57" t="s">
        <v>161</v>
      </c>
      <c r="Z62" s="57" t="s">
        <v>72</v>
      </c>
      <c r="AA62" s="57" t="s">
        <v>72</v>
      </c>
      <c r="AB62" s="57" t="s">
        <v>72</v>
      </c>
      <c r="AC62" s="57" t="s">
        <v>72</v>
      </c>
      <c r="AD62" s="57" t="s">
        <v>72</v>
      </c>
      <c r="AE62" s="57" t="s">
        <v>72</v>
      </c>
      <c r="AF62" s="57" t="s">
        <v>87</v>
      </c>
      <c r="AG62" t="str">
        <f>VLOOKUP($Q62,武学奇术!$A:$ZZ,25,FALSE)</f>
        <v>扇</v>
      </c>
      <c r="AH62" s="41">
        <f>VLOOKUP($Q62,武学奇术!$A:$ZZ,26,FALSE)</f>
        <v>0.9271</v>
      </c>
      <c r="AI62" s="42">
        <f>VLOOKUP($Q62,武学奇术!$A:$ZZ,27,FALSE)*(1+IF(OR($AG62=$F$4,$AG62=$F$5),$B$22,0))</f>
        <v>359.8</v>
      </c>
      <c r="AJ62" s="41">
        <f>VLOOKUP($Q62,武学奇术!$A:$ZZ,28,FALSE)</f>
        <v>1.3907</v>
      </c>
      <c r="AK62" s="42">
        <f>VLOOKUP($Q62,武学奇术!$A:$ZZ,29,FALSE)*(1+IF(OR($AG62=$F$4,$AG62=$F$5),$B$22,0))</f>
        <v>196</v>
      </c>
      <c r="AL62" s="41" cm="1">
        <f t="array" ref="AL62">$G$3+IFERROR(VLOOKUP($AG62,$F$4:$G$7,2,FALSE),0)+VLOOKUP($Q62,武学奇术!$A:$ZZ,2,FALSE)+SUM(_xlfn.XLOOKUP($R62:$AF62,增益!$A:$A,增益!$B:$B,0))</f>
        <v>0.2389</v>
      </c>
      <c r="AM62" s="41" cm="1">
        <f t="array" ref="AM62">VLOOKUP($Q62,武学奇术!$A:$ZZ,5,FALSE)+SUM(_xlfn.XLOOKUP($R62:$AF62,增益!$A:$A,增益!$E:$E,0))</f>
        <v>0.15</v>
      </c>
      <c r="AN62" cm="1">
        <f t="array" ref="AN62">$D$10*(1+$AM62)+VLOOKUP($Q62,武学奇术!$A:$ZZ,3,FALSE)+SUM(_xlfn.XLOOKUP($R62:$AF62,增益!$A:$A,增益!$C:$C,0))-$I$2</f>
        <v>2088.71</v>
      </c>
      <c r="AO62" cm="1">
        <f t="array" ref="AO62">$E$10*(1+$AM62)+VLOOKUP($Q62,武学奇术!$A:$ZZ,4,FALSE)+SUM(_xlfn.XLOOKUP($R62:$AF62,增益!$A:$A,增益!$D:$D,0))-$I$2</f>
        <v>6332.9</v>
      </c>
      <c r="AP62" s="49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0.3675</v>
      </c>
      <c r="AQ62" s="49" cm="1">
        <f t="array" ref="AQ62">$G$10+VLOOKUP($Q62,武学奇术!$A:$ZZ,7,FALSE)+SUM(_xlfn.XLOOKUP(R62:AF62,增益!$A:$A,增益!$G:$G,0))</f>
        <v>0</v>
      </c>
      <c r="AR62" s="41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49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49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49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49" cm="1">
        <f t="array" ref="AZ62">$G$12+VLOOKUP($Q62,武学奇术!$A:$ZZ,12,FALSE)+SUM(_xlfn.XLOOKUP(R62:AF62,增益!$A:$A,增益!$L:$L,0))</f>
        <v>0</v>
      </c>
      <c r="BA62">
        <f t="shared" si="5"/>
        <v>571.2</v>
      </c>
      <c r="BB62">
        <f t="shared" si="6"/>
        <v>1077.4</v>
      </c>
      <c r="BC62" s="49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49" cm="1">
        <f t="array" ref="BD62">$G$13+VLOOKUP($Q62,武学奇术!$A:$ZZ,14,FALSE)+SUM(_xlfn.XLOOKUP(R62:AF62,增益!$A:$A,增益!$N:$N,0))</f>
        <v>0.15</v>
      </c>
      <c r="BE62">
        <f t="shared" si="7"/>
        <v>0</v>
      </c>
      <c r="BF62">
        <f t="shared" si="8"/>
        <v>0</v>
      </c>
      <c r="BG62" s="49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49" cm="1">
        <f t="array" ref="BH62">$G$14+VLOOKUP($Q62,武学奇术!$A:$ZZ,16,FALSE)+SUM(_xlfn.XLOOKUP(R62:AF62,增益!$A:$A,增益!$P:$P,0))</f>
        <v>0</v>
      </c>
      <c r="BI62" s="41">
        <f>MIN(IF(VLOOKUP($Q62,武学奇术!$A:$ZZ,23,FALSE)=1,100%,$B$8),100%)</f>
        <v>1</v>
      </c>
      <c r="BJ62" s="41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0.9045</v>
      </c>
      <c r="BK62" s="41" cm="1">
        <f t="array" ref="BK62">1+$B$13+VLOOKUP($Q62,武学奇术!$A:$ZZ,18,FALSE)+SUM(_xlfn.XLOOKUP(R62:AF62,增益!$A:$A,增益!$R:$R,0))</f>
        <v>1.85</v>
      </c>
      <c r="BL62" s="41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0.0929</v>
      </c>
      <c r="BM62" s="41" cm="1">
        <f t="array" ref="BM62">1+$B$14+VLOOKUP($Q62,武学奇术!$A:$ZZ,20,FALSE)+SUM(_xlfn.XLOOKUP(R62:AF62,增益!$A:$A,增益!$T:$T,0))</f>
        <v>1.35</v>
      </c>
      <c r="BN62" s="41">
        <f t="shared" si="9"/>
        <v>0.9045</v>
      </c>
      <c r="BO62" s="41">
        <f t="shared" si="10"/>
        <v>0.00260000000000005</v>
      </c>
      <c r="BP62" s="41">
        <f>IF(VLOOKUP($Q62,武学奇术!$A:$ZZ,22,FALSE)=1,0,(1-$BI62))*(1-$BL62)</f>
        <v>0</v>
      </c>
      <c r="BQ62" s="41" cm="1">
        <f t="array" ref="BQ62">SUM(_xlfn.XLOOKUP(R62:AF62,增益!$A:$A,增益!$W:$W,0))+$I$5</f>
        <v>0.11</v>
      </c>
    </row>
    <row r="63" spans="5:69">
      <c r="K63" s="55">
        <f t="shared" si="0"/>
        <v>26521.0672230099</v>
      </c>
      <c r="L63" s="55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弹道",$B$21,0))*(1+$BQ63)</f>
        <v>26898.7794173311</v>
      </c>
      <c r="M63" s="55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弹道",$B$21,0))*(1+$BQ63)</f>
        <v>23245.1627254039</v>
      </c>
      <c r="N63" s="55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弹道",$B$21,0))*(1+$BQ63)</f>
        <v>12171.3934015073</v>
      </c>
      <c r="O63" s="55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弹道",$B$21,0))*(1+$BQ63)</f>
        <v>7124.14774715978</v>
      </c>
      <c r="P63" s="56">
        <v>0.5</v>
      </c>
      <c r="Q63" s="57" t="s">
        <v>102</v>
      </c>
      <c r="R63" s="57" t="s">
        <v>116</v>
      </c>
      <c r="S63" s="57" t="s">
        <v>153</v>
      </c>
      <c r="T63" s="57" t="s">
        <v>92</v>
      </c>
      <c r="U63" s="57" t="s">
        <v>157</v>
      </c>
      <c r="V63" s="57" t="s">
        <v>72</v>
      </c>
      <c r="W63" s="57" t="s">
        <v>72</v>
      </c>
      <c r="X63" s="57" t="s">
        <v>72</v>
      </c>
      <c r="Y63" s="57" t="s">
        <v>161</v>
      </c>
      <c r="Z63" s="57" t="s">
        <v>72</v>
      </c>
      <c r="AA63" s="57" t="s">
        <v>72</v>
      </c>
      <c r="AB63" s="57" t="s">
        <v>72</v>
      </c>
      <c r="AC63" s="57" t="s">
        <v>72</v>
      </c>
      <c r="AD63" s="57" t="s">
        <v>72</v>
      </c>
      <c r="AE63" s="57" t="s">
        <v>72</v>
      </c>
      <c r="AF63" s="57" t="s">
        <v>87</v>
      </c>
      <c r="AG63" t="str">
        <f>VLOOKUP($Q63,武学奇术!$A:$ZZ,25,FALSE)</f>
        <v>伞</v>
      </c>
      <c r="AH63" s="41">
        <f>VLOOKUP($Q63,武学奇术!$A:$ZZ,26,FALSE)</f>
        <v>1.174955</v>
      </c>
      <c r="AI63" s="42">
        <f>VLOOKUP($Q63,武学奇术!$A:$ZZ,27,FALSE)*(1+IF(OR($AG63=$F$4,$AG63=$F$5),$B$22,0))</f>
        <v>454.02</v>
      </c>
      <c r="AJ63" s="41">
        <f>VLOOKUP($Q63,武学奇术!$A:$ZZ,28,FALSE)</f>
        <v>1.762375</v>
      </c>
      <c r="AK63" s="42">
        <f>VLOOKUP($Q63,武学奇术!$A:$ZZ,29,FALSE)*(1+IF(OR($AG63=$F$4,$AG63=$F$5),$B$22,0))</f>
        <v>247.94</v>
      </c>
      <c r="AL63" s="41" cm="1">
        <f t="array" ref="AL63">$G$3+IFERROR(VLOOKUP($AG63,$F$4:$G$7,2,FALSE),0)+VLOOKUP($Q63,武学奇术!$A:$ZZ,2,FALSE)+SUM(_xlfn.XLOOKUP($R63:$AF63,增益!$A:$A,增益!$B:$B,0))</f>
        <v>0.5741</v>
      </c>
      <c r="AM63" s="41" cm="1">
        <f t="array" ref="AM63">VLOOKUP($Q63,武学奇术!$A:$ZZ,5,FALSE)+SUM(_xlfn.XLOOKUP($R63:$AF63,增益!$A:$A,增益!$E:$E,0))</f>
        <v>0.15</v>
      </c>
      <c r="AN63" cm="1">
        <f t="array" ref="AN63">$D$10*(1+$AM63)+VLOOKUP($Q63,武学奇术!$A:$ZZ,3,FALSE)+SUM(_xlfn.XLOOKUP($R63:$AF63,增益!$A:$A,增益!$C:$C,0))-$I$2</f>
        <v>2088.71</v>
      </c>
      <c r="AO63" cm="1">
        <f t="array" ref="AO63">$E$10*(1+$AM63)+VLOOKUP($Q63,武学奇术!$A:$ZZ,4,FALSE)+SUM(_xlfn.XLOOKUP($R63:$AF63,增益!$A:$A,增益!$D:$D,0))-$I$2</f>
        <v>6332.9</v>
      </c>
      <c r="AP63" s="49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0.3925</v>
      </c>
      <c r="AQ63" s="49" cm="1">
        <f t="array" ref="AQ63">$G$10+VLOOKUP($Q63,武学奇术!$A:$ZZ,7,FALSE)+SUM(_xlfn.XLOOKUP(R63:AF63,增益!$A:$A,增益!$G:$G,0))</f>
        <v>0.1</v>
      </c>
      <c r="AR63" s="41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49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49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49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49" cm="1">
        <f t="array" ref="AZ63">$G$12+VLOOKUP($Q63,武学奇术!$A:$ZZ,12,FALSE)+SUM(_xlfn.XLOOKUP(R63:AF63,增益!$A:$A,增益!$L:$L,0))</f>
        <v>0</v>
      </c>
      <c r="BA63">
        <f t="shared" si="5"/>
        <v>571.2</v>
      </c>
      <c r="BB63">
        <f t="shared" si="6"/>
        <v>1077.4</v>
      </c>
      <c r="BC63" s="49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49" cm="1">
        <f t="array" ref="BD63">$G$13+VLOOKUP($Q63,武学奇术!$A:$ZZ,14,FALSE)+SUM(_xlfn.XLOOKUP(R63:AF63,增益!$A:$A,增益!$N:$N,0))</f>
        <v>0.25</v>
      </c>
      <c r="BE63">
        <f t="shared" si="7"/>
        <v>0</v>
      </c>
      <c r="BF63">
        <f t="shared" si="8"/>
        <v>0</v>
      </c>
      <c r="BG63" s="49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49" cm="1">
        <f t="array" ref="BH63">$G$14+VLOOKUP($Q63,武学奇术!$A:$ZZ,16,FALSE)+SUM(_xlfn.XLOOKUP(R63:AF63,增益!$A:$A,增益!$P:$P,0))</f>
        <v>0</v>
      </c>
      <c r="BI63" s="41">
        <f>MIN(IF(VLOOKUP($Q63,武学奇术!$A:$ZZ,23,FALSE)=1,100%,$B$8),100%)</f>
        <v>1</v>
      </c>
      <c r="BJ63" s="41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0.9045</v>
      </c>
      <c r="BK63" s="41" cm="1">
        <f t="array" ref="BK63">1+$B$13+VLOOKUP($Q63,武学奇术!$A:$ZZ,18,FALSE)+SUM(_xlfn.XLOOKUP(R63:AF63,增益!$A:$A,增益!$R:$R,0))</f>
        <v>2.21</v>
      </c>
      <c r="BL63" s="41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0.0929</v>
      </c>
      <c r="BM63" s="41" cm="1">
        <f t="array" ref="BM63">1+$B$14+VLOOKUP($Q63,武学奇术!$A:$ZZ,20,FALSE)+SUM(_xlfn.XLOOKUP(R63:AF63,增益!$A:$A,增益!$T:$T,0))</f>
        <v>1.35</v>
      </c>
      <c r="BN63" s="41">
        <f t="shared" si="9"/>
        <v>0.9045</v>
      </c>
      <c r="BO63" s="41">
        <f t="shared" si="10"/>
        <v>0.00260000000000005</v>
      </c>
      <c r="BP63" s="41">
        <f>IF(VLOOKUP($Q63,武学奇术!$A:$ZZ,22,FALSE)=1,0,(1-$BI63))*(1-$BL63)</f>
        <v>0</v>
      </c>
      <c r="BQ63" s="41" cm="1">
        <f t="array" ref="BQ63">SUM(_xlfn.XLOOKUP(R63:AF63,增益!$A:$A,增益!$W:$W,0))+$I$5</f>
        <v>0.11</v>
      </c>
    </row>
    <row r="64" spans="5:69">
      <c r="K64" s="55">
        <f t="shared" si="0"/>
        <v>66520.8548439665</v>
      </c>
      <c r="L64" s="55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弹道",$B$21,0))*(1+$BQ64)</f>
        <v>67468.2427390296</v>
      </c>
      <c r="M64" s="55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弹道",$B$21,0))*(1+$BQ64)</f>
        <v>58304.142984842</v>
      </c>
      <c r="N64" s="55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弹道",$B$21,0))*(1+$BQ64)</f>
        <v>30528.6166239953</v>
      </c>
      <c r="O64" s="55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弹道",$B$21,0))*(1+$BQ64)</f>
        <v>17868.9791851447</v>
      </c>
      <c r="P64" s="56">
        <v>1</v>
      </c>
      <c r="Q64" s="57" t="s">
        <v>102</v>
      </c>
      <c r="R64" s="57" t="s">
        <v>116</v>
      </c>
      <c r="S64" s="57" t="s">
        <v>153</v>
      </c>
      <c r="T64" s="57" t="s">
        <v>92</v>
      </c>
      <c r="U64" s="57" t="s">
        <v>157</v>
      </c>
      <c r="V64" s="57" t="s">
        <v>86</v>
      </c>
      <c r="W64" s="57" t="s">
        <v>72</v>
      </c>
      <c r="X64" s="57" t="s">
        <v>72</v>
      </c>
      <c r="Y64" s="57" t="s">
        <v>161</v>
      </c>
      <c r="Z64" s="57" t="s">
        <v>72</v>
      </c>
      <c r="AA64" s="57" t="s">
        <v>72</v>
      </c>
      <c r="AB64" s="57" t="s">
        <v>72</v>
      </c>
      <c r="AC64" s="57" t="s">
        <v>72</v>
      </c>
      <c r="AD64" s="57" t="s">
        <v>72</v>
      </c>
      <c r="AE64" s="57" t="s">
        <v>72</v>
      </c>
      <c r="AF64" s="57" t="s">
        <v>87</v>
      </c>
      <c r="AG64" t="str">
        <f>VLOOKUP($Q64,武学奇术!$A:$ZZ,25,FALSE)</f>
        <v>伞</v>
      </c>
      <c r="AH64" s="41">
        <f>VLOOKUP($Q64,武学奇术!$A:$ZZ,26,FALSE)</f>
        <v>1.174955</v>
      </c>
      <c r="AI64" s="42">
        <f>VLOOKUP($Q64,武学奇术!$A:$ZZ,27,FALSE)*(1+IF(OR($AG64=$F$4,$AG64=$F$5),$B$22,0))</f>
        <v>454.02</v>
      </c>
      <c r="AJ64" s="41">
        <f>VLOOKUP($Q64,武学奇术!$A:$ZZ,28,FALSE)</f>
        <v>1.762375</v>
      </c>
      <c r="AK64" s="42">
        <f>VLOOKUP($Q64,武学奇术!$A:$ZZ,29,FALSE)*(1+IF(OR($AG64=$F$4,$AG64=$F$5),$B$22,0))</f>
        <v>247.94</v>
      </c>
      <c r="AL64" s="41" cm="1">
        <f t="array" ref="AL64">$G$3+IFERROR(VLOOKUP($AG64,$F$4:$G$7,2,FALSE),0)+VLOOKUP($Q64,武学奇术!$A:$ZZ,2,FALSE)+SUM(_xlfn.XLOOKUP($R64:$AF64,增益!$A:$A,增益!$B:$B,0))</f>
        <v>0.9741</v>
      </c>
      <c r="AM64" s="41" cm="1">
        <f t="array" ref="AM64">VLOOKUP($Q64,武学奇术!$A:$ZZ,5,FALSE)+SUM(_xlfn.XLOOKUP($R64:$AF64,增益!$A:$A,增益!$E:$E,0))</f>
        <v>0.15</v>
      </c>
      <c r="AN64" cm="1">
        <f t="array" ref="AN64">$D$10*(1+$AM64)+VLOOKUP($Q64,武学奇术!$A:$ZZ,3,FALSE)+SUM(_xlfn.XLOOKUP($R64:$AF64,增益!$A:$A,增益!$C:$C,0))-$I$2</f>
        <v>2088.71</v>
      </c>
      <c r="AO64" cm="1">
        <f t="array" ref="AO64">$E$10*(1+$AM64)+VLOOKUP($Q64,武学奇术!$A:$ZZ,4,FALSE)+SUM(_xlfn.XLOOKUP($R64:$AF64,增益!$A:$A,增益!$D:$D,0))-$I$2</f>
        <v>6332.9</v>
      </c>
      <c r="AP64" s="49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0.3925</v>
      </c>
      <c r="AQ64" s="49" cm="1">
        <f t="array" ref="AQ64">$G$10+VLOOKUP($Q64,武学奇术!$A:$ZZ,7,FALSE)+SUM(_xlfn.XLOOKUP(R64:AF64,增益!$A:$A,增益!$G:$G,0))</f>
        <v>0.1</v>
      </c>
      <c r="AR64" s="41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49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49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49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49" cm="1">
        <f t="array" ref="AZ64">$G$12+VLOOKUP($Q64,武学奇术!$A:$ZZ,12,FALSE)+SUM(_xlfn.XLOOKUP(R64:AF64,增益!$A:$A,增益!$L:$L,0))</f>
        <v>0</v>
      </c>
      <c r="BA64">
        <f t="shared" si="5"/>
        <v>571.2</v>
      </c>
      <c r="BB64">
        <f t="shared" si="6"/>
        <v>1077.4</v>
      </c>
      <c r="BC64" s="49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49" cm="1">
        <f t="array" ref="BD64">$G$13+VLOOKUP($Q64,武学奇术!$A:$ZZ,14,FALSE)+SUM(_xlfn.XLOOKUP(R64:AF64,增益!$A:$A,增益!$N:$N,0))</f>
        <v>0.25</v>
      </c>
      <c r="BE64">
        <f t="shared" si="7"/>
        <v>0</v>
      </c>
      <c r="BF64">
        <f t="shared" si="8"/>
        <v>0</v>
      </c>
      <c r="BG64" s="49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49" cm="1">
        <f t="array" ref="BH64">$G$14+VLOOKUP($Q64,武学奇术!$A:$ZZ,16,FALSE)+SUM(_xlfn.XLOOKUP(R64:AF64,增益!$A:$A,增益!$P:$P,0))</f>
        <v>0</v>
      </c>
      <c r="BI64" s="41">
        <f>MIN(IF(VLOOKUP($Q64,武学奇术!$A:$ZZ,23,FALSE)=1,100%,$B$8),100%)</f>
        <v>1</v>
      </c>
      <c r="BJ64" s="41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0.9045</v>
      </c>
      <c r="BK64" s="41" cm="1">
        <f t="array" ref="BK64">1+$B$13+VLOOKUP($Q64,武学奇术!$A:$ZZ,18,FALSE)+SUM(_xlfn.XLOOKUP(R64:AF64,增益!$A:$A,增益!$R:$R,0))</f>
        <v>2.21</v>
      </c>
      <c r="BL64" s="41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0.0929</v>
      </c>
      <c r="BM64" s="41" cm="1">
        <f t="array" ref="BM64">1+$B$14+VLOOKUP($Q64,武学奇术!$A:$ZZ,20,FALSE)+SUM(_xlfn.XLOOKUP(R64:AF64,增益!$A:$A,增益!$T:$T,0))</f>
        <v>1.35</v>
      </c>
      <c r="BN64" s="41">
        <f t="shared" si="9"/>
        <v>0.9045</v>
      </c>
      <c r="BO64" s="41">
        <f t="shared" si="10"/>
        <v>0.00260000000000005</v>
      </c>
      <c r="BP64" s="41">
        <f>IF(VLOOKUP($Q64,武学奇术!$A:$ZZ,22,FALSE)=1,0,(1-$BI64))*(1-$BL64)</f>
        <v>0</v>
      </c>
      <c r="BQ64" s="41" cm="1">
        <f t="array" ref="BQ64">SUM(_xlfn.XLOOKUP(R64:AF64,增益!$A:$A,增益!$W:$W,0))+$I$5</f>
        <v>0.11</v>
      </c>
    </row>
    <row r="65" spans="11:69">
      <c r="K65" s="55">
        <f t="shared" si="0"/>
        <v>55409.731746732</v>
      </c>
      <c r="L65" s="55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弹道",$B$21,0))*(1+$BQ65)</f>
        <v>55625.5143331261</v>
      </c>
      <c r="M65" s="55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弹道",$B$21,0))*(1+$BQ65)</f>
        <v>54065.2861661433</v>
      </c>
      <c r="N65" s="55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弹道",$B$21,0))*(1+$BQ65)</f>
        <v>28380.3644556766</v>
      </c>
      <c r="O65" s="55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弹道",$B$21,0))*(1+$BQ65)</f>
        <v>16712.368788284</v>
      </c>
      <c r="P65" s="56">
        <v>1</v>
      </c>
      <c r="Q65" s="57" t="s">
        <v>102</v>
      </c>
      <c r="R65" s="57" t="s">
        <v>116</v>
      </c>
      <c r="S65" s="57" t="s">
        <v>153</v>
      </c>
      <c r="T65" s="57" t="s">
        <v>92</v>
      </c>
      <c r="U65" s="57" t="s">
        <v>157</v>
      </c>
      <c r="V65" s="57" t="s">
        <v>86</v>
      </c>
      <c r="W65" s="57" t="s">
        <v>72</v>
      </c>
      <c r="X65" s="57" t="s">
        <v>72</v>
      </c>
      <c r="Y65" s="57" t="s">
        <v>72</v>
      </c>
      <c r="Z65" s="57" t="s">
        <v>72</v>
      </c>
      <c r="AA65" s="57" t="s">
        <v>72</v>
      </c>
      <c r="AB65" s="57" t="s">
        <v>72</v>
      </c>
      <c r="AC65" s="57" t="s">
        <v>72</v>
      </c>
      <c r="AD65" s="57" t="s">
        <v>72</v>
      </c>
      <c r="AE65" s="57" t="s">
        <v>72</v>
      </c>
      <c r="AF65" s="57" t="s">
        <v>87</v>
      </c>
      <c r="AG65" t="str">
        <f>VLOOKUP($Q65,武学奇术!$A:$ZZ,25,FALSE)</f>
        <v>伞</v>
      </c>
      <c r="AH65" s="41">
        <f>VLOOKUP($Q65,武学奇术!$A:$ZZ,26,FALSE)</f>
        <v>1.174955</v>
      </c>
      <c r="AI65" s="42">
        <f>VLOOKUP($Q65,武学奇术!$A:$ZZ,27,FALSE)*(1+IF(OR($AG65=$F$4,$AG65=$F$5),$B$22,0))</f>
        <v>454.02</v>
      </c>
      <c r="AJ65" s="41">
        <f>VLOOKUP($Q65,武学奇术!$A:$ZZ,28,FALSE)</f>
        <v>1.762375</v>
      </c>
      <c r="AK65" s="42">
        <f>VLOOKUP($Q65,武学奇术!$A:$ZZ,29,FALSE)*(1+IF(OR($AG65=$F$4,$AG65=$F$5),$B$22,0))</f>
        <v>247.94</v>
      </c>
      <c r="AL65" s="41" cm="1">
        <f t="array" ref="AL65">$G$3+IFERROR(VLOOKUP($AG65,$F$4:$G$7,2,FALSE),0)+VLOOKUP($Q65,武学奇术!$A:$ZZ,2,FALSE)+SUM(_xlfn.XLOOKUP($R65:$AF65,增益!$A:$A,增益!$B:$B,0))</f>
        <v>0.9741</v>
      </c>
      <c r="AM65" s="41" cm="1">
        <f t="array" ref="AM65">VLOOKUP($Q65,武学奇术!$A:$ZZ,5,FALSE)+SUM(_xlfn.XLOOKUP($R65:$AF65,增益!$A:$A,增益!$E:$E,0))</f>
        <v>0.15</v>
      </c>
      <c r="AN65" cm="1">
        <f t="array" ref="AN65">$D$10*(1+$AM65)+VLOOKUP($Q65,武学奇术!$A:$ZZ,3,FALSE)+SUM(_xlfn.XLOOKUP($R65:$AF65,增益!$A:$A,增益!$C:$C,0))-$I$2</f>
        <v>2088.71</v>
      </c>
      <c r="AO65" cm="1">
        <f t="array" ref="AO65">$E$10*(1+$AM65)+VLOOKUP($Q65,武学奇术!$A:$ZZ,4,FALSE)+SUM(_xlfn.XLOOKUP($R65:$AF65,增益!$A:$A,增益!$D:$D,0))-$I$2</f>
        <v>6332.9</v>
      </c>
      <c r="AP65" s="49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0.2675</v>
      </c>
      <c r="AQ65" s="49" cm="1">
        <f t="array" ref="AQ65">$G$10+VLOOKUP($Q65,武学奇术!$A:$ZZ,7,FALSE)+SUM(_xlfn.XLOOKUP(R65:AF65,增益!$A:$A,增益!$G:$G,0))</f>
        <v>0.1</v>
      </c>
      <c r="AR65" s="41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49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49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49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49" cm="1">
        <f t="array" ref="AZ65">$G$12+VLOOKUP($Q65,武学奇术!$A:$ZZ,12,FALSE)+SUM(_xlfn.XLOOKUP(R65:AF65,增益!$A:$A,增益!$L:$L,0))</f>
        <v>0</v>
      </c>
      <c r="BA65">
        <f t="shared" si="5"/>
        <v>571.2</v>
      </c>
      <c r="BB65">
        <f t="shared" si="6"/>
        <v>1077.4</v>
      </c>
      <c r="BC65" s="49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49" cm="1">
        <f t="array" ref="BD65">$G$13+VLOOKUP($Q65,武学奇术!$A:$ZZ,14,FALSE)+SUM(_xlfn.XLOOKUP(R65:AF65,增益!$A:$A,增益!$N:$N,0))</f>
        <v>0.25</v>
      </c>
      <c r="BE65">
        <f t="shared" si="7"/>
        <v>0</v>
      </c>
      <c r="BF65">
        <f t="shared" si="8"/>
        <v>0</v>
      </c>
      <c r="BG65" s="49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49" cm="1">
        <f t="array" ref="BH65">$G$14+VLOOKUP($Q65,武学奇术!$A:$ZZ,16,FALSE)+SUM(_xlfn.XLOOKUP(R65:AF65,增益!$A:$A,增益!$P:$P,0))</f>
        <v>0</v>
      </c>
      <c r="BI65" s="41">
        <f>MIN(IF(VLOOKUP($Q65,武学奇术!$A:$ZZ,23,FALSE)=1,100%,$B$8),100%)</f>
        <v>1</v>
      </c>
      <c r="BJ65" s="41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0.9045</v>
      </c>
      <c r="BK65" s="41" cm="1">
        <f t="array" ref="BK65">1+$B$13+VLOOKUP($Q65,武学奇术!$A:$ZZ,18,FALSE)+SUM(_xlfn.XLOOKUP(R65:AF65,增益!$A:$A,增益!$R:$R,0))</f>
        <v>1.96</v>
      </c>
      <c r="BL65" s="41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0.0929</v>
      </c>
      <c r="BM65" s="41" cm="1">
        <f t="array" ref="BM65">1+$B$14+VLOOKUP($Q65,武学奇术!$A:$ZZ,20,FALSE)+SUM(_xlfn.XLOOKUP(R65:AF65,增益!$A:$A,增益!$T:$T,0))</f>
        <v>1.35</v>
      </c>
      <c r="BN65" s="41">
        <f t="shared" si="9"/>
        <v>0.9045</v>
      </c>
      <c r="BO65" s="41">
        <f t="shared" si="10"/>
        <v>0.00260000000000005</v>
      </c>
      <c r="BP65" s="41">
        <f>IF(VLOOKUP($Q65,武学奇术!$A:$ZZ,22,FALSE)=1,0,(1-$BI65))*(1-$BL65)</f>
        <v>0</v>
      </c>
      <c r="BQ65" s="41" cm="1">
        <f t="array" ref="BQ65">SUM(_xlfn.XLOOKUP(R65:AF65,增益!$A:$A,增益!$W:$W,0))+$I$5</f>
        <v>0.11</v>
      </c>
    </row>
    <row r="66" spans="11:69">
      <c r="K66" s="55">
        <f t="shared" ref="K66:K129" si="11">($L66*$BN66+$M66*$BL66+$N66*$BO66+$O66*$BP66)</f>
        <v>415572.98810049</v>
      </c>
      <c r="L66" s="55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弹道",$B$21,0))*(1+$BQ66)</f>
        <v>417191.357498446</v>
      </c>
      <c r="M66" s="55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弹道",$B$21,0))*(1+$BQ66)</f>
        <v>405489.646246075</v>
      </c>
      <c r="N66" s="55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弹道",$B$21,0))*(1+$BQ66)</f>
        <v>212852.733417574</v>
      </c>
      <c r="O66" s="55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弹道",$B$21,0))*(1+$BQ66)</f>
        <v>125342.76591213</v>
      </c>
      <c r="P66" s="56">
        <v>7.5</v>
      </c>
      <c r="Q66" s="57" t="s">
        <v>102</v>
      </c>
      <c r="R66" s="57" t="s">
        <v>116</v>
      </c>
      <c r="S66" s="57" t="s">
        <v>153</v>
      </c>
      <c r="T66" s="57" t="s">
        <v>92</v>
      </c>
      <c r="U66" s="57" t="s">
        <v>157</v>
      </c>
      <c r="V66" s="57" t="s">
        <v>86</v>
      </c>
      <c r="W66" s="57" t="s">
        <v>72</v>
      </c>
      <c r="X66" s="57" t="s">
        <v>72</v>
      </c>
      <c r="Y66" s="57" t="s">
        <v>72</v>
      </c>
      <c r="Z66" s="57" t="s">
        <v>72</v>
      </c>
      <c r="AA66" s="57" t="s">
        <v>72</v>
      </c>
      <c r="AB66" s="57" t="s">
        <v>72</v>
      </c>
      <c r="AC66" s="57" t="s">
        <v>72</v>
      </c>
      <c r="AD66" s="57" t="s">
        <v>72</v>
      </c>
      <c r="AE66" s="57" t="s">
        <v>72</v>
      </c>
      <c r="AF66" s="57" t="s">
        <v>87</v>
      </c>
      <c r="AG66" t="str">
        <f>VLOOKUP($Q66,武学奇术!$A:$ZZ,25,FALSE)</f>
        <v>伞</v>
      </c>
      <c r="AH66" s="41">
        <f>VLOOKUP($Q66,武学奇术!$A:$ZZ,26,FALSE)</f>
        <v>1.174955</v>
      </c>
      <c r="AI66" s="42">
        <f>VLOOKUP($Q66,武学奇术!$A:$ZZ,27,FALSE)*(1+IF(OR($AG66=$F$4,$AG66=$F$5),$B$22,0))</f>
        <v>454.02</v>
      </c>
      <c r="AJ66" s="41">
        <f>VLOOKUP($Q66,武学奇术!$A:$ZZ,28,FALSE)</f>
        <v>1.762375</v>
      </c>
      <c r="AK66" s="42">
        <f>VLOOKUP($Q66,武学奇术!$A:$ZZ,29,FALSE)*(1+IF(OR($AG66=$F$4,$AG66=$F$5),$B$22,0))</f>
        <v>247.94</v>
      </c>
      <c r="AL66" s="41" cm="1">
        <f t="array" ref="AL66">$G$3+IFERROR(VLOOKUP($AG66,$F$4:$G$7,2,FALSE),0)+VLOOKUP($Q66,武学奇术!$A:$ZZ,2,FALSE)+SUM(_xlfn.XLOOKUP($R66:$AF66,增益!$A:$A,增益!$B:$B,0))</f>
        <v>0.9741</v>
      </c>
      <c r="AM66" s="41" cm="1">
        <f t="array" ref="AM66">VLOOKUP($Q66,武学奇术!$A:$ZZ,5,FALSE)+SUM(_xlfn.XLOOKUP($R66:$AF66,增益!$A:$A,增益!$E:$E,0))</f>
        <v>0.15</v>
      </c>
      <c r="AN66" cm="1">
        <f t="array" ref="AN66">$D$10*(1+$AM66)+VLOOKUP($Q66,武学奇术!$A:$ZZ,3,FALSE)+SUM(_xlfn.XLOOKUP($R66:$AF66,增益!$A:$A,增益!$C:$C,0))-$I$2</f>
        <v>2088.71</v>
      </c>
      <c r="AO66" cm="1">
        <f t="array" ref="AO66">$E$10*(1+$AM66)+VLOOKUP($Q66,武学奇术!$A:$ZZ,4,FALSE)+SUM(_xlfn.XLOOKUP($R66:$AF66,增益!$A:$A,增益!$D:$D,0))-$I$2</f>
        <v>6332.9</v>
      </c>
      <c r="AP66" s="49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0.2675</v>
      </c>
      <c r="AQ66" s="49" cm="1">
        <f t="array" ref="AQ66">$G$10+VLOOKUP($Q66,武学奇术!$A:$ZZ,7,FALSE)+SUM(_xlfn.XLOOKUP(R66:AF66,增益!$A:$A,增益!$G:$G,0))</f>
        <v>0.1</v>
      </c>
      <c r="AR66" s="41" cm="1">
        <f t="array" ref="AR66">VLOOKUP($Q66,武学奇术!$A:$ZZ,8,FALSE)+SUM(_xlfn.XLOOKUP(R66:AF66,增益!$A:$A,增益!$H:$H,0))</f>
        <v>0</v>
      </c>
      <c r="AS66">
        <f t="shared" ref="AS66:AS129" si="12">$D$11*(1+$AR66)</f>
        <v>0</v>
      </c>
      <c r="AT66">
        <f t="shared" ref="AT66:AT129" si="13">$E$11*(1+$AR66)</f>
        <v>0</v>
      </c>
      <c r="AU66" s="49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49" cm="1">
        <f t="array" ref="AV66">$G$11+VLOOKUP($Q66,武学奇术!$A:$ZZ,10,FALSE)+SUM(_xlfn.XLOOKUP(R66:AF66,增益!$A:$A,增益!$J:$J,0))</f>
        <v>0</v>
      </c>
      <c r="AW66">
        <f t="shared" ref="AW66:AW129" si="14">$D$12*(1+$AR66)</f>
        <v>0</v>
      </c>
      <c r="AX66">
        <f t="shared" ref="AX66:AX129" si="15">$E$12*(1+$AR66)</f>
        <v>0</v>
      </c>
      <c r="AY66" s="49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49" cm="1">
        <f t="array" ref="AZ66">$G$12+VLOOKUP($Q66,武学奇术!$A:$ZZ,12,FALSE)+SUM(_xlfn.XLOOKUP(R66:AF66,增益!$A:$A,增益!$L:$L,0))</f>
        <v>0</v>
      </c>
      <c r="BA66">
        <f t="shared" ref="BA66:BA129" si="16">$D$13*(1+$AR66)</f>
        <v>571.2</v>
      </c>
      <c r="BB66">
        <f t="shared" ref="BB66:BB129" si="17">$E$13*(1+$AR66)</f>
        <v>1077.4</v>
      </c>
      <c r="BC66" s="49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49" cm="1">
        <f t="array" ref="BD66">$G$13+VLOOKUP($Q66,武学奇术!$A:$ZZ,14,FALSE)+SUM(_xlfn.XLOOKUP(R66:AF66,增益!$A:$A,增益!$N:$N,0))</f>
        <v>0.25</v>
      </c>
      <c r="BE66">
        <f t="shared" ref="BE66:BE129" si="18">$D$14*(1+$AR66)</f>
        <v>0</v>
      </c>
      <c r="BF66">
        <f t="shared" ref="BF66:BF129" si="19">$E$14*(1+$AR66)</f>
        <v>0</v>
      </c>
      <c r="BG66" s="49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49" cm="1">
        <f t="array" ref="BH66">$G$14+VLOOKUP($Q66,武学奇术!$A:$ZZ,16,FALSE)+SUM(_xlfn.XLOOKUP(R66:AF66,增益!$A:$A,增益!$P:$P,0))</f>
        <v>0</v>
      </c>
      <c r="BI66" s="41">
        <f>MIN(IF(VLOOKUP($Q66,武学奇术!$A:$ZZ,23,FALSE)=1,100%,$B$8),100%)</f>
        <v>1</v>
      </c>
      <c r="BJ66" s="41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0.9045</v>
      </c>
      <c r="BK66" s="41" cm="1">
        <f t="array" ref="BK66">1+$B$13+VLOOKUP($Q66,武学奇术!$A:$ZZ,18,FALSE)+SUM(_xlfn.XLOOKUP(R66:AF66,增益!$A:$A,增益!$R:$R,0))</f>
        <v>1.96</v>
      </c>
      <c r="BL66" s="41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0.0929</v>
      </c>
      <c r="BM66" s="41" cm="1">
        <f t="array" ref="BM66">1+$B$14+VLOOKUP($Q66,武学奇术!$A:$ZZ,20,FALSE)+SUM(_xlfn.XLOOKUP(R66:AF66,增益!$A:$A,增益!$T:$T,0))</f>
        <v>1.35</v>
      </c>
      <c r="BN66" s="41">
        <f t="shared" ref="BN66:BN129" si="20">MIN((1-BL66)*BI66,BI66*BJ66)</f>
        <v>0.9045</v>
      </c>
      <c r="BO66" s="41">
        <f t="shared" ref="BO66:BO129" si="21">1-BL66-BN66-BP66</f>
        <v>0.00260000000000005</v>
      </c>
      <c r="BP66" s="41">
        <f>IF(VLOOKUP($Q66,武学奇术!$A:$ZZ,22,FALSE)=1,0,(1-$BI66))*(1-$BL66)</f>
        <v>0</v>
      </c>
      <c r="BQ66" s="41" cm="1">
        <f t="array" ref="BQ66">SUM(_xlfn.XLOOKUP(R66:AF66,增益!$A:$A,增益!$W:$W,0))+$I$5</f>
        <v>0.11</v>
      </c>
    </row>
    <row r="67" spans="11:69">
      <c r="K67" s="55">
        <f t="shared" si="11"/>
        <v>67216.9137157164</v>
      </c>
      <c r="L67" s="55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弹道",$B$21,0))*(1+$BQ67)</f>
        <v>66114.8122874384</v>
      </c>
      <c r="M67" s="55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弹道",$B$21,0))*(1+$BQ67)</f>
        <v>78672.0068004437</v>
      </c>
      <c r="N67" s="55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弹道",$B$21,0))*(1+$BQ67)</f>
        <v>41321.757679649</v>
      </c>
      <c r="O67" s="55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弹道",$B$21,0))*(1+$BQ67)</f>
        <v>24367.9547663768</v>
      </c>
      <c r="P67" s="56">
        <v>1</v>
      </c>
      <c r="Q67" s="57" t="s">
        <v>126</v>
      </c>
      <c r="R67" s="57" t="s">
        <v>116</v>
      </c>
      <c r="S67" s="57" t="s">
        <v>153</v>
      </c>
      <c r="T67" s="57" t="s">
        <v>72</v>
      </c>
      <c r="U67" s="57" t="s">
        <v>157</v>
      </c>
      <c r="V67" s="57" t="s">
        <v>86</v>
      </c>
      <c r="W67" s="57" t="s">
        <v>72</v>
      </c>
      <c r="X67" s="57" t="s">
        <v>72</v>
      </c>
      <c r="Y67" s="57" t="s">
        <v>72</v>
      </c>
      <c r="Z67" s="57" t="s">
        <v>72</v>
      </c>
      <c r="AA67" s="57" t="s">
        <v>72</v>
      </c>
      <c r="AB67" s="57" t="s">
        <v>72</v>
      </c>
      <c r="AC67" s="57" t="s">
        <v>72</v>
      </c>
      <c r="AD67" s="57" t="s">
        <v>72</v>
      </c>
      <c r="AE67" s="57" t="s">
        <v>72</v>
      </c>
      <c r="AF67" s="57" t="s">
        <v>87</v>
      </c>
      <c r="AG67" t="str">
        <f>VLOOKUP($Q67,武学奇术!$A:$ZZ,25,FALSE)</f>
        <v>扇</v>
      </c>
      <c r="AH67" s="41">
        <f>VLOOKUP($Q67,武学奇术!$A:$ZZ,26,FALSE)</f>
        <v>2.76138</v>
      </c>
      <c r="AI67" s="42">
        <f>VLOOKUP($Q67,武学奇术!$A:$ZZ,27,FALSE)*(1+IF(OR($AG67=$F$4,$AG67=$F$5),$B$22,0))</f>
        <v>1069.81</v>
      </c>
      <c r="AJ67" s="41">
        <f>VLOOKUP($Q67,武学奇术!$A:$ZZ,28,FALSE)</f>
        <v>4.14207</v>
      </c>
      <c r="AK67" s="42">
        <f>VLOOKUP($Q67,武学奇术!$A:$ZZ,29,FALSE)*(1+IF(OR($AG67=$F$4,$AG67=$F$5),$B$22,0))</f>
        <v>582.61</v>
      </c>
      <c r="AL67" s="41" cm="1">
        <f t="array" ref="AL67">$G$3+IFERROR(VLOOKUP($AG67,$F$4:$G$7,2,FALSE),0)+VLOOKUP($Q67,武学奇术!$A:$ZZ,2,FALSE)+SUM(_xlfn.XLOOKUP($R67:$AF67,增益!$A:$A,增益!$B:$B,0))</f>
        <v>0.6389</v>
      </c>
      <c r="AM67" s="41" cm="1">
        <f t="array" ref="AM67">VLOOKUP($Q67,武学奇术!$A:$ZZ,5,FALSE)+SUM(_xlfn.XLOOKUP($R67:$AF67,增益!$A:$A,增益!$E:$E,0))</f>
        <v>0.15</v>
      </c>
      <c r="AN67" cm="1">
        <f t="array" ref="AN67">$D$10*(1+$AM67)+VLOOKUP($Q67,武学奇术!$A:$ZZ,3,FALSE)+SUM(_xlfn.XLOOKUP($R67:$AF67,增益!$A:$A,增益!$C:$C,0))-$I$2</f>
        <v>2088.71</v>
      </c>
      <c r="AO67" cm="1">
        <f t="array" ref="AO67">$E$10*(1+$AM67)+VLOOKUP($Q67,武学奇术!$A:$ZZ,4,FALSE)+SUM(_xlfn.XLOOKUP($R67:$AF67,增益!$A:$A,增益!$D:$D,0))-$I$2</f>
        <v>6332.9</v>
      </c>
      <c r="AP67" s="49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0.2425</v>
      </c>
      <c r="AQ67" s="49" cm="1">
        <f t="array" ref="AQ67">$G$10+VLOOKUP($Q67,武学奇术!$A:$ZZ,7,FALSE)+SUM(_xlfn.XLOOKUP(R67:AF67,增益!$A:$A,增益!$G:$G,0))</f>
        <v>0.1</v>
      </c>
      <c r="AR67" s="41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49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49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49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49" cm="1">
        <f t="array" ref="AZ67">$G$12+VLOOKUP($Q67,武学奇术!$A:$ZZ,12,FALSE)+SUM(_xlfn.XLOOKUP(R67:AF67,增益!$A:$A,增益!$L:$L,0))</f>
        <v>0</v>
      </c>
      <c r="BA67">
        <f t="shared" si="16"/>
        <v>571.2</v>
      </c>
      <c r="BB67">
        <f t="shared" si="17"/>
        <v>1077.4</v>
      </c>
      <c r="BC67" s="49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49" cm="1">
        <f t="array" ref="BD67">$G$13+VLOOKUP($Q67,武学奇术!$A:$ZZ,14,FALSE)+SUM(_xlfn.XLOOKUP(R67:AF67,增益!$A:$A,增益!$N:$N,0))</f>
        <v>0.25</v>
      </c>
      <c r="BE67">
        <f t="shared" si="18"/>
        <v>0</v>
      </c>
      <c r="BF67">
        <f t="shared" si="19"/>
        <v>0</v>
      </c>
      <c r="BG67" s="49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49" cm="1">
        <f t="array" ref="BH67">$G$14+VLOOKUP($Q67,武学奇术!$A:$ZZ,16,FALSE)+SUM(_xlfn.XLOOKUP(R67:AF67,增益!$A:$A,增益!$P:$P,0))</f>
        <v>0</v>
      </c>
      <c r="BI67" s="41">
        <f>MIN(IF(VLOOKUP($Q67,武学奇术!$A:$ZZ,23,FALSE)=1,100%,$B$8),100%)</f>
        <v>1</v>
      </c>
      <c r="BJ67" s="41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0.9045</v>
      </c>
      <c r="BK67" s="41" cm="1">
        <f t="array" ref="BK67">1+$B$13+VLOOKUP($Q67,武学奇术!$A:$ZZ,18,FALSE)+SUM(_xlfn.XLOOKUP(R67:AF67,增益!$A:$A,增益!$R:$R,0))</f>
        <v>1.6</v>
      </c>
      <c r="BL67" s="41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0.0929</v>
      </c>
      <c r="BM67" s="41" cm="1">
        <f t="array" ref="BM67">1+$B$14+VLOOKUP($Q67,武学奇术!$A:$ZZ,20,FALSE)+SUM(_xlfn.XLOOKUP(R67:AF67,增益!$A:$A,增益!$T:$T,0))</f>
        <v>1.35</v>
      </c>
      <c r="BN67" s="41">
        <f t="shared" si="20"/>
        <v>0.9045</v>
      </c>
      <c r="BO67" s="41">
        <f t="shared" si="21"/>
        <v>0.00260000000000005</v>
      </c>
      <c r="BP67" s="41">
        <f>IF(VLOOKUP($Q67,武学奇术!$A:$ZZ,22,FALSE)=1,0,(1-$BI67))*(1-$BL67)</f>
        <v>0</v>
      </c>
      <c r="BQ67" s="41" cm="1">
        <f t="array" ref="BQ67">SUM(_xlfn.XLOOKUP(R67:AF67,增益!$A:$A,增益!$W:$W,0))+$I$5</f>
        <v>0.11</v>
      </c>
    </row>
    <row r="68" spans="11:69">
      <c r="K68" s="55">
        <f t="shared" si="11"/>
        <v>104459.428750774</v>
      </c>
      <c r="L68" s="55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弹道",$B$21,0))*(1+$BQ68)</f>
        <v>104871.86221592</v>
      </c>
      <c r="M68" s="55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弹道",$B$21,0))*(1+$BQ68)</f>
        <v>101869.899255988</v>
      </c>
      <c r="N68" s="55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弹道",$B$21,0))*(1+$BQ68)</f>
        <v>53506.0521509796</v>
      </c>
      <c r="O68" s="55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弹道",$B$21,0))*(1+$BQ68)</f>
        <v>31552.9196678941</v>
      </c>
      <c r="P68" s="56">
        <v>1</v>
      </c>
      <c r="Q68" s="57" t="s">
        <v>155</v>
      </c>
      <c r="R68" s="57" t="s">
        <v>116</v>
      </c>
      <c r="S68" s="57" t="s">
        <v>153</v>
      </c>
      <c r="T68" s="57" t="s">
        <v>72</v>
      </c>
      <c r="U68" s="57" t="s">
        <v>157</v>
      </c>
      <c r="V68" s="57" t="s">
        <v>156</v>
      </c>
      <c r="W68" s="57" t="s">
        <v>72</v>
      </c>
      <c r="X68" s="57" t="s">
        <v>72</v>
      </c>
      <c r="Y68" s="57" t="s">
        <v>72</v>
      </c>
      <c r="Z68" s="57" t="s">
        <v>72</v>
      </c>
      <c r="AA68" s="57" t="s">
        <v>72</v>
      </c>
      <c r="AB68" s="57" t="s">
        <v>72</v>
      </c>
      <c r="AC68" s="57" t="s">
        <v>72</v>
      </c>
      <c r="AD68" s="57" t="s">
        <v>72</v>
      </c>
      <c r="AE68" s="57" t="s">
        <v>72</v>
      </c>
      <c r="AF68" s="57" t="s">
        <v>87</v>
      </c>
      <c r="AG68" t="str">
        <f>VLOOKUP($Q68,武学奇术!$A:$ZZ,25,FALSE)</f>
        <v>扇</v>
      </c>
      <c r="AH68" s="41">
        <f>VLOOKUP($Q68,武学奇术!$A:$ZZ,26,FALSE)</f>
        <v>4.376825</v>
      </c>
      <c r="AI68" s="42">
        <f>VLOOKUP($Q68,武学奇术!$A:$ZZ,27,FALSE)*(1+IF(OR($AG68=$F$4,$AG68=$F$5),$B$22,0))</f>
        <v>1695.05</v>
      </c>
      <c r="AJ68" s="41">
        <f>VLOOKUP($Q68,武学奇术!$A:$ZZ,28,FALSE)</f>
        <v>6.56531</v>
      </c>
      <c r="AK68" s="42">
        <f>VLOOKUP($Q68,武学奇术!$A:$ZZ,29,FALSE)*(1+IF(OR($AG68=$F$4,$AG68=$F$5),$B$22,0))</f>
        <v>923.65</v>
      </c>
      <c r="AL68" s="41" cm="1">
        <f t="array" ref="AL68">$G$3+IFERROR(VLOOKUP($AG68,$F$4:$G$7,2,FALSE),0)+VLOOKUP($Q68,武学奇术!$A:$ZZ,2,FALSE)+SUM(_xlfn.XLOOKUP($R68:$AF68,增益!$A:$A,增益!$B:$B,0))</f>
        <v>0.3389</v>
      </c>
      <c r="AM68" s="41" cm="1">
        <f t="array" ref="AM68">VLOOKUP($Q68,武学奇术!$A:$ZZ,5,FALSE)+SUM(_xlfn.XLOOKUP($R68:$AF68,增益!$A:$A,增益!$E:$E,0))</f>
        <v>0.15</v>
      </c>
      <c r="AN68" cm="1">
        <f t="array" ref="AN68">$D$10*(1+$AM68)+VLOOKUP($Q68,武学奇术!$A:$ZZ,3,FALSE)+SUM(_xlfn.XLOOKUP($R68:$AF68,增益!$A:$A,增益!$C:$C,0))-$I$2</f>
        <v>2088.71</v>
      </c>
      <c r="AO68" cm="1">
        <f t="array" ref="AO68">$E$10*(1+$AM68)+VLOOKUP($Q68,武学奇术!$A:$ZZ,4,FALSE)+SUM(_xlfn.XLOOKUP($R68:$AF68,增益!$A:$A,增益!$D:$D,0))-$I$2</f>
        <v>6332.9</v>
      </c>
      <c r="AP68" s="49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0.2425</v>
      </c>
      <c r="AQ68" s="49" cm="1">
        <f t="array" ref="AQ68">$G$10+VLOOKUP($Q68,武学奇术!$A:$ZZ,7,FALSE)+SUM(_xlfn.XLOOKUP(R68:AF68,增益!$A:$A,增益!$G:$G,0))</f>
        <v>0.1</v>
      </c>
      <c r="AR68" s="41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49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49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49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49" cm="1">
        <f t="array" ref="AZ68">$G$12+VLOOKUP($Q68,武学奇术!$A:$ZZ,12,FALSE)+SUM(_xlfn.XLOOKUP(R68:AF68,增益!$A:$A,增益!$L:$L,0))</f>
        <v>0</v>
      </c>
      <c r="BA68">
        <f t="shared" si="16"/>
        <v>571.2</v>
      </c>
      <c r="BB68">
        <f t="shared" si="17"/>
        <v>1077.4</v>
      </c>
      <c r="BC68" s="49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49" cm="1">
        <f t="array" ref="BD68">$G$13+VLOOKUP($Q68,武学奇术!$A:$ZZ,14,FALSE)+SUM(_xlfn.XLOOKUP(R68:AF68,增益!$A:$A,增益!$N:$N,0))</f>
        <v>0.25</v>
      </c>
      <c r="BE68">
        <f t="shared" si="18"/>
        <v>0</v>
      </c>
      <c r="BF68">
        <f t="shared" si="19"/>
        <v>0</v>
      </c>
      <c r="BG68" s="49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49" cm="1">
        <f t="array" ref="BH68">$G$14+VLOOKUP($Q68,武学奇术!$A:$ZZ,16,FALSE)+SUM(_xlfn.XLOOKUP(R68:AF68,增益!$A:$A,增益!$P:$P,0))</f>
        <v>0</v>
      </c>
      <c r="BI68" s="41">
        <f>MIN(IF(VLOOKUP($Q68,武学奇术!$A:$ZZ,23,FALSE)=1,100%,$B$8),100%)</f>
        <v>1</v>
      </c>
      <c r="BJ68" s="41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0.9045</v>
      </c>
      <c r="BK68" s="41" cm="1">
        <f t="array" ref="BK68">1+$B$13+VLOOKUP($Q68,武学奇术!$A:$ZZ,18,FALSE)+SUM(_xlfn.XLOOKUP(R68:AF68,增益!$A:$A,增益!$R:$R,0))</f>
        <v>1.96</v>
      </c>
      <c r="BL68" s="41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0.0929</v>
      </c>
      <c r="BM68" s="41" cm="1">
        <f t="array" ref="BM68">1+$B$14+VLOOKUP($Q68,武学奇术!$A:$ZZ,20,FALSE)+SUM(_xlfn.XLOOKUP(R68:AF68,增益!$A:$A,增益!$T:$T,0))</f>
        <v>1.35</v>
      </c>
      <c r="BN68" s="41">
        <f t="shared" si="20"/>
        <v>0.9045</v>
      </c>
      <c r="BO68" s="41">
        <f t="shared" si="21"/>
        <v>0.00260000000000005</v>
      </c>
      <c r="BP68" s="41">
        <f>IF(VLOOKUP($Q68,武学奇术!$A:$ZZ,22,FALSE)=1,0,(1-$BI68))*(1-$BL68)</f>
        <v>0</v>
      </c>
      <c r="BQ68" s="41" cm="1">
        <f t="array" ref="BQ68">SUM(_xlfn.XLOOKUP(R68:AF68,增益!$A:$A,增益!$W:$W,0))+$I$5</f>
        <v>0.11</v>
      </c>
    </row>
    <row r="69" spans="11:69">
      <c r="K69" s="55">
        <f t="shared" si="11"/>
        <v>83611.392938889</v>
      </c>
      <c r="L69" s="55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弹道",$B$21,0))*(1+$BQ69)</f>
        <v>83937.5953975594</v>
      </c>
      <c r="M69" s="55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弹道",$B$21,0))*(1+$BQ69)</f>
        <v>81576.8795692511</v>
      </c>
      <c r="N69" s="55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弹道",$B$21,0))*(1+$BQ69)</f>
        <v>42825.303774265</v>
      </c>
      <c r="O69" s="55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弹道",$B$21,0))*(1+$BQ69)</f>
        <v>25223.2893490847</v>
      </c>
      <c r="P69" s="56">
        <v>1</v>
      </c>
      <c r="Q69" s="57" t="s">
        <v>84</v>
      </c>
      <c r="R69" s="57" t="s">
        <v>116</v>
      </c>
      <c r="S69" s="57" t="s">
        <v>153</v>
      </c>
      <c r="T69" s="57" t="s">
        <v>92</v>
      </c>
      <c r="U69" s="57" t="s">
        <v>157</v>
      </c>
      <c r="V69" s="57" t="s">
        <v>86</v>
      </c>
      <c r="W69" s="57" t="s">
        <v>72</v>
      </c>
      <c r="X69" s="57" t="s">
        <v>72</v>
      </c>
      <c r="Y69" s="57" t="s">
        <v>72</v>
      </c>
      <c r="Z69" s="57" t="s">
        <v>72</v>
      </c>
      <c r="AA69" s="57" t="s">
        <v>72</v>
      </c>
      <c r="AB69" s="57" t="s">
        <v>72</v>
      </c>
      <c r="AC69" s="57" t="s">
        <v>72</v>
      </c>
      <c r="AD69" s="57" t="s">
        <v>72</v>
      </c>
      <c r="AE69" s="57" t="s">
        <v>72</v>
      </c>
      <c r="AF69" s="57" t="s">
        <v>87</v>
      </c>
      <c r="AG69" t="str">
        <f>VLOOKUP($Q69,武学奇术!$A:$ZZ,25,FALSE)</f>
        <v>伞</v>
      </c>
      <c r="AH69" s="41">
        <f>VLOOKUP($Q69,武学奇术!$A:$ZZ,26,FALSE)</f>
        <v>2.3397</v>
      </c>
      <c r="AI69" s="42">
        <f>VLOOKUP($Q69,武学奇术!$A:$ZZ,27,FALSE)*(1+IF(OR($AG69=$F$4,$AG69=$F$5),$B$22,0))</f>
        <v>907.2</v>
      </c>
      <c r="AJ69" s="41">
        <f>VLOOKUP($Q69,武学奇术!$A:$ZZ,28,FALSE)</f>
        <v>3.5095</v>
      </c>
      <c r="AK69" s="42">
        <f>VLOOKUP($Q69,武学奇术!$A:$ZZ,29,FALSE)*(1+IF(OR($AG69=$F$4,$AG69=$F$5),$B$22,0))</f>
        <v>494.2</v>
      </c>
      <c r="AL69" s="41" cm="1">
        <f t="array" ref="AL69">$G$3+IFERROR(VLOOKUP($AG69,$F$4:$G$7,2,FALSE),0)+VLOOKUP($Q69,武学奇术!$A:$ZZ,2,FALSE)+SUM(_xlfn.XLOOKUP($R69:$AF69,增益!$A:$A,增益!$B:$B,0))</f>
        <v>0.9741</v>
      </c>
      <c r="AM69" s="41" cm="1">
        <f t="array" ref="AM69">VLOOKUP($Q69,武学奇术!$A:$ZZ,5,FALSE)+SUM(_xlfn.XLOOKUP($R69:$AF69,增益!$A:$A,增益!$E:$E,0))</f>
        <v>0.15</v>
      </c>
      <c r="AN69" cm="1">
        <f t="array" ref="AN69">$D$10*(1+$AM69)+VLOOKUP($Q69,武学奇术!$A:$ZZ,3,FALSE)+SUM(_xlfn.XLOOKUP($R69:$AF69,增益!$A:$A,增益!$C:$C,0))-$I$2</f>
        <v>2088.71</v>
      </c>
      <c r="AO69" cm="1">
        <f t="array" ref="AO69">$E$10*(1+$AM69)+VLOOKUP($Q69,武学奇术!$A:$ZZ,4,FALSE)+SUM(_xlfn.XLOOKUP($R69:$AF69,增益!$A:$A,增益!$D:$D,0))-$I$2</f>
        <v>6332.9</v>
      </c>
      <c r="AP69" s="49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0.2675</v>
      </c>
      <c r="AQ69" s="49" cm="1">
        <f t="array" ref="AQ69">$G$10+VLOOKUP($Q69,武学奇术!$A:$ZZ,7,FALSE)+SUM(_xlfn.XLOOKUP(R69:AF69,增益!$A:$A,增益!$G:$G,0))</f>
        <v>0.1</v>
      </c>
      <c r="AR69" s="41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49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49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49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49" cm="1">
        <f t="array" ref="AZ69">$G$12+VLOOKUP($Q69,武学奇术!$A:$ZZ,12,FALSE)+SUM(_xlfn.XLOOKUP(R69:AF69,增益!$A:$A,增益!$L:$L,0))</f>
        <v>0</v>
      </c>
      <c r="BA69">
        <f t="shared" si="16"/>
        <v>571.2</v>
      </c>
      <c r="BB69">
        <f t="shared" si="17"/>
        <v>1077.4</v>
      </c>
      <c r="BC69" s="49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49" cm="1">
        <f t="array" ref="BD69">$G$13+VLOOKUP($Q69,武学奇术!$A:$ZZ,14,FALSE)+SUM(_xlfn.XLOOKUP(R69:AF69,增益!$A:$A,增益!$N:$N,0))</f>
        <v>0.25</v>
      </c>
      <c r="BE69">
        <f t="shared" si="18"/>
        <v>0</v>
      </c>
      <c r="BF69">
        <f t="shared" si="19"/>
        <v>0</v>
      </c>
      <c r="BG69" s="49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49" cm="1">
        <f t="array" ref="BH69">$G$14+VLOOKUP($Q69,武学奇术!$A:$ZZ,16,FALSE)+SUM(_xlfn.XLOOKUP(R69:AF69,增益!$A:$A,增益!$P:$P,0))</f>
        <v>0</v>
      </c>
      <c r="BI69" s="41">
        <f>MIN(IF(VLOOKUP($Q69,武学奇术!$A:$ZZ,23,FALSE)=1,100%,$B$8),100%)</f>
        <v>1</v>
      </c>
      <c r="BJ69" s="41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0.9045</v>
      </c>
      <c r="BK69" s="41" cm="1">
        <f t="array" ref="BK69">1+$B$13+VLOOKUP($Q69,武学奇术!$A:$ZZ,18,FALSE)+SUM(_xlfn.XLOOKUP(R69:AF69,增益!$A:$A,增益!$R:$R,0))</f>
        <v>1.96</v>
      </c>
      <c r="BL69" s="41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0.0929</v>
      </c>
      <c r="BM69" s="41" cm="1">
        <f t="array" ref="BM69">1+$B$14+VLOOKUP($Q69,武学奇术!$A:$ZZ,20,FALSE)+SUM(_xlfn.XLOOKUP(R69:AF69,增益!$A:$A,增益!$T:$T,0))</f>
        <v>1.35</v>
      </c>
      <c r="BN69" s="41">
        <f t="shared" si="20"/>
        <v>0.9045</v>
      </c>
      <c r="BO69" s="41">
        <f t="shared" si="21"/>
        <v>0.00260000000000005</v>
      </c>
      <c r="BP69" s="41">
        <f>IF(VLOOKUP($Q69,武学奇术!$A:$ZZ,22,FALSE)=1,0,(1-$BI69))*(1-$BL69)</f>
        <v>0</v>
      </c>
      <c r="BQ69" s="41" cm="1">
        <f t="array" ref="BQ69">SUM(_xlfn.XLOOKUP(R69:AF69,增益!$A:$A,增益!$W:$W,0))+$I$5</f>
        <v>0.11</v>
      </c>
    </row>
    <row r="70" spans="11:69">
      <c r="K70" s="55">
        <f t="shared" si="11"/>
        <v>33435.7379010288</v>
      </c>
      <c r="L70" s="55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弹道",$B$21,0))*(1+$BQ70)</f>
        <v>32887.55504822</v>
      </c>
      <c r="M70" s="55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弹道",$B$21,0))*(1+$BQ70)</f>
        <v>39133.4992783687</v>
      </c>
      <c r="N70" s="55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弹道",$B$21,0))*(1+$BQ70)</f>
        <v>20554.7219051375</v>
      </c>
      <c r="O70" s="55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弹道",$B$21,0))*(1+$BQ70)</f>
        <v>12121.666567039</v>
      </c>
      <c r="P70" s="56">
        <v>1</v>
      </c>
      <c r="Q70" s="57" t="s">
        <v>94</v>
      </c>
      <c r="R70" s="57" t="s">
        <v>116</v>
      </c>
      <c r="S70" s="57" t="s">
        <v>153</v>
      </c>
      <c r="T70" s="57" t="s">
        <v>72</v>
      </c>
      <c r="U70" s="57" t="s">
        <v>157</v>
      </c>
      <c r="V70" s="57" t="s">
        <v>72</v>
      </c>
      <c r="W70" s="57" t="s">
        <v>72</v>
      </c>
      <c r="X70" s="57" t="s">
        <v>72</v>
      </c>
      <c r="Y70" s="57" t="s">
        <v>72</v>
      </c>
      <c r="Z70" s="57" t="s">
        <v>72</v>
      </c>
      <c r="AA70" s="57" t="s">
        <v>72</v>
      </c>
      <c r="AB70" s="57" t="s">
        <v>72</v>
      </c>
      <c r="AC70" s="57" t="s">
        <v>72</v>
      </c>
      <c r="AD70" s="57" t="s">
        <v>72</v>
      </c>
      <c r="AE70" s="57" t="s">
        <v>72</v>
      </c>
      <c r="AF70" s="57" t="s">
        <v>87</v>
      </c>
      <c r="AG70" t="str">
        <f>VLOOKUP($Q70,武学奇术!$A:$ZZ,25,FALSE)</f>
        <v>伞</v>
      </c>
      <c r="AH70" s="41">
        <f>VLOOKUP($Q70,武学奇术!$A:$ZZ,26,FALSE)</f>
        <v>1.7001</v>
      </c>
      <c r="AI70" s="42">
        <f>VLOOKUP($Q70,武学奇术!$A:$ZZ,27,FALSE)*(1+IF(OR($AG70=$F$4,$AG70=$F$5),$B$22,0))</f>
        <v>659.4</v>
      </c>
      <c r="AJ70" s="41">
        <f>VLOOKUP($Q70,武学奇术!$A:$ZZ,28,FALSE)</f>
        <v>2.5502</v>
      </c>
      <c r="AK70" s="42">
        <f>VLOOKUP($Q70,武学奇术!$A:$ZZ,29,FALSE)*(1+IF(OR($AG70=$F$4,$AG70=$F$5),$B$22,0))</f>
        <v>358.4</v>
      </c>
      <c r="AL70" s="41" cm="1">
        <f t="array" ref="AL70">$G$3+IFERROR(VLOOKUP($AG70,$F$4:$G$7,2,FALSE),0)+VLOOKUP($Q70,武学奇术!$A:$ZZ,2,FALSE)+SUM(_xlfn.XLOOKUP($R70:$AF70,增益!$A:$A,增益!$B:$B,0))</f>
        <v>0.3241</v>
      </c>
      <c r="AM70" s="41" cm="1">
        <f t="array" ref="AM70">VLOOKUP($Q70,武学奇术!$A:$ZZ,5,FALSE)+SUM(_xlfn.XLOOKUP($R70:$AF70,增益!$A:$A,增益!$E:$E,0))</f>
        <v>0.15</v>
      </c>
      <c r="AN70" cm="1">
        <f t="array" ref="AN70">$D$10*(1+$AM70)+VLOOKUP($Q70,武学奇术!$A:$ZZ,3,FALSE)+SUM(_xlfn.XLOOKUP($R70:$AF70,增益!$A:$A,增益!$C:$C,0))-$I$2</f>
        <v>2088.71</v>
      </c>
      <c r="AO70" cm="1">
        <f t="array" ref="AO70">$E$10*(1+$AM70)+VLOOKUP($Q70,武学奇术!$A:$ZZ,4,FALSE)+SUM(_xlfn.XLOOKUP($R70:$AF70,增益!$A:$A,增益!$D:$D,0))-$I$2</f>
        <v>6332.9</v>
      </c>
      <c r="AP70" s="49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0.2425</v>
      </c>
      <c r="AQ70" s="49" cm="1">
        <f t="array" ref="AQ70">$G$10+VLOOKUP($Q70,武学奇术!$A:$ZZ,7,FALSE)+SUM(_xlfn.XLOOKUP(R70:AF70,增益!$A:$A,增益!$G:$G,0))</f>
        <v>0.1</v>
      </c>
      <c r="AR70" s="41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49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49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49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49" cm="1">
        <f t="array" ref="AZ70">$G$12+VLOOKUP($Q70,武学奇术!$A:$ZZ,12,FALSE)+SUM(_xlfn.XLOOKUP(R70:AF70,增益!$A:$A,增益!$L:$L,0))</f>
        <v>0</v>
      </c>
      <c r="BA70">
        <f t="shared" si="16"/>
        <v>571.2</v>
      </c>
      <c r="BB70">
        <f t="shared" si="17"/>
        <v>1077.4</v>
      </c>
      <c r="BC70" s="49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49" cm="1">
        <f t="array" ref="BD70">$G$13+VLOOKUP($Q70,武学奇术!$A:$ZZ,14,FALSE)+SUM(_xlfn.XLOOKUP(R70:AF70,增益!$A:$A,增益!$N:$N,0))</f>
        <v>0.25</v>
      </c>
      <c r="BE70">
        <f t="shared" si="18"/>
        <v>0</v>
      </c>
      <c r="BF70">
        <f t="shared" si="19"/>
        <v>0</v>
      </c>
      <c r="BG70" s="49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49" cm="1">
        <f t="array" ref="BH70">$G$14+VLOOKUP($Q70,武学奇术!$A:$ZZ,16,FALSE)+SUM(_xlfn.XLOOKUP(R70:AF70,增益!$A:$A,增益!$P:$P,0))</f>
        <v>0</v>
      </c>
      <c r="BI70" s="41">
        <f>MIN(IF(VLOOKUP($Q70,武学奇术!$A:$ZZ,23,FALSE)=1,100%,$B$8),100%)</f>
        <v>1</v>
      </c>
      <c r="BJ70" s="41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0.9045</v>
      </c>
      <c r="BK70" s="41" cm="1">
        <f t="array" ref="BK70">1+$B$13+VLOOKUP($Q70,武学奇术!$A:$ZZ,18,FALSE)+SUM(_xlfn.XLOOKUP(R70:AF70,增益!$A:$A,增益!$R:$R,0))</f>
        <v>1.6</v>
      </c>
      <c r="BL70" s="41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0.0929</v>
      </c>
      <c r="BM70" s="41" cm="1">
        <f t="array" ref="BM70">1+$B$14+VLOOKUP($Q70,武学奇术!$A:$ZZ,20,FALSE)+SUM(_xlfn.XLOOKUP(R70:AF70,增益!$A:$A,增益!$T:$T,0))</f>
        <v>1.35</v>
      </c>
      <c r="BN70" s="41">
        <f t="shared" si="20"/>
        <v>0.9045</v>
      </c>
      <c r="BO70" s="41">
        <f t="shared" si="21"/>
        <v>0.00260000000000005</v>
      </c>
      <c r="BP70" s="41">
        <f>IF(VLOOKUP($Q70,武学奇术!$A:$ZZ,22,FALSE)=1,0,(1-$BI70))*(1-$BL70)</f>
        <v>0</v>
      </c>
      <c r="BQ70" s="41" cm="1">
        <f t="array" ref="BQ70">SUM(_xlfn.XLOOKUP(R70:AF70,增益!$A:$A,增益!$W:$W,0))+$I$5</f>
        <v>0.11</v>
      </c>
    </row>
    <row r="71" spans="11:69">
      <c r="K71" s="55">
        <f t="shared" si="11"/>
        <v>13275.2102915124</v>
      </c>
      <c r="L71" s="55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弹道",$B$21,0))*(1+$BQ71)</f>
        <v>13058.9227180356</v>
      </c>
      <c r="M71" s="55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弹道",$B$21,0))*(1+$BQ71)</f>
        <v>15524.1543986272</v>
      </c>
      <c r="N71" s="55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弹道",$B$21,0))*(1+$BQ71)</f>
        <v>8161.82669877223</v>
      </c>
      <c r="O71" s="55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弹道",$B$21,0))*(1+$BQ71)</f>
        <v>4824.27976893174</v>
      </c>
      <c r="P71" s="56">
        <v>1</v>
      </c>
      <c r="Q71" s="57" t="s">
        <v>99</v>
      </c>
      <c r="R71" s="57" t="s">
        <v>116</v>
      </c>
      <c r="S71" s="57" t="s">
        <v>153</v>
      </c>
      <c r="T71" s="57" t="s">
        <v>72</v>
      </c>
      <c r="U71" s="57" t="s">
        <v>107</v>
      </c>
      <c r="V71" s="57" t="s">
        <v>72</v>
      </c>
      <c r="W71" s="57" t="s">
        <v>72</v>
      </c>
      <c r="X71" s="57" t="s">
        <v>72</v>
      </c>
      <c r="Y71" s="57" t="s">
        <v>72</v>
      </c>
      <c r="Z71" s="57" t="s">
        <v>72</v>
      </c>
      <c r="AA71" s="57" t="s">
        <v>72</v>
      </c>
      <c r="AB71" s="57" t="s">
        <v>72</v>
      </c>
      <c r="AC71" s="57" t="s">
        <v>72</v>
      </c>
      <c r="AD71" s="57" t="s">
        <v>72</v>
      </c>
      <c r="AE71" s="57" t="s">
        <v>72</v>
      </c>
      <c r="AF71" s="57" t="s">
        <v>87</v>
      </c>
      <c r="AG71" t="str">
        <f>VLOOKUP($Q71,武学奇术!$A:$ZZ,25,FALSE)</f>
        <v>伞</v>
      </c>
      <c r="AH71" s="41">
        <f>VLOOKUP($Q71,武学奇术!$A:$ZZ,26,FALSE)</f>
        <v>0.54</v>
      </c>
      <c r="AI71" s="42">
        <f>VLOOKUP($Q71,武学奇术!$A:$ZZ,27,FALSE)*(1+IF(OR($AG71=$F$4,$AG71=$F$5),$B$22,0))</f>
        <v>207.2</v>
      </c>
      <c r="AJ71" s="41">
        <f>VLOOKUP($Q71,武学奇术!$A:$ZZ,28,FALSE)</f>
        <v>0.81</v>
      </c>
      <c r="AK71" s="42">
        <f>VLOOKUP($Q71,武学奇术!$A:$ZZ,29,FALSE)*(1+IF(OR($AG71=$F$4,$AG71=$F$5),$B$22,0))</f>
        <v>114.1</v>
      </c>
      <c r="AL71" s="41" cm="1">
        <f t="array" ref="AL71">$G$3+IFERROR(VLOOKUP($AG71,$F$4:$G$7,2,FALSE),0)+VLOOKUP($Q71,武学奇术!$A:$ZZ,2,FALSE)+SUM(_xlfn.XLOOKUP($R71:$AF71,增益!$A:$A,增益!$B:$B,0))</f>
        <v>0.3241</v>
      </c>
      <c r="AM71" s="41" cm="1">
        <f t="array" ref="AM71">VLOOKUP($Q71,武学奇术!$A:$ZZ,5,FALSE)+SUM(_xlfn.XLOOKUP($R71:$AF71,增益!$A:$A,增益!$E:$E,0))</f>
        <v>0.075</v>
      </c>
      <c r="AN71" cm="1">
        <f t="array" ref="AN71">$D$10*(1+$AM71)+VLOOKUP($Q71,武学奇术!$A:$ZZ,3,FALSE)+SUM(_xlfn.XLOOKUP($R71:$AF71,增益!$A:$A,增益!$C:$C,0))-$I$2</f>
        <v>1912.055</v>
      </c>
      <c r="AO71" cm="1">
        <f t="array" ref="AO71">$E$10*(1+$AM71)+VLOOKUP($Q71,武学奇术!$A:$ZZ,4,FALSE)+SUM(_xlfn.XLOOKUP($R71:$AF71,增益!$A:$A,增益!$D:$D,0))-$I$2</f>
        <v>5879.45</v>
      </c>
      <c r="AP71" s="49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0.2425</v>
      </c>
      <c r="AQ71" s="49" cm="1">
        <f t="array" ref="AQ71">$G$10+VLOOKUP($Q71,武学奇术!$A:$ZZ,7,FALSE)+SUM(_xlfn.XLOOKUP(R71:AF71,增益!$A:$A,增益!$G:$G,0))</f>
        <v>0.1</v>
      </c>
      <c r="AR71" s="41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49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49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49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49" cm="1">
        <f t="array" ref="AZ71">$G$12+VLOOKUP($Q71,武学奇术!$A:$ZZ,12,FALSE)+SUM(_xlfn.XLOOKUP(R71:AF71,增益!$A:$A,增益!$L:$L,0))</f>
        <v>0</v>
      </c>
      <c r="BA71">
        <f t="shared" si="16"/>
        <v>571.2</v>
      </c>
      <c r="BB71">
        <f t="shared" si="17"/>
        <v>1077.4</v>
      </c>
      <c r="BC71" s="49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49" cm="1">
        <f t="array" ref="BD71">$G$13+VLOOKUP($Q71,武学奇术!$A:$ZZ,14,FALSE)+SUM(_xlfn.XLOOKUP(R71:AF71,增益!$A:$A,增益!$N:$N,0))</f>
        <v>0.25</v>
      </c>
      <c r="BE71">
        <f t="shared" si="18"/>
        <v>0</v>
      </c>
      <c r="BF71">
        <f t="shared" si="19"/>
        <v>0</v>
      </c>
      <c r="BG71" s="49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49" cm="1">
        <f t="array" ref="BH71">$G$14+VLOOKUP($Q71,武学奇术!$A:$ZZ,16,FALSE)+SUM(_xlfn.XLOOKUP(R71:AF71,增益!$A:$A,增益!$P:$P,0))</f>
        <v>0</v>
      </c>
      <c r="BI71" s="41">
        <f>MIN(IF(VLOOKUP($Q71,武学奇术!$A:$ZZ,23,FALSE)=1,100%,$B$8),100%)</f>
        <v>1</v>
      </c>
      <c r="BJ71" s="41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0.9045</v>
      </c>
      <c r="BK71" s="41" cm="1">
        <f t="array" ref="BK71">1+$B$13+VLOOKUP($Q71,武学奇术!$A:$ZZ,18,FALSE)+SUM(_xlfn.XLOOKUP(R71:AF71,增益!$A:$A,增益!$R:$R,0))</f>
        <v>1.6</v>
      </c>
      <c r="BL71" s="41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0.0929</v>
      </c>
      <c r="BM71" s="41" cm="1">
        <f t="array" ref="BM71">1+$B$14+VLOOKUP($Q71,武学奇术!$A:$ZZ,20,FALSE)+SUM(_xlfn.XLOOKUP(R71:AF71,增益!$A:$A,增益!$T:$T,0))</f>
        <v>1.35</v>
      </c>
      <c r="BN71" s="41">
        <f t="shared" si="20"/>
        <v>0.9045</v>
      </c>
      <c r="BO71" s="41">
        <f t="shared" si="21"/>
        <v>0.00260000000000005</v>
      </c>
      <c r="BP71" s="41">
        <f>IF(VLOOKUP($Q71,武学奇术!$A:$ZZ,22,FALSE)=1,0,(1-$BI71))*(1-$BL71)</f>
        <v>0</v>
      </c>
      <c r="BQ71" s="41" cm="1">
        <f t="array" ref="BQ71">SUM(_xlfn.XLOOKUP(R71:AF71,增益!$A:$A,增益!$W:$W,0))+$I$5</f>
        <v>0.11</v>
      </c>
    </row>
    <row r="72" spans="11:69">
      <c r="K72" s="55">
        <f t="shared" si="11"/>
        <v>118780.306548437</v>
      </c>
      <c r="L72" s="55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弹道",$B$21,0))*(1+$BQ72)</f>
        <v>116504.473740699</v>
      </c>
      <c r="M72" s="55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弹道",$B$21,0))*(1+$BQ72)</f>
        <v>142224.868462282</v>
      </c>
      <c r="N72" s="55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弹道",$B$21,0))*(1+$BQ72)</f>
        <v>72815.2960879371</v>
      </c>
      <c r="O72" s="55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弹道",$B$21,0))*(1+$BQ72)</f>
        <v>40278.8377593686</v>
      </c>
      <c r="P72" s="56">
        <v>1</v>
      </c>
      <c r="Q72" s="57" t="s">
        <v>129</v>
      </c>
      <c r="R72" s="57" t="s">
        <v>116</v>
      </c>
      <c r="S72" s="57" t="s">
        <v>153</v>
      </c>
      <c r="T72" s="57" t="s">
        <v>72</v>
      </c>
      <c r="U72" s="57" t="s">
        <v>107</v>
      </c>
      <c r="V72" s="57" t="s">
        <v>72</v>
      </c>
      <c r="W72" s="57" t="s">
        <v>72</v>
      </c>
      <c r="X72" s="57" t="s">
        <v>72</v>
      </c>
      <c r="Y72" s="57" t="s">
        <v>72</v>
      </c>
      <c r="Z72" s="57" t="s">
        <v>72</v>
      </c>
      <c r="AA72" s="57" t="s">
        <v>72</v>
      </c>
      <c r="AB72" s="57" t="s">
        <v>72</v>
      </c>
      <c r="AC72" s="57" t="s">
        <v>72</v>
      </c>
      <c r="AD72" s="57" t="s">
        <v>72</v>
      </c>
      <c r="AE72" s="57" t="s">
        <v>72</v>
      </c>
      <c r="AF72" s="57" t="s">
        <v>87</v>
      </c>
      <c r="AG72" t="str">
        <f>VLOOKUP($Q72,武学奇术!$A:$ZZ,25,FALSE)</f>
        <v>单体奇术</v>
      </c>
      <c r="AH72" s="41">
        <f>VLOOKUP($Q72,武学奇术!$A:$ZZ,26,FALSE)</f>
        <v>7.1074</v>
      </c>
      <c r="AI72" s="42">
        <f>VLOOKUP($Q72,武学奇术!$A:$ZZ,27,FALSE)*(1+IF(OR($AG72=$F$4,$AG72=$F$5),$B$22,0))</f>
        <v>1320</v>
      </c>
      <c r="AJ72" s="41">
        <f>VLOOKUP($Q72,武学奇术!$A:$ZZ,28,FALSE)</f>
        <v>10.6596</v>
      </c>
      <c r="AK72" s="42">
        <f>VLOOKUP($Q72,武学奇术!$A:$ZZ,29,FALSE)*(1+IF(OR($AG72=$F$4,$AG72=$F$5),$B$22,0))</f>
        <v>0</v>
      </c>
      <c r="AL72" s="41" cm="1">
        <f t="array" ref="AL72">$G$3+IFERROR(VLOOKUP($AG72,$F$4:$G$7,2,FALSE),0)+VLOOKUP($Q72,武学奇术!$A:$ZZ,2,FALSE)+SUM(_xlfn.XLOOKUP($R72:$AF72,增益!$A:$A,增益!$B:$B,0))</f>
        <v>0.4215</v>
      </c>
      <c r="AM72" s="41" cm="1">
        <f t="array" ref="AM72">VLOOKUP($Q72,武学奇术!$A:$ZZ,5,FALSE)+SUM(_xlfn.XLOOKUP($R72:$AF72,增益!$A:$A,增益!$E:$E,0))</f>
        <v>0.075</v>
      </c>
      <c r="AN72" cm="1">
        <f t="array" ref="AN72">$D$10*(1+$AM72)+VLOOKUP($Q72,武学奇术!$A:$ZZ,3,FALSE)+SUM(_xlfn.XLOOKUP($R72:$AF72,增益!$A:$A,增益!$C:$C,0))-$I$2</f>
        <v>1912.055</v>
      </c>
      <c r="AO72" cm="1">
        <f t="array" ref="AO72">$E$10*(1+$AM72)+VLOOKUP($Q72,武学奇术!$A:$ZZ,4,FALSE)+SUM(_xlfn.XLOOKUP($R72:$AF72,增益!$A:$A,增益!$D:$D,0))-$I$2</f>
        <v>5879.45</v>
      </c>
      <c r="AP72" s="49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0.2425</v>
      </c>
      <c r="AQ72" s="49" cm="1">
        <f t="array" ref="AQ72">$G$10+VLOOKUP($Q72,武学奇术!$A:$ZZ,7,FALSE)+SUM(_xlfn.XLOOKUP(R72:AF72,增益!$A:$A,增益!$G:$G,0))</f>
        <v>0</v>
      </c>
      <c r="AR72" s="41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49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49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49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49" cm="1">
        <f t="array" ref="AZ72">$G$12+VLOOKUP($Q72,武学奇术!$A:$ZZ,12,FALSE)+SUM(_xlfn.XLOOKUP(R72:AF72,增益!$A:$A,增益!$L:$L,0))</f>
        <v>0</v>
      </c>
      <c r="BA72">
        <f t="shared" si="16"/>
        <v>571.2</v>
      </c>
      <c r="BB72">
        <f t="shared" si="17"/>
        <v>1077.4</v>
      </c>
      <c r="BC72" s="49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49" cm="1">
        <f t="array" ref="BD72">$G$13+VLOOKUP($Q72,武学奇术!$A:$ZZ,14,FALSE)+SUM(_xlfn.XLOOKUP(R72:AF72,增益!$A:$A,增益!$N:$N,0))</f>
        <v>0.15</v>
      </c>
      <c r="BE72">
        <f t="shared" si="18"/>
        <v>0</v>
      </c>
      <c r="BF72">
        <f t="shared" si="19"/>
        <v>0</v>
      </c>
      <c r="BG72" s="49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49" cm="1">
        <f t="array" ref="BH72">$G$14+VLOOKUP($Q72,武学奇术!$A:$ZZ,16,FALSE)+SUM(_xlfn.XLOOKUP(R72:AF72,增益!$A:$A,增益!$P:$P,0))</f>
        <v>0</v>
      </c>
      <c r="BI72" s="41">
        <f>MIN(IF(VLOOKUP($Q72,武学奇术!$A:$ZZ,23,FALSE)=1,100%,$B$8),100%)</f>
        <v>1</v>
      </c>
      <c r="BJ72" s="41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0.9045</v>
      </c>
      <c r="BK72" s="41" cm="1">
        <f t="array" ref="BK72">1+$B$13+VLOOKUP($Q72,武学奇术!$A:$ZZ,18,FALSE)+SUM(_xlfn.XLOOKUP(R72:AF72,增益!$A:$A,增益!$R:$R,0))</f>
        <v>1.6</v>
      </c>
      <c r="BL72" s="41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0.0929</v>
      </c>
      <c r="BM72" s="41" cm="1">
        <f t="array" ref="BM72">1+$B$14+VLOOKUP($Q72,武学奇术!$A:$ZZ,20,FALSE)+SUM(_xlfn.XLOOKUP(R72:AF72,增益!$A:$A,增益!$T:$T,0))</f>
        <v>1.35</v>
      </c>
      <c r="BN72" s="41">
        <f t="shared" si="20"/>
        <v>0.9045</v>
      </c>
      <c r="BO72" s="41">
        <f t="shared" si="21"/>
        <v>0.00260000000000005</v>
      </c>
      <c r="BP72" s="41">
        <f>IF(VLOOKUP($Q72,武学奇术!$A:$ZZ,22,FALSE)=1,0,(1-$BI72))*(1-$BL72)</f>
        <v>0</v>
      </c>
      <c r="BQ72" s="41" cm="1">
        <f t="array" ref="BQ72">SUM(_xlfn.XLOOKUP(R72:AF72,增益!$A:$A,增益!$W:$W,0))+$I$5</f>
        <v>0.11</v>
      </c>
    </row>
    <row r="73" spans="11:69">
      <c r="K73" s="55">
        <f t="shared" si="11"/>
        <v>524898.605520998</v>
      </c>
      <c r="L73" s="55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弹道",$B$21,0))*(1+$BQ73)</f>
        <v>526995.640198205</v>
      </c>
      <c r="M73" s="55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弹道",$B$21,0))*(1+$BQ73)</f>
        <v>511646.642760803</v>
      </c>
      <c r="N73" s="55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弹道",$B$21,0))*(1+$BQ73)</f>
        <v>268875.326631737</v>
      </c>
      <c r="O73" s="55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弹道",$B$21,0))*(1+$BQ73)</f>
        <v>158753.140107324</v>
      </c>
      <c r="P73" s="56">
        <v>10</v>
      </c>
      <c r="Q73" s="57" t="s">
        <v>102</v>
      </c>
      <c r="R73" s="57" t="s">
        <v>116</v>
      </c>
      <c r="S73" s="57" t="s">
        <v>153</v>
      </c>
      <c r="T73" s="57" t="s">
        <v>92</v>
      </c>
      <c r="U73" s="57" t="s">
        <v>107</v>
      </c>
      <c r="V73" s="57" t="s">
        <v>86</v>
      </c>
      <c r="W73" s="57" t="s">
        <v>72</v>
      </c>
      <c r="X73" s="57" t="s">
        <v>72</v>
      </c>
      <c r="Y73" s="57" t="s">
        <v>72</v>
      </c>
      <c r="Z73" s="57" t="s">
        <v>72</v>
      </c>
      <c r="AA73" s="57" t="s">
        <v>72</v>
      </c>
      <c r="AB73" s="57" t="s">
        <v>72</v>
      </c>
      <c r="AC73" s="57" t="s">
        <v>72</v>
      </c>
      <c r="AD73" s="57" t="s">
        <v>72</v>
      </c>
      <c r="AE73" s="57" t="s">
        <v>72</v>
      </c>
      <c r="AF73" s="57" t="s">
        <v>87</v>
      </c>
      <c r="AG73" t="str">
        <f>VLOOKUP($Q73,武学奇术!$A:$ZZ,25,FALSE)</f>
        <v>伞</v>
      </c>
      <c r="AH73" s="41">
        <f>VLOOKUP($Q73,武学奇术!$A:$ZZ,26,FALSE)</f>
        <v>1.174955</v>
      </c>
      <c r="AI73" s="42">
        <f>VLOOKUP($Q73,武学奇术!$A:$ZZ,27,FALSE)*(1+IF(OR($AG73=$F$4,$AG73=$F$5),$B$22,0))</f>
        <v>454.02</v>
      </c>
      <c r="AJ73" s="41">
        <f>VLOOKUP($Q73,武学奇术!$A:$ZZ,28,FALSE)</f>
        <v>1.762375</v>
      </c>
      <c r="AK73" s="42">
        <f>VLOOKUP($Q73,武学奇术!$A:$ZZ,29,FALSE)*(1+IF(OR($AG73=$F$4,$AG73=$F$5),$B$22,0))</f>
        <v>247.94</v>
      </c>
      <c r="AL73" s="41" cm="1">
        <f t="array" ref="AL73">$G$3+IFERROR(VLOOKUP($AG73,$F$4:$G$7,2,FALSE),0)+VLOOKUP($Q73,武学奇术!$A:$ZZ,2,FALSE)+SUM(_xlfn.XLOOKUP($R73:$AF73,增益!$A:$A,增益!$B:$B,0))</f>
        <v>0.9741</v>
      </c>
      <c r="AM73" s="41" cm="1">
        <f t="array" ref="AM73">VLOOKUP($Q73,武学奇术!$A:$ZZ,5,FALSE)+SUM(_xlfn.XLOOKUP($R73:$AF73,增益!$A:$A,增益!$E:$E,0))</f>
        <v>0.075</v>
      </c>
      <c r="AN73" cm="1">
        <f t="array" ref="AN73">$D$10*(1+$AM73)+VLOOKUP($Q73,武学奇术!$A:$ZZ,3,FALSE)+SUM(_xlfn.XLOOKUP($R73:$AF73,增益!$A:$A,增益!$C:$C,0))-$I$2</f>
        <v>1912.055</v>
      </c>
      <c r="AO73" cm="1">
        <f t="array" ref="AO73">$E$10*(1+$AM73)+VLOOKUP($Q73,武学奇术!$A:$ZZ,4,FALSE)+SUM(_xlfn.XLOOKUP($R73:$AF73,增益!$A:$A,增益!$D:$D,0))-$I$2</f>
        <v>5879.45</v>
      </c>
      <c r="AP73" s="49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0.2675</v>
      </c>
      <c r="AQ73" s="49" cm="1">
        <f t="array" ref="AQ73">$G$10+VLOOKUP($Q73,武学奇术!$A:$ZZ,7,FALSE)+SUM(_xlfn.XLOOKUP(R73:AF73,增益!$A:$A,增益!$G:$G,0))</f>
        <v>0.1</v>
      </c>
      <c r="AR73" s="41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49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49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49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49" cm="1">
        <f t="array" ref="AZ73">$G$12+VLOOKUP($Q73,武学奇术!$A:$ZZ,12,FALSE)+SUM(_xlfn.XLOOKUP(R73:AF73,增益!$A:$A,增益!$L:$L,0))</f>
        <v>0</v>
      </c>
      <c r="BA73">
        <f t="shared" si="16"/>
        <v>571.2</v>
      </c>
      <c r="BB73">
        <f t="shared" si="17"/>
        <v>1077.4</v>
      </c>
      <c r="BC73" s="49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49" cm="1">
        <f t="array" ref="BD73">$G$13+VLOOKUP($Q73,武学奇术!$A:$ZZ,14,FALSE)+SUM(_xlfn.XLOOKUP(R73:AF73,增益!$A:$A,增益!$N:$N,0))</f>
        <v>0.25</v>
      </c>
      <c r="BE73">
        <f t="shared" si="18"/>
        <v>0</v>
      </c>
      <c r="BF73">
        <f t="shared" si="19"/>
        <v>0</v>
      </c>
      <c r="BG73" s="49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49" cm="1">
        <f t="array" ref="BH73">$G$14+VLOOKUP($Q73,武学奇术!$A:$ZZ,16,FALSE)+SUM(_xlfn.XLOOKUP(R73:AF73,增益!$A:$A,增益!$P:$P,0))</f>
        <v>0</v>
      </c>
      <c r="BI73" s="41">
        <f>MIN(IF(VLOOKUP($Q73,武学奇术!$A:$ZZ,23,FALSE)=1,100%,$B$8),100%)</f>
        <v>1</v>
      </c>
      <c r="BJ73" s="41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0.9045</v>
      </c>
      <c r="BK73" s="41" cm="1">
        <f t="array" ref="BK73">1+$B$13+VLOOKUP($Q73,武学奇术!$A:$ZZ,18,FALSE)+SUM(_xlfn.XLOOKUP(R73:AF73,增益!$A:$A,增益!$R:$R,0))</f>
        <v>1.96</v>
      </c>
      <c r="BL73" s="41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0.0929</v>
      </c>
      <c r="BM73" s="41" cm="1">
        <f t="array" ref="BM73">1+$B$14+VLOOKUP($Q73,武学奇术!$A:$ZZ,20,FALSE)+SUM(_xlfn.XLOOKUP(R73:AF73,增益!$A:$A,增益!$T:$T,0))</f>
        <v>1.35</v>
      </c>
      <c r="BN73" s="41">
        <f t="shared" si="20"/>
        <v>0.9045</v>
      </c>
      <c r="BO73" s="41">
        <f t="shared" si="21"/>
        <v>0.00260000000000005</v>
      </c>
      <c r="BP73" s="41">
        <f>IF(VLOOKUP($Q73,武学奇术!$A:$ZZ,22,FALSE)=1,0,(1-$BI73))*(1-$BL73)</f>
        <v>0</v>
      </c>
      <c r="BQ73" s="41" cm="1">
        <f t="array" ref="BQ73">SUM(_xlfn.XLOOKUP(R73:AF73,增益!$A:$A,增益!$W:$W,0))+$I$5</f>
        <v>0.11</v>
      </c>
    </row>
    <row r="74" spans="11:69">
      <c r="K74" s="55">
        <f t="shared" si="11"/>
        <v>79206.5674838838</v>
      </c>
      <c r="L74" s="55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弹道",$B$21,0))*(1+$BQ74)</f>
        <v>79523.5991761431</v>
      </c>
      <c r="M74" s="55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弹道",$B$21,0))*(1+$BQ74)</f>
        <v>77201.0930070963</v>
      </c>
      <c r="N74" s="55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弹道",$B$21,0))*(1+$BQ74)</f>
        <v>40573.2648857873</v>
      </c>
      <c r="O74" s="55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弹道",$B$21,0))*(1+$BQ74)</f>
        <v>23960.5349515033</v>
      </c>
      <c r="P74" s="56">
        <v>1</v>
      </c>
      <c r="Q74" s="57" t="s">
        <v>84</v>
      </c>
      <c r="R74" s="57" t="s">
        <v>116</v>
      </c>
      <c r="S74" s="57" t="s">
        <v>153</v>
      </c>
      <c r="T74" s="57" t="s">
        <v>92</v>
      </c>
      <c r="U74" s="57" t="s">
        <v>107</v>
      </c>
      <c r="V74" s="57" t="s">
        <v>86</v>
      </c>
      <c r="W74" s="57" t="s">
        <v>72</v>
      </c>
      <c r="X74" s="57" t="s">
        <v>72</v>
      </c>
      <c r="Y74" s="57" t="s">
        <v>72</v>
      </c>
      <c r="Z74" s="57" t="s">
        <v>72</v>
      </c>
      <c r="AA74" s="57" t="s">
        <v>72</v>
      </c>
      <c r="AB74" s="57" t="s">
        <v>72</v>
      </c>
      <c r="AC74" s="57" t="s">
        <v>72</v>
      </c>
      <c r="AD74" s="57" t="s">
        <v>72</v>
      </c>
      <c r="AE74" s="57" t="s">
        <v>72</v>
      </c>
      <c r="AF74" s="57" t="s">
        <v>87</v>
      </c>
      <c r="AG74" t="str">
        <f>VLOOKUP($Q74,武学奇术!$A:$ZZ,25,FALSE)</f>
        <v>伞</v>
      </c>
      <c r="AH74" s="41">
        <f>VLOOKUP($Q74,武学奇术!$A:$ZZ,26,FALSE)</f>
        <v>2.3397</v>
      </c>
      <c r="AI74" s="42">
        <f>VLOOKUP($Q74,武学奇术!$A:$ZZ,27,FALSE)*(1+IF(OR($AG74=$F$4,$AG74=$F$5),$B$22,0))</f>
        <v>907.2</v>
      </c>
      <c r="AJ74" s="41">
        <f>VLOOKUP($Q74,武学奇术!$A:$ZZ,28,FALSE)</f>
        <v>3.5095</v>
      </c>
      <c r="AK74" s="42">
        <f>VLOOKUP($Q74,武学奇术!$A:$ZZ,29,FALSE)*(1+IF(OR($AG74=$F$4,$AG74=$F$5),$B$22,0))</f>
        <v>494.2</v>
      </c>
      <c r="AL74" s="41" cm="1">
        <f t="array" ref="AL74">$G$3+IFERROR(VLOOKUP($AG74,$F$4:$G$7,2,FALSE),0)+VLOOKUP($Q74,武学奇术!$A:$ZZ,2,FALSE)+SUM(_xlfn.XLOOKUP($R74:$AF74,增益!$A:$A,增益!$B:$B,0))</f>
        <v>0.9741</v>
      </c>
      <c r="AM74" s="41" cm="1">
        <f t="array" ref="AM74">VLOOKUP($Q74,武学奇术!$A:$ZZ,5,FALSE)+SUM(_xlfn.XLOOKUP($R74:$AF74,增益!$A:$A,增益!$E:$E,0))</f>
        <v>0.075</v>
      </c>
      <c r="AN74" cm="1">
        <f t="array" ref="AN74">$D$10*(1+$AM74)+VLOOKUP($Q74,武学奇术!$A:$ZZ,3,FALSE)+SUM(_xlfn.XLOOKUP($R74:$AF74,增益!$A:$A,增益!$C:$C,0))-$I$2</f>
        <v>1912.055</v>
      </c>
      <c r="AO74" cm="1">
        <f t="array" ref="AO74">$E$10*(1+$AM74)+VLOOKUP($Q74,武学奇术!$A:$ZZ,4,FALSE)+SUM(_xlfn.XLOOKUP($R74:$AF74,增益!$A:$A,增益!$D:$D,0))-$I$2</f>
        <v>5879.45</v>
      </c>
      <c r="AP74" s="49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0.2675</v>
      </c>
      <c r="AQ74" s="49" cm="1">
        <f t="array" ref="AQ74">$G$10+VLOOKUP($Q74,武学奇术!$A:$ZZ,7,FALSE)+SUM(_xlfn.XLOOKUP(R74:AF74,增益!$A:$A,增益!$G:$G,0))</f>
        <v>0.1</v>
      </c>
      <c r="AR74" s="41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49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49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49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49" cm="1">
        <f t="array" ref="AZ74">$G$12+VLOOKUP($Q74,武学奇术!$A:$ZZ,12,FALSE)+SUM(_xlfn.XLOOKUP(R74:AF74,增益!$A:$A,增益!$L:$L,0))</f>
        <v>0</v>
      </c>
      <c r="BA74">
        <f t="shared" si="16"/>
        <v>571.2</v>
      </c>
      <c r="BB74">
        <f t="shared" si="17"/>
        <v>1077.4</v>
      </c>
      <c r="BC74" s="49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49" cm="1">
        <f t="array" ref="BD74">$G$13+VLOOKUP($Q74,武学奇术!$A:$ZZ,14,FALSE)+SUM(_xlfn.XLOOKUP(R74:AF74,增益!$A:$A,增益!$N:$N,0))</f>
        <v>0.25</v>
      </c>
      <c r="BE74">
        <f t="shared" si="18"/>
        <v>0</v>
      </c>
      <c r="BF74">
        <f t="shared" si="19"/>
        <v>0</v>
      </c>
      <c r="BG74" s="49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49" cm="1">
        <f t="array" ref="BH74">$G$14+VLOOKUP($Q74,武学奇术!$A:$ZZ,16,FALSE)+SUM(_xlfn.XLOOKUP(R74:AF74,增益!$A:$A,增益!$P:$P,0))</f>
        <v>0</v>
      </c>
      <c r="BI74" s="41">
        <f>MIN(IF(VLOOKUP($Q74,武学奇术!$A:$ZZ,23,FALSE)=1,100%,$B$8),100%)</f>
        <v>1</v>
      </c>
      <c r="BJ74" s="41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0.9045</v>
      </c>
      <c r="BK74" s="41" cm="1">
        <f t="array" ref="BK74">1+$B$13+VLOOKUP($Q74,武学奇术!$A:$ZZ,18,FALSE)+SUM(_xlfn.XLOOKUP(R74:AF74,增益!$A:$A,增益!$R:$R,0))</f>
        <v>1.96</v>
      </c>
      <c r="BL74" s="41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0.0929</v>
      </c>
      <c r="BM74" s="41" cm="1">
        <f t="array" ref="BM74">1+$B$14+VLOOKUP($Q74,武学奇术!$A:$ZZ,20,FALSE)+SUM(_xlfn.XLOOKUP(R74:AF74,增益!$A:$A,增益!$T:$T,0))</f>
        <v>1.35</v>
      </c>
      <c r="BN74" s="41">
        <f t="shared" si="20"/>
        <v>0.9045</v>
      </c>
      <c r="BO74" s="41">
        <f t="shared" si="21"/>
        <v>0.00260000000000005</v>
      </c>
      <c r="BP74" s="41">
        <f>IF(VLOOKUP($Q74,武学奇术!$A:$ZZ,22,FALSE)=1,0,(1-$BI74))*(1-$BL74)</f>
        <v>0</v>
      </c>
      <c r="BQ74" s="41" cm="1">
        <f t="array" ref="BQ74">SUM(_xlfn.XLOOKUP(R74:AF74,增益!$A:$A,增益!$W:$W,0))+$I$5</f>
        <v>0.11</v>
      </c>
    </row>
    <row r="75" spans="11:69">
      <c r="K75" s="55">
        <f t="shared" si="11"/>
        <v>316824.732223587</v>
      </c>
      <c r="L75" s="55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弹道",$B$21,0))*(1+$BQ75)</f>
        <v>318089.014817066</v>
      </c>
      <c r="M75" s="55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弹道",$B$21,0))*(1+$BQ75)</f>
        <v>308840.296081567</v>
      </c>
      <c r="N75" s="55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弹道",$B$21,0))*(1+$BQ75)</f>
        <v>162290.313682176</v>
      </c>
      <c r="O75" s="55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弹道",$B$21,0))*(1+$BQ75)</f>
        <v>95810.0376743031</v>
      </c>
      <c r="P75" s="56">
        <v>3</v>
      </c>
      <c r="Q75" s="57" t="s">
        <v>176</v>
      </c>
      <c r="R75" s="57" t="s">
        <v>116</v>
      </c>
      <c r="S75" s="57" t="s">
        <v>153</v>
      </c>
      <c r="T75" s="57" t="s">
        <v>92</v>
      </c>
      <c r="U75" s="57" t="s">
        <v>107</v>
      </c>
      <c r="V75" s="57" t="s">
        <v>86</v>
      </c>
      <c r="W75" s="57" t="s">
        <v>158</v>
      </c>
      <c r="X75" s="57" t="s">
        <v>72</v>
      </c>
      <c r="Y75" s="57" t="s">
        <v>72</v>
      </c>
      <c r="Z75" s="57" t="s">
        <v>72</v>
      </c>
      <c r="AA75" s="57" t="s">
        <v>72</v>
      </c>
      <c r="AB75" s="57" t="s">
        <v>72</v>
      </c>
      <c r="AC75" s="57" t="s">
        <v>72</v>
      </c>
      <c r="AD75" s="57" t="s">
        <v>72</v>
      </c>
      <c r="AE75" s="57" t="s">
        <v>72</v>
      </c>
      <c r="AF75" s="57" t="s">
        <v>87</v>
      </c>
      <c r="AG75" t="str">
        <f>VLOOKUP($Q75,武学奇术!$A:$ZZ,25,FALSE)</f>
        <v>伞</v>
      </c>
      <c r="AH75" s="41">
        <f>VLOOKUP($Q75,武学奇术!$A:$ZZ,26,FALSE)</f>
        <v>2.146875</v>
      </c>
      <c r="AI75" s="42">
        <f>VLOOKUP($Q75,武学奇术!$A:$ZZ,27,FALSE)*(1+IF(OR($AG75=$F$4,$AG75=$F$5),$B$22,0))</f>
        <v>829.5</v>
      </c>
      <c r="AJ75" s="41">
        <f>VLOOKUP($Q75,武学奇术!$A:$ZZ,28,FALSE)</f>
        <v>3.22025</v>
      </c>
      <c r="AK75" s="42">
        <f>VLOOKUP($Q75,武学奇术!$A:$ZZ,29,FALSE)*(1+IF(OR($AG75=$F$4,$AG75=$F$5),$B$22,0))</f>
        <v>451.5</v>
      </c>
      <c r="AL75" s="41" cm="1">
        <f t="array" ref="AL75">$G$3+IFERROR(VLOOKUP($AG75,$F$4:$G$7,2,FALSE),0)+VLOOKUP($Q75,武学奇术!$A:$ZZ,2,FALSE)+SUM(_xlfn.XLOOKUP($R75:$AF75,增益!$A:$A,增益!$B:$B,0))</f>
        <v>1.1741</v>
      </c>
      <c r="AM75" s="41" cm="1">
        <f t="array" ref="AM75">VLOOKUP($Q75,武学奇术!$A:$ZZ,5,FALSE)+SUM(_xlfn.XLOOKUP($R75:$AF75,增益!$A:$A,增益!$E:$E,0))</f>
        <v>0.075</v>
      </c>
      <c r="AN75" cm="1">
        <f t="array" ref="AN75">$D$10*(1+$AM75)+VLOOKUP($Q75,武学奇术!$A:$ZZ,3,FALSE)+SUM(_xlfn.XLOOKUP($R75:$AF75,增益!$A:$A,增益!$C:$C,0))-$I$2</f>
        <v>1912.055</v>
      </c>
      <c r="AO75" cm="1">
        <f t="array" ref="AO75">$E$10*(1+$AM75)+VLOOKUP($Q75,武学奇术!$A:$ZZ,4,FALSE)+SUM(_xlfn.XLOOKUP($R75:$AF75,增益!$A:$A,增益!$D:$D,0))-$I$2</f>
        <v>5879.45</v>
      </c>
      <c r="AP75" s="49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0.2675</v>
      </c>
      <c r="AQ75" s="49" cm="1">
        <f t="array" ref="AQ75">$G$10+VLOOKUP($Q75,武学奇术!$A:$ZZ,7,FALSE)+SUM(_xlfn.XLOOKUP(R75:AF75,增益!$A:$A,增益!$G:$G,0))</f>
        <v>0.1</v>
      </c>
      <c r="AR75" s="41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49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49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49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49" cm="1">
        <f t="array" ref="AZ75">$G$12+VLOOKUP($Q75,武学奇术!$A:$ZZ,12,FALSE)+SUM(_xlfn.XLOOKUP(R75:AF75,增益!$A:$A,增益!$L:$L,0))</f>
        <v>0</v>
      </c>
      <c r="BA75">
        <f t="shared" si="16"/>
        <v>571.2</v>
      </c>
      <c r="BB75">
        <f t="shared" si="17"/>
        <v>1077.4</v>
      </c>
      <c r="BC75" s="49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49" cm="1">
        <f t="array" ref="BD75">$G$13+VLOOKUP($Q75,武学奇术!$A:$ZZ,14,FALSE)+SUM(_xlfn.XLOOKUP(R75:AF75,增益!$A:$A,增益!$N:$N,0))</f>
        <v>0.25</v>
      </c>
      <c r="BE75">
        <f t="shared" si="18"/>
        <v>0</v>
      </c>
      <c r="BF75">
        <f t="shared" si="19"/>
        <v>0</v>
      </c>
      <c r="BG75" s="49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49" cm="1">
        <f t="array" ref="BH75">$G$14+VLOOKUP($Q75,武学奇术!$A:$ZZ,16,FALSE)+SUM(_xlfn.XLOOKUP(R75:AF75,增益!$A:$A,增益!$P:$P,0))</f>
        <v>0</v>
      </c>
      <c r="BI75" s="41">
        <f>MIN(IF(VLOOKUP($Q75,武学奇术!$A:$ZZ,23,FALSE)=1,100%,$B$8),100%)</f>
        <v>1</v>
      </c>
      <c r="BJ75" s="41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0.9045</v>
      </c>
      <c r="BK75" s="41" cm="1">
        <f t="array" ref="BK75">1+$B$13+VLOOKUP($Q75,武学奇术!$A:$ZZ,18,FALSE)+SUM(_xlfn.XLOOKUP(R75:AF75,增益!$A:$A,增益!$R:$R,0))</f>
        <v>1.96</v>
      </c>
      <c r="BL75" s="41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0.0929</v>
      </c>
      <c r="BM75" s="41" cm="1">
        <f t="array" ref="BM75">1+$B$14+VLOOKUP($Q75,武学奇术!$A:$ZZ,20,FALSE)+SUM(_xlfn.XLOOKUP(R75:AF75,增益!$A:$A,增益!$T:$T,0))</f>
        <v>1.35</v>
      </c>
      <c r="BN75" s="41">
        <f t="shared" si="20"/>
        <v>0.9045</v>
      </c>
      <c r="BO75" s="41">
        <f t="shared" si="21"/>
        <v>0.00260000000000005</v>
      </c>
      <c r="BP75" s="41">
        <f>IF(VLOOKUP($Q75,武学奇术!$A:$ZZ,22,FALSE)=1,0,(1-$BI75))*(1-$BL75)</f>
        <v>0</v>
      </c>
      <c r="BQ75" s="41" cm="1">
        <f t="array" ref="BQ75">SUM(_xlfn.XLOOKUP(R75:AF75,增益!$A:$A,增益!$W:$W,0))+$I$5</f>
        <v>0.11</v>
      </c>
    </row>
    <row r="76" spans="11:69">
      <c r="K76" s="55">
        <f t="shared" si="11"/>
        <v>0</v>
      </c>
      <c r="L76" s="55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弹道",$B$21,0))*(1+$BQ76)</f>
        <v>0</v>
      </c>
      <c r="M76" s="55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弹道",$B$21,0))*(1+$BQ76)</f>
        <v>0</v>
      </c>
      <c r="N76" s="55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弹道",$B$21,0))*(1+$BQ76)</f>
        <v>0</v>
      </c>
      <c r="O76" s="55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弹道",$B$21,0))*(1+$BQ76)</f>
        <v>0</v>
      </c>
      <c r="P76" s="56">
        <v>1</v>
      </c>
      <c r="Q76" s="57" t="s">
        <v>72</v>
      </c>
      <c r="R76" s="57" t="s">
        <v>72</v>
      </c>
      <c r="S76" s="57" t="s">
        <v>72</v>
      </c>
      <c r="T76" s="57" t="s">
        <v>72</v>
      </c>
      <c r="U76" s="57" t="s">
        <v>72</v>
      </c>
      <c r="V76" s="57" t="s">
        <v>72</v>
      </c>
      <c r="W76" s="57" t="s">
        <v>72</v>
      </c>
      <c r="X76" s="57" t="s">
        <v>72</v>
      </c>
      <c r="Y76" s="57" t="s">
        <v>72</v>
      </c>
      <c r="Z76" s="57" t="s">
        <v>72</v>
      </c>
      <c r="AA76" s="57" t="s">
        <v>72</v>
      </c>
      <c r="AB76" s="57" t="s">
        <v>72</v>
      </c>
      <c r="AC76" s="57" t="s">
        <v>72</v>
      </c>
      <c r="AD76" s="57" t="s">
        <v>72</v>
      </c>
      <c r="AE76" s="57" t="s">
        <v>72</v>
      </c>
      <c r="AF76" s="57" t="s">
        <v>87</v>
      </c>
      <c r="AG76" t="str">
        <f>VLOOKUP($Q76,武学奇术!$A:$ZZ,25,FALSE)</f>
        <v>心法</v>
      </c>
      <c r="AH76" s="41">
        <f>VLOOKUP($Q76,武学奇术!$A:$ZZ,26,FALSE)</f>
        <v>0</v>
      </c>
      <c r="AI76" s="42">
        <f>VLOOKUP($Q76,武学奇术!$A:$ZZ,27,FALSE)*(1+IF(OR($AG76=$F$4,$AG76=$F$5),$B$22,0))</f>
        <v>0</v>
      </c>
      <c r="AJ76" s="41">
        <f>VLOOKUP($Q76,武学奇术!$A:$ZZ,28,FALSE)</f>
        <v>0</v>
      </c>
      <c r="AK76" s="42">
        <f>VLOOKUP($Q76,武学奇术!$A:$ZZ,29,FALSE)*(1+IF(OR($AG76=$F$4,$AG76=$F$5),$B$22,0))</f>
        <v>0</v>
      </c>
      <c r="AL76" s="41" cm="1">
        <f t="array" ref="AL76">$G$3+IFERROR(VLOOKUP($AG76,$F$4:$G$7,2,FALSE),0)+VLOOKUP($Q76,武学奇术!$A:$ZZ,2,FALSE)+SUM(_xlfn.XLOOKUP($R76:$AF76,增益!$A:$A,增益!$B:$B,0))</f>
        <v>0.1037</v>
      </c>
      <c r="AM76" s="41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1735.4</v>
      </c>
      <c r="AO76" cm="1">
        <f t="array" ref="AO76">$E$10*(1+$AM76)+VLOOKUP($Q76,武学奇术!$A:$ZZ,4,FALSE)+SUM(_xlfn.XLOOKUP($R76:$AF76,增益!$A:$A,增益!$D:$D,0))-$I$2</f>
        <v>5426</v>
      </c>
      <c r="AP76" s="49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0.1925</v>
      </c>
      <c r="AQ76" s="49" cm="1">
        <f t="array" ref="AQ76">$G$10+VLOOKUP($Q76,武学奇术!$A:$ZZ,7,FALSE)+SUM(_xlfn.XLOOKUP(R76:AF76,增益!$A:$A,增益!$G:$G,0))</f>
        <v>0</v>
      </c>
      <c r="AR76" s="41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49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49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49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49" cm="1">
        <f t="array" ref="AZ76">$G$12+VLOOKUP($Q76,武学奇术!$A:$ZZ,12,FALSE)+SUM(_xlfn.XLOOKUP(R76:AF76,增益!$A:$A,增益!$L:$L,0))</f>
        <v>0</v>
      </c>
      <c r="BA76">
        <f t="shared" si="16"/>
        <v>571.2</v>
      </c>
      <c r="BB76">
        <f t="shared" si="17"/>
        <v>1077.4</v>
      </c>
      <c r="BC76" s="49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49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49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49" cm="1">
        <f t="array" ref="BH76">$G$14+VLOOKUP($Q76,武学奇术!$A:$ZZ,16,FALSE)+SUM(_xlfn.XLOOKUP(R76:AF76,增益!$A:$A,增益!$P:$P,0))</f>
        <v>0</v>
      </c>
      <c r="BI76" s="41">
        <f>MIN(IF(VLOOKUP($Q76,武学奇术!$A:$ZZ,23,FALSE)=1,100%,$B$8),100%)</f>
        <v>1</v>
      </c>
      <c r="BJ76" s="41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0.9045</v>
      </c>
      <c r="BK76" s="41" cm="1">
        <f t="array" ref="BK76">1+$B$13+VLOOKUP($Q76,武学奇术!$A:$ZZ,18,FALSE)+SUM(_xlfn.XLOOKUP(R76:AF76,增益!$A:$A,增益!$R:$R,0))</f>
        <v>1.5</v>
      </c>
      <c r="BL76" s="41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0.0929</v>
      </c>
      <c r="BM76" s="41" cm="1">
        <f t="array" ref="BM76">1+$B$14+VLOOKUP($Q76,武学奇术!$A:$ZZ,20,FALSE)+SUM(_xlfn.XLOOKUP(R76:AF76,增益!$A:$A,增益!$T:$T,0))</f>
        <v>1.35</v>
      </c>
      <c r="BN76" s="41">
        <f t="shared" si="20"/>
        <v>0.9045</v>
      </c>
      <c r="BO76" s="41">
        <f t="shared" si="21"/>
        <v>0.00260000000000005</v>
      </c>
      <c r="BP76" s="41">
        <f>IF(VLOOKUP($Q76,武学奇术!$A:$ZZ,22,FALSE)=1,0,(1-$BI76))*(1-$BL76)</f>
        <v>0</v>
      </c>
      <c r="BQ76" s="41" cm="1">
        <f t="array" ref="BQ76">SUM(_xlfn.XLOOKUP(R76:AF76,增益!$A:$A,增益!$W:$W,0))+$I$5</f>
        <v>0.11</v>
      </c>
    </row>
    <row r="77" spans="11:69">
      <c r="K77" s="55">
        <f t="shared" si="11"/>
        <v>26244.9302760499</v>
      </c>
      <c r="L77" s="55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弹道",$B$21,0))*(1+$BQ77)</f>
        <v>26349.7820099103</v>
      </c>
      <c r="M77" s="55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弹道",$B$21,0))*(1+$BQ77)</f>
        <v>25582.3321380402</v>
      </c>
      <c r="N77" s="55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弹道",$B$21,0))*(1+$BQ77)</f>
        <v>13443.7663315869</v>
      </c>
      <c r="O77" s="55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弹道",$B$21,0))*(1+$BQ77)</f>
        <v>7937.6570053662</v>
      </c>
      <c r="P77" s="56">
        <v>0.5</v>
      </c>
      <c r="Q77" s="57" t="s">
        <v>102</v>
      </c>
      <c r="R77" s="57" t="s">
        <v>116</v>
      </c>
      <c r="S77" s="57" t="s">
        <v>153</v>
      </c>
      <c r="T77" s="57" t="s">
        <v>92</v>
      </c>
      <c r="U77" s="57" t="s">
        <v>107</v>
      </c>
      <c r="V77" s="57" t="s">
        <v>86</v>
      </c>
      <c r="W77" s="57" t="s">
        <v>72</v>
      </c>
      <c r="X77" s="57" t="s">
        <v>72</v>
      </c>
      <c r="Y77" s="57" t="s">
        <v>72</v>
      </c>
      <c r="Z77" s="57" t="s">
        <v>72</v>
      </c>
      <c r="AA77" s="57" t="s">
        <v>72</v>
      </c>
      <c r="AB77" s="57" t="s">
        <v>72</v>
      </c>
      <c r="AC77" s="57" t="s">
        <v>72</v>
      </c>
      <c r="AD77" s="57" t="s">
        <v>72</v>
      </c>
      <c r="AE77" s="57" t="s">
        <v>72</v>
      </c>
      <c r="AF77" s="57" t="s">
        <v>87</v>
      </c>
      <c r="AG77" t="str">
        <f>VLOOKUP($Q77,武学奇术!$A:$ZZ,25,FALSE)</f>
        <v>伞</v>
      </c>
      <c r="AH77" s="41">
        <f>VLOOKUP($Q77,武学奇术!$A:$ZZ,26,FALSE)</f>
        <v>1.174955</v>
      </c>
      <c r="AI77" s="42">
        <f>VLOOKUP($Q77,武学奇术!$A:$ZZ,27,FALSE)*(1+IF(OR($AG77=$F$4,$AG77=$F$5),$B$22,0))</f>
        <v>454.02</v>
      </c>
      <c r="AJ77" s="41">
        <f>VLOOKUP($Q77,武学奇术!$A:$ZZ,28,FALSE)</f>
        <v>1.762375</v>
      </c>
      <c r="AK77" s="42">
        <f>VLOOKUP($Q77,武学奇术!$A:$ZZ,29,FALSE)*(1+IF(OR($AG77=$F$4,$AG77=$F$5),$B$22,0))</f>
        <v>247.94</v>
      </c>
      <c r="AL77" s="41" cm="1">
        <f t="array" ref="AL77">$G$3+IFERROR(VLOOKUP($AG77,$F$4:$G$7,2,FALSE),0)+VLOOKUP($Q77,武学奇术!$A:$ZZ,2,FALSE)+SUM(_xlfn.XLOOKUP($R77:$AF77,增益!$A:$A,增益!$B:$B,0))</f>
        <v>0.9741</v>
      </c>
      <c r="AM77" s="41" cm="1">
        <f t="array" ref="AM77">VLOOKUP($Q77,武学奇术!$A:$ZZ,5,FALSE)+SUM(_xlfn.XLOOKUP($R77:$AF77,增益!$A:$A,增益!$E:$E,0))</f>
        <v>0.075</v>
      </c>
      <c r="AN77" cm="1">
        <f t="array" ref="AN77">$D$10*(1+$AM77)+VLOOKUP($Q77,武学奇术!$A:$ZZ,3,FALSE)+SUM(_xlfn.XLOOKUP($R77:$AF77,增益!$A:$A,增益!$C:$C,0))-$I$2</f>
        <v>1912.055</v>
      </c>
      <c r="AO77" cm="1">
        <f t="array" ref="AO77">$E$10*(1+$AM77)+VLOOKUP($Q77,武学奇术!$A:$ZZ,4,FALSE)+SUM(_xlfn.XLOOKUP($R77:$AF77,增益!$A:$A,增益!$D:$D,0))-$I$2</f>
        <v>5879.45</v>
      </c>
      <c r="AP77" s="49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0.2675</v>
      </c>
      <c r="AQ77" s="49" cm="1">
        <f t="array" ref="AQ77">$G$10+VLOOKUP($Q77,武学奇术!$A:$ZZ,7,FALSE)+SUM(_xlfn.XLOOKUP(R77:AF77,增益!$A:$A,增益!$G:$G,0))</f>
        <v>0.1</v>
      </c>
      <c r="AR77" s="41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49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49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49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49" cm="1">
        <f t="array" ref="AZ77">$G$12+VLOOKUP($Q77,武学奇术!$A:$ZZ,12,FALSE)+SUM(_xlfn.XLOOKUP(R77:AF77,增益!$A:$A,增益!$L:$L,0))</f>
        <v>0</v>
      </c>
      <c r="BA77">
        <f t="shared" si="16"/>
        <v>571.2</v>
      </c>
      <c r="BB77">
        <f t="shared" si="17"/>
        <v>1077.4</v>
      </c>
      <c r="BC77" s="49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49" cm="1">
        <f t="array" ref="BD77">$G$13+VLOOKUP($Q77,武学奇术!$A:$ZZ,14,FALSE)+SUM(_xlfn.XLOOKUP(R77:AF77,增益!$A:$A,增益!$N:$N,0))</f>
        <v>0.25</v>
      </c>
      <c r="BE77">
        <f t="shared" si="18"/>
        <v>0</v>
      </c>
      <c r="BF77">
        <f t="shared" si="19"/>
        <v>0</v>
      </c>
      <c r="BG77" s="49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49" cm="1">
        <f t="array" ref="BH77">$G$14+VLOOKUP($Q77,武学奇术!$A:$ZZ,16,FALSE)+SUM(_xlfn.XLOOKUP(R77:AF77,增益!$A:$A,增益!$P:$P,0))</f>
        <v>0</v>
      </c>
      <c r="BI77" s="41">
        <f>MIN(IF(VLOOKUP($Q77,武学奇术!$A:$ZZ,23,FALSE)=1,100%,$B$8),100%)</f>
        <v>1</v>
      </c>
      <c r="BJ77" s="41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0.9045</v>
      </c>
      <c r="BK77" s="41" cm="1">
        <f t="array" ref="BK77">1+$B$13+VLOOKUP($Q77,武学奇术!$A:$ZZ,18,FALSE)+SUM(_xlfn.XLOOKUP(R77:AF77,增益!$A:$A,增益!$R:$R,0))</f>
        <v>1.96</v>
      </c>
      <c r="BL77" s="41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0.0929</v>
      </c>
      <c r="BM77" s="41" cm="1">
        <f t="array" ref="BM77">1+$B$14+VLOOKUP($Q77,武学奇术!$A:$ZZ,20,FALSE)+SUM(_xlfn.XLOOKUP(R77:AF77,增益!$A:$A,增益!$T:$T,0))</f>
        <v>1.35</v>
      </c>
      <c r="BN77" s="41">
        <f t="shared" si="20"/>
        <v>0.9045</v>
      </c>
      <c r="BO77" s="41">
        <f t="shared" si="21"/>
        <v>0.00260000000000005</v>
      </c>
      <c r="BP77" s="41">
        <f>IF(VLOOKUP($Q77,武学奇术!$A:$ZZ,22,FALSE)=1,0,(1-$BI77))*(1-$BL77)</f>
        <v>0</v>
      </c>
      <c r="BQ77" s="41" cm="1">
        <f t="array" ref="BQ77">SUM(_xlfn.XLOOKUP(R77:AF77,增益!$A:$A,增益!$W:$W,0))+$I$5</f>
        <v>0.11</v>
      </c>
    </row>
    <row r="78" spans="11:69">
      <c r="K78" s="55">
        <f t="shared" si="11"/>
        <v>125884.341461</v>
      </c>
      <c r="L78" s="55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弹道",$B$21,0))*(1+$BQ78)</f>
        <v>127687.447404618</v>
      </c>
      <c r="M78" s="55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弹道",$B$21,0))*(1+$BQ78)</f>
        <v>110234.927418342</v>
      </c>
      <c r="N78" s="55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弹道",$B$21,0))*(1+$BQ78)</f>
        <v>57777.1255224518</v>
      </c>
      <c r="O78" s="55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弹道",$B$21,0))*(1+$BQ78)</f>
        <v>33898.7492535388</v>
      </c>
      <c r="P78" s="56">
        <v>2</v>
      </c>
      <c r="Q78" s="57" t="s">
        <v>102</v>
      </c>
      <c r="R78" s="57" t="s">
        <v>116</v>
      </c>
      <c r="S78" s="57" t="s">
        <v>153</v>
      </c>
      <c r="T78" s="57" t="s">
        <v>92</v>
      </c>
      <c r="U78" s="57" t="s">
        <v>107</v>
      </c>
      <c r="V78" s="57" t="s">
        <v>86</v>
      </c>
      <c r="W78" s="57" t="s">
        <v>72</v>
      </c>
      <c r="X78" s="57" t="s">
        <v>72</v>
      </c>
      <c r="Y78" s="57" t="s">
        <v>112</v>
      </c>
      <c r="Z78" s="57" t="s">
        <v>72</v>
      </c>
      <c r="AA78" s="57" t="s">
        <v>72</v>
      </c>
      <c r="AB78" s="57" t="s">
        <v>72</v>
      </c>
      <c r="AC78" s="57" t="s">
        <v>72</v>
      </c>
      <c r="AD78" s="57" t="s">
        <v>72</v>
      </c>
      <c r="AE78" s="57" t="s">
        <v>72</v>
      </c>
      <c r="AF78" s="57" t="s">
        <v>87</v>
      </c>
      <c r="AG78" t="str">
        <f>VLOOKUP($Q78,武学奇术!$A:$ZZ,25,FALSE)</f>
        <v>伞</v>
      </c>
      <c r="AH78" s="41">
        <f>VLOOKUP($Q78,武学奇术!$A:$ZZ,26,FALSE)</f>
        <v>1.174955</v>
      </c>
      <c r="AI78" s="42">
        <f>VLOOKUP($Q78,武学奇术!$A:$ZZ,27,FALSE)*(1+IF(OR($AG78=$F$4,$AG78=$F$5),$B$22,0))</f>
        <v>454.02</v>
      </c>
      <c r="AJ78" s="41">
        <f>VLOOKUP($Q78,武学奇术!$A:$ZZ,28,FALSE)</f>
        <v>1.762375</v>
      </c>
      <c r="AK78" s="42">
        <f>VLOOKUP($Q78,武学奇术!$A:$ZZ,29,FALSE)*(1+IF(OR($AG78=$F$4,$AG78=$F$5),$B$22,0))</f>
        <v>247.94</v>
      </c>
      <c r="AL78" s="41" cm="1">
        <f t="array" ref="AL78">$G$3+IFERROR(VLOOKUP($AG78,$F$4:$G$7,2,FALSE),0)+VLOOKUP($Q78,武学奇术!$A:$ZZ,2,FALSE)+SUM(_xlfn.XLOOKUP($R78:$AF78,增益!$A:$A,增益!$B:$B,0))</f>
        <v>0.9741</v>
      </c>
      <c r="AM78" s="41" cm="1">
        <f t="array" ref="AM78">VLOOKUP($Q78,武学奇术!$A:$ZZ,5,FALSE)+SUM(_xlfn.XLOOKUP($R78:$AF78,增益!$A:$A,增益!$E:$E,0))</f>
        <v>0.075</v>
      </c>
      <c r="AN78" cm="1">
        <f t="array" ref="AN78">$D$10*(1+$AM78)+VLOOKUP($Q78,武学奇术!$A:$ZZ,3,FALSE)+SUM(_xlfn.XLOOKUP($R78:$AF78,增益!$A:$A,增益!$C:$C,0))-$I$2</f>
        <v>1912.055</v>
      </c>
      <c r="AO78" cm="1">
        <f t="array" ref="AO78">$E$10*(1+$AM78)+VLOOKUP($Q78,武学奇术!$A:$ZZ,4,FALSE)+SUM(_xlfn.XLOOKUP($R78:$AF78,增益!$A:$A,增益!$D:$D,0))-$I$2</f>
        <v>5879.45</v>
      </c>
      <c r="AP78" s="49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0.3925</v>
      </c>
      <c r="AQ78" s="49" cm="1">
        <f t="array" ref="AQ78">$G$10+VLOOKUP($Q78,武学奇术!$A:$ZZ,7,FALSE)+SUM(_xlfn.XLOOKUP(R78:AF78,增益!$A:$A,增益!$G:$G,0))</f>
        <v>0.1</v>
      </c>
      <c r="AR78" s="41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49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49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49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49" cm="1">
        <f t="array" ref="AZ78">$G$12+VLOOKUP($Q78,武学奇术!$A:$ZZ,12,FALSE)+SUM(_xlfn.XLOOKUP(R78:AF78,增益!$A:$A,增益!$L:$L,0))</f>
        <v>0</v>
      </c>
      <c r="BA78">
        <f t="shared" si="16"/>
        <v>571.2</v>
      </c>
      <c r="BB78">
        <f t="shared" si="17"/>
        <v>1077.4</v>
      </c>
      <c r="BC78" s="49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49" cm="1">
        <f t="array" ref="BD78">$G$13+VLOOKUP($Q78,武学奇术!$A:$ZZ,14,FALSE)+SUM(_xlfn.XLOOKUP(R78:AF78,增益!$A:$A,增益!$N:$N,0))</f>
        <v>0.25</v>
      </c>
      <c r="BE78">
        <f t="shared" si="18"/>
        <v>0</v>
      </c>
      <c r="BF78">
        <f t="shared" si="19"/>
        <v>0</v>
      </c>
      <c r="BG78" s="49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49" cm="1">
        <f t="array" ref="BH78">$G$14+VLOOKUP($Q78,武学奇术!$A:$ZZ,16,FALSE)+SUM(_xlfn.XLOOKUP(R78:AF78,增益!$A:$A,增益!$P:$P,0))</f>
        <v>0</v>
      </c>
      <c r="BI78" s="41">
        <f>MIN(IF(VLOOKUP($Q78,武学奇术!$A:$ZZ,23,FALSE)=1,100%,$B$8),100%)</f>
        <v>1</v>
      </c>
      <c r="BJ78" s="41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0.9045</v>
      </c>
      <c r="BK78" s="41" cm="1">
        <f t="array" ref="BK78">1+$B$13+VLOOKUP($Q78,武学奇术!$A:$ZZ,18,FALSE)+SUM(_xlfn.XLOOKUP(R78:AF78,增益!$A:$A,增益!$R:$R,0))</f>
        <v>2.21</v>
      </c>
      <c r="BL78" s="41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0.0929</v>
      </c>
      <c r="BM78" s="41" cm="1">
        <f t="array" ref="BM78">1+$B$14+VLOOKUP($Q78,武学奇术!$A:$ZZ,20,FALSE)+SUM(_xlfn.XLOOKUP(R78:AF78,增益!$A:$A,增益!$T:$T,0))</f>
        <v>1.35</v>
      </c>
      <c r="BN78" s="41">
        <f t="shared" si="20"/>
        <v>0.9045</v>
      </c>
      <c r="BO78" s="41">
        <f t="shared" si="21"/>
        <v>0.00260000000000005</v>
      </c>
      <c r="BP78" s="41">
        <f>IF(VLOOKUP($Q78,武学奇术!$A:$ZZ,22,FALSE)=1,0,(1-$BI78))*(1-$BL78)</f>
        <v>0</v>
      </c>
      <c r="BQ78" s="41" cm="1">
        <f t="array" ref="BQ78">SUM(_xlfn.XLOOKUP(R78:AF78,增益!$A:$A,增益!$W:$W,0))+$I$5</f>
        <v>0.11</v>
      </c>
    </row>
    <row r="79" spans="11:69">
      <c r="K79" s="55">
        <f t="shared" si="11"/>
        <v>157355.42682625</v>
      </c>
      <c r="L79" s="55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弹道",$B$21,0))*(1+$BQ79)</f>
        <v>159609.309255773</v>
      </c>
      <c r="M79" s="55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弹道",$B$21,0))*(1+$BQ79)</f>
        <v>137793.659272928</v>
      </c>
      <c r="N79" s="55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弹道",$B$21,0))*(1+$BQ79)</f>
        <v>72221.4069030648</v>
      </c>
      <c r="O79" s="55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弹道",$B$21,0))*(1+$BQ79)</f>
        <v>42373.4365669235</v>
      </c>
      <c r="P79" s="56">
        <v>2.5</v>
      </c>
      <c r="Q79" s="57" t="s">
        <v>102</v>
      </c>
      <c r="R79" s="57" t="s">
        <v>116</v>
      </c>
      <c r="S79" s="57" t="s">
        <v>153</v>
      </c>
      <c r="T79" s="57" t="s">
        <v>92</v>
      </c>
      <c r="U79" s="57" t="s">
        <v>107</v>
      </c>
      <c r="V79" s="57" t="s">
        <v>86</v>
      </c>
      <c r="W79" s="57" t="s">
        <v>72</v>
      </c>
      <c r="X79" s="57" t="s">
        <v>72</v>
      </c>
      <c r="Y79" s="57" t="s">
        <v>112</v>
      </c>
      <c r="Z79" s="57" t="s">
        <v>72</v>
      </c>
      <c r="AA79" s="57" t="s">
        <v>72</v>
      </c>
      <c r="AB79" s="57" t="s">
        <v>72</v>
      </c>
      <c r="AC79" s="57" t="s">
        <v>72</v>
      </c>
      <c r="AD79" s="57" t="s">
        <v>72</v>
      </c>
      <c r="AE79" s="57" t="s">
        <v>72</v>
      </c>
      <c r="AF79" s="57" t="s">
        <v>87</v>
      </c>
      <c r="AG79" t="str">
        <f>VLOOKUP($Q79,武学奇术!$A:$ZZ,25,FALSE)</f>
        <v>伞</v>
      </c>
      <c r="AH79" s="41">
        <f>VLOOKUP($Q79,武学奇术!$A:$ZZ,26,FALSE)</f>
        <v>1.174955</v>
      </c>
      <c r="AI79" s="42">
        <f>VLOOKUP($Q79,武学奇术!$A:$ZZ,27,FALSE)*(1+IF(OR($AG79=$F$4,$AG79=$F$5),$B$22,0))</f>
        <v>454.02</v>
      </c>
      <c r="AJ79" s="41">
        <f>VLOOKUP($Q79,武学奇术!$A:$ZZ,28,FALSE)</f>
        <v>1.762375</v>
      </c>
      <c r="AK79" s="42">
        <f>VLOOKUP($Q79,武学奇术!$A:$ZZ,29,FALSE)*(1+IF(OR($AG79=$F$4,$AG79=$F$5),$B$22,0))</f>
        <v>247.94</v>
      </c>
      <c r="AL79" s="41" cm="1">
        <f t="array" ref="AL79">$G$3+IFERROR(VLOOKUP($AG79,$F$4:$G$7,2,FALSE),0)+VLOOKUP($Q79,武学奇术!$A:$ZZ,2,FALSE)+SUM(_xlfn.XLOOKUP($R79:$AF79,增益!$A:$A,增益!$B:$B,0))</f>
        <v>0.9741</v>
      </c>
      <c r="AM79" s="41" cm="1">
        <f t="array" ref="AM79">VLOOKUP($Q79,武学奇术!$A:$ZZ,5,FALSE)+SUM(_xlfn.XLOOKUP($R79:$AF79,增益!$A:$A,增益!$E:$E,0))</f>
        <v>0.075</v>
      </c>
      <c r="AN79" cm="1">
        <f t="array" ref="AN79">$D$10*(1+$AM79)+VLOOKUP($Q79,武学奇术!$A:$ZZ,3,FALSE)+SUM(_xlfn.XLOOKUP($R79:$AF79,增益!$A:$A,增益!$C:$C,0))-$I$2</f>
        <v>1912.055</v>
      </c>
      <c r="AO79" cm="1">
        <f t="array" ref="AO79">$E$10*(1+$AM79)+VLOOKUP($Q79,武学奇术!$A:$ZZ,4,FALSE)+SUM(_xlfn.XLOOKUP($R79:$AF79,增益!$A:$A,增益!$D:$D,0))-$I$2</f>
        <v>5879.45</v>
      </c>
      <c r="AP79" s="49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0.3925</v>
      </c>
      <c r="AQ79" s="49" cm="1">
        <f t="array" ref="AQ79">$G$10+VLOOKUP($Q79,武学奇术!$A:$ZZ,7,FALSE)+SUM(_xlfn.XLOOKUP(R79:AF79,增益!$A:$A,增益!$G:$G,0))</f>
        <v>0.1</v>
      </c>
      <c r="AR79" s="41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49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49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49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49" cm="1">
        <f t="array" ref="AZ79">$G$12+VLOOKUP($Q79,武学奇术!$A:$ZZ,12,FALSE)+SUM(_xlfn.XLOOKUP(R79:AF79,增益!$A:$A,增益!$L:$L,0))</f>
        <v>0</v>
      </c>
      <c r="BA79">
        <f t="shared" si="16"/>
        <v>571.2</v>
      </c>
      <c r="BB79">
        <f t="shared" si="17"/>
        <v>1077.4</v>
      </c>
      <c r="BC79" s="49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49" cm="1">
        <f t="array" ref="BD79">$G$13+VLOOKUP($Q79,武学奇术!$A:$ZZ,14,FALSE)+SUM(_xlfn.XLOOKUP(R79:AF79,增益!$A:$A,增益!$N:$N,0))</f>
        <v>0.25</v>
      </c>
      <c r="BE79">
        <f t="shared" si="18"/>
        <v>0</v>
      </c>
      <c r="BF79">
        <f t="shared" si="19"/>
        <v>0</v>
      </c>
      <c r="BG79" s="49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49" cm="1">
        <f t="array" ref="BH79">$G$14+VLOOKUP($Q79,武学奇术!$A:$ZZ,16,FALSE)+SUM(_xlfn.XLOOKUP(R79:AF79,增益!$A:$A,增益!$P:$P,0))</f>
        <v>0</v>
      </c>
      <c r="BI79" s="41">
        <f>MIN(IF(VLOOKUP($Q79,武学奇术!$A:$ZZ,23,FALSE)=1,100%,$B$8),100%)</f>
        <v>1</v>
      </c>
      <c r="BJ79" s="41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0.9045</v>
      </c>
      <c r="BK79" s="41" cm="1">
        <f t="array" ref="BK79">1+$B$13+VLOOKUP($Q79,武学奇术!$A:$ZZ,18,FALSE)+SUM(_xlfn.XLOOKUP(R79:AF79,增益!$A:$A,增益!$R:$R,0))</f>
        <v>2.21</v>
      </c>
      <c r="BL79" s="41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0.0929</v>
      </c>
      <c r="BM79" s="41" cm="1">
        <f t="array" ref="BM79">1+$B$14+VLOOKUP($Q79,武学奇术!$A:$ZZ,20,FALSE)+SUM(_xlfn.XLOOKUP(R79:AF79,增益!$A:$A,增益!$T:$T,0))</f>
        <v>1.35</v>
      </c>
      <c r="BN79" s="41">
        <f t="shared" si="20"/>
        <v>0.9045</v>
      </c>
      <c r="BO79" s="41">
        <f t="shared" si="21"/>
        <v>0.00260000000000005</v>
      </c>
      <c r="BP79" s="41">
        <f>IF(VLOOKUP($Q79,武学奇术!$A:$ZZ,22,FALSE)=1,0,(1-$BI79))*(1-$BL79)</f>
        <v>0</v>
      </c>
      <c r="BQ79" s="41" cm="1">
        <f t="array" ref="BQ79">SUM(_xlfn.XLOOKUP(R79:AF79,增益!$A:$A,增益!$W:$W,0))+$I$5</f>
        <v>0.11</v>
      </c>
    </row>
    <row r="80" spans="11:69">
      <c r="K80" s="55">
        <f t="shared" si="11"/>
        <v>314710.853652499</v>
      </c>
      <c r="L80" s="55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弹道",$B$21,0))*(1+$BQ80)</f>
        <v>319218.618511546</v>
      </c>
      <c r="M80" s="55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弹道",$B$21,0))*(1+$BQ80)</f>
        <v>275587.318545856</v>
      </c>
      <c r="N80" s="55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弹道",$B$21,0))*(1+$BQ80)</f>
        <v>144442.81380613</v>
      </c>
      <c r="O80" s="55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弹道",$B$21,0))*(1+$BQ80)</f>
        <v>84746.873133847</v>
      </c>
      <c r="P80" s="56">
        <v>5</v>
      </c>
      <c r="Q80" s="57" t="s">
        <v>102</v>
      </c>
      <c r="R80" s="57" t="s">
        <v>116</v>
      </c>
      <c r="S80" s="57" t="s">
        <v>153</v>
      </c>
      <c r="T80" s="57" t="s">
        <v>92</v>
      </c>
      <c r="U80" s="57" t="s">
        <v>107</v>
      </c>
      <c r="V80" s="57" t="s">
        <v>86</v>
      </c>
      <c r="W80" s="57" t="s">
        <v>72</v>
      </c>
      <c r="X80" s="57" t="s">
        <v>72</v>
      </c>
      <c r="Y80" s="57" t="s">
        <v>112</v>
      </c>
      <c r="Z80" s="57" t="s">
        <v>72</v>
      </c>
      <c r="AA80" s="57" t="s">
        <v>72</v>
      </c>
      <c r="AB80" s="57" t="s">
        <v>72</v>
      </c>
      <c r="AC80" s="57" t="s">
        <v>72</v>
      </c>
      <c r="AD80" s="57" t="s">
        <v>72</v>
      </c>
      <c r="AE80" s="57" t="s">
        <v>72</v>
      </c>
      <c r="AF80" s="57" t="s">
        <v>87</v>
      </c>
      <c r="AG80" t="str">
        <f>VLOOKUP($Q80,武学奇术!$A:$ZZ,25,FALSE)</f>
        <v>伞</v>
      </c>
      <c r="AH80" s="41">
        <f>VLOOKUP($Q80,武学奇术!$A:$ZZ,26,FALSE)</f>
        <v>1.174955</v>
      </c>
      <c r="AI80" s="42">
        <f>VLOOKUP($Q80,武学奇术!$A:$ZZ,27,FALSE)*(1+IF(OR($AG80=$F$4,$AG80=$F$5),$B$22,0))</f>
        <v>454.02</v>
      </c>
      <c r="AJ80" s="41">
        <f>VLOOKUP($Q80,武学奇术!$A:$ZZ,28,FALSE)</f>
        <v>1.762375</v>
      </c>
      <c r="AK80" s="42">
        <f>VLOOKUP($Q80,武学奇术!$A:$ZZ,29,FALSE)*(1+IF(OR($AG80=$F$4,$AG80=$F$5),$B$22,0))</f>
        <v>247.94</v>
      </c>
      <c r="AL80" s="41" cm="1">
        <f t="array" ref="AL80">$G$3+IFERROR(VLOOKUP($AG80,$F$4:$G$7,2,FALSE),0)+VLOOKUP($Q80,武学奇术!$A:$ZZ,2,FALSE)+SUM(_xlfn.XLOOKUP($R80:$AF80,增益!$A:$A,增益!$B:$B,0))</f>
        <v>0.9741</v>
      </c>
      <c r="AM80" s="41" cm="1">
        <f t="array" ref="AM80">VLOOKUP($Q80,武学奇术!$A:$ZZ,5,FALSE)+SUM(_xlfn.XLOOKUP($R80:$AF80,增益!$A:$A,增益!$E:$E,0))</f>
        <v>0.075</v>
      </c>
      <c r="AN80" cm="1">
        <f t="array" ref="AN80">$D$10*(1+$AM80)+VLOOKUP($Q80,武学奇术!$A:$ZZ,3,FALSE)+SUM(_xlfn.XLOOKUP($R80:$AF80,增益!$A:$A,增益!$C:$C,0))-$I$2</f>
        <v>1912.055</v>
      </c>
      <c r="AO80" cm="1">
        <f t="array" ref="AO80">$E$10*(1+$AM80)+VLOOKUP($Q80,武学奇术!$A:$ZZ,4,FALSE)+SUM(_xlfn.XLOOKUP($R80:$AF80,增益!$A:$A,增益!$D:$D,0))-$I$2</f>
        <v>5879.45</v>
      </c>
      <c r="AP80" s="49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0.3925</v>
      </c>
      <c r="AQ80" s="49" cm="1">
        <f t="array" ref="AQ80">$G$10+VLOOKUP($Q80,武学奇术!$A:$ZZ,7,FALSE)+SUM(_xlfn.XLOOKUP(R80:AF80,增益!$A:$A,增益!$G:$G,0))</f>
        <v>0.1</v>
      </c>
      <c r="AR80" s="41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49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49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49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49" cm="1">
        <f t="array" ref="AZ80">$G$12+VLOOKUP($Q80,武学奇术!$A:$ZZ,12,FALSE)+SUM(_xlfn.XLOOKUP(R80:AF80,增益!$A:$A,增益!$L:$L,0))</f>
        <v>0</v>
      </c>
      <c r="BA80">
        <f t="shared" si="16"/>
        <v>571.2</v>
      </c>
      <c r="BB80">
        <f t="shared" si="17"/>
        <v>1077.4</v>
      </c>
      <c r="BC80" s="49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49" cm="1">
        <f t="array" ref="BD80">$G$13+VLOOKUP($Q80,武学奇术!$A:$ZZ,14,FALSE)+SUM(_xlfn.XLOOKUP(R80:AF80,增益!$A:$A,增益!$N:$N,0))</f>
        <v>0.25</v>
      </c>
      <c r="BE80">
        <f t="shared" si="18"/>
        <v>0</v>
      </c>
      <c r="BF80">
        <f t="shared" si="19"/>
        <v>0</v>
      </c>
      <c r="BG80" s="49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49" cm="1">
        <f t="array" ref="BH80">$G$14+VLOOKUP($Q80,武学奇术!$A:$ZZ,16,FALSE)+SUM(_xlfn.XLOOKUP(R80:AF80,增益!$A:$A,增益!$P:$P,0))</f>
        <v>0</v>
      </c>
      <c r="BI80" s="41">
        <f>MIN(IF(VLOOKUP($Q80,武学奇术!$A:$ZZ,23,FALSE)=1,100%,$B$8),100%)</f>
        <v>1</v>
      </c>
      <c r="BJ80" s="41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0.9045</v>
      </c>
      <c r="BK80" s="41" cm="1">
        <f t="array" ref="BK80">1+$B$13+VLOOKUP($Q80,武学奇术!$A:$ZZ,18,FALSE)+SUM(_xlfn.XLOOKUP(R80:AF80,增益!$A:$A,增益!$R:$R,0))</f>
        <v>2.21</v>
      </c>
      <c r="BL80" s="41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0.0929</v>
      </c>
      <c r="BM80" s="41" cm="1">
        <f t="array" ref="BM80">1+$B$14+VLOOKUP($Q80,武学奇术!$A:$ZZ,20,FALSE)+SUM(_xlfn.XLOOKUP(R80:AF80,增益!$A:$A,增益!$T:$T,0))</f>
        <v>1.35</v>
      </c>
      <c r="BN80" s="41">
        <f t="shared" si="20"/>
        <v>0.9045</v>
      </c>
      <c r="BO80" s="41">
        <f t="shared" si="21"/>
        <v>0.00260000000000005</v>
      </c>
      <c r="BP80" s="41">
        <f>IF(VLOOKUP($Q80,武学奇术!$A:$ZZ,22,FALSE)=1,0,(1-$BI80))*(1-$BL80)</f>
        <v>0</v>
      </c>
      <c r="BQ80" s="41" cm="1">
        <f t="array" ref="BQ80">SUM(_xlfn.XLOOKUP(R80:AF80,增益!$A:$A,增益!$W:$W,0))+$I$5</f>
        <v>0.11</v>
      </c>
    </row>
    <row r="81" spans="5:69">
      <c r="K81" s="55">
        <f t="shared" si="11"/>
        <v>78046.2576622674</v>
      </c>
      <c r="L81" s="55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弹道",$B$21,0))*(1+$BQ81)</f>
        <v>77916.7459120806</v>
      </c>
      <c r="M81" s="55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弹道",$B$21,0))*(1+$BQ81)</f>
        <v>80312.7703865884</v>
      </c>
      <c r="N81" s="55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弹道",$B$21,0))*(1+$BQ81)</f>
        <v>42117.159952476</v>
      </c>
      <c r="O81" s="55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弹道",$B$21,0))*(1+$BQ81)</f>
        <v>24743.3788778495</v>
      </c>
      <c r="P81" s="56">
        <v>1</v>
      </c>
      <c r="Q81" s="57" t="s">
        <v>126</v>
      </c>
      <c r="R81" s="57" t="s">
        <v>116</v>
      </c>
      <c r="S81" s="57" t="s">
        <v>153</v>
      </c>
      <c r="T81" s="57" t="s">
        <v>72</v>
      </c>
      <c r="U81" s="57" t="s">
        <v>107</v>
      </c>
      <c r="V81" s="57" t="s">
        <v>86</v>
      </c>
      <c r="W81" s="57" t="s">
        <v>72</v>
      </c>
      <c r="X81" s="57" t="s">
        <v>72</v>
      </c>
      <c r="Y81" s="57" t="s">
        <v>112</v>
      </c>
      <c r="Z81" s="57" t="s">
        <v>72</v>
      </c>
      <c r="AA81" s="57" t="s">
        <v>72</v>
      </c>
      <c r="AB81" s="57" t="s">
        <v>72</v>
      </c>
      <c r="AC81" s="57" t="s">
        <v>72</v>
      </c>
      <c r="AD81" s="57" t="s">
        <v>72</v>
      </c>
      <c r="AE81" s="57" t="s">
        <v>72</v>
      </c>
      <c r="AF81" s="57" t="s">
        <v>87</v>
      </c>
      <c r="AG81" t="str">
        <f>VLOOKUP($Q81,武学奇术!$A:$ZZ,25,FALSE)</f>
        <v>扇</v>
      </c>
      <c r="AH81" s="41">
        <f>VLOOKUP($Q81,武学奇术!$A:$ZZ,26,FALSE)</f>
        <v>2.76138</v>
      </c>
      <c r="AI81" s="42">
        <f>VLOOKUP($Q81,武学奇术!$A:$ZZ,27,FALSE)*(1+IF(OR($AG81=$F$4,$AG81=$F$5),$B$22,0))</f>
        <v>1069.81</v>
      </c>
      <c r="AJ81" s="41">
        <f>VLOOKUP($Q81,武学奇术!$A:$ZZ,28,FALSE)</f>
        <v>4.14207</v>
      </c>
      <c r="AK81" s="42">
        <f>VLOOKUP($Q81,武学奇术!$A:$ZZ,29,FALSE)*(1+IF(OR($AG81=$F$4,$AG81=$F$5),$B$22,0))</f>
        <v>582.61</v>
      </c>
      <c r="AL81" s="41" cm="1">
        <f t="array" ref="AL81">$G$3+IFERROR(VLOOKUP($AG81,$F$4:$G$7,2,FALSE),0)+VLOOKUP($Q81,武学奇术!$A:$ZZ,2,FALSE)+SUM(_xlfn.XLOOKUP($R81:$AF81,增益!$A:$A,增益!$B:$B,0))</f>
        <v>0.6389</v>
      </c>
      <c r="AM81" s="41" cm="1">
        <f t="array" ref="AM81">VLOOKUP($Q81,武学奇术!$A:$ZZ,5,FALSE)+SUM(_xlfn.XLOOKUP($R81:$AF81,增益!$A:$A,增益!$E:$E,0))</f>
        <v>0.075</v>
      </c>
      <c r="AN81" cm="1">
        <f t="array" ref="AN81">$D$10*(1+$AM81)+VLOOKUP($Q81,武学奇术!$A:$ZZ,3,FALSE)+SUM(_xlfn.XLOOKUP($R81:$AF81,增益!$A:$A,增益!$C:$C,0))-$I$2</f>
        <v>1912.055</v>
      </c>
      <c r="AO81" cm="1">
        <f t="array" ref="AO81">$E$10*(1+$AM81)+VLOOKUP($Q81,武学奇术!$A:$ZZ,4,FALSE)+SUM(_xlfn.XLOOKUP($R81:$AF81,增益!$A:$A,增益!$D:$D,0))-$I$2</f>
        <v>5879.45</v>
      </c>
      <c r="AP81" s="49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0.3675</v>
      </c>
      <c r="AQ81" s="49" cm="1">
        <f t="array" ref="AQ81">$G$10+VLOOKUP($Q81,武学奇术!$A:$ZZ,7,FALSE)+SUM(_xlfn.XLOOKUP(R81:AF81,增益!$A:$A,增益!$G:$G,0))</f>
        <v>0.1</v>
      </c>
      <c r="AR81" s="41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49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49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49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49" cm="1">
        <f t="array" ref="AZ81">$G$12+VLOOKUP($Q81,武学奇术!$A:$ZZ,12,FALSE)+SUM(_xlfn.XLOOKUP(R81:AF81,增益!$A:$A,增益!$L:$L,0))</f>
        <v>0</v>
      </c>
      <c r="BA81">
        <f t="shared" si="16"/>
        <v>571.2</v>
      </c>
      <c r="BB81">
        <f t="shared" si="17"/>
        <v>1077.4</v>
      </c>
      <c r="BC81" s="49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49" cm="1">
        <f t="array" ref="BD81">$G$13+VLOOKUP($Q81,武学奇术!$A:$ZZ,14,FALSE)+SUM(_xlfn.XLOOKUP(R81:AF81,增益!$A:$A,增益!$N:$N,0))</f>
        <v>0.25</v>
      </c>
      <c r="BE81">
        <f t="shared" si="18"/>
        <v>0</v>
      </c>
      <c r="BF81">
        <f t="shared" si="19"/>
        <v>0</v>
      </c>
      <c r="BG81" s="49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49" cm="1">
        <f t="array" ref="BH81">$G$14+VLOOKUP($Q81,武学奇术!$A:$ZZ,16,FALSE)+SUM(_xlfn.XLOOKUP(R81:AF81,增益!$A:$A,增益!$P:$P,0))</f>
        <v>0</v>
      </c>
      <c r="BI81" s="41">
        <f>MIN(IF(VLOOKUP($Q81,武学奇术!$A:$ZZ,23,FALSE)=1,100%,$B$8),100%)</f>
        <v>1</v>
      </c>
      <c r="BJ81" s="41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0.9045</v>
      </c>
      <c r="BK81" s="41" cm="1">
        <f t="array" ref="BK81">1+$B$13+VLOOKUP($Q81,武学奇术!$A:$ZZ,18,FALSE)+SUM(_xlfn.XLOOKUP(R81:AF81,增益!$A:$A,增益!$R:$R,0))</f>
        <v>1.85</v>
      </c>
      <c r="BL81" s="41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0.0929</v>
      </c>
      <c r="BM81" s="41" cm="1">
        <f t="array" ref="BM81">1+$B$14+VLOOKUP($Q81,武学奇术!$A:$ZZ,20,FALSE)+SUM(_xlfn.XLOOKUP(R81:AF81,增益!$A:$A,增益!$T:$T,0))</f>
        <v>1.35</v>
      </c>
      <c r="BN81" s="41">
        <f t="shared" si="20"/>
        <v>0.9045</v>
      </c>
      <c r="BO81" s="41">
        <f t="shared" si="21"/>
        <v>0.00260000000000005</v>
      </c>
      <c r="BP81" s="41">
        <f>IF(VLOOKUP($Q81,武学奇术!$A:$ZZ,22,FALSE)=1,0,(1-$BI81))*(1-$BL81)</f>
        <v>0</v>
      </c>
      <c r="BQ81" s="41" cm="1">
        <f t="array" ref="BQ81">SUM(_xlfn.XLOOKUP(R81:AF81,增益!$A:$A,增益!$W:$W,0))+$I$5</f>
        <v>0.11</v>
      </c>
    </row>
    <row r="82" spans="5:69">
      <c r="K82" s="55">
        <f t="shared" si="11"/>
        <v>24930.651009844</v>
      </c>
      <c r="L82" s="55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弹道",$B$21,0))*(1+$BQ82)</f>
        <v>24890.2016243469</v>
      </c>
      <c r="M82" s="55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弹道",$B$21,0))*(1+$BQ82)</f>
        <v>25645.6707935166</v>
      </c>
      <c r="N82" s="55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弹道",$B$21,0))*(1+$BQ82)</f>
        <v>13454.1630401875</v>
      </c>
      <c r="O82" s="55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弹道",$B$21,0))*(1+$BQ82)</f>
        <v>7911.53289999237</v>
      </c>
      <c r="P82" s="56">
        <v>1</v>
      </c>
      <c r="Q82" s="57" t="s">
        <v>154</v>
      </c>
      <c r="R82" s="57" t="s">
        <v>116</v>
      </c>
      <c r="S82" s="57" t="s">
        <v>153</v>
      </c>
      <c r="T82" s="57" t="s">
        <v>72</v>
      </c>
      <c r="U82" s="57" t="s">
        <v>107</v>
      </c>
      <c r="V82" s="57" t="s">
        <v>72</v>
      </c>
      <c r="W82" s="57" t="s">
        <v>72</v>
      </c>
      <c r="X82" s="57" t="s">
        <v>72</v>
      </c>
      <c r="Y82" s="57" t="s">
        <v>112</v>
      </c>
      <c r="Z82" s="57" t="s">
        <v>72</v>
      </c>
      <c r="AA82" s="57" t="s">
        <v>72</v>
      </c>
      <c r="AB82" s="57" t="s">
        <v>72</v>
      </c>
      <c r="AC82" s="57" t="s">
        <v>72</v>
      </c>
      <c r="AD82" s="57" t="s">
        <v>72</v>
      </c>
      <c r="AE82" s="57" t="s">
        <v>72</v>
      </c>
      <c r="AF82" s="57" t="s">
        <v>87</v>
      </c>
      <c r="AG82" t="str">
        <f>VLOOKUP($Q82,武学奇术!$A:$ZZ,25,FALSE)</f>
        <v>扇</v>
      </c>
      <c r="AH82" s="41">
        <f>VLOOKUP($Q82,武学奇术!$A:$ZZ,26,FALSE)</f>
        <v>1.2798</v>
      </c>
      <c r="AI82" s="42">
        <f>VLOOKUP($Q82,武学奇术!$A:$ZZ,27,FALSE)*(1+IF(OR($AG82=$F$4,$AG82=$F$5),$B$22,0))</f>
        <v>497</v>
      </c>
      <c r="AJ82" s="41">
        <f>VLOOKUP($Q82,武学奇术!$A:$ZZ,28,FALSE)</f>
        <v>1.9197</v>
      </c>
      <c r="AK82" s="42">
        <f>VLOOKUP($Q82,武学奇术!$A:$ZZ,29,FALSE)*(1+IF(OR($AG82=$F$4,$AG82=$F$5),$B$22,0))</f>
        <v>270.2</v>
      </c>
      <c r="AL82" s="41" cm="1">
        <f t="array" ref="AL82">$G$3+IFERROR(VLOOKUP($AG82,$F$4:$G$7,2,FALSE),0)+VLOOKUP($Q82,武学奇术!$A:$ZZ,2,FALSE)+SUM(_xlfn.XLOOKUP($R82:$AF82,增益!$A:$A,增益!$B:$B,0))</f>
        <v>0.2389</v>
      </c>
      <c r="AM82" s="41" cm="1">
        <f t="array" ref="AM82">VLOOKUP($Q82,武学奇术!$A:$ZZ,5,FALSE)+SUM(_xlfn.XLOOKUP($R82:$AF82,增益!$A:$A,增益!$E:$E,0))</f>
        <v>0.075</v>
      </c>
      <c r="AN82" cm="1">
        <f t="array" ref="AN82">$D$10*(1+$AM82)+VLOOKUP($Q82,武学奇术!$A:$ZZ,3,FALSE)+SUM(_xlfn.XLOOKUP($R82:$AF82,增益!$A:$A,增益!$C:$C,0))-$I$2</f>
        <v>1912.055</v>
      </c>
      <c r="AO82" cm="1">
        <f t="array" ref="AO82">$E$10*(1+$AM82)+VLOOKUP($Q82,武学奇术!$A:$ZZ,4,FALSE)+SUM(_xlfn.XLOOKUP($R82:$AF82,增益!$A:$A,增益!$D:$D,0))-$I$2</f>
        <v>5879.45</v>
      </c>
      <c r="AP82" s="49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0.3675</v>
      </c>
      <c r="AQ82" s="49" cm="1">
        <f t="array" ref="AQ82">$G$10+VLOOKUP($Q82,武学奇术!$A:$ZZ,7,FALSE)+SUM(_xlfn.XLOOKUP(R82:AF82,增益!$A:$A,增益!$G:$G,0))</f>
        <v>0</v>
      </c>
      <c r="AR82" s="41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49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49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49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49" cm="1">
        <f t="array" ref="AZ82">$G$12+VLOOKUP($Q82,武学奇术!$A:$ZZ,12,FALSE)+SUM(_xlfn.XLOOKUP(R82:AF82,增益!$A:$A,增益!$L:$L,0))</f>
        <v>0</v>
      </c>
      <c r="BA82">
        <f t="shared" si="16"/>
        <v>571.2</v>
      </c>
      <c r="BB82">
        <f t="shared" si="17"/>
        <v>1077.4</v>
      </c>
      <c r="BC82" s="49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49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49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49" cm="1">
        <f t="array" ref="BH82">$G$14+VLOOKUP($Q82,武学奇术!$A:$ZZ,16,FALSE)+SUM(_xlfn.XLOOKUP(R82:AF82,增益!$A:$A,增益!$P:$P,0))</f>
        <v>0</v>
      </c>
      <c r="BI82" s="41">
        <f>MIN(IF(VLOOKUP($Q82,武学奇术!$A:$ZZ,23,FALSE)=1,100%,$B$8),100%)</f>
        <v>1</v>
      </c>
      <c r="BJ82" s="41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0.9045</v>
      </c>
      <c r="BK82" s="41" cm="1">
        <f t="array" ref="BK82">1+$B$13+VLOOKUP($Q82,武学奇术!$A:$ZZ,18,FALSE)+SUM(_xlfn.XLOOKUP(R82:AF82,增益!$A:$A,增益!$R:$R,0))</f>
        <v>1.85</v>
      </c>
      <c r="BL82" s="41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0.0929</v>
      </c>
      <c r="BM82" s="41" cm="1">
        <f t="array" ref="BM82">1+$B$14+VLOOKUP($Q82,武学奇术!$A:$ZZ,20,FALSE)+SUM(_xlfn.XLOOKUP(R82:AF82,增益!$A:$A,增益!$T:$T,0))</f>
        <v>1.35</v>
      </c>
      <c r="BN82" s="41">
        <f t="shared" si="20"/>
        <v>0.9045</v>
      </c>
      <c r="BO82" s="41">
        <f t="shared" si="21"/>
        <v>0.00260000000000005</v>
      </c>
      <c r="BP82" s="41">
        <f>IF(VLOOKUP($Q82,武学奇术!$A:$ZZ,22,FALSE)=1,0,(1-$BI82))*(1-$BL82)</f>
        <v>0</v>
      </c>
      <c r="BQ82" s="41" cm="1">
        <f t="array" ref="BQ82">SUM(_xlfn.XLOOKUP(R82:AF82,增益!$A:$A,增益!$W:$W,0))+$I$5</f>
        <v>0.11</v>
      </c>
    </row>
    <row r="83" spans="5:69">
      <c r="K83" s="55">
        <f t="shared" si="11"/>
        <v>118817.080701327</v>
      </c>
      <c r="L83" s="55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弹道",$B$21,0))*(1+$BQ83)</f>
        <v>120524.284456712</v>
      </c>
      <c r="M83" s="55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弹道",$B$21,0))*(1+$BQ83)</f>
        <v>103994.317916033</v>
      </c>
      <c r="N83" s="55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弹道",$B$21,0))*(1+$BQ83)</f>
        <v>54535.8753197794</v>
      </c>
      <c r="O83" s="55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弹道",$B$21,0))*(1+$BQ83)</f>
        <v>32038.9225536082</v>
      </c>
      <c r="P83" s="56">
        <v>1</v>
      </c>
      <c r="Q83" s="57" t="s">
        <v>155</v>
      </c>
      <c r="R83" s="57" t="s">
        <v>116</v>
      </c>
      <c r="S83" s="57" t="s">
        <v>153</v>
      </c>
      <c r="T83" s="57" t="s">
        <v>72</v>
      </c>
      <c r="U83" s="57" t="s">
        <v>107</v>
      </c>
      <c r="V83" s="57" t="s">
        <v>156</v>
      </c>
      <c r="W83" s="57" t="s">
        <v>72</v>
      </c>
      <c r="X83" s="57" t="s">
        <v>72</v>
      </c>
      <c r="Y83" s="57" t="s">
        <v>112</v>
      </c>
      <c r="Z83" s="57" t="s">
        <v>72</v>
      </c>
      <c r="AA83" s="57" t="s">
        <v>72</v>
      </c>
      <c r="AB83" s="57" t="s">
        <v>72</v>
      </c>
      <c r="AC83" s="57" t="s">
        <v>72</v>
      </c>
      <c r="AD83" s="57" t="s">
        <v>72</v>
      </c>
      <c r="AE83" s="57" t="s">
        <v>72</v>
      </c>
      <c r="AF83" s="57" t="s">
        <v>87</v>
      </c>
      <c r="AG83" t="str">
        <f>VLOOKUP($Q83,武学奇术!$A:$ZZ,25,FALSE)</f>
        <v>扇</v>
      </c>
      <c r="AH83" s="41">
        <f>VLOOKUP($Q83,武学奇术!$A:$ZZ,26,FALSE)</f>
        <v>4.376825</v>
      </c>
      <c r="AI83" s="42">
        <f>VLOOKUP($Q83,武学奇术!$A:$ZZ,27,FALSE)*(1+IF(OR($AG83=$F$4,$AG83=$F$5),$B$22,0))</f>
        <v>1695.05</v>
      </c>
      <c r="AJ83" s="41">
        <f>VLOOKUP($Q83,武学奇术!$A:$ZZ,28,FALSE)</f>
        <v>6.56531</v>
      </c>
      <c r="AK83" s="42">
        <f>VLOOKUP($Q83,武学奇术!$A:$ZZ,29,FALSE)*(1+IF(OR($AG83=$F$4,$AG83=$F$5),$B$22,0))</f>
        <v>923.65</v>
      </c>
      <c r="AL83" s="41" cm="1">
        <f t="array" ref="AL83">$G$3+IFERROR(VLOOKUP($AG83,$F$4:$G$7,2,FALSE),0)+VLOOKUP($Q83,武学奇术!$A:$ZZ,2,FALSE)+SUM(_xlfn.XLOOKUP($R83:$AF83,增益!$A:$A,增益!$B:$B,0))</f>
        <v>0.3389</v>
      </c>
      <c r="AM83" s="41" cm="1">
        <f t="array" ref="AM83">VLOOKUP($Q83,武学奇术!$A:$ZZ,5,FALSE)+SUM(_xlfn.XLOOKUP($R83:$AF83,增益!$A:$A,增益!$E:$E,0))</f>
        <v>0.075</v>
      </c>
      <c r="AN83" cm="1">
        <f t="array" ref="AN83">$D$10*(1+$AM83)+VLOOKUP($Q83,武学奇术!$A:$ZZ,3,FALSE)+SUM(_xlfn.XLOOKUP($R83:$AF83,增益!$A:$A,增益!$C:$C,0))-$I$2</f>
        <v>1912.055</v>
      </c>
      <c r="AO83" cm="1">
        <f t="array" ref="AO83">$E$10*(1+$AM83)+VLOOKUP($Q83,武学奇术!$A:$ZZ,4,FALSE)+SUM(_xlfn.XLOOKUP($R83:$AF83,增益!$A:$A,增益!$D:$D,0))-$I$2</f>
        <v>5879.45</v>
      </c>
      <c r="AP83" s="49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0.3675</v>
      </c>
      <c r="AQ83" s="49" cm="1">
        <f t="array" ref="AQ83">$G$10+VLOOKUP($Q83,武学奇术!$A:$ZZ,7,FALSE)+SUM(_xlfn.XLOOKUP(R83:AF83,增益!$A:$A,增益!$G:$G,0))</f>
        <v>0.1</v>
      </c>
      <c r="AR83" s="41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49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49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49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49" cm="1">
        <f t="array" ref="AZ83">$G$12+VLOOKUP($Q83,武学奇术!$A:$ZZ,12,FALSE)+SUM(_xlfn.XLOOKUP(R83:AF83,增益!$A:$A,增益!$L:$L,0))</f>
        <v>0</v>
      </c>
      <c r="BA83">
        <f t="shared" si="16"/>
        <v>571.2</v>
      </c>
      <c r="BB83">
        <f t="shared" si="17"/>
        <v>1077.4</v>
      </c>
      <c r="BC83" s="49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49" cm="1">
        <f t="array" ref="BD83">$G$13+VLOOKUP($Q83,武学奇术!$A:$ZZ,14,FALSE)+SUM(_xlfn.XLOOKUP(R83:AF83,增益!$A:$A,增益!$N:$N,0))</f>
        <v>0.25</v>
      </c>
      <c r="BE83">
        <f t="shared" si="18"/>
        <v>0</v>
      </c>
      <c r="BF83">
        <f t="shared" si="19"/>
        <v>0</v>
      </c>
      <c r="BG83" s="49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49" cm="1">
        <f t="array" ref="BH83">$G$14+VLOOKUP($Q83,武学奇术!$A:$ZZ,16,FALSE)+SUM(_xlfn.XLOOKUP(R83:AF83,增益!$A:$A,增益!$P:$P,0))</f>
        <v>0</v>
      </c>
      <c r="BI83" s="41">
        <f>MIN(IF(VLOOKUP($Q83,武学奇术!$A:$ZZ,23,FALSE)=1,100%,$B$8),100%)</f>
        <v>1</v>
      </c>
      <c r="BJ83" s="41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0.9045</v>
      </c>
      <c r="BK83" s="41" cm="1">
        <f t="array" ref="BK83">1+$B$13+VLOOKUP($Q83,武学奇术!$A:$ZZ,18,FALSE)+SUM(_xlfn.XLOOKUP(R83:AF83,增益!$A:$A,增益!$R:$R,0))</f>
        <v>2.21</v>
      </c>
      <c r="BL83" s="41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0.0929</v>
      </c>
      <c r="BM83" s="41" cm="1">
        <f t="array" ref="BM83">1+$B$14+VLOOKUP($Q83,武学奇术!$A:$ZZ,20,FALSE)+SUM(_xlfn.XLOOKUP(R83:AF83,增益!$A:$A,增益!$T:$T,0))</f>
        <v>1.35</v>
      </c>
      <c r="BN83" s="41">
        <f t="shared" si="20"/>
        <v>0.9045</v>
      </c>
      <c r="BO83" s="41">
        <f t="shared" si="21"/>
        <v>0.00260000000000005</v>
      </c>
      <c r="BP83" s="41">
        <f>IF(VLOOKUP($Q83,武学奇术!$A:$ZZ,22,FALSE)=1,0,(1-$BI83))*(1-$BL83)</f>
        <v>0</v>
      </c>
      <c r="BQ83" s="41" cm="1">
        <f t="array" ref="BQ83">SUM(_xlfn.XLOOKUP(R83:AF83,增益!$A:$A,增益!$W:$W,0))+$I$5</f>
        <v>0.11</v>
      </c>
    </row>
    <row r="84" spans="5:69">
      <c r="K84" s="55">
        <f t="shared" si="11"/>
        <v>63157.4174947477</v>
      </c>
      <c r="L84" s="55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弹道",$B$21,0))*(1+$BQ84)</f>
        <v>63410.2109635616</v>
      </c>
      <c r="M84" s="55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弹道",$B$21,0))*(1+$BQ84)</f>
        <v>61558.3002393345</v>
      </c>
      <c r="N84" s="55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弹道",$B$21,0))*(1+$BQ84)</f>
        <v>32352.1484507967</v>
      </c>
      <c r="O84" s="55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弹道",$B$21,0))*(1+$BQ84)</f>
        <v>19105.5559835679</v>
      </c>
      <c r="P84" s="56">
        <v>1</v>
      </c>
      <c r="Q84" s="57" t="s">
        <v>84</v>
      </c>
      <c r="R84" s="57" t="s">
        <v>116</v>
      </c>
      <c r="S84" s="57" t="s">
        <v>153</v>
      </c>
      <c r="T84" s="57" t="s">
        <v>92</v>
      </c>
      <c r="U84" s="57" t="s">
        <v>107</v>
      </c>
      <c r="V84" s="57" t="s">
        <v>72</v>
      </c>
      <c r="W84" s="57" t="s">
        <v>72</v>
      </c>
      <c r="X84" s="57" t="s">
        <v>72</v>
      </c>
      <c r="Y84" s="57" t="s">
        <v>72</v>
      </c>
      <c r="Z84" s="57" t="s">
        <v>72</v>
      </c>
      <c r="AA84" s="57" t="s">
        <v>72</v>
      </c>
      <c r="AB84" s="57" t="s">
        <v>72</v>
      </c>
      <c r="AC84" s="57" t="s">
        <v>72</v>
      </c>
      <c r="AD84" s="57" t="s">
        <v>72</v>
      </c>
      <c r="AE84" s="57" t="s">
        <v>72</v>
      </c>
      <c r="AF84" s="57" t="s">
        <v>87</v>
      </c>
      <c r="AG84" t="str">
        <f>VLOOKUP($Q84,武学奇术!$A:$ZZ,25,FALSE)</f>
        <v>伞</v>
      </c>
      <c r="AH84" s="41">
        <f>VLOOKUP($Q84,武学奇术!$A:$ZZ,26,FALSE)</f>
        <v>2.3397</v>
      </c>
      <c r="AI84" s="42">
        <f>VLOOKUP($Q84,武学奇术!$A:$ZZ,27,FALSE)*(1+IF(OR($AG84=$F$4,$AG84=$F$5),$B$22,0))</f>
        <v>907.2</v>
      </c>
      <c r="AJ84" s="41">
        <f>VLOOKUP($Q84,武学奇术!$A:$ZZ,28,FALSE)</f>
        <v>3.5095</v>
      </c>
      <c r="AK84" s="42">
        <f>VLOOKUP($Q84,武学奇术!$A:$ZZ,29,FALSE)*(1+IF(OR($AG84=$F$4,$AG84=$F$5),$B$22,0))</f>
        <v>494.2</v>
      </c>
      <c r="AL84" s="41" cm="1">
        <f t="array" ref="AL84">$G$3+IFERROR(VLOOKUP($AG84,$F$4:$G$7,2,FALSE),0)+VLOOKUP($Q84,武学奇术!$A:$ZZ,2,FALSE)+SUM(_xlfn.XLOOKUP($R84:$AF84,增益!$A:$A,增益!$B:$B,0))</f>
        <v>0.5741</v>
      </c>
      <c r="AM84" s="41" cm="1">
        <f t="array" ref="AM84">VLOOKUP($Q84,武学奇术!$A:$ZZ,5,FALSE)+SUM(_xlfn.XLOOKUP($R84:$AF84,增益!$A:$A,增益!$E:$E,0))</f>
        <v>0.075</v>
      </c>
      <c r="AN84" cm="1">
        <f t="array" ref="AN84">$D$10*(1+$AM84)+VLOOKUP($Q84,武学奇术!$A:$ZZ,3,FALSE)+SUM(_xlfn.XLOOKUP($R84:$AF84,增益!$A:$A,增益!$C:$C,0))-$I$2</f>
        <v>1912.055</v>
      </c>
      <c r="AO84" cm="1">
        <f t="array" ref="AO84">$E$10*(1+$AM84)+VLOOKUP($Q84,武学奇术!$A:$ZZ,4,FALSE)+SUM(_xlfn.XLOOKUP($R84:$AF84,增益!$A:$A,增益!$D:$D,0))-$I$2</f>
        <v>5879.45</v>
      </c>
      <c r="AP84" s="49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0.2675</v>
      </c>
      <c r="AQ84" s="49" cm="1">
        <f t="array" ref="AQ84">$G$10+VLOOKUP($Q84,武学奇术!$A:$ZZ,7,FALSE)+SUM(_xlfn.XLOOKUP(R84:AF84,增益!$A:$A,增益!$G:$G,0))</f>
        <v>0.1</v>
      </c>
      <c r="AR84" s="41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49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49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49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49" cm="1">
        <f t="array" ref="AZ84">$G$12+VLOOKUP($Q84,武学奇术!$A:$ZZ,12,FALSE)+SUM(_xlfn.XLOOKUP(R84:AF84,增益!$A:$A,增益!$L:$L,0))</f>
        <v>0</v>
      </c>
      <c r="BA84">
        <f t="shared" si="16"/>
        <v>571.2</v>
      </c>
      <c r="BB84">
        <f t="shared" si="17"/>
        <v>1077.4</v>
      </c>
      <c r="BC84" s="49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49" cm="1">
        <f t="array" ref="BD84">$G$13+VLOOKUP($Q84,武学奇术!$A:$ZZ,14,FALSE)+SUM(_xlfn.XLOOKUP(R84:AF84,增益!$A:$A,增益!$N:$N,0))</f>
        <v>0.25</v>
      </c>
      <c r="BE84">
        <f t="shared" si="18"/>
        <v>0</v>
      </c>
      <c r="BF84">
        <f t="shared" si="19"/>
        <v>0</v>
      </c>
      <c r="BG84" s="49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49" cm="1">
        <f t="array" ref="BH84">$G$14+VLOOKUP($Q84,武学奇术!$A:$ZZ,16,FALSE)+SUM(_xlfn.XLOOKUP(R84:AF84,增益!$A:$A,增益!$P:$P,0))</f>
        <v>0</v>
      </c>
      <c r="BI84" s="41">
        <f>MIN(IF(VLOOKUP($Q84,武学奇术!$A:$ZZ,23,FALSE)=1,100%,$B$8),100%)</f>
        <v>1</v>
      </c>
      <c r="BJ84" s="41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0.9045</v>
      </c>
      <c r="BK84" s="41" cm="1">
        <f t="array" ref="BK84">1+$B$13+VLOOKUP($Q84,武学奇术!$A:$ZZ,18,FALSE)+SUM(_xlfn.XLOOKUP(R84:AF84,增益!$A:$A,增益!$R:$R,0))</f>
        <v>1.96</v>
      </c>
      <c r="BL84" s="41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0.0929</v>
      </c>
      <c r="BM84" s="41" cm="1">
        <f t="array" ref="BM84">1+$B$14+VLOOKUP($Q84,武学奇术!$A:$ZZ,20,FALSE)+SUM(_xlfn.XLOOKUP(R84:AF84,增益!$A:$A,增益!$T:$T,0))</f>
        <v>1.35</v>
      </c>
      <c r="BN84" s="41">
        <f t="shared" si="20"/>
        <v>0.9045</v>
      </c>
      <c r="BO84" s="41">
        <f t="shared" si="21"/>
        <v>0.00260000000000005</v>
      </c>
      <c r="BP84" s="41">
        <f>IF(VLOOKUP($Q84,武学奇术!$A:$ZZ,22,FALSE)=1,0,(1-$BI84))*(1-$BL84)</f>
        <v>0</v>
      </c>
      <c r="BQ84" s="41" cm="1">
        <f t="array" ref="BQ84">SUM(_xlfn.XLOOKUP(R84:AF84,增益!$A:$A,增益!$W:$W,0))+$I$5</f>
        <v>0.11</v>
      </c>
    </row>
    <row r="85" spans="5:69">
      <c r="K85" s="55">
        <f t="shared" si="11"/>
        <v>31681.6156839356</v>
      </c>
      <c r="L85" s="55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弹道",$B$21,0))*(1+$BQ85)</f>
        <v>31166.0423634478</v>
      </c>
      <c r="M85" s="55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弹道",$B$21,0))*(1+$BQ85)</f>
        <v>37042.9014785408</v>
      </c>
      <c r="N85" s="55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弹道",$B$21,0))*(1+$BQ85)</f>
        <v>19478.7764771549</v>
      </c>
      <c r="O85" s="55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弹道",$B$21,0))*(1+$BQ85)</f>
        <v>11518.3666739092</v>
      </c>
      <c r="P85" s="56">
        <v>1</v>
      </c>
      <c r="Q85" s="57" t="s">
        <v>94</v>
      </c>
      <c r="R85" s="57" t="s">
        <v>116</v>
      </c>
      <c r="S85" s="57" t="s">
        <v>153</v>
      </c>
      <c r="T85" s="57" t="s">
        <v>72</v>
      </c>
      <c r="U85" s="57" t="s">
        <v>107</v>
      </c>
      <c r="V85" s="57" t="s">
        <v>72</v>
      </c>
      <c r="W85" s="57" t="s">
        <v>72</v>
      </c>
      <c r="X85" s="57" t="s">
        <v>72</v>
      </c>
      <c r="Y85" s="57" t="s">
        <v>72</v>
      </c>
      <c r="Z85" s="57" t="s">
        <v>72</v>
      </c>
      <c r="AA85" s="57" t="s">
        <v>72</v>
      </c>
      <c r="AB85" s="57" t="s">
        <v>72</v>
      </c>
      <c r="AC85" s="57" t="s">
        <v>72</v>
      </c>
      <c r="AD85" s="57" t="s">
        <v>72</v>
      </c>
      <c r="AE85" s="57" t="s">
        <v>72</v>
      </c>
      <c r="AF85" s="57" t="s">
        <v>87</v>
      </c>
      <c r="AG85" t="str">
        <f>VLOOKUP($Q85,武学奇术!$A:$ZZ,25,FALSE)</f>
        <v>伞</v>
      </c>
      <c r="AH85" s="41">
        <f>VLOOKUP($Q85,武学奇术!$A:$ZZ,26,FALSE)</f>
        <v>1.7001</v>
      </c>
      <c r="AI85" s="42">
        <f>VLOOKUP($Q85,武学奇术!$A:$ZZ,27,FALSE)*(1+IF(OR($AG85=$F$4,$AG85=$F$5),$B$22,0))</f>
        <v>659.4</v>
      </c>
      <c r="AJ85" s="41">
        <f>VLOOKUP($Q85,武学奇术!$A:$ZZ,28,FALSE)</f>
        <v>2.5502</v>
      </c>
      <c r="AK85" s="42">
        <f>VLOOKUP($Q85,武学奇术!$A:$ZZ,29,FALSE)*(1+IF(OR($AG85=$F$4,$AG85=$F$5),$B$22,0))</f>
        <v>358.4</v>
      </c>
      <c r="AL85" s="41" cm="1">
        <f t="array" ref="AL85">$G$3+IFERROR(VLOOKUP($AG85,$F$4:$G$7,2,FALSE),0)+VLOOKUP($Q85,武学奇术!$A:$ZZ,2,FALSE)+SUM(_xlfn.XLOOKUP($R85:$AF85,增益!$A:$A,增益!$B:$B,0))</f>
        <v>0.3241</v>
      </c>
      <c r="AM85" s="41" cm="1">
        <f t="array" ref="AM85">VLOOKUP($Q85,武学奇术!$A:$ZZ,5,FALSE)+SUM(_xlfn.XLOOKUP($R85:$AF85,增益!$A:$A,增益!$E:$E,0))</f>
        <v>0.075</v>
      </c>
      <c r="AN85" cm="1">
        <f t="array" ref="AN85">$D$10*(1+$AM85)+VLOOKUP($Q85,武学奇术!$A:$ZZ,3,FALSE)+SUM(_xlfn.XLOOKUP($R85:$AF85,增益!$A:$A,增益!$C:$C,0))-$I$2</f>
        <v>1912.055</v>
      </c>
      <c r="AO85" cm="1">
        <f t="array" ref="AO85">$E$10*(1+$AM85)+VLOOKUP($Q85,武学奇术!$A:$ZZ,4,FALSE)+SUM(_xlfn.XLOOKUP($R85:$AF85,增益!$A:$A,增益!$D:$D,0))-$I$2</f>
        <v>5879.45</v>
      </c>
      <c r="AP85" s="49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0.2425</v>
      </c>
      <c r="AQ85" s="49" cm="1">
        <f t="array" ref="AQ85">$G$10+VLOOKUP($Q85,武学奇术!$A:$ZZ,7,FALSE)+SUM(_xlfn.XLOOKUP(R85:AF85,增益!$A:$A,增益!$G:$G,0))</f>
        <v>0.1</v>
      </c>
      <c r="AR85" s="41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49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49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49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49" cm="1">
        <f t="array" ref="AZ85">$G$12+VLOOKUP($Q85,武学奇术!$A:$ZZ,12,FALSE)+SUM(_xlfn.XLOOKUP(R85:AF85,增益!$A:$A,增益!$L:$L,0))</f>
        <v>0</v>
      </c>
      <c r="BA85">
        <f t="shared" si="16"/>
        <v>571.2</v>
      </c>
      <c r="BB85">
        <f t="shared" si="17"/>
        <v>1077.4</v>
      </c>
      <c r="BC85" s="49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49" cm="1">
        <f t="array" ref="BD85">$G$13+VLOOKUP($Q85,武学奇术!$A:$ZZ,14,FALSE)+SUM(_xlfn.XLOOKUP(R85:AF85,增益!$A:$A,增益!$N:$N,0))</f>
        <v>0.25</v>
      </c>
      <c r="BE85">
        <f t="shared" si="18"/>
        <v>0</v>
      </c>
      <c r="BF85">
        <f t="shared" si="19"/>
        <v>0</v>
      </c>
      <c r="BG85" s="49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49" cm="1">
        <f t="array" ref="BH85">$G$14+VLOOKUP($Q85,武学奇术!$A:$ZZ,16,FALSE)+SUM(_xlfn.XLOOKUP(R85:AF85,增益!$A:$A,增益!$P:$P,0))</f>
        <v>0</v>
      </c>
      <c r="BI85" s="41">
        <f>MIN(IF(VLOOKUP($Q85,武学奇术!$A:$ZZ,23,FALSE)=1,100%,$B$8),100%)</f>
        <v>1</v>
      </c>
      <c r="BJ85" s="41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0.9045</v>
      </c>
      <c r="BK85" s="41" cm="1">
        <f t="array" ref="BK85">1+$B$13+VLOOKUP($Q85,武学奇术!$A:$ZZ,18,FALSE)+SUM(_xlfn.XLOOKUP(R85:AF85,增益!$A:$A,增益!$R:$R,0))</f>
        <v>1.6</v>
      </c>
      <c r="BL85" s="41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0.0929</v>
      </c>
      <c r="BM85" s="41" cm="1">
        <f t="array" ref="BM85">1+$B$14+VLOOKUP($Q85,武学奇术!$A:$ZZ,20,FALSE)+SUM(_xlfn.XLOOKUP(R85:AF85,增益!$A:$A,增益!$T:$T,0))</f>
        <v>1.35</v>
      </c>
      <c r="BN85" s="41">
        <f t="shared" si="20"/>
        <v>0.9045</v>
      </c>
      <c r="BO85" s="41">
        <f t="shared" si="21"/>
        <v>0.00260000000000005</v>
      </c>
      <c r="BP85" s="41">
        <f>IF(VLOOKUP($Q85,武学奇术!$A:$ZZ,22,FALSE)=1,0,(1-$BI85))*(1-$BL85)</f>
        <v>0</v>
      </c>
      <c r="BQ85" s="41" cm="1">
        <f t="array" ref="BQ85">SUM(_xlfn.XLOOKUP(R85:AF85,增益!$A:$A,增益!$W:$W,0))+$I$5</f>
        <v>0.11</v>
      </c>
    </row>
    <row r="86" spans="5:69">
      <c r="K86" s="55">
        <f t="shared" si="11"/>
        <v>13275.2102915124</v>
      </c>
      <c r="L86" s="55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弹道",$B$21,0))*(1+$BQ86)</f>
        <v>13058.9227180356</v>
      </c>
      <c r="M86" s="55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弹道",$B$21,0))*(1+$BQ86)</f>
        <v>15524.1543986272</v>
      </c>
      <c r="N86" s="55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弹道",$B$21,0))*(1+$BQ86)</f>
        <v>8161.82669877223</v>
      </c>
      <c r="O86" s="55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弹道",$B$21,0))*(1+$BQ86)</f>
        <v>4824.27976893174</v>
      </c>
      <c r="P86" s="56">
        <v>1</v>
      </c>
      <c r="Q86" s="57" t="s">
        <v>99</v>
      </c>
      <c r="R86" s="57" t="s">
        <v>116</v>
      </c>
      <c r="S86" s="57" t="s">
        <v>153</v>
      </c>
      <c r="T86" s="57" t="s">
        <v>72</v>
      </c>
      <c r="U86" s="57" t="s">
        <v>107</v>
      </c>
      <c r="V86" s="57" t="s">
        <v>72</v>
      </c>
      <c r="W86" s="57" t="s">
        <v>72</v>
      </c>
      <c r="X86" s="57" t="s">
        <v>72</v>
      </c>
      <c r="Y86" s="57" t="s">
        <v>72</v>
      </c>
      <c r="Z86" s="57" t="s">
        <v>72</v>
      </c>
      <c r="AA86" s="57" t="s">
        <v>72</v>
      </c>
      <c r="AB86" s="57" t="s">
        <v>72</v>
      </c>
      <c r="AC86" s="57" t="s">
        <v>72</v>
      </c>
      <c r="AD86" s="57" t="s">
        <v>72</v>
      </c>
      <c r="AE86" s="57" t="s">
        <v>72</v>
      </c>
      <c r="AF86" s="57" t="s">
        <v>87</v>
      </c>
      <c r="AG86" t="str">
        <f>VLOOKUP($Q86,武学奇术!$A:$ZZ,25,FALSE)</f>
        <v>伞</v>
      </c>
      <c r="AH86" s="41">
        <f>VLOOKUP($Q86,武学奇术!$A:$ZZ,26,FALSE)</f>
        <v>0.54</v>
      </c>
      <c r="AI86" s="42">
        <f>VLOOKUP($Q86,武学奇术!$A:$ZZ,27,FALSE)*(1+IF(OR($AG86=$F$4,$AG86=$F$5),$B$22,0))</f>
        <v>207.2</v>
      </c>
      <c r="AJ86" s="41">
        <f>VLOOKUP($Q86,武学奇术!$A:$ZZ,28,FALSE)</f>
        <v>0.81</v>
      </c>
      <c r="AK86" s="42">
        <f>VLOOKUP($Q86,武学奇术!$A:$ZZ,29,FALSE)*(1+IF(OR($AG86=$F$4,$AG86=$F$5),$B$22,0))</f>
        <v>114.1</v>
      </c>
      <c r="AL86" s="41" cm="1">
        <f t="array" ref="AL86">$G$3+IFERROR(VLOOKUP($AG86,$F$4:$G$7,2,FALSE),0)+VLOOKUP($Q86,武学奇术!$A:$ZZ,2,FALSE)+SUM(_xlfn.XLOOKUP($R86:$AF86,增益!$A:$A,增益!$B:$B,0))</f>
        <v>0.3241</v>
      </c>
      <c r="AM86" s="41" cm="1">
        <f t="array" ref="AM86">VLOOKUP($Q86,武学奇术!$A:$ZZ,5,FALSE)+SUM(_xlfn.XLOOKUP($R86:$AF86,增益!$A:$A,增益!$E:$E,0))</f>
        <v>0.075</v>
      </c>
      <c r="AN86" cm="1">
        <f t="array" ref="AN86">$D$10*(1+$AM86)+VLOOKUP($Q86,武学奇术!$A:$ZZ,3,FALSE)+SUM(_xlfn.XLOOKUP($R86:$AF86,增益!$A:$A,增益!$C:$C,0))-$I$2</f>
        <v>1912.055</v>
      </c>
      <c r="AO86" cm="1">
        <f t="array" ref="AO86">$E$10*(1+$AM86)+VLOOKUP($Q86,武学奇术!$A:$ZZ,4,FALSE)+SUM(_xlfn.XLOOKUP($R86:$AF86,增益!$A:$A,增益!$D:$D,0))-$I$2</f>
        <v>5879.45</v>
      </c>
      <c r="AP86" s="49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0.2425</v>
      </c>
      <c r="AQ86" s="49" cm="1">
        <f t="array" ref="AQ86">$G$10+VLOOKUP($Q86,武学奇术!$A:$ZZ,7,FALSE)+SUM(_xlfn.XLOOKUP(R86:AF86,增益!$A:$A,增益!$G:$G,0))</f>
        <v>0.1</v>
      </c>
      <c r="AR86" s="41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49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49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49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49" cm="1">
        <f t="array" ref="AZ86">$G$12+VLOOKUP($Q86,武学奇术!$A:$ZZ,12,FALSE)+SUM(_xlfn.XLOOKUP(R86:AF86,增益!$A:$A,增益!$L:$L,0))</f>
        <v>0</v>
      </c>
      <c r="BA86">
        <f t="shared" si="16"/>
        <v>571.2</v>
      </c>
      <c r="BB86">
        <f t="shared" si="17"/>
        <v>1077.4</v>
      </c>
      <c r="BC86" s="49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49" cm="1">
        <f t="array" ref="BD86">$G$13+VLOOKUP($Q86,武学奇术!$A:$ZZ,14,FALSE)+SUM(_xlfn.XLOOKUP(R86:AF86,增益!$A:$A,增益!$N:$N,0))</f>
        <v>0.25</v>
      </c>
      <c r="BE86">
        <f t="shared" si="18"/>
        <v>0</v>
      </c>
      <c r="BF86">
        <f t="shared" si="19"/>
        <v>0</v>
      </c>
      <c r="BG86" s="49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49" cm="1">
        <f t="array" ref="BH86">$G$14+VLOOKUP($Q86,武学奇术!$A:$ZZ,16,FALSE)+SUM(_xlfn.XLOOKUP(R86:AF86,增益!$A:$A,增益!$P:$P,0))</f>
        <v>0</v>
      </c>
      <c r="BI86" s="41">
        <f>MIN(IF(VLOOKUP($Q86,武学奇术!$A:$ZZ,23,FALSE)=1,100%,$B$8),100%)</f>
        <v>1</v>
      </c>
      <c r="BJ86" s="41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0.9045</v>
      </c>
      <c r="BK86" s="41" cm="1">
        <f t="array" ref="BK86">1+$B$13+VLOOKUP($Q86,武学奇术!$A:$ZZ,18,FALSE)+SUM(_xlfn.XLOOKUP(R86:AF86,增益!$A:$A,增益!$R:$R,0))</f>
        <v>1.6</v>
      </c>
      <c r="BL86" s="41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0.0929</v>
      </c>
      <c r="BM86" s="41" cm="1">
        <f t="array" ref="BM86">1+$B$14+VLOOKUP($Q86,武学奇术!$A:$ZZ,20,FALSE)+SUM(_xlfn.XLOOKUP(R86:AF86,增益!$A:$A,增益!$T:$T,0))</f>
        <v>1.35</v>
      </c>
      <c r="BN86" s="41">
        <f t="shared" si="20"/>
        <v>0.9045</v>
      </c>
      <c r="BO86" s="41">
        <f t="shared" si="21"/>
        <v>0.00260000000000005</v>
      </c>
      <c r="BP86" s="41">
        <f>IF(VLOOKUP($Q86,武学奇术!$A:$ZZ,22,FALSE)=1,0,(1-$BI86))*(1-$BL86)</f>
        <v>0</v>
      </c>
      <c r="BQ86" s="41" cm="1">
        <f t="array" ref="BQ86">SUM(_xlfn.XLOOKUP(R86:AF86,增益!$A:$A,增益!$W:$W,0))+$I$5</f>
        <v>0.11</v>
      </c>
    </row>
    <row r="87" spans="5:69">
      <c r="K87" s="55">
        <f t="shared" si="11"/>
        <v>20927.0780343094</v>
      </c>
      <c r="L87" s="55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弹道",$B$21,0))*(1+$BQ87)</f>
        <v>21010.6842924876</v>
      </c>
      <c r="M87" s="55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弹道",$B$21,0))*(1+$BQ87)</f>
        <v>20398.7381685269</v>
      </c>
      <c r="N87" s="55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弹道",$B$21,0))*(1+$BQ87)</f>
        <v>10719.7368839222</v>
      </c>
      <c r="O87" s="55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弹道",$B$21,0))*(1+$BQ87)</f>
        <v>6329.29734671341</v>
      </c>
      <c r="P87" s="56">
        <v>0.5</v>
      </c>
      <c r="Q87" s="57" t="s">
        <v>102</v>
      </c>
      <c r="R87" s="57" t="s">
        <v>116</v>
      </c>
      <c r="S87" s="57" t="s">
        <v>153</v>
      </c>
      <c r="T87" s="57" t="s">
        <v>92</v>
      </c>
      <c r="U87" s="57" t="s">
        <v>107</v>
      </c>
      <c r="V87" s="57" t="s">
        <v>72</v>
      </c>
      <c r="W87" s="57" t="s">
        <v>72</v>
      </c>
      <c r="X87" s="57" t="s">
        <v>72</v>
      </c>
      <c r="Y87" s="57" t="s">
        <v>72</v>
      </c>
      <c r="Z87" s="57" t="s">
        <v>72</v>
      </c>
      <c r="AA87" s="57" t="s">
        <v>72</v>
      </c>
      <c r="AB87" s="57" t="s">
        <v>72</v>
      </c>
      <c r="AC87" s="57" t="s">
        <v>72</v>
      </c>
      <c r="AD87" s="57" t="s">
        <v>72</v>
      </c>
      <c r="AE87" s="57" t="s">
        <v>72</v>
      </c>
      <c r="AF87" s="57" t="s">
        <v>87</v>
      </c>
      <c r="AG87" t="str">
        <f>VLOOKUP($Q87,武学奇术!$A:$ZZ,25,FALSE)</f>
        <v>伞</v>
      </c>
      <c r="AH87" s="41">
        <f>VLOOKUP($Q87,武学奇术!$A:$ZZ,26,FALSE)</f>
        <v>1.174955</v>
      </c>
      <c r="AI87" s="42">
        <f>VLOOKUP($Q87,武学奇术!$A:$ZZ,27,FALSE)*(1+IF(OR($AG87=$F$4,$AG87=$F$5),$B$22,0))</f>
        <v>454.02</v>
      </c>
      <c r="AJ87" s="41">
        <f>VLOOKUP($Q87,武学奇术!$A:$ZZ,28,FALSE)</f>
        <v>1.762375</v>
      </c>
      <c r="AK87" s="42">
        <f>VLOOKUP($Q87,武学奇术!$A:$ZZ,29,FALSE)*(1+IF(OR($AG87=$F$4,$AG87=$F$5),$B$22,0))</f>
        <v>247.94</v>
      </c>
      <c r="AL87" s="41" cm="1">
        <f t="array" ref="AL87">$G$3+IFERROR(VLOOKUP($AG87,$F$4:$G$7,2,FALSE),0)+VLOOKUP($Q87,武学奇术!$A:$ZZ,2,FALSE)+SUM(_xlfn.XLOOKUP($R87:$AF87,增益!$A:$A,增益!$B:$B,0))</f>
        <v>0.5741</v>
      </c>
      <c r="AM87" s="41" cm="1">
        <f t="array" ref="AM87">VLOOKUP($Q87,武学奇术!$A:$ZZ,5,FALSE)+SUM(_xlfn.XLOOKUP($R87:$AF87,增益!$A:$A,增益!$E:$E,0))</f>
        <v>0.075</v>
      </c>
      <c r="AN87" cm="1">
        <f t="array" ref="AN87">$D$10*(1+$AM87)+VLOOKUP($Q87,武学奇术!$A:$ZZ,3,FALSE)+SUM(_xlfn.XLOOKUP($R87:$AF87,增益!$A:$A,增益!$C:$C,0))-$I$2</f>
        <v>1912.055</v>
      </c>
      <c r="AO87" cm="1">
        <f t="array" ref="AO87">$E$10*(1+$AM87)+VLOOKUP($Q87,武学奇术!$A:$ZZ,4,FALSE)+SUM(_xlfn.XLOOKUP($R87:$AF87,增益!$A:$A,增益!$D:$D,0))-$I$2</f>
        <v>5879.45</v>
      </c>
      <c r="AP87" s="49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0.2675</v>
      </c>
      <c r="AQ87" s="49" cm="1">
        <f t="array" ref="AQ87">$G$10+VLOOKUP($Q87,武学奇术!$A:$ZZ,7,FALSE)+SUM(_xlfn.XLOOKUP(R87:AF87,增益!$A:$A,增益!$G:$G,0))</f>
        <v>0.1</v>
      </c>
      <c r="AR87" s="41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49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49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49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49" cm="1">
        <f t="array" ref="AZ87">$G$12+VLOOKUP($Q87,武学奇术!$A:$ZZ,12,FALSE)+SUM(_xlfn.XLOOKUP(R87:AF87,增益!$A:$A,增益!$L:$L,0))</f>
        <v>0</v>
      </c>
      <c r="BA87">
        <f t="shared" si="16"/>
        <v>571.2</v>
      </c>
      <c r="BB87">
        <f t="shared" si="17"/>
        <v>1077.4</v>
      </c>
      <c r="BC87" s="49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49" cm="1">
        <f t="array" ref="BD87">$G$13+VLOOKUP($Q87,武学奇术!$A:$ZZ,14,FALSE)+SUM(_xlfn.XLOOKUP(R87:AF87,增益!$A:$A,增益!$N:$N,0))</f>
        <v>0.25</v>
      </c>
      <c r="BE87">
        <f t="shared" si="18"/>
        <v>0</v>
      </c>
      <c r="BF87">
        <f t="shared" si="19"/>
        <v>0</v>
      </c>
      <c r="BG87" s="49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49" cm="1">
        <f t="array" ref="BH87">$G$14+VLOOKUP($Q87,武学奇术!$A:$ZZ,16,FALSE)+SUM(_xlfn.XLOOKUP(R87:AF87,增益!$A:$A,增益!$P:$P,0))</f>
        <v>0</v>
      </c>
      <c r="BI87" s="41">
        <f>MIN(IF(VLOOKUP($Q87,武学奇术!$A:$ZZ,23,FALSE)=1,100%,$B$8),100%)</f>
        <v>1</v>
      </c>
      <c r="BJ87" s="41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0.9045</v>
      </c>
      <c r="BK87" s="41" cm="1">
        <f t="array" ref="BK87">1+$B$13+VLOOKUP($Q87,武学奇术!$A:$ZZ,18,FALSE)+SUM(_xlfn.XLOOKUP(R87:AF87,增益!$A:$A,增益!$R:$R,0))</f>
        <v>1.96</v>
      </c>
      <c r="BL87" s="41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0.0929</v>
      </c>
      <c r="BM87" s="41" cm="1">
        <f t="array" ref="BM87">1+$B$14+VLOOKUP($Q87,武学奇术!$A:$ZZ,20,FALSE)+SUM(_xlfn.XLOOKUP(R87:AF87,增益!$A:$A,增益!$T:$T,0))</f>
        <v>1.35</v>
      </c>
      <c r="BN87" s="41">
        <f t="shared" si="20"/>
        <v>0.9045</v>
      </c>
      <c r="BO87" s="41">
        <f t="shared" si="21"/>
        <v>0.00260000000000005</v>
      </c>
      <c r="BP87" s="41">
        <f>IF(VLOOKUP($Q87,武学奇术!$A:$ZZ,22,FALSE)=1,0,(1-$BI87))*(1-$BL87)</f>
        <v>0</v>
      </c>
      <c r="BQ87" s="41" cm="1">
        <f t="array" ref="BQ87">SUM(_xlfn.XLOOKUP(R87:AF87,增益!$A:$A,增益!$W:$W,0))+$I$5</f>
        <v>0.11</v>
      </c>
    </row>
    <row r="88" spans="5:69">
      <c r="K88" s="55">
        <f t="shared" si="11"/>
        <v>526392.451593954</v>
      </c>
      <c r="L88" s="55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弹道",$B$21,0))*(1+$BQ88)</f>
        <v>528442.386164698</v>
      </c>
      <c r="M88" s="55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弹道",$B$21,0))*(1+$BQ88)</f>
        <v>513620.218578361</v>
      </c>
      <c r="N88" s="55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弹道",$B$21,0))*(1+$BQ88)</f>
        <v>269613.462328927</v>
      </c>
      <c r="O88" s="55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弹道",$B$21,0))*(1+$BQ88)</f>
        <v>158767.503488698</v>
      </c>
      <c r="P88" s="56">
        <v>9.5</v>
      </c>
      <c r="Q88" s="57" t="s">
        <v>102</v>
      </c>
      <c r="R88" s="57" t="s">
        <v>116</v>
      </c>
      <c r="S88" s="57" t="s">
        <v>153</v>
      </c>
      <c r="T88" s="57" t="s">
        <v>92</v>
      </c>
      <c r="U88" s="57" t="s">
        <v>157</v>
      </c>
      <c r="V88" s="57" t="s">
        <v>86</v>
      </c>
      <c r="W88" s="57" t="s">
        <v>72</v>
      </c>
      <c r="X88" s="57" t="s">
        <v>72</v>
      </c>
      <c r="Y88" s="57" t="s">
        <v>72</v>
      </c>
      <c r="Z88" s="57" t="s">
        <v>72</v>
      </c>
      <c r="AA88" s="57" t="s">
        <v>72</v>
      </c>
      <c r="AB88" s="57" t="s">
        <v>72</v>
      </c>
      <c r="AC88" s="57" t="s">
        <v>72</v>
      </c>
      <c r="AD88" s="57" t="s">
        <v>72</v>
      </c>
      <c r="AE88" s="57" t="s">
        <v>72</v>
      </c>
      <c r="AF88" s="57" t="s">
        <v>87</v>
      </c>
      <c r="AG88" t="str">
        <f>VLOOKUP($Q88,武学奇术!$A:$ZZ,25,FALSE)</f>
        <v>伞</v>
      </c>
      <c r="AH88" s="41">
        <f>VLOOKUP($Q88,武学奇术!$A:$ZZ,26,FALSE)</f>
        <v>1.174955</v>
      </c>
      <c r="AI88" s="42">
        <f>VLOOKUP($Q88,武学奇术!$A:$ZZ,27,FALSE)*(1+IF(OR($AG88=$F$4,$AG88=$F$5),$B$22,0))</f>
        <v>454.02</v>
      </c>
      <c r="AJ88" s="41">
        <f>VLOOKUP($Q88,武学奇术!$A:$ZZ,28,FALSE)</f>
        <v>1.762375</v>
      </c>
      <c r="AK88" s="42">
        <f>VLOOKUP($Q88,武学奇术!$A:$ZZ,29,FALSE)*(1+IF(OR($AG88=$F$4,$AG88=$F$5),$B$22,0))</f>
        <v>247.94</v>
      </c>
      <c r="AL88" s="41" cm="1">
        <f t="array" ref="AL88">$G$3+IFERROR(VLOOKUP($AG88,$F$4:$G$7,2,FALSE),0)+VLOOKUP($Q88,武学奇术!$A:$ZZ,2,FALSE)+SUM(_xlfn.XLOOKUP($R88:$AF88,增益!$A:$A,增益!$B:$B,0))</f>
        <v>0.9741</v>
      </c>
      <c r="AM88" s="41" cm="1">
        <f t="array" ref="AM88">VLOOKUP($Q88,武学奇术!$A:$ZZ,5,FALSE)+SUM(_xlfn.XLOOKUP($R88:$AF88,增益!$A:$A,增益!$E:$E,0))</f>
        <v>0.15</v>
      </c>
      <c r="AN88" cm="1">
        <f t="array" ref="AN88">$D$10*(1+$AM88)+VLOOKUP($Q88,武学奇术!$A:$ZZ,3,FALSE)+SUM(_xlfn.XLOOKUP($R88:$AF88,增益!$A:$A,增益!$C:$C,0))-$I$2</f>
        <v>2088.71</v>
      </c>
      <c r="AO88" cm="1">
        <f t="array" ref="AO88">$E$10*(1+$AM88)+VLOOKUP($Q88,武学奇术!$A:$ZZ,4,FALSE)+SUM(_xlfn.XLOOKUP($R88:$AF88,增益!$A:$A,增益!$D:$D,0))-$I$2</f>
        <v>6332.9</v>
      </c>
      <c r="AP88" s="49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0.2675</v>
      </c>
      <c r="AQ88" s="49" cm="1">
        <f t="array" ref="AQ88">$G$10+VLOOKUP($Q88,武学奇术!$A:$ZZ,7,FALSE)+SUM(_xlfn.XLOOKUP(R88:AF88,增益!$A:$A,增益!$G:$G,0))</f>
        <v>0.1</v>
      </c>
      <c r="AR88" s="41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49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49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49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49" cm="1">
        <f t="array" ref="AZ88">$G$12+VLOOKUP($Q88,武学奇术!$A:$ZZ,12,FALSE)+SUM(_xlfn.XLOOKUP(R88:AF88,增益!$A:$A,增益!$L:$L,0))</f>
        <v>0</v>
      </c>
      <c r="BA88">
        <f t="shared" si="16"/>
        <v>571.2</v>
      </c>
      <c r="BB88">
        <f t="shared" si="17"/>
        <v>1077.4</v>
      </c>
      <c r="BC88" s="49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49" cm="1">
        <f t="array" ref="BD88">$G$13+VLOOKUP($Q88,武学奇术!$A:$ZZ,14,FALSE)+SUM(_xlfn.XLOOKUP(R88:AF88,增益!$A:$A,增益!$N:$N,0))</f>
        <v>0.25</v>
      </c>
      <c r="BE88">
        <f t="shared" si="18"/>
        <v>0</v>
      </c>
      <c r="BF88">
        <f t="shared" si="19"/>
        <v>0</v>
      </c>
      <c r="BG88" s="49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49" cm="1">
        <f t="array" ref="BH88">$G$14+VLOOKUP($Q88,武学奇术!$A:$ZZ,16,FALSE)+SUM(_xlfn.XLOOKUP(R88:AF88,增益!$A:$A,增益!$P:$P,0))</f>
        <v>0</v>
      </c>
      <c r="BI88" s="41">
        <f>MIN(IF(VLOOKUP($Q88,武学奇术!$A:$ZZ,23,FALSE)=1,100%,$B$8),100%)</f>
        <v>1</v>
      </c>
      <c r="BJ88" s="41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0.9045</v>
      </c>
      <c r="BK88" s="41" cm="1">
        <f t="array" ref="BK88">1+$B$13+VLOOKUP($Q88,武学奇术!$A:$ZZ,18,FALSE)+SUM(_xlfn.XLOOKUP(R88:AF88,增益!$A:$A,增益!$R:$R,0))</f>
        <v>1.96</v>
      </c>
      <c r="BL88" s="41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0.0929</v>
      </c>
      <c r="BM88" s="41" cm="1">
        <f t="array" ref="BM88">1+$B$14+VLOOKUP($Q88,武学奇术!$A:$ZZ,20,FALSE)+SUM(_xlfn.XLOOKUP(R88:AF88,增益!$A:$A,增益!$T:$T,0))</f>
        <v>1.35</v>
      </c>
      <c r="BN88" s="41">
        <f t="shared" si="20"/>
        <v>0.9045</v>
      </c>
      <c r="BO88" s="41">
        <f t="shared" si="21"/>
        <v>0.00260000000000005</v>
      </c>
      <c r="BP88" s="41">
        <f>IF(VLOOKUP($Q88,武学奇术!$A:$ZZ,22,FALSE)=1,0,(1-$BI88))*(1-$BL88)</f>
        <v>0</v>
      </c>
      <c r="BQ88" s="41" cm="1">
        <f t="array" ref="BQ88">SUM(_xlfn.XLOOKUP(R88:AF88,增益!$A:$A,增益!$W:$W,0))+$I$5</f>
        <v>0.11</v>
      </c>
    </row>
    <row r="89" spans="5:69">
      <c r="K89" s="55">
        <f t="shared" si="11"/>
        <v>14741.4856105809</v>
      </c>
      <c r="L89" s="55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弹道",$B$21,0))*(1+$BQ89)</f>
        <v>14502.221107277</v>
      </c>
      <c r="M89" s="55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弹道",$B$21,0))*(1+$BQ89)</f>
        <v>17229.9301372391</v>
      </c>
      <c r="N89" s="55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弹道",$B$21,0))*(1+$BQ89)</f>
        <v>9063.8881920481</v>
      </c>
      <c r="O89" s="55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弹道",$B$21,0))*(1+$BQ89)</f>
        <v>5364.86517132647</v>
      </c>
      <c r="P89" s="56">
        <v>1</v>
      </c>
      <c r="Q89" s="57" t="s">
        <v>146</v>
      </c>
      <c r="R89" s="57" t="s">
        <v>116</v>
      </c>
      <c r="S89" s="57" t="s">
        <v>153</v>
      </c>
      <c r="T89" s="57" t="s">
        <v>72</v>
      </c>
      <c r="U89" s="57" t="s">
        <v>107</v>
      </c>
      <c r="V89" s="57" t="s">
        <v>72</v>
      </c>
      <c r="W89" s="57" t="s">
        <v>72</v>
      </c>
      <c r="X89" s="57" t="s">
        <v>72</v>
      </c>
      <c r="Y89" s="57" t="s">
        <v>72</v>
      </c>
      <c r="Z89" s="57" t="s">
        <v>72</v>
      </c>
      <c r="AA89" s="57" t="s">
        <v>72</v>
      </c>
      <c r="AB89" s="57" t="s">
        <v>72</v>
      </c>
      <c r="AC89" s="57" t="s">
        <v>72</v>
      </c>
      <c r="AD89" s="57" t="s">
        <v>72</v>
      </c>
      <c r="AE89" s="57" t="s">
        <v>72</v>
      </c>
      <c r="AF89" s="57" t="s">
        <v>87</v>
      </c>
      <c r="AG89" t="str">
        <f>VLOOKUP($Q89,武学奇术!$A:$ZZ,25,FALSE)</f>
        <v>扇</v>
      </c>
      <c r="AH89" s="41">
        <f>VLOOKUP($Q89,武学奇术!$A:$ZZ,26,FALSE)</f>
        <v>0.9271</v>
      </c>
      <c r="AI89" s="42">
        <f>VLOOKUP($Q89,武学奇术!$A:$ZZ,27,FALSE)*(1+IF(OR($AG89=$F$4,$AG89=$F$5),$B$22,0))</f>
        <v>359.8</v>
      </c>
      <c r="AJ89" s="41">
        <f>VLOOKUP($Q89,武学奇术!$A:$ZZ,28,FALSE)</f>
        <v>1.3907</v>
      </c>
      <c r="AK89" s="42">
        <f>VLOOKUP($Q89,武学奇术!$A:$ZZ,29,FALSE)*(1+IF(OR($AG89=$F$4,$AG89=$F$5),$B$22,0))</f>
        <v>196</v>
      </c>
      <c r="AL89" s="41" cm="1">
        <f t="array" ref="AL89">$G$3+IFERROR(VLOOKUP($AG89,$F$4:$G$7,2,FALSE),0)+VLOOKUP($Q89,武学奇术!$A:$ZZ,2,FALSE)+SUM(_xlfn.XLOOKUP($R89:$AF89,增益!$A:$A,增益!$B:$B,0))</f>
        <v>0.2389</v>
      </c>
      <c r="AM89" s="41" cm="1">
        <f t="array" ref="AM89">VLOOKUP($Q89,武学奇术!$A:$ZZ,5,FALSE)+SUM(_xlfn.XLOOKUP($R89:$AF89,增益!$A:$A,增益!$E:$E,0))</f>
        <v>0.075</v>
      </c>
      <c r="AN89" cm="1">
        <f t="array" ref="AN89">$D$10*(1+$AM89)+VLOOKUP($Q89,武学奇术!$A:$ZZ,3,FALSE)+SUM(_xlfn.XLOOKUP($R89:$AF89,增益!$A:$A,增益!$C:$C,0))-$I$2</f>
        <v>1912.055</v>
      </c>
      <c r="AO89" cm="1">
        <f t="array" ref="AO89">$E$10*(1+$AM89)+VLOOKUP($Q89,武学奇术!$A:$ZZ,4,FALSE)+SUM(_xlfn.XLOOKUP($R89:$AF89,增益!$A:$A,增益!$D:$D,0))-$I$2</f>
        <v>5879.45</v>
      </c>
      <c r="AP89" s="49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0.2425</v>
      </c>
      <c r="AQ89" s="49" cm="1">
        <f t="array" ref="AQ89">$G$10+VLOOKUP($Q89,武学奇术!$A:$ZZ,7,FALSE)+SUM(_xlfn.XLOOKUP(R89:AF89,增益!$A:$A,增益!$G:$G,0))</f>
        <v>0</v>
      </c>
      <c r="AR89" s="41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49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49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49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49" cm="1">
        <f t="array" ref="AZ89">$G$12+VLOOKUP($Q89,武学奇术!$A:$ZZ,12,FALSE)+SUM(_xlfn.XLOOKUP(R89:AF89,增益!$A:$A,增益!$L:$L,0))</f>
        <v>0</v>
      </c>
      <c r="BA89">
        <f t="shared" si="16"/>
        <v>571.2</v>
      </c>
      <c r="BB89">
        <f t="shared" si="17"/>
        <v>1077.4</v>
      </c>
      <c r="BC89" s="49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49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49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49" cm="1">
        <f t="array" ref="BH89">$G$14+VLOOKUP($Q89,武学奇术!$A:$ZZ,16,FALSE)+SUM(_xlfn.XLOOKUP(R89:AF89,增益!$A:$A,增益!$P:$P,0))</f>
        <v>0</v>
      </c>
      <c r="BI89" s="41">
        <f>MIN(IF(VLOOKUP($Q89,武学奇术!$A:$ZZ,23,FALSE)=1,100%,$B$8),100%)</f>
        <v>1</v>
      </c>
      <c r="BJ89" s="41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0.9045</v>
      </c>
      <c r="BK89" s="41" cm="1">
        <f t="array" ref="BK89">1+$B$13+VLOOKUP($Q89,武学奇术!$A:$ZZ,18,FALSE)+SUM(_xlfn.XLOOKUP(R89:AF89,增益!$A:$A,增益!$R:$R,0))</f>
        <v>1.6</v>
      </c>
      <c r="BL89" s="41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0.0929</v>
      </c>
      <c r="BM89" s="41" cm="1">
        <f t="array" ref="BM89">1+$B$14+VLOOKUP($Q89,武学奇术!$A:$ZZ,20,FALSE)+SUM(_xlfn.XLOOKUP(R89:AF89,增益!$A:$A,增益!$T:$T,0))</f>
        <v>1.35</v>
      </c>
      <c r="BN89" s="41">
        <f t="shared" si="20"/>
        <v>0.9045</v>
      </c>
      <c r="BO89" s="41">
        <f t="shared" si="21"/>
        <v>0.00260000000000005</v>
      </c>
      <c r="BP89" s="41">
        <f>IF(VLOOKUP($Q89,武学奇术!$A:$ZZ,22,FALSE)=1,0,(1-$BI89))*(1-$BL89)</f>
        <v>0</v>
      </c>
      <c r="BQ89" s="41" cm="1">
        <f t="array" ref="BQ89">SUM(_xlfn.XLOOKUP(R89:AF89,增益!$A:$A,增益!$W:$W,0))+$I$5</f>
        <v>0.11</v>
      </c>
    </row>
    <row r="90" spans="5:69">
      <c r="E90" s="44">
        <v>0.3</v>
      </c>
      <c r="K90" s="55">
        <f t="shared" si="11"/>
        <v>75419.6001170485</v>
      </c>
      <c r="L90" s="55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弹道",$B$21,0))*(1+$BQ90)</f>
        <v>74183.005866966</v>
      </c>
      <c r="M90" s="55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弹道",$B$21,0))*(1+$BQ90)</f>
        <v>88272.5933890633</v>
      </c>
      <c r="N90" s="55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弹道",$B$21,0))*(1+$BQ90)</f>
        <v>46364.3786668537</v>
      </c>
      <c r="O90" s="55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弹道",$B$21,0))*(1+$BQ90)</f>
        <v>27341.6511195865</v>
      </c>
      <c r="P90" s="56">
        <v>1</v>
      </c>
      <c r="Q90" s="57" t="s">
        <v>126</v>
      </c>
      <c r="R90" s="57" t="s">
        <v>116</v>
      </c>
      <c r="S90" s="57" t="s">
        <v>153</v>
      </c>
      <c r="T90" s="57" t="s">
        <v>72</v>
      </c>
      <c r="U90" s="57" t="s">
        <v>157</v>
      </c>
      <c r="V90" s="57" t="s">
        <v>86</v>
      </c>
      <c r="W90" s="57" t="s">
        <v>158</v>
      </c>
      <c r="X90" s="57" t="s">
        <v>72</v>
      </c>
      <c r="Y90" s="57" t="s">
        <v>72</v>
      </c>
      <c r="Z90" s="57" t="s">
        <v>72</v>
      </c>
      <c r="AA90" s="57" t="s">
        <v>72</v>
      </c>
      <c r="AB90" s="57" t="s">
        <v>72</v>
      </c>
      <c r="AC90" s="57" t="s">
        <v>72</v>
      </c>
      <c r="AD90" s="57" t="s">
        <v>72</v>
      </c>
      <c r="AE90" s="57" t="s">
        <v>72</v>
      </c>
      <c r="AF90" s="57" t="s">
        <v>87</v>
      </c>
      <c r="AG90" t="str">
        <f>VLOOKUP($Q90,武学奇术!$A:$ZZ,25,FALSE)</f>
        <v>扇</v>
      </c>
      <c r="AH90" s="41">
        <f>VLOOKUP($Q90,武学奇术!$A:$ZZ,26,FALSE)</f>
        <v>2.76138</v>
      </c>
      <c r="AI90" s="42">
        <f>VLOOKUP($Q90,武学奇术!$A:$ZZ,27,FALSE)*(1+IF(OR($AG90=$F$4,$AG90=$F$5),$B$22,0))</f>
        <v>1069.81</v>
      </c>
      <c r="AJ90" s="41">
        <f>VLOOKUP($Q90,武学奇术!$A:$ZZ,28,FALSE)</f>
        <v>4.14207</v>
      </c>
      <c r="AK90" s="42">
        <f>VLOOKUP($Q90,武学奇术!$A:$ZZ,29,FALSE)*(1+IF(OR($AG90=$F$4,$AG90=$F$5),$B$22,0))</f>
        <v>582.61</v>
      </c>
      <c r="AL90" s="41" cm="1">
        <f t="array" ref="AL90">$G$3+IFERROR(VLOOKUP($AG90,$F$4:$G$7,2,FALSE),0)+VLOOKUP($Q90,武学奇术!$A:$ZZ,2,FALSE)+SUM(_xlfn.XLOOKUP($R90:$AF90,增益!$A:$A,增益!$B:$B,0))</f>
        <v>0.8389</v>
      </c>
      <c r="AM90" s="41" cm="1">
        <f t="array" ref="AM90">VLOOKUP($Q90,武学奇术!$A:$ZZ,5,FALSE)+SUM(_xlfn.XLOOKUP($R90:$AF90,增益!$A:$A,增益!$E:$E,0))</f>
        <v>0.15</v>
      </c>
      <c r="AN90" cm="1">
        <f t="array" ref="AN90">$D$10*(1+$AM90)+VLOOKUP($Q90,武学奇术!$A:$ZZ,3,FALSE)+SUM(_xlfn.XLOOKUP($R90:$AF90,增益!$A:$A,增益!$C:$C,0))-$I$2</f>
        <v>2088.71</v>
      </c>
      <c r="AO90" cm="1">
        <f t="array" ref="AO90">$E$10*(1+$AM90)+VLOOKUP($Q90,武学奇术!$A:$ZZ,4,FALSE)+SUM(_xlfn.XLOOKUP($R90:$AF90,增益!$A:$A,增益!$D:$D,0))-$I$2</f>
        <v>6332.9</v>
      </c>
      <c r="AP90" s="49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0.2425</v>
      </c>
      <c r="AQ90" s="49" cm="1">
        <f t="array" ref="AQ90">$G$10+VLOOKUP($Q90,武学奇术!$A:$ZZ,7,FALSE)+SUM(_xlfn.XLOOKUP(R90:AF90,增益!$A:$A,增益!$G:$G,0))</f>
        <v>0.1</v>
      </c>
      <c r="AR90" s="41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49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49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49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49" cm="1">
        <f t="array" ref="AZ90">$G$12+VLOOKUP($Q90,武学奇术!$A:$ZZ,12,FALSE)+SUM(_xlfn.XLOOKUP(R90:AF90,增益!$A:$A,增益!$L:$L,0))</f>
        <v>0</v>
      </c>
      <c r="BA90">
        <f t="shared" si="16"/>
        <v>571.2</v>
      </c>
      <c r="BB90">
        <f t="shared" si="17"/>
        <v>1077.4</v>
      </c>
      <c r="BC90" s="49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49" cm="1">
        <f t="array" ref="BD90">$G$13+VLOOKUP($Q90,武学奇术!$A:$ZZ,14,FALSE)+SUM(_xlfn.XLOOKUP(R90:AF90,增益!$A:$A,增益!$N:$N,0))</f>
        <v>0.25</v>
      </c>
      <c r="BE90">
        <f t="shared" si="18"/>
        <v>0</v>
      </c>
      <c r="BF90">
        <f t="shared" si="19"/>
        <v>0</v>
      </c>
      <c r="BG90" s="49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49" cm="1">
        <f t="array" ref="BH90">$G$14+VLOOKUP($Q90,武学奇术!$A:$ZZ,16,FALSE)+SUM(_xlfn.XLOOKUP(R90:AF90,增益!$A:$A,增益!$P:$P,0))</f>
        <v>0</v>
      </c>
      <c r="BI90" s="41">
        <f>MIN(IF(VLOOKUP($Q90,武学奇术!$A:$ZZ,23,FALSE)=1,100%,$B$8),100%)</f>
        <v>1</v>
      </c>
      <c r="BJ90" s="41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0.9045</v>
      </c>
      <c r="BK90" s="41" cm="1">
        <f t="array" ref="BK90">1+$B$13+VLOOKUP($Q90,武学奇术!$A:$ZZ,18,FALSE)+SUM(_xlfn.XLOOKUP(R90:AF90,增益!$A:$A,增益!$R:$R,0))</f>
        <v>1.6</v>
      </c>
      <c r="BL90" s="41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0.0929</v>
      </c>
      <c r="BM90" s="41" cm="1">
        <f t="array" ref="BM90">1+$B$14+VLOOKUP($Q90,武学奇术!$A:$ZZ,20,FALSE)+SUM(_xlfn.XLOOKUP(R90:AF90,增益!$A:$A,增益!$T:$T,0))</f>
        <v>1.35</v>
      </c>
      <c r="BN90" s="41">
        <f t="shared" si="20"/>
        <v>0.9045</v>
      </c>
      <c r="BO90" s="41">
        <f t="shared" si="21"/>
        <v>0.00260000000000005</v>
      </c>
      <c r="BP90" s="41">
        <f>IF(VLOOKUP($Q90,武学奇术!$A:$ZZ,22,FALSE)=1,0,(1-$BI90))*(1-$BL90)</f>
        <v>0</v>
      </c>
      <c r="BQ90" s="41" cm="1">
        <f t="array" ref="BQ90">SUM(_xlfn.XLOOKUP(R90:AF90,增益!$A:$A,增益!$W:$W,0))+$I$5</f>
        <v>0.11</v>
      </c>
    </row>
    <row r="91" spans="5:69">
      <c r="K91" s="55">
        <f t="shared" si="11"/>
        <v>110842.467039372</v>
      </c>
      <c r="L91" s="55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弹道",$B$21,0))*(1+$BQ91)</f>
        <v>111138.012770311</v>
      </c>
      <c r="M91" s="55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弹道",$B$21,0))*(1+$BQ91)</f>
        <v>107956.680897992</v>
      </c>
      <c r="N91" s="55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弹道",$B$21,0))*(1+$BQ91)</f>
        <v>56703.0677399544</v>
      </c>
      <c r="O91" s="55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弹道",$B$21,0))*(1+$BQ91)</f>
        <v>33438.2237036186</v>
      </c>
      <c r="P91" s="56">
        <v>1</v>
      </c>
      <c r="Q91" s="57" t="s">
        <v>155</v>
      </c>
      <c r="R91" s="57" t="s">
        <v>116</v>
      </c>
      <c r="S91" s="57" t="s">
        <v>153</v>
      </c>
      <c r="T91" s="57" t="s">
        <v>72</v>
      </c>
      <c r="U91" s="57" t="s">
        <v>157</v>
      </c>
      <c r="V91" s="57" t="s">
        <v>156</v>
      </c>
      <c r="W91" s="57" t="s">
        <v>72</v>
      </c>
      <c r="X91" s="57" t="s">
        <v>159</v>
      </c>
      <c r="Y91" s="57" t="s">
        <v>72</v>
      </c>
      <c r="Z91" s="57" t="s">
        <v>72</v>
      </c>
      <c r="AA91" s="57" t="s">
        <v>72</v>
      </c>
      <c r="AB91" s="57" t="s">
        <v>72</v>
      </c>
      <c r="AC91" s="57" t="s">
        <v>72</v>
      </c>
      <c r="AD91" s="57" t="s">
        <v>72</v>
      </c>
      <c r="AE91" s="57" t="s">
        <v>72</v>
      </c>
      <c r="AF91" s="57" t="s">
        <v>87</v>
      </c>
      <c r="AG91" t="str">
        <f>VLOOKUP($Q91,武学奇术!$A:$ZZ,25,FALSE)</f>
        <v>扇</v>
      </c>
      <c r="AH91" s="41">
        <f>VLOOKUP($Q91,武学奇术!$A:$ZZ,26,FALSE)</f>
        <v>4.376825</v>
      </c>
      <c r="AI91" s="42">
        <f>VLOOKUP($Q91,武学奇术!$A:$ZZ,27,FALSE)*(1+IF(OR($AG91=$F$4,$AG91=$F$5),$B$22,0))</f>
        <v>1695.05</v>
      </c>
      <c r="AJ91" s="41">
        <f>VLOOKUP($Q91,武学奇术!$A:$ZZ,28,FALSE)</f>
        <v>6.56531</v>
      </c>
      <c r="AK91" s="42">
        <f>VLOOKUP($Q91,武学奇术!$A:$ZZ,29,FALSE)*(1+IF(OR($AG91=$F$4,$AG91=$F$5),$B$22,0))</f>
        <v>923.65</v>
      </c>
      <c r="AL91" s="41" cm="1">
        <f t="array" ref="AL91">$G$3+IFERROR(VLOOKUP($AG91,$F$4:$G$7,2,FALSE),0)+VLOOKUP($Q91,武学奇术!$A:$ZZ,2,FALSE)+SUM(_xlfn.XLOOKUP($R91:$AF91,增益!$A:$A,增益!$B:$B,0))</f>
        <v>0.4189</v>
      </c>
      <c r="AM91" s="41" cm="1">
        <f t="array" ref="AM91">VLOOKUP($Q91,武学奇术!$A:$ZZ,5,FALSE)+SUM(_xlfn.XLOOKUP($R91:$AF91,增益!$A:$A,增益!$E:$E,0))</f>
        <v>0.15</v>
      </c>
      <c r="AN91" cm="1">
        <f t="array" ref="AN91">$D$10*(1+$AM91)+VLOOKUP($Q91,武学奇术!$A:$ZZ,3,FALSE)+SUM(_xlfn.XLOOKUP($R91:$AF91,增益!$A:$A,增益!$C:$C,0))-$I$2</f>
        <v>2088.71</v>
      </c>
      <c r="AO91" cm="1">
        <f t="array" ref="AO91">$E$10*(1+$AM91)+VLOOKUP($Q91,武学奇术!$A:$ZZ,4,FALSE)+SUM(_xlfn.XLOOKUP($R91:$AF91,增益!$A:$A,增益!$D:$D,0))-$I$2</f>
        <v>6332.9</v>
      </c>
      <c r="AP91" s="49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0.2425</v>
      </c>
      <c r="AQ91" s="49" cm="1">
        <f t="array" ref="AQ91">$G$10+VLOOKUP($Q91,武学奇术!$A:$ZZ,7,FALSE)+SUM(_xlfn.XLOOKUP(R91:AF91,增益!$A:$A,增益!$G:$G,0))</f>
        <v>0.1</v>
      </c>
      <c r="AR91" s="41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49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49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49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49" cm="1">
        <f t="array" ref="AZ91">$G$12+VLOOKUP($Q91,武学奇术!$A:$ZZ,12,FALSE)+SUM(_xlfn.XLOOKUP(R91:AF91,增益!$A:$A,增益!$L:$L,0))</f>
        <v>0</v>
      </c>
      <c r="BA91">
        <f t="shared" si="16"/>
        <v>571.2</v>
      </c>
      <c r="BB91">
        <f t="shared" si="17"/>
        <v>1077.4</v>
      </c>
      <c r="BC91" s="49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49" cm="1">
        <f t="array" ref="BD91">$G$13+VLOOKUP($Q91,武学奇术!$A:$ZZ,14,FALSE)+SUM(_xlfn.XLOOKUP(R91:AF91,增益!$A:$A,增益!$N:$N,0))</f>
        <v>0.25</v>
      </c>
      <c r="BE91">
        <f t="shared" si="18"/>
        <v>0</v>
      </c>
      <c r="BF91">
        <f t="shared" si="19"/>
        <v>0</v>
      </c>
      <c r="BG91" s="49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49" cm="1">
        <f t="array" ref="BH91">$G$14+VLOOKUP($Q91,武学奇术!$A:$ZZ,16,FALSE)+SUM(_xlfn.XLOOKUP(R91:AF91,增益!$A:$A,增益!$P:$P,0))</f>
        <v>0</v>
      </c>
      <c r="BI91" s="41">
        <f>MIN(IF(VLOOKUP($Q91,武学奇术!$A:$ZZ,23,FALSE)=1,100%,$B$8),100%)</f>
        <v>1</v>
      </c>
      <c r="BJ91" s="41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0.933</v>
      </c>
      <c r="BK91" s="41" cm="1">
        <f t="array" ref="BK91">1+$B$13+VLOOKUP($Q91,武学奇术!$A:$ZZ,18,FALSE)+SUM(_xlfn.XLOOKUP(R91:AF91,增益!$A:$A,增益!$R:$R,0))</f>
        <v>1.96</v>
      </c>
      <c r="BL91" s="41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0.0929</v>
      </c>
      <c r="BM91" s="41" cm="1">
        <f t="array" ref="BM91">1+$B$14+VLOOKUP($Q91,武学奇术!$A:$ZZ,20,FALSE)+SUM(_xlfn.XLOOKUP(R91:AF91,增益!$A:$A,增益!$T:$T,0))</f>
        <v>1.35</v>
      </c>
      <c r="BN91" s="41">
        <f t="shared" si="20"/>
        <v>0.9071</v>
      </c>
      <c r="BO91" s="41">
        <f t="shared" si="21"/>
        <v>0</v>
      </c>
      <c r="BP91" s="41">
        <f>IF(VLOOKUP($Q91,武学奇术!$A:$ZZ,22,FALSE)=1,0,(1-$BI91))*(1-$BL91)</f>
        <v>0</v>
      </c>
      <c r="BQ91" s="41" cm="1">
        <f t="array" ref="BQ91">SUM(_xlfn.XLOOKUP(R91:AF91,增益!$A:$A,增益!$W:$W,0))+$I$5</f>
        <v>0.11</v>
      </c>
    </row>
    <row r="92" spans="5:69">
      <c r="K92" s="55">
        <f t="shared" si="11"/>
        <v>33435.7379010288</v>
      </c>
      <c r="L92" s="55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弹道",$B$21,0))*(1+$BQ92)</f>
        <v>32887.55504822</v>
      </c>
      <c r="M92" s="55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弹道",$B$21,0))*(1+$BQ92)</f>
        <v>39133.4992783687</v>
      </c>
      <c r="N92" s="55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弹道",$B$21,0))*(1+$BQ92)</f>
        <v>20554.7219051375</v>
      </c>
      <c r="O92" s="55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弹道",$B$21,0))*(1+$BQ92)</f>
        <v>12121.666567039</v>
      </c>
      <c r="P92" s="56">
        <v>1</v>
      </c>
      <c r="Q92" s="57" t="s">
        <v>94</v>
      </c>
      <c r="R92" s="57" t="s">
        <v>116</v>
      </c>
      <c r="S92" s="57" t="s">
        <v>153</v>
      </c>
      <c r="T92" s="57" t="s">
        <v>72</v>
      </c>
      <c r="U92" s="57" t="s">
        <v>157</v>
      </c>
      <c r="V92" s="57" t="s">
        <v>72</v>
      </c>
      <c r="W92" s="57" t="s">
        <v>72</v>
      </c>
      <c r="X92" s="57" t="s">
        <v>72</v>
      </c>
      <c r="Y92" s="57" t="s">
        <v>72</v>
      </c>
      <c r="Z92" s="57" t="s">
        <v>72</v>
      </c>
      <c r="AA92" s="57" t="s">
        <v>72</v>
      </c>
      <c r="AB92" s="57" t="s">
        <v>72</v>
      </c>
      <c r="AC92" s="57" t="s">
        <v>72</v>
      </c>
      <c r="AD92" s="57" t="s">
        <v>72</v>
      </c>
      <c r="AE92" s="57" t="s">
        <v>72</v>
      </c>
      <c r="AF92" s="57" t="s">
        <v>87</v>
      </c>
      <c r="AG92" t="str">
        <f>VLOOKUP($Q92,武学奇术!$A:$ZZ,25,FALSE)</f>
        <v>伞</v>
      </c>
      <c r="AH92" s="41">
        <f>VLOOKUP($Q92,武学奇术!$A:$ZZ,26,FALSE)</f>
        <v>1.7001</v>
      </c>
      <c r="AI92" s="42">
        <f>VLOOKUP($Q92,武学奇术!$A:$ZZ,27,FALSE)*(1+IF(OR($AG92=$F$4,$AG92=$F$5),$B$22,0))</f>
        <v>659.4</v>
      </c>
      <c r="AJ92" s="41">
        <f>VLOOKUP($Q92,武学奇术!$A:$ZZ,28,FALSE)</f>
        <v>2.5502</v>
      </c>
      <c r="AK92" s="42">
        <f>VLOOKUP($Q92,武学奇术!$A:$ZZ,29,FALSE)*(1+IF(OR($AG92=$F$4,$AG92=$F$5),$B$22,0))</f>
        <v>358.4</v>
      </c>
      <c r="AL92" s="41" cm="1">
        <f t="array" ref="AL92">$G$3+IFERROR(VLOOKUP($AG92,$F$4:$G$7,2,FALSE),0)+VLOOKUP($Q92,武学奇术!$A:$ZZ,2,FALSE)+SUM(_xlfn.XLOOKUP($R92:$AF92,增益!$A:$A,增益!$B:$B,0))</f>
        <v>0.3241</v>
      </c>
      <c r="AM92" s="41" cm="1">
        <f t="array" ref="AM92">VLOOKUP($Q92,武学奇术!$A:$ZZ,5,FALSE)+SUM(_xlfn.XLOOKUP($R92:$AF92,增益!$A:$A,增益!$E:$E,0))</f>
        <v>0.15</v>
      </c>
      <c r="AN92" cm="1">
        <f t="array" ref="AN92">$D$10*(1+$AM92)+VLOOKUP($Q92,武学奇术!$A:$ZZ,3,FALSE)+SUM(_xlfn.XLOOKUP($R92:$AF92,增益!$A:$A,增益!$C:$C,0))-$I$2</f>
        <v>2088.71</v>
      </c>
      <c r="AO92" cm="1">
        <f t="array" ref="AO92">$E$10*(1+$AM92)+VLOOKUP($Q92,武学奇术!$A:$ZZ,4,FALSE)+SUM(_xlfn.XLOOKUP($R92:$AF92,增益!$A:$A,增益!$D:$D,0))-$I$2</f>
        <v>6332.9</v>
      </c>
      <c r="AP92" s="49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0.2425</v>
      </c>
      <c r="AQ92" s="49" cm="1">
        <f t="array" ref="AQ92">$G$10+VLOOKUP($Q92,武学奇术!$A:$ZZ,7,FALSE)+SUM(_xlfn.XLOOKUP(R92:AF92,增益!$A:$A,增益!$G:$G,0))</f>
        <v>0.1</v>
      </c>
      <c r="AR92" s="41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49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49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49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49" cm="1">
        <f t="array" ref="AZ92">$G$12+VLOOKUP($Q92,武学奇术!$A:$ZZ,12,FALSE)+SUM(_xlfn.XLOOKUP(R92:AF92,增益!$A:$A,增益!$L:$L,0))</f>
        <v>0</v>
      </c>
      <c r="BA92">
        <f t="shared" si="16"/>
        <v>571.2</v>
      </c>
      <c r="BB92">
        <f t="shared" si="17"/>
        <v>1077.4</v>
      </c>
      <c r="BC92" s="49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49" cm="1">
        <f t="array" ref="BD92">$G$13+VLOOKUP($Q92,武学奇术!$A:$ZZ,14,FALSE)+SUM(_xlfn.XLOOKUP(R92:AF92,增益!$A:$A,增益!$N:$N,0))</f>
        <v>0.25</v>
      </c>
      <c r="BE92">
        <f t="shared" si="18"/>
        <v>0</v>
      </c>
      <c r="BF92">
        <f t="shared" si="19"/>
        <v>0</v>
      </c>
      <c r="BG92" s="49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49" cm="1">
        <f t="array" ref="BH92">$G$14+VLOOKUP($Q92,武学奇术!$A:$ZZ,16,FALSE)+SUM(_xlfn.XLOOKUP(R92:AF92,增益!$A:$A,增益!$P:$P,0))</f>
        <v>0</v>
      </c>
      <c r="BI92" s="41">
        <f>MIN(IF(VLOOKUP($Q92,武学奇术!$A:$ZZ,23,FALSE)=1,100%,$B$8),100%)</f>
        <v>1</v>
      </c>
      <c r="BJ92" s="41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0.9045</v>
      </c>
      <c r="BK92" s="41" cm="1">
        <f t="array" ref="BK92">1+$B$13+VLOOKUP($Q92,武学奇术!$A:$ZZ,18,FALSE)+SUM(_xlfn.XLOOKUP(R92:AF92,增益!$A:$A,增益!$R:$R,0))</f>
        <v>1.6</v>
      </c>
      <c r="BL92" s="41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0.0929</v>
      </c>
      <c r="BM92" s="41" cm="1">
        <f t="array" ref="BM92">1+$B$14+VLOOKUP($Q92,武学奇术!$A:$ZZ,20,FALSE)+SUM(_xlfn.XLOOKUP(R92:AF92,增益!$A:$A,增益!$T:$T,0))</f>
        <v>1.35</v>
      </c>
      <c r="BN92" s="41">
        <f t="shared" si="20"/>
        <v>0.9045</v>
      </c>
      <c r="BO92" s="41">
        <f t="shared" si="21"/>
        <v>0.00260000000000005</v>
      </c>
      <c r="BP92" s="41">
        <f>IF(VLOOKUP($Q92,武学奇术!$A:$ZZ,22,FALSE)=1,0,(1-$BI92))*(1-$BL92)</f>
        <v>0</v>
      </c>
      <c r="BQ92" s="41" cm="1">
        <f t="array" ref="BQ92">SUM(_xlfn.XLOOKUP(R92:AF92,增益!$A:$A,增益!$W:$W,0))+$I$5</f>
        <v>0.11</v>
      </c>
    </row>
    <row r="93" spans="5:69">
      <c r="K93" s="55">
        <f t="shared" si="11"/>
        <v>14010.6601570169</v>
      </c>
      <c r="L93" s="55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弹道",$B$21,0))*(1+$BQ93)</f>
        <v>13780.7004027045</v>
      </c>
      <c r="M93" s="55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弹道",$B$21,0))*(1+$BQ93)</f>
        <v>16400.6781982374</v>
      </c>
      <c r="N93" s="55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弹道",$B$21,0))*(1+$BQ93)</f>
        <v>8612.9377516903</v>
      </c>
      <c r="O93" s="55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弹道",$B$21,0))*(1+$BQ93)</f>
        <v>5077.22498616773</v>
      </c>
      <c r="P93" s="56">
        <v>1</v>
      </c>
      <c r="Q93" s="57" t="s">
        <v>99</v>
      </c>
      <c r="R93" s="57" t="s">
        <v>116</v>
      </c>
      <c r="S93" s="57" t="s">
        <v>153</v>
      </c>
      <c r="T93" s="57" t="s">
        <v>72</v>
      </c>
      <c r="U93" s="57" t="s">
        <v>157</v>
      </c>
      <c r="V93" s="57" t="s">
        <v>72</v>
      </c>
      <c r="W93" s="57" t="s">
        <v>72</v>
      </c>
      <c r="X93" s="57" t="s">
        <v>72</v>
      </c>
      <c r="Y93" s="57" t="s">
        <v>72</v>
      </c>
      <c r="Z93" s="57" t="s">
        <v>72</v>
      </c>
      <c r="AA93" s="57" t="s">
        <v>72</v>
      </c>
      <c r="AB93" s="57" t="s">
        <v>72</v>
      </c>
      <c r="AC93" s="57" t="s">
        <v>72</v>
      </c>
      <c r="AD93" s="57" t="s">
        <v>72</v>
      </c>
      <c r="AE93" s="57" t="s">
        <v>72</v>
      </c>
      <c r="AF93" s="57" t="s">
        <v>87</v>
      </c>
      <c r="AG93" t="str">
        <f>VLOOKUP($Q93,武学奇术!$A:$ZZ,25,FALSE)</f>
        <v>伞</v>
      </c>
      <c r="AH93" s="41">
        <f>VLOOKUP($Q93,武学奇术!$A:$ZZ,26,FALSE)</f>
        <v>0.54</v>
      </c>
      <c r="AI93" s="42">
        <f>VLOOKUP($Q93,武学奇术!$A:$ZZ,27,FALSE)*(1+IF(OR($AG93=$F$4,$AG93=$F$5),$B$22,0))</f>
        <v>207.2</v>
      </c>
      <c r="AJ93" s="41">
        <f>VLOOKUP($Q93,武学奇术!$A:$ZZ,28,FALSE)</f>
        <v>0.81</v>
      </c>
      <c r="AK93" s="42">
        <f>VLOOKUP($Q93,武学奇术!$A:$ZZ,29,FALSE)*(1+IF(OR($AG93=$F$4,$AG93=$F$5),$B$22,0))</f>
        <v>114.1</v>
      </c>
      <c r="AL93" s="41" cm="1">
        <f t="array" ref="AL93">$G$3+IFERROR(VLOOKUP($AG93,$F$4:$G$7,2,FALSE),0)+VLOOKUP($Q93,武学奇术!$A:$ZZ,2,FALSE)+SUM(_xlfn.XLOOKUP($R93:$AF93,增益!$A:$A,增益!$B:$B,0))</f>
        <v>0.3241</v>
      </c>
      <c r="AM93" s="41" cm="1">
        <f t="array" ref="AM93">VLOOKUP($Q93,武学奇术!$A:$ZZ,5,FALSE)+SUM(_xlfn.XLOOKUP($R93:$AF93,增益!$A:$A,增益!$E:$E,0))</f>
        <v>0.15</v>
      </c>
      <c r="AN93" cm="1">
        <f t="array" ref="AN93">$D$10*(1+$AM93)+VLOOKUP($Q93,武学奇术!$A:$ZZ,3,FALSE)+SUM(_xlfn.XLOOKUP($R93:$AF93,增益!$A:$A,增益!$C:$C,0))-$I$2</f>
        <v>2088.71</v>
      </c>
      <c r="AO93" cm="1">
        <f t="array" ref="AO93">$E$10*(1+$AM93)+VLOOKUP($Q93,武学奇术!$A:$ZZ,4,FALSE)+SUM(_xlfn.XLOOKUP($R93:$AF93,增益!$A:$A,增益!$D:$D,0))-$I$2</f>
        <v>6332.9</v>
      </c>
      <c r="AP93" s="49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0.2425</v>
      </c>
      <c r="AQ93" s="49" cm="1">
        <f t="array" ref="AQ93">$G$10+VLOOKUP($Q93,武学奇术!$A:$ZZ,7,FALSE)+SUM(_xlfn.XLOOKUP(R93:AF93,增益!$A:$A,增益!$G:$G,0))</f>
        <v>0.1</v>
      </c>
      <c r="AR93" s="41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49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49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49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49" cm="1">
        <f t="array" ref="AZ93">$G$12+VLOOKUP($Q93,武学奇术!$A:$ZZ,12,FALSE)+SUM(_xlfn.XLOOKUP(R93:AF93,增益!$A:$A,增益!$L:$L,0))</f>
        <v>0</v>
      </c>
      <c r="BA93">
        <f t="shared" si="16"/>
        <v>571.2</v>
      </c>
      <c r="BB93">
        <f t="shared" si="17"/>
        <v>1077.4</v>
      </c>
      <c r="BC93" s="49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49" cm="1">
        <f t="array" ref="BD93">$G$13+VLOOKUP($Q93,武学奇术!$A:$ZZ,14,FALSE)+SUM(_xlfn.XLOOKUP(R93:AF93,增益!$A:$A,增益!$N:$N,0))</f>
        <v>0.25</v>
      </c>
      <c r="BE93">
        <f t="shared" si="18"/>
        <v>0</v>
      </c>
      <c r="BF93">
        <f t="shared" si="19"/>
        <v>0</v>
      </c>
      <c r="BG93" s="49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49" cm="1">
        <f t="array" ref="BH93">$G$14+VLOOKUP($Q93,武学奇术!$A:$ZZ,16,FALSE)+SUM(_xlfn.XLOOKUP(R93:AF93,增益!$A:$A,增益!$P:$P,0))</f>
        <v>0</v>
      </c>
      <c r="BI93" s="41">
        <f>MIN(IF(VLOOKUP($Q93,武学奇术!$A:$ZZ,23,FALSE)=1,100%,$B$8),100%)</f>
        <v>1</v>
      </c>
      <c r="BJ93" s="41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0.9045</v>
      </c>
      <c r="BK93" s="41" cm="1">
        <f t="array" ref="BK93">1+$B$13+VLOOKUP($Q93,武学奇术!$A:$ZZ,18,FALSE)+SUM(_xlfn.XLOOKUP(R93:AF93,增益!$A:$A,增益!$R:$R,0))</f>
        <v>1.6</v>
      </c>
      <c r="BL93" s="41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0.0929</v>
      </c>
      <c r="BM93" s="41" cm="1">
        <f t="array" ref="BM93">1+$B$14+VLOOKUP($Q93,武学奇术!$A:$ZZ,20,FALSE)+SUM(_xlfn.XLOOKUP(R93:AF93,增益!$A:$A,增益!$T:$T,0))</f>
        <v>1.35</v>
      </c>
      <c r="BN93" s="41">
        <f t="shared" si="20"/>
        <v>0.9045</v>
      </c>
      <c r="BO93" s="41">
        <f t="shared" si="21"/>
        <v>0.00260000000000005</v>
      </c>
      <c r="BP93" s="41">
        <f>IF(VLOOKUP($Q93,武学奇术!$A:$ZZ,22,FALSE)=1,0,(1-$BI93))*(1-$BL93)</f>
        <v>0</v>
      </c>
      <c r="BQ93" s="41" cm="1">
        <f t="array" ref="BQ93">SUM(_xlfn.XLOOKUP(R93:AF93,增益!$A:$A,增益!$W:$W,0))+$I$5</f>
        <v>0.11</v>
      </c>
    </row>
    <row r="94" spans="5:69">
      <c r="K94" s="55">
        <f t="shared" si="11"/>
        <v>55409.731746732</v>
      </c>
      <c r="L94" s="55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弹道",$B$21,0))*(1+$BQ94)</f>
        <v>55625.5143331261</v>
      </c>
      <c r="M94" s="55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弹道",$B$21,0))*(1+$BQ94)</f>
        <v>54065.2861661433</v>
      </c>
      <c r="N94" s="55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弹道",$B$21,0))*(1+$BQ94)</f>
        <v>28380.3644556766</v>
      </c>
      <c r="O94" s="55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弹道",$B$21,0))*(1+$BQ94)</f>
        <v>16712.368788284</v>
      </c>
      <c r="P94" s="56">
        <v>1</v>
      </c>
      <c r="Q94" s="57" t="s">
        <v>102</v>
      </c>
      <c r="R94" s="57" t="s">
        <v>116</v>
      </c>
      <c r="S94" s="57" t="s">
        <v>153</v>
      </c>
      <c r="T94" s="57" t="s">
        <v>92</v>
      </c>
      <c r="U94" s="57" t="s">
        <v>157</v>
      </c>
      <c r="V94" s="57" t="s">
        <v>86</v>
      </c>
      <c r="W94" s="57" t="s">
        <v>72</v>
      </c>
      <c r="X94" s="57" t="s">
        <v>72</v>
      </c>
      <c r="Y94" s="57" t="s">
        <v>72</v>
      </c>
      <c r="Z94" s="57" t="s">
        <v>72</v>
      </c>
      <c r="AA94" s="57" t="s">
        <v>72</v>
      </c>
      <c r="AB94" s="57" t="s">
        <v>72</v>
      </c>
      <c r="AC94" s="57" t="s">
        <v>72</v>
      </c>
      <c r="AD94" s="57" t="s">
        <v>72</v>
      </c>
      <c r="AE94" s="57" t="s">
        <v>72</v>
      </c>
      <c r="AF94" s="57" t="s">
        <v>87</v>
      </c>
      <c r="AG94" t="str">
        <f>VLOOKUP($Q94,武学奇术!$A:$ZZ,25,FALSE)</f>
        <v>伞</v>
      </c>
      <c r="AH94" s="41">
        <f>VLOOKUP($Q94,武学奇术!$A:$ZZ,26,FALSE)</f>
        <v>1.174955</v>
      </c>
      <c r="AI94" s="42">
        <f>VLOOKUP($Q94,武学奇术!$A:$ZZ,27,FALSE)*(1+IF(OR($AG94=$F$4,$AG94=$F$5),$B$22,0))</f>
        <v>454.02</v>
      </c>
      <c r="AJ94" s="41">
        <f>VLOOKUP($Q94,武学奇术!$A:$ZZ,28,FALSE)</f>
        <v>1.762375</v>
      </c>
      <c r="AK94" s="42">
        <f>VLOOKUP($Q94,武学奇术!$A:$ZZ,29,FALSE)*(1+IF(OR($AG94=$F$4,$AG94=$F$5),$B$22,0))</f>
        <v>247.94</v>
      </c>
      <c r="AL94" s="41" cm="1">
        <f t="array" ref="AL94">$G$3+IFERROR(VLOOKUP($AG94,$F$4:$G$7,2,FALSE),0)+VLOOKUP($Q94,武学奇术!$A:$ZZ,2,FALSE)+SUM(_xlfn.XLOOKUP($R94:$AF94,增益!$A:$A,增益!$B:$B,0))</f>
        <v>0.9741</v>
      </c>
      <c r="AM94" s="41" cm="1">
        <f t="array" ref="AM94">VLOOKUP($Q94,武学奇术!$A:$ZZ,5,FALSE)+SUM(_xlfn.XLOOKUP($R94:$AF94,增益!$A:$A,增益!$E:$E,0))</f>
        <v>0.15</v>
      </c>
      <c r="AN94" cm="1">
        <f t="array" ref="AN94">$D$10*(1+$AM94)+VLOOKUP($Q94,武学奇术!$A:$ZZ,3,FALSE)+SUM(_xlfn.XLOOKUP($R94:$AF94,增益!$A:$A,增益!$C:$C,0))-$I$2</f>
        <v>2088.71</v>
      </c>
      <c r="AO94" cm="1">
        <f t="array" ref="AO94">$E$10*(1+$AM94)+VLOOKUP($Q94,武学奇术!$A:$ZZ,4,FALSE)+SUM(_xlfn.XLOOKUP($R94:$AF94,增益!$A:$A,增益!$D:$D,0))-$I$2</f>
        <v>6332.9</v>
      </c>
      <c r="AP94" s="49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0.2675</v>
      </c>
      <c r="AQ94" s="49" cm="1">
        <f t="array" ref="AQ94">$G$10+VLOOKUP($Q94,武学奇术!$A:$ZZ,7,FALSE)+SUM(_xlfn.XLOOKUP(R94:AF94,增益!$A:$A,增益!$G:$G,0))</f>
        <v>0.1</v>
      </c>
      <c r="AR94" s="41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49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49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49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49" cm="1">
        <f t="array" ref="AZ94">$G$12+VLOOKUP($Q94,武学奇术!$A:$ZZ,12,FALSE)+SUM(_xlfn.XLOOKUP(R94:AF94,增益!$A:$A,增益!$L:$L,0))</f>
        <v>0</v>
      </c>
      <c r="BA94">
        <f t="shared" si="16"/>
        <v>571.2</v>
      </c>
      <c r="BB94">
        <f t="shared" si="17"/>
        <v>1077.4</v>
      </c>
      <c r="BC94" s="49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49" cm="1">
        <f t="array" ref="BD94">$G$13+VLOOKUP($Q94,武学奇术!$A:$ZZ,14,FALSE)+SUM(_xlfn.XLOOKUP(R94:AF94,增益!$A:$A,增益!$N:$N,0))</f>
        <v>0.25</v>
      </c>
      <c r="BE94">
        <f t="shared" si="18"/>
        <v>0</v>
      </c>
      <c r="BF94">
        <f t="shared" si="19"/>
        <v>0</v>
      </c>
      <c r="BG94" s="49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49" cm="1">
        <f t="array" ref="BH94">$G$14+VLOOKUP($Q94,武学奇术!$A:$ZZ,16,FALSE)+SUM(_xlfn.XLOOKUP(R94:AF94,增益!$A:$A,增益!$P:$P,0))</f>
        <v>0</v>
      </c>
      <c r="BI94" s="41">
        <f>MIN(IF(VLOOKUP($Q94,武学奇术!$A:$ZZ,23,FALSE)=1,100%,$B$8),100%)</f>
        <v>1</v>
      </c>
      <c r="BJ94" s="41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0.9045</v>
      </c>
      <c r="BK94" s="41" cm="1">
        <f t="array" ref="BK94">1+$B$13+VLOOKUP($Q94,武学奇术!$A:$ZZ,18,FALSE)+SUM(_xlfn.XLOOKUP(R94:AF94,增益!$A:$A,增益!$R:$R,0))</f>
        <v>1.96</v>
      </c>
      <c r="BL94" s="41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0.0929</v>
      </c>
      <c r="BM94" s="41" cm="1">
        <f t="array" ref="BM94">1+$B$14+VLOOKUP($Q94,武学奇术!$A:$ZZ,20,FALSE)+SUM(_xlfn.XLOOKUP(R94:AF94,增益!$A:$A,增益!$T:$T,0))</f>
        <v>1.35</v>
      </c>
      <c r="BN94" s="41">
        <f t="shared" si="20"/>
        <v>0.9045</v>
      </c>
      <c r="BO94" s="41">
        <f t="shared" si="21"/>
        <v>0.00260000000000005</v>
      </c>
      <c r="BP94" s="41">
        <f>IF(VLOOKUP($Q94,武学奇术!$A:$ZZ,22,FALSE)=1,0,(1-$BI94))*(1-$BL94)</f>
        <v>0</v>
      </c>
      <c r="BQ94" s="41" cm="1">
        <f t="array" ref="BQ94">SUM(_xlfn.XLOOKUP(R94:AF94,增益!$A:$A,增益!$W:$W,0))+$I$5</f>
        <v>0.11</v>
      </c>
    </row>
    <row r="95" spans="5:69">
      <c r="K95" s="55">
        <f t="shared" si="11"/>
        <v>277048.65873366</v>
      </c>
      <c r="L95" s="55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弹道",$B$21,0))*(1+$BQ95)</f>
        <v>278127.57166563</v>
      </c>
      <c r="M95" s="55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弹道",$B$21,0))*(1+$BQ95)</f>
        <v>270326.430830716</v>
      </c>
      <c r="N95" s="55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弹道",$B$21,0))*(1+$BQ95)</f>
        <v>141901.822278383</v>
      </c>
      <c r="O95" s="55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弹道",$B$21,0))*(1+$BQ95)</f>
        <v>83561.8439414202</v>
      </c>
      <c r="P95" s="56">
        <v>5</v>
      </c>
      <c r="Q95" s="57" t="s">
        <v>102</v>
      </c>
      <c r="R95" s="57" t="s">
        <v>116</v>
      </c>
      <c r="S95" s="57" t="s">
        <v>153</v>
      </c>
      <c r="T95" s="57" t="s">
        <v>92</v>
      </c>
      <c r="U95" s="57" t="s">
        <v>157</v>
      </c>
      <c r="V95" s="57" t="s">
        <v>86</v>
      </c>
      <c r="W95" s="57" t="s">
        <v>72</v>
      </c>
      <c r="X95" s="57" t="s">
        <v>72</v>
      </c>
      <c r="Y95" s="57" t="s">
        <v>72</v>
      </c>
      <c r="Z95" s="57" t="s">
        <v>72</v>
      </c>
      <c r="AA95" s="57" t="s">
        <v>72</v>
      </c>
      <c r="AB95" s="57" t="s">
        <v>72</v>
      </c>
      <c r="AC95" s="57" t="s">
        <v>72</v>
      </c>
      <c r="AD95" s="57" t="s">
        <v>72</v>
      </c>
      <c r="AE95" s="57" t="s">
        <v>72</v>
      </c>
      <c r="AF95" s="57" t="s">
        <v>87</v>
      </c>
      <c r="AG95" t="str">
        <f>VLOOKUP($Q95,武学奇术!$A:$ZZ,25,FALSE)</f>
        <v>伞</v>
      </c>
      <c r="AH95" s="41">
        <f>VLOOKUP($Q95,武学奇术!$A:$ZZ,26,FALSE)</f>
        <v>1.174955</v>
      </c>
      <c r="AI95" s="42">
        <f>VLOOKUP($Q95,武学奇术!$A:$ZZ,27,FALSE)*(1+IF(OR($AG95=$F$4,$AG95=$F$5),$B$22,0))</f>
        <v>454.02</v>
      </c>
      <c r="AJ95" s="41">
        <f>VLOOKUP($Q95,武学奇术!$A:$ZZ,28,FALSE)</f>
        <v>1.762375</v>
      </c>
      <c r="AK95" s="42">
        <f>VLOOKUP($Q95,武学奇术!$A:$ZZ,29,FALSE)*(1+IF(OR($AG95=$F$4,$AG95=$F$5),$B$22,0))</f>
        <v>247.94</v>
      </c>
      <c r="AL95" s="41" cm="1">
        <f t="array" ref="AL95">$G$3+IFERROR(VLOOKUP($AG95,$F$4:$G$7,2,FALSE),0)+VLOOKUP($Q95,武学奇术!$A:$ZZ,2,FALSE)+SUM(_xlfn.XLOOKUP($R95:$AF95,增益!$A:$A,增益!$B:$B,0))</f>
        <v>0.9741</v>
      </c>
      <c r="AM95" s="41" cm="1">
        <f t="array" ref="AM95">VLOOKUP($Q95,武学奇术!$A:$ZZ,5,FALSE)+SUM(_xlfn.XLOOKUP($R95:$AF95,增益!$A:$A,增益!$E:$E,0))</f>
        <v>0.15</v>
      </c>
      <c r="AN95" cm="1">
        <f t="array" ref="AN95">$D$10*(1+$AM95)+VLOOKUP($Q95,武学奇术!$A:$ZZ,3,FALSE)+SUM(_xlfn.XLOOKUP($R95:$AF95,增益!$A:$A,增益!$C:$C,0))-$I$2</f>
        <v>2088.71</v>
      </c>
      <c r="AO95" cm="1">
        <f t="array" ref="AO95">$E$10*(1+$AM95)+VLOOKUP($Q95,武学奇术!$A:$ZZ,4,FALSE)+SUM(_xlfn.XLOOKUP($R95:$AF95,增益!$A:$A,增益!$D:$D,0))-$I$2</f>
        <v>6332.9</v>
      </c>
      <c r="AP95" s="49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0.2675</v>
      </c>
      <c r="AQ95" s="49" cm="1">
        <f t="array" ref="AQ95">$G$10+VLOOKUP($Q95,武学奇术!$A:$ZZ,7,FALSE)+SUM(_xlfn.XLOOKUP(R95:AF95,增益!$A:$A,增益!$G:$G,0))</f>
        <v>0.1</v>
      </c>
      <c r="AR95" s="41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49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49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49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49" cm="1">
        <f t="array" ref="AZ95">$G$12+VLOOKUP($Q95,武学奇术!$A:$ZZ,12,FALSE)+SUM(_xlfn.XLOOKUP(R95:AF95,增益!$A:$A,增益!$L:$L,0))</f>
        <v>0</v>
      </c>
      <c r="BA95">
        <f t="shared" si="16"/>
        <v>571.2</v>
      </c>
      <c r="BB95">
        <f t="shared" si="17"/>
        <v>1077.4</v>
      </c>
      <c r="BC95" s="49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49" cm="1">
        <f t="array" ref="BD95">$G$13+VLOOKUP($Q95,武学奇术!$A:$ZZ,14,FALSE)+SUM(_xlfn.XLOOKUP(R95:AF95,增益!$A:$A,增益!$N:$N,0))</f>
        <v>0.25</v>
      </c>
      <c r="BE95">
        <f t="shared" si="18"/>
        <v>0</v>
      </c>
      <c r="BF95">
        <f t="shared" si="19"/>
        <v>0</v>
      </c>
      <c r="BG95" s="49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49" cm="1">
        <f t="array" ref="BH95">$G$14+VLOOKUP($Q95,武学奇术!$A:$ZZ,16,FALSE)+SUM(_xlfn.XLOOKUP(R95:AF95,增益!$A:$A,增益!$P:$P,0))</f>
        <v>0</v>
      </c>
      <c r="BI95" s="41">
        <f>MIN(IF(VLOOKUP($Q95,武学奇术!$A:$ZZ,23,FALSE)=1,100%,$B$8),100%)</f>
        <v>1</v>
      </c>
      <c r="BJ95" s="41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0.9045</v>
      </c>
      <c r="BK95" s="41" cm="1">
        <f t="array" ref="BK95">1+$B$13+VLOOKUP($Q95,武学奇术!$A:$ZZ,18,FALSE)+SUM(_xlfn.XLOOKUP(R95:AF95,增益!$A:$A,增益!$R:$R,0))</f>
        <v>1.96</v>
      </c>
      <c r="BL95" s="41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0.0929</v>
      </c>
      <c r="BM95" s="41" cm="1">
        <f t="array" ref="BM95">1+$B$14+VLOOKUP($Q95,武学奇术!$A:$ZZ,20,FALSE)+SUM(_xlfn.XLOOKUP(R95:AF95,增益!$A:$A,增益!$T:$T,0))</f>
        <v>1.35</v>
      </c>
      <c r="BN95" s="41">
        <f t="shared" si="20"/>
        <v>0.9045</v>
      </c>
      <c r="BO95" s="41">
        <f t="shared" si="21"/>
        <v>0.00260000000000005</v>
      </c>
      <c r="BP95" s="41">
        <f>IF(VLOOKUP($Q95,武学奇术!$A:$ZZ,22,FALSE)=1,0,(1-$BI95))*(1-$BL95)</f>
        <v>0</v>
      </c>
      <c r="BQ95" s="41" cm="1">
        <f t="array" ref="BQ95">SUM(_xlfn.XLOOKUP(R95:AF95,增益!$A:$A,增益!$W:$W,0))+$I$5</f>
        <v>0.11</v>
      </c>
    </row>
    <row r="96" spans="5:69">
      <c r="K96" s="55">
        <f t="shared" si="11"/>
        <v>125937.282090987</v>
      </c>
      <c r="L96" s="55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弹道",$B$21,0))*(1+$BQ96)</f>
        <v>123528.399474632</v>
      </c>
      <c r="M96" s="55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弹道",$B$21,0))*(1+$BQ96)</f>
        <v>150754.694478323</v>
      </c>
      <c r="N96" s="55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弹道",$B$21,0))*(1+$BQ96)</f>
        <v>77205.249671645</v>
      </c>
      <c r="O96" s="55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弹道",$B$21,0))*(1+$BQ96)</f>
        <v>42740.3552852727</v>
      </c>
      <c r="P96" s="56">
        <v>1</v>
      </c>
      <c r="Q96" s="57" t="s">
        <v>129</v>
      </c>
      <c r="R96" s="57" t="s">
        <v>116</v>
      </c>
      <c r="S96" s="57" t="s">
        <v>153</v>
      </c>
      <c r="T96" s="57" t="s">
        <v>72</v>
      </c>
      <c r="U96" s="57" t="s">
        <v>157</v>
      </c>
      <c r="V96" s="57" t="s">
        <v>72</v>
      </c>
      <c r="W96" s="57" t="s">
        <v>72</v>
      </c>
      <c r="X96" s="57" t="s">
        <v>72</v>
      </c>
      <c r="Y96" s="57" t="s">
        <v>72</v>
      </c>
      <c r="Z96" s="57" t="s">
        <v>72</v>
      </c>
      <c r="AA96" s="57" t="s">
        <v>72</v>
      </c>
      <c r="AB96" s="57" t="s">
        <v>72</v>
      </c>
      <c r="AC96" s="57" t="s">
        <v>72</v>
      </c>
      <c r="AD96" s="57" t="s">
        <v>72</v>
      </c>
      <c r="AE96" s="57" t="s">
        <v>72</v>
      </c>
      <c r="AF96" s="57" t="s">
        <v>87</v>
      </c>
      <c r="AG96" t="str">
        <f>VLOOKUP($Q96,武学奇术!$A:$ZZ,25,FALSE)</f>
        <v>单体奇术</v>
      </c>
      <c r="AH96" s="41">
        <f>VLOOKUP($Q96,武学奇术!$A:$ZZ,26,FALSE)</f>
        <v>7.1074</v>
      </c>
      <c r="AI96" s="42">
        <f>VLOOKUP($Q96,武学奇术!$A:$ZZ,27,FALSE)*(1+IF(OR($AG96=$F$4,$AG96=$F$5),$B$22,0))</f>
        <v>1320</v>
      </c>
      <c r="AJ96" s="41">
        <f>VLOOKUP($Q96,武学奇术!$A:$ZZ,28,FALSE)</f>
        <v>10.6596</v>
      </c>
      <c r="AK96" s="42">
        <f>VLOOKUP($Q96,武学奇术!$A:$ZZ,29,FALSE)*(1+IF(OR($AG96=$F$4,$AG96=$F$5),$B$22,0))</f>
        <v>0</v>
      </c>
      <c r="AL96" s="41" cm="1">
        <f t="array" ref="AL96">$G$3+IFERROR(VLOOKUP($AG96,$F$4:$G$7,2,FALSE),0)+VLOOKUP($Q96,武学奇术!$A:$ZZ,2,FALSE)+SUM(_xlfn.XLOOKUP($R96:$AF96,增益!$A:$A,增益!$B:$B,0))</f>
        <v>0.4215</v>
      </c>
      <c r="AM96" s="41" cm="1">
        <f t="array" ref="AM96">VLOOKUP($Q96,武学奇术!$A:$ZZ,5,FALSE)+SUM(_xlfn.XLOOKUP($R96:$AF96,增益!$A:$A,增益!$E:$E,0))</f>
        <v>0.15</v>
      </c>
      <c r="AN96" cm="1">
        <f t="array" ref="AN96">$D$10*(1+$AM96)+VLOOKUP($Q96,武学奇术!$A:$ZZ,3,FALSE)+SUM(_xlfn.XLOOKUP($R96:$AF96,增益!$A:$A,增益!$C:$C,0))-$I$2</f>
        <v>2088.71</v>
      </c>
      <c r="AO96" cm="1">
        <f t="array" ref="AO96">$E$10*(1+$AM96)+VLOOKUP($Q96,武学奇术!$A:$ZZ,4,FALSE)+SUM(_xlfn.XLOOKUP($R96:$AF96,增益!$A:$A,增益!$D:$D,0))-$I$2</f>
        <v>6332.9</v>
      </c>
      <c r="AP96" s="49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0.2425</v>
      </c>
      <c r="AQ96" s="49" cm="1">
        <f t="array" ref="AQ96">$G$10+VLOOKUP($Q96,武学奇术!$A:$ZZ,7,FALSE)+SUM(_xlfn.XLOOKUP(R96:AF96,增益!$A:$A,增益!$G:$G,0))</f>
        <v>0</v>
      </c>
      <c r="AR96" s="41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49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49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49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49" cm="1">
        <f t="array" ref="AZ96">$G$12+VLOOKUP($Q96,武学奇术!$A:$ZZ,12,FALSE)+SUM(_xlfn.XLOOKUP(R96:AF96,增益!$A:$A,增益!$L:$L,0))</f>
        <v>0</v>
      </c>
      <c r="BA96">
        <f t="shared" si="16"/>
        <v>571.2</v>
      </c>
      <c r="BB96">
        <f t="shared" si="17"/>
        <v>1077.4</v>
      </c>
      <c r="BC96" s="49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49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49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49" cm="1">
        <f t="array" ref="BH96">$G$14+VLOOKUP($Q96,武学奇术!$A:$ZZ,16,FALSE)+SUM(_xlfn.XLOOKUP(R96:AF96,增益!$A:$A,增益!$P:$P,0))</f>
        <v>0</v>
      </c>
      <c r="BI96" s="41">
        <f>MIN(IF(VLOOKUP($Q96,武学奇术!$A:$ZZ,23,FALSE)=1,100%,$B$8),100%)</f>
        <v>1</v>
      </c>
      <c r="BJ96" s="41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0.9045</v>
      </c>
      <c r="BK96" s="41" cm="1">
        <f t="array" ref="BK96">1+$B$13+VLOOKUP($Q96,武学奇术!$A:$ZZ,18,FALSE)+SUM(_xlfn.XLOOKUP(R96:AF96,增益!$A:$A,增益!$R:$R,0))</f>
        <v>1.6</v>
      </c>
      <c r="BL96" s="41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0.0929</v>
      </c>
      <c r="BM96" s="41" cm="1">
        <f t="array" ref="BM96">1+$B$14+VLOOKUP($Q96,武学奇术!$A:$ZZ,20,FALSE)+SUM(_xlfn.XLOOKUP(R96:AF96,增益!$A:$A,增益!$T:$T,0))</f>
        <v>1.35</v>
      </c>
      <c r="BN96" s="41">
        <f t="shared" si="20"/>
        <v>0.9045</v>
      </c>
      <c r="BO96" s="41">
        <f t="shared" si="21"/>
        <v>0.00260000000000005</v>
      </c>
      <c r="BP96" s="41">
        <f>IF(VLOOKUP($Q96,武学奇术!$A:$ZZ,22,FALSE)=1,0,(1-$BI96))*(1-$BL96)</f>
        <v>0</v>
      </c>
      <c r="BQ96" s="41" cm="1">
        <f t="array" ref="BQ96">SUM(_xlfn.XLOOKUP(R96:AF96,增益!$A:$A,增益!$W:$W,0))+$I$5</f>
        <v>0.11</v>
      </c>
    </row>
    <row r="97" spans="1:69">
      <c r="K97" s="55">
        <f t="shared" si="11"/>
        <v>200755.782734847</v>
      </c>
      <c r="L97" s="55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弹道",$B$21,0))*(1+$BQ97)</f>
        <v>203616.24941816</v>
      </c>
      <c r="M97" s="55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弹道",$B$21,0))*(1+$BQ97)</f>
        <v>175945.496312095</v>
      </c>
      <c r="N97" s="55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弹道",$B$21,0))*(1+$BQ97)</f>
        <v>92134.0495104799</v>
      </c>
      <c r="O97" s="55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弹道",$B$21,0))*(1+$BQ97)</f>
        <v>53938.1017527408</v>
      </c>
      <c r="P97" s="56">
        <v>2</v>
      </c>
      <c r="Q97" s="57" t="s">
        <v>84</v>
      </c>
      <c r="R97" s="57" t="s">
        <v>116</v>
      </c>
      <c r="S97" s="57" t="s">
        <v>153</v>
      </c>
      <c r="T97" s="57" t="s">
        <v>92</v>
      </c>
      <c r="U97" s="57" t="s">
        <v>157</v>
      </c>
      <c r="V97" s="57" t="s">
        <v>86</v>
      </c>
      <c r="W97" s="57" t="s">
        <v>72</v>
      </c>
      <c r="X97" s="57" t="s">
        <v>72</v>
      </c>
      <c r="Y97" s="57" t="s">
        <v>161</v>
      </c>
      <c r="Z97" s="57" t="s">
        <v>72</v>
      </c>
      <c r="AA97" s="57" t="s">
        <v>72</v>
      </c>
      <c r="AB97" s="57" t="s">
        <v>72</v>
      </c>
      <c r="AC97" s="57" t="s">
        <v>72</v>
      </c>
      <c r="AD97" s="57" t="s">
        <v>72</v>
      </c>
      <c r="AE97" s="57" t="s">
        <v>72</v>
      </c>
      <c r="AF97" s="57" t="s">
        <v>87</v>
      </c>
      <c r="AG97" t="str">
        <f>VLOOKUP($Q97,武学奇术!$A:$ZZ,25,FALSE)</f>
        <v>伞</v>
      </c>
      <c r="AH97" s="41">
        <f>VLOOKUP($Q97,武学奇术!$A:$ZZ,26,FALSE)</f>
        <v>2.3397</v>
      </c>
      <c r="AI97" s="42">
        <f>VLOOKUP($Q97,武学奇术!$A:$ZZ,27,FALSE)*(1+IF(OR($AG97=$F$4,$AG97=$F$5),$B$22,0))</f>
        <v>907.2</v>
      </c>
      <c r="AJ97" s="41">
        <f>VLOOKUP($Q97,武学奇术!$A:$ZZ,28,FALSE)</f>
        <v>3.5095</v>
      </c>
      <c r="AK97" s="42">
        <f>VLOOKUP($Q97,武学奇术!$A:$ZZ,29,FALSE)*(1+IF(OR($AG97=$F$4,$AG97=$F$5),$B$22,0))</f>
        <v>494.2</v>
      </c>
      <c r="AL97" s="41" cm="1">
        <f t="array" ref="AL97">$G$3+IFERROR(VLOOKUP($AG97,$F$4:$G$7,2,FALSE),0)+VLOOKUP($Q97,武学奇术!$A:$ZZ,2,FALSE)+SUM(_xlfn.XLOOKUP($R97:$AF97,增益!$A:$A,增益!$B:$B,0))</f>
        <v>0.9741</v>
      </c>
      <c r="AM97" s="41" cm="1">
        <f t="array" ref="AM97">VLOOKUP($Q97,武学奇术!$A:$ZZ,5,FALSE)+SUM(_xlfn.XLOOKUP($R97:$AF97,增益!$A:$A,增益!$E:$E,0))</f>
        <v>0.15</v>
      </c>
      <c r="AN97" cm="1">
        <f t="array" ref="AN97">$D$10*(1+$AM97)+VLOOKUP($Q97,武学奇术!$A:$ZZ,3,FALSE)+SUM(_xlfn.XLOOKUP($R97:$AF97,增益!$A:$A,增益!$C:$C,0))-$I$2</f>
        <v>2088.71</v>
      </c>
      <c r="AO97" cm="1">
        <f t="array" ref="AO97">$E$10*(1+$AM97)+VLOOKUP($Q97,武学奇术!$A:$ZZ,4,FALSE)+SUM(_xlfn.XLOOKUP($R97:$AF97,增益!$A:$A,增益!$D:$D,0))-$I$2</f>
        <v>6332.9</v>
      </c>
      <c r="AP97" s="49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0.3925</v>
      </c>
      <c r="AQ97" s="49" cm="1">
        <f t="array" ref="AQ97">$G$10+VLOOKUP($Q97,武学奇术!$A:$ZZ,7,FALSE)+SUM(_xlfn.XLOOKUP(R97:AF97,增益!$A:$A,增益!$G:$G,0))</f>
        <v>0.1</v>
      </c>
      <c r="AR97" s="41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49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49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49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49" cm="1">
        <f t="array" ref="AZ97">$G$12+VLOOKUP($Q97,武学奇术!$A:$ZZ,12,FALSE)+SUM(_xlfn.XLOOKUP(R97:AF97,增益!$A:$A,增益!$L:$L,0))</f>
        <v>0</v>
      </c>
      <c r="BA97">
        <f t="shared" si="16"/>
        <v>571.2</v>
      </c>
      <c r="BB97">
        <f t="shared" si="17"/>
        <v>1077.4</v>
      </c>
      <c r="BC97" s="49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49" cm="1">
        <f t="array" ref="BD97">$G$13+VLOOKUP($Q97,武学奇术!$A:$ZZ,14,FALSE)+SUM(_xlfn.XLOOKUP(R97:AF97,增益!$A:$A,增益!$N:$N,0))</f>
        <v>0.25</v>
      </c>
      <c r="BE97">
        <f t="shared" si="18"/>
        <v>0</v>
      </c>
      <c r="BF97">
        <f t="shared" si="19"/>
        <v>0</v>
      </c>
      <c r="BG97" s="49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49" cm="1">
        <f t="array" ref="BH97">$G$14+VLOOKUP($Q97,武学奇术!$A:$ZZ,16,FALSE)+SUM(_xlfn.XLOOKUP(R97:AF97,增益!$A:$A,增益!$P:$P,0))</f>
        <v>0</v>
      </c>
      <c r="BI97" s="41">
        <f>MIN(IF(VLOOKUP($Q97,武学奇术!$A:$ZZ,23,FALSE)=1,100%,$B$8),100%)</f>
        <v>1</v>
      </c>
      <c r="BJ97" s="41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0.9045</v>
      </c>
      <c r="BK97" s="41" cm="1">
        <f t="array" ref="BK97">1+$B$13+VLOOKUP($Q97,武学奇术!$A:$ZZ,18,FALSE)+SUM(_xlfn.XLOOKUP(R97:AF97,增益!$A:$A,增益!$R:$R,0))</f>
        <v>2.21</v>
      </c>
      <c r="BL97" s="41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0.0929</v>
      </c>
      <c r="BM97" s="41" cm="1">
        <f t="array" ref="BM97">1+$B$14+VLOOKUP($Q97,武学奇术!$A:$ZZ,20,FALSE)+SUM(_xlfn.XLOOKUP(R97:AF97,增益!$A:$A,增益!$T:$T,0))</f>
        <v>1.35</v>
      </c>
      <c r="BN97" s="41">
        <f t="shared" si="20"/>
        <v>0.9045</v>
      </c>
      <c r="BO97" s="41">
        <f t="shared" si="21"/>
        <v>0.00260000000000005</v>
      </c>
      <c r="BP97" s="41">
        <f>IF(VLOOKUP($Q97,武学奇术!$A:$ZZ,22,FALSE)=1,0,(1-$BI97))*(1-$BL97)</f>
        <v>0</v>
      </c>
      <c r="BQ97" s="41" cm="1">
        <f t="array" ref="BQ97">SUM(_xlfn.XLOOKUP(R97:AF97,增益!$A:$A,增益!$W:$W,0))+$I$5</f>
        <v>0.11</v>
      </c>
    </row>
    <row r="98" spans="1:69">
      <c r="K98" s="55">
        <f t="shared" si="11"/>
        <v>17188.7980900261</v>
      </c>
      <c r="L98" s="55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弹道",$B$21,0))*(1+$BQ98)</f>
        <v>17158.3394631369</v>
      </c>
      <c r="M98" s="55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弹道",$B$21,0))*(1+$BQ98)</f>
        <v>17706.8420084992</v>
      </c>
      <c r="N98" s="55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弹道",$B$21,0))*(1+$BQ98)</f>
        <v>9274.77808818209</v>
      </c>
      <c r="O98" s="55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弹道",$B$21,0))*(1+$BQ98)</f>
        <v>5433.37691080923</v>
      </c>
      <c r="P98" s="56">
        <v>1</v>
      </c>
      <c r="Q98" s="57" t="s">
        <v>99</v>
      </c>
      <c r="R98" s="57" t="s">
        <v>116</v>
      </c>
      <c r="S98" s="57" t="s">
        <v>153</v>
      </c>
      <c r="T98" s="57" t="s">
        <v>72</v>
      </c>
      <c r="U98" s="57" t="s">
        <v>157</v>
      </c>
      <c r="V98" s="57" t="s">
        <v>72</v>
      </c>
      <c r="W98" s="57" t="s">
        <v>72</v>
      </c>
      <c r="X98" s="57" t="s">
        <v>72</v>
      </c>
      <c r="Y98" s="57" t="s">
        <v>161</v>
      </c>
      <c r="Z98" s="57" t="s">
        <v>72</v>
      </c>
      <c r="AA98" s="57" t="s">
        <v>72</v>
      </c>
      <c r="AB98" s="57" t="s">
        <v>72</v>
      </c>
      <c r="AC98" s="57" t="s">
        <v>72</v>
      </c>
      <c r="AD98" s="57" t="s">
        <v>72</v>
      </c>
      <c r="AE98" s="57" t="s">
        <v>72</v>
      </c>
      <c r="AF98" s="57" t="s">
        <v>87</v>
      </c>
      <c r="AG98" t="str">
        <f>VLOOKUP($Q98,武学奇术!$A:$ZZ,25,FALSE)</f>
        <v>伞</v>
      </c>
      <c r="AH98" s="41">
        <f>VLOOKUP($Q98,武学奇术!$A:$ZZ,26,FALSE)</f>
        <v>0.54</v>
      </c>
      <c r="AI98" s="42">
        <f>VLOOKUP($Q98,武学奇术!$A:$ZZ,27,FALSE)*(1+IF(OR($AG98=$F$4,$AG98=$F$5),$B$22,0))</f>
        <v>207.2</v>
      </c>
      <c r="AJ98" s="41">
        <f>VLOOKUP($Q98,武学奇术!$A:$ZZ,28,FALSE)</f>
        <v>0.81</v>
      </c>
      <c r="AK98" s="42">
        <f>VLOOKUP($Q98,武学奇术!$A:$ZZ,29,FALSE)*(1+IF(OR($AG98=$F$4,$AG98=$F$5),$B$22,0))</f>
        <v>114.1</v>
      </c>
      <c r="AL98" s="41" cm="1">
        <f t="array" ref="AL98">$G$3+IFERROR(VLOOKUP($AG98,$F$4:$G$7,2,FALSE),0)+VLOOKUP($Q98,武学奇术!$A:$ZZ,2,FALSE)+SUM(_xlfn.XLOOKUP($R98:$AF98,增益!$A:$A,增益!$B:$B,0))</f>
        <v>0.3241</v>
      </c>
      <c r="AM98" s="41" cm="1">
        <f t="array" ref="AM98">VLOOKUP($Q98,武学奇术!$A:$ZZ,5,FALSE)+SUM(_xlfn.XLOOKUP($R98:$AF98,增益!$A:$A,增益!$E:$E,0))</f>
        <v>0.15</v>
      </c>
      <c r="AN98" cm="1">
        <f t="array" ref="AN98">$D$10*(1+$AM98)+VLOOKUP($Q98,武学奇术!$A:$ZZ,3,FALSE)+SUM(_xlfn.XLOOKUP($R98:$AF98,增益!$A:$A,增益!$C:$C,0))-$I$2</f>
        <v>2088.71</v>
      </c>
      <c r="AO98" cm="1">
        <f t="array" ref="AO98">$E$10*(1+$AM98)+VLOOKUP($Q98,武学奇术!$A:$ZZ,4,FALSE)+SUM(_xlfn.XLOOKUP($R98:$AF98,增益!$A:$A,增益!$D:$D,0))-$I$2</f>
        <v>6332.9</v>
      </c>
      <c r="AP98" s="49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0.3675</v>
      </c>
      <c r="AQ98" s="49" cm="1">
        <f t="array" ref="AQ98">$G$10+VLOOKUP($Q98,武学奇术!$A:$ZZ,7,FALSE)+SUM(_xlfn.XLOOKUP(R98:AF98,增益!$A:$A,增益!$G:$G,0))</f>
        <v>0.1</v>
      </c>
      <c r="AR98" s="41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49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49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49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49" cm="1">
        <f t="array" ref="AZ98">$G$12+VLOOKUP($Q98,武学奇术!$A:$ZZ,12,FALSE)+SUM(_xlfn.XLOOKUP(R98:AF98,增益!$A:$A,增益!$L:$L,0))</f>
        <v>0</v>
      </c>
      <c r="BA98">
        <f t="shared" si="16"/>
        <v>571.2</v>
      </c>
      <c r="BB98">
        <f t="shared" si="17"/>
        <v>1077.4</v>
      </c>
      <c r="BC98" s="49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49" cm="1">
        <f t="array" ref="BD98">$G$13+VLOOKUP($Q98,武学奇术!$A:$ZZ,14,FALSE)+SUM(_xlfn.XLOOKUP(R98:AF98,增益!$A:$A,增益!$N:$N,0))</f>
        <v>0.25</v>
      </c>
      <c r="BE98">
        <f t="shared" si="18"/>
        <v>0</v>
      </c>
      <c r="BF98">
        <f t="shared" si="19"/>
        <v>0</v>
      </c>
      <c r="BG98" s="49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49" cm="1">
        <f t="array" ref="BH98">$G$14+VLOOKUP($Q98,武学奇术!$A:$ZZ,16,FALSE)+SUM(_xlfn.XLOOKUP(R98:AF98,增益!$A:$A,增益!$P:$P,0))</f>
        <v>0</v>
      </c>
      <c r="BI98" s="41">
        <f>MIN(IF(VLOOKUP($Q98,武学奇术!$A:$ZZ,23,FALSE)=1,100%,$B$8),100%)</f>
        <v>1</v>
      </c>
      <c r="BJ98" s="41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0.9045</v>
      </c>
      <c r="BK98" s="41" cm="1">
        <f t="array" ref="BK98">1+$B$13+VLOOKUP($Q98,武学奇术!$A:$ZZ,18,FALSE)+SUM(_xlfn.XLOOKUP(R98:AF98,增益!$A:$A,增益!$R:$R,0))</f>
        <v>1.85</v>
      </c>
      <c r="BL98" s="41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0.0929</v>
      </c>
      <c r="BM98" s="41" cm="1">
        <f t="array" ref="BM98">1+$B$14+VLOOKUP($Q98,武学奇术!$A:$ZZ,20,FALSE)+SUM(_xlfn.XLOOKUP(R98:AF98,增益!$A:$A,增益!$T:$T,0))</f>
        <v>1.35</v>
      </c>
      <c r="BN98" s="41">
        <f t="shared" si="20"/>
        <v>0.9045</v>
      </c>
      <c r="BO98" s="41">
        <f t="shared" si="21"/>
        <v>0.00260000000000005</v>
      </c>
      <c r="BP98" s="41">
        <f>IF(VLOOKUP($Q98,武学奇术!$A:$ZZ,22,FALSE)=1,0,(1-$BI98))*(1-$BL98)</f>
        <v>0</v>
      </c>
      <c r="BQ98" s="41" cm="1">
        <f t="array" ref="BQ98">SUM(_xlfn.XLOOKUP(R98:AF98,增益!$A:$A,增益!$W:$W,0))+$I$5</f>
        <v>0.11</v>
      </c>
    </row>
    <row r="99" spans="1:69">
      <c r="K99" s="55">
        <f t="shared" si="11"/>
        <v>94707.6780074307</v>
      </c>
      <c r="L99" s="55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弹道",$B$21,0))*(1+$BQ99)</f>
        <v>94318.2237597769</v>
      </c>
      <c r="M99" s="55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弹道",$B$21,0))*(1+$BQ99)</f>
        <v>99723.2430055137</v>
      </c>
      <c r="N99" s="55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弹道",$B$21,0))*(1+$BQ99)</f>
        <v>50982.8236539335</v>
      </c>
      <c r="O99" s="55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弹道",$B$21,0))*(1+$BQ99)</f>
        <v>28096.5784148938</v>
      </c>
      <c r="P99" s="56">
        <v>1</v>
      </c>
      <c r="Q99" s="57" t="s">
        <v>147</v>
      </c>
      <c r="R99" s="57" t="s">
        <v>116</v>
      </c>
      <c r="S99" s="57" t="s">
        <v>153</v>
      </c>
      <c r="T99" s="57" t="s">
        <v>72</v>
      </c>
      <c r="U99" s="57" t="s">
        <v>157</v>
      </c>
      <c r="V99" s="57" t="s">
        <v>72</v>
      </c>
      <c r="W99" s="57" t="s">
        <v>72</v>
      </c>
      <c r="X99" s="57" t="s">
        <v>72</v>
      </c>
      <c r="Y99" s="57" t="s">
        <v>161</v>
      </c>
      <c r="Z99" s="57" t="s">
        <v>72</v>
      </c>
      <c r="AA99" s="57" t="s">
        <v>72</v>
      </c>
      <c r="AB99" s="57" t="s">
        <v>72</v>
      </c>
      <c r="AC99" s="57" t="s">
        <v>162</v>
      </c>
      <c r="AD99" s="57" t="s">
        <v>72</v>
      </c>
      <c r="AE99" s="57" t="s">
        <v>72</v>
      </c>
      <c r="AF99" s="57" t="s">
        <v>87</v>
      </c>
      <c r="AG99" t="str">
        <f>VLOOKUP($Q99,武学奇术!$A:$ZZ,25,FALSE)</f>
        <v>单体奇术</v>
      </c>
      <c r="AH99" s="41">
        <f>VLOOKUP($Q99,武学奇术!$A:$ZZ,26,FALSE)</f>
        <v>3.9855</v>
      </c>
      <c r="AI99" s="42">
        <f>VLOOKUP($Q99,武学奇术!$A:$ZZ,27,FALSE)*(1+IF(OR($AG99=$F$4,$AG99=$F$5),$B$22,0))</f>
        <v>749</v>
      </c>
      <c r="AJ99" s="41">
        <f>VLOOKUP($Q99,武学奇术!$A:$ZZ,28,FALSE)</f>
        <v>5.97825</v>
      </c>
      <c r="AK99" s="42">
        <f>VLOOKUP($Q99,武学奇术!$A:$ZZ,29,FALSE)*(1+IF(OR($AG99=$F$4,$AG99=$F$5),$B$22,0))</f>
        <v>0</v>
      </c>
      <c r="AL99" s="41" cm="1">
        <f t="array" ref="AL99">$G$3+IFERROR(VLOOKUP($AG99,$F$4:$G$7,2,FALSE),0)+VLOOKUP($Q99,武学奇术!$A:$ZZ,2,FALSE)+SUM(_xlfn.XLOOKUP($R99:$AF99,增益!$A:$A,增益!$B:$B,0))</f>
        <v>0.4215</v>
      </c>
      <c r="AM99" s="41" cm="1">
        <f t="array" ref="AM99">VLOOKUP($Q99,武学奇术!$A:$ZZ,5,FALSE)+SUM(_xlfn.XLOOKUP($R99:$AF99,增益!$A:$A,增益!$E:$E,0))</f>
        <v>0.15</v>
      </c>
      <c r="AN99" cm="1">
        <f t="array" ref="AN99">$D$10*(1+$AM99)+VLOOKUP($Q99,武学奇术!$A:$ZZ,3,FALSE)+SUM(_xlfn.XLOOKUP($R99:$AF99,增益!$A:$A,增益!$C:$C,0))-$I$2</f>
        <v>2088.71</v>
      </c>
      <c r="AO99" cm="1">
        <f t="array" ref="AO99">$E$10*(1+$AM99)+VLOOKUP($Q99,武学奇术!$A:$ZZ,4,FALSE)+SUM(_xlfn.XLOOKUP($R99:$AF99,增益!$A:$A,增益!$D:$D,0))-$I$2</f>
        <v>6332.9</v>
      </c>
      <c r="AP99" s="49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0.3675</v>
      </c>
      <c r="AQ99" s="49" cm="1">
        <f t="array" ref="AQ99">$G$10+VLOOKUP($Q99,武学奇术!$A:$ZZ,7,FALSE)+SUM(_xlfn.XLOOKUP(R99:AF99,增益!$A:$A,增益!$G:$G,0))</f>
        <v>0</v>
      </c>
      <c r="AR99" s="41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49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49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49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49" cm="1">
        <f t="array" ref="AZ99">$G$12+VLOOKUP($Q99,武学奇术!$A:$ZZ,12,FALSE)+SUM(_xlfn.XLOOKUP(R99:AF99,增益!$A:$A,增益!$L:$L,0))</f>
        <v>0</v>
      </c>
      <c r="BA99">
        <f t="shared" si="16"/>
        <v>571.2</v>
      </c>
      <c r="BB99">
        <f t="shared" si="17"/>
        <v>1077.4</v>
      </c>
      <c r="BC99" s="49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49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49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49" cm="1">
        <f t="array" ref="BH99">$G$14+VLOOKUP($Q99,武学奇术!$A:$ZZ,16,FALSE)+SUM(_xlfn.XLOOKUP(R99:AF99,增益!$A:$A,增益!$P:$P,0))</f>
        <v>0</v>
      </c>
      <c r="BI99" s="41">
        <f>MIN(IF(VLOOKUP($Q99,武学奇术!$A:$ZZ,23,FALSE)=1,100%,$B$8),100%)</f>
        <v>1</v>
      </c>
      <c r="BJ99" s="41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0.9045</v>
      </c>
      <c r="BK99" s="41" cm="1">
        <f t="array" ref="BK99">1+$B$13+VLOOKUP($Q99,武学奇术!$A:$ZZ,18,FALSE)+SUM(_xlfn.XLOOKUP(R99:AF99,增益!$A:$A,增益!$R:$R,0))</f>
        <v>1.85</v>
      </c>
      <c r="BL99" s="41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0.0929</v>
      </c>
      <c r="BM99" s="41" cm="1">
        <f t="array" ref="BM99">1+$B$14+VLOOKUP($Q99,武学奇术!$A:$ZZ,20,FALSE)+SUM(_xlfn.XLOOKUP(R99:AF99,增益!$A:$A,增益!$T:$T,0))</f>
        <v>1.35</v>
      </c>
      <c r="BN99" s="41">
        <f t="shared" si="20"/>
        <v>0.9045</v>
      </c>
      <c r="BO99" s="41">
        <f t="shared" si="21"/>
        <v>0.00260000000000005</v>
      </c>
      <c r="BP99" s="41">
        <f>IF(VLOOKUP($Q99,武学奇术!$A:$ZZ,22,FALSE)=1,0,(1-$BI99))*(1-$BL99)</f>
        <v>0</v>
      </c>
      <c r="BQ99" s="41" cm="1">
        <f t="array" ref="BQ99">SUM(_xlfn.XLOOKUP(R99:AF99,增益!$A:$A,增益!$W:$W,0))+$I$5</f>
        <v>0.21</v>
      </c>
    </row>
    <row r="100" spans="1:69">
      <c r="K100" s="55">
        <f t="shared" si="11"/>
        <v>22426.367361231</v>
      </c>
      <c r="L100" s="55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弹道",$B$21,0))*(1+$BQ100)</f>
        <v>22333.9607199439</v>
      </c>
      <c r="M100" s="55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弹道",$B$21,0))*(1+$BQ100)</f>
        <v>23615.8409141209</v>
      </c>
      <c r="N100" s="55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弹道",$B$21,0))*(1+$BQ100)</f>
        <v>12072.4111999697</v>
      </c>
      <c r="O100" s="55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弹道",$B$21,0))*(1+$BQ100)</f>
        <v>6651.6069079979</v>
      </c>
      <c r="P100" s="56">
        <v>4</v>
      </c>
      <c r="Q100" s="57" t="s">
        <v>148</v>
      </c>
      <c r="R100" s="57" t="s">
        <v>116</v>
      </c>
      <c r="S100" s="57" t="s">
        <v>153</v>
      </c>
      <c r="T100" s="57" t="s">
        <v>72</v>
      </c>
      <c r="U100" s="57" t="s">
        <v>157</v>
      </c>
      <c r="V100" s="57" t="s">
        <v>72</v>
      </c>
      <c r="W100" s="57" t="s">
        <v>72</v>
      </c>
      <c r="X100" s="57" t="s">
        <v>72</v>
      </c>
      <c r="Y100" s="57" t="s">
        <v>161</v>
      </c>
      <c r="Z100" s="57" t="s">
        <v>72</v>
      </c>
      <c r="AA100" s="57" t="s">
        <v>72</v>
      </c>
      <c r="AB100" s="57" t="s">
        <v>72</v>
      </c>
      <c r="AC100" s="57" t="s">
        <v>162</v>
      </c>
      <c r="AD100" s="57" t="s">
        <v>72</v>
      </c>
      <c r="AE100" s="57" t="s">
        <v>72</v>
      </c>
      <c r="AF100" s="57" t="s">
        <v>87</v>
      </c>
      <c r="AG100" t="str">
        <f>VLOOKUP($Q100,武学奇术!$A:$ZZ,25,FALSE)</f>
        <v>单体奇术</v>
      </c>
      <c r="AH100" s="41">
        <f>VLOOKUP($Q100,武学奇术!$A:$ZZ,26,FALSE)</f>
        <v>0.236</v>
      </c>
      <c r="AI100" s="42">
        <f>VLOOKUP($Q100,武学奇术!$A:$ZZ,27,FALSE)*(1+IF(OR($AG100=$F$4,$AG100=$F$5),$B$22,0))</f>
        <v>44</v>
      </c>
      <c r="AJ100" s="41">
        <f>VLOOKUP($Q100,武学奇术!$A:$ZZ,28,FALSE)</f>
        <v>0.354</v>
      </c>
      <c r="AK100" s="42">
        <f>VLOOKUP($Q100,武学奇术!$A:$ZZ,29,FALSE)*(1+IF(OR($AG100=$F$4,$AG100=$F$5),$B$22,0))</f>
        <v>0</v>
      </c>
      <c r="AL100" s="41" cm="1">
        <f t="array" ref="AL100">$G$3+IFERROR(VLOOKUP($AG100,$F$4:$G$7,2,FALSE),0)+VLOOKUP($Q100,武学奇术!$A:$ZZ,2,FALSE)+SUM(_xlfn.XLOOKUP($R100:$AF100,增益!$A:$A,增益!$B:$B,0))</f>
        <v>0.4215</v>
      </c>
      <c r="AM100" s="41" cm="1">
        <f t="array" ref="AM100">VLOOKUP($Q100,武学奇术!$A:$ZZ,5,FALSE)+SUM(_xlfn.XLOOKUP($R100:$AF100,增益!$A:$A,增益!$E:$E,0))</f>
        <v>0.15</v>
      </c>
      <c r="AN100" cm="1">
        <f t="array" ref="AN100">$D$10*(1+$AM100)+VLOOKUP($Q100,武学奇术!$A:$ZZ,3,FALSE)+SUM(_xlfn.XLOOKUP($R100:$AF100,增益!$A:$A,增益!$C:$C,0))-$I$2</f>
        <v>2088.71</v>
      </c>
      <c r="AO100" cm="1">
        <f t="array" ref="AO100">$E$10*(1+$AM100)+VLOOKUP($Q100,武学奇术!$A:$ZZ,4,FALSE)+SUM(_xlfn.XLOOKUP($R100:$AF100,增益!$A:$A,增益!$D:$D,0))-$I$2</f>
        <v>6332.9</v>
      </c>
      <c r="AP100" s="49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0.3675</v>
      </c>
      <c r="AQ100" s="49" cm="1">
        <f t="array" ref="AQ100">$G$10+VLOOKUP($Q100,武学奇术!$A:$ZZ,7,FALSE)+SUM(_xlfn.XLOOKUP(R100:AF100,增益!$A:$A,增益!$G:$G,0))</f>
        <v>0</v>
      </c>
      <c r="AR100" s="41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49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49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49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49" cm="1">
        <f t="array" ref="AZ100">$G$12+VLOOKUP($Q100,武学奇术!$A:$ZZ,12,FALSE)+SUM(_xlfn.XLOOKUP(R100:AF100,增益!$A:$A,增益!$L:$L,0))</f>
        <v>0</v>
      </c>
      <c r="BA100">
        <f t="shared" si="16"/>
        <v>571.2</v>
      </c>
      <c r="BB100">
        <f t="shared" si="17"/>
        <v>1077.4</v>
      </c>
      <c r="BC100" s="49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49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49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49" cm="1">
        <f t="array" ref="BH100">$G$14+VLOOKUP($Q100,武学奇术!$A:$ZZ,16,FALSE)+SUM(_xlfn.XLOOKUP(R100:AF100,增益!$A:$A,增益!$P:$P,0))</f>
        <v>0</v>
      </c>
      <c r="BI100" s="41">
        <f>MIN(IF(VLOOKUP($Q100,武学奇术!$A:$ZZ,23,FALSE)=1,100%,$B$8),100%)</f>
        <v>1</v>
      </c>
      <c r="BJ100" s="41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0.9045</v>
      </c>
      <c r="BK100" s="41" cm="1">
        <f t="array" ref="BK100">1+$B$13+VLOOKUP($Q100,武学奇术!$A:$ZZ,18,FALSE)+SUM(_xlfn.XLOOKUP(R100:AF100,增益!$A:$A,增益!$R:$R,0))</f>
        <v>1.85</v>
      </c>
      <c r="BL100" s="41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0.0929</v>
      </c>
      <c r="BM100" s="41" cm="1">
        <f t="array" ref="BM100">1+$B$14+VLOOKUP($Q100,武学奇术!$A:$ZZ,20,FALSE)+SUM(_xlfn.XLOOKUP(R100:AF100,增益!$A:$A,增益!$T:$T,0))</f>
        <v>1.35</v>
      </c>
      <c r="BN100" s="41">
        <f t="shared" si="20"/>
        <v>0.9045</v>
      </c>
      <c r="BO100" s="41">
        <f t="shared" si="21"/>
        <v>0.00260000000000005</v>
      </c>
      <c r="BP100" s="41">
        <f>IF(VLOOKUP($Q100,武学奇术!$A:$ZZ,22,FALSE)=1,0,(1-$BI100))*(1-$BL100)</f>
        <v>0</v>
      </c>
      <c r="BQ100" s="41" cm="1">
        <f t="array" ref="BQ100">SUM(_xlfn.XLOOKUP(R100:AF100,增益!$A:$A,增益!$W:$W,0))+$I$5</f>
        <v>0.21</v>
      </c>
    </row>
    <row r="101" spans="1:69">
      <c r="K101" s="55">
        <f t="shared" si="11"/>
        <v>50459.3265627697</v>
      </c>
      <c r="L101" s="55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弹道",$B$21,0))*(1+$BQ101)</f>
        <v>50251.4116198737</v>
      </c>
      <c r="M101" s="55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弹道",$B$21,0))*(1+$BQ101)</f>
        <v>53135.6420567721</v>
      </c>
      <c r="N101" s="55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弹道",$B$21,0))*(1+$BQ101)</f>
        <v>27162.9251999317</v>
      </c>
      <c r="O101" s="55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弹道",$B$21,0))*(1+$BQ101)</f>
        <v>14966.1155429953</v>
      </c>
      <c r="P101" s="56">
        <v>9</v>
      </c>
      <c r="Q101" s="57" t="s">
        <v>148</v>
      </c>
      <c r="R101" s="57" t="s">
        <v>116</v>
      </c>
      <c r="S101" s="57" t="s">
        <v>153</v>
      </c>
      <c r="T101" s="57" t="s">
        <v>72</v>
      </c>
      <c r="U101" s="57" t="s">
        <v>157</v>
      </c>
      <c r="V101" s="57" t="s">
        <v>72</v>
      </c>
      <c r="W101" s="57" t="s">
        <v>72</v>
      </c>
      <c r="X101" s="57" t="s">
        <v>72</v>
      </c>
      <c r="Y101" s="57" t="s">
        <v>161</v>
      </c>
      <c r="Z101" s="57" t="s">
        <v>72</v>
      </c>
      <c r="AA101" s="57" t="s">
        <v>72</v>
      </c>
      <c r="AB101" s="57" t="s">
        <v>72</v>
      </c>
      <c r="AC101" s="57" t="s">
        <v>162</v>
      </c>
      <c r="AD101" s="57" t="s">
        <v>72</v>
      </c>
      <c r="AE101" s="57" t="s">
        <v>72</v>
      </c>
      <c r="AF101" s="57" t="s">
        <v>87</v>
      </c>
      <c r="AG101" t="str">
        <f>VLOOKUP($Q101,武学奇术!$A:$ZZ,25,FALSE)</f>
        <v>单体奇术</v>
      </c>
      <c r="AH101" s="41">
        <f>VLOOKUP($Q101,武学奇术!$A:$ZZ,26,FALSE)</f>
        <v>0.236</v>
      </c>
      <c r="AI101" s="42">
        <f>VLOOKUP($Q101,武学奇术!$A:$ZZ,27,FALSE)*(1+IF(OR($AG101=$F$4,$AG101=$F$5),$B$22,0))</f>
        <v>44</v>
      </c>
      <c r="AJ101" s="41">
        <f>VLOOKUP($Q101,武学奇术!$A:$ZZ,28,FALSE)</f>
        <v>0.354</v>
      </c>
      <c r="AK101" s="42">
        <f>VLOOKUP($Q101,武学奇术!$A:$ZZ,29,FALSE)*(1+IF(OR($AG101=$F$4,$AG101=$F$5),$B$22,0))</f>
        <v>0</v>
      </c>
      <c r="AL101" s="41" cm="1">
        <f t="array" ref="AL101">$G$3+IFERROR(VLOOKUP($AG101,$F$4:$G$7,2,FALSE),0)+VLOOKUP($Q101,武学奇术!$A:$ZZ,2,FALSE)+SUM(_xlfn.XLOOKUP($R101:$AF101,增益!$A:$A,增益!$B:$B,0))</f>
        <v>0.4215</v>
      </c>
      <c r="AM101" s="41" cm="1">
        <f t="array" ref="AM101">VLOOKUP($Q101,武学奇术!$A:$ZZ,5,FALSE)+SUM(_xlfn.XLOOKUP($R101:$AF101,增益!$A:$A,增益!$E:$E,0))</f>
        <v>0.15</v>
      </c>
      <c r="AN101" cm="1">
        <f t="array" ref="AN101">$D$10*(1+$AM101)+VLOOKUP($Q101,武学奇术!$A:$ZZ,3,FALSE)+SUM(_xlfn.XLOOKUP($R101:$AF101,增益!$A:$A,增益!$C:$C,0))-$I$2</f>
        <v>2088.71</v>
      </c>
      <c r="AO101" cm="1">
        <f t="array" ref="AO101">$E$10*(1+$AM101)+VLOOKUP($Q101,武学奇术!$A:$ZZ,4,FALSE)+SUM(_xlfn.XLOOKUP($R101:$AF101,增益!$A:$A,增益!$D:$D,0))-$I$2</f>
        <v>6332.9</v>
      </c>
      <c r="AP101" s="49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0.3675</v>
      </c>
      <c r="AQ101" s="49" cm="1">
        <f t="array" ref="AQ101">$G$10+VLOOKUP($Q101,武学奇术!$A:$ZZ,7,FALSE)+SUM(_xlfn.XLOOKUP(R101:AF101,增益!$A:$A,增益!$G:$G,0))</f>
        <v>0</v>
      </c>
      <c r="AR101" s="41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49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49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49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49" cm="1">
        <f t="array" ref="AZ101">$G$12+VLOOKUP($Q101,武学奇术!$A:$ZZ,12,FALSE)+SUM(_xlfn.XLOOKUP(R101:AF101,增益!$A:$A,增益!$L:$L,0))</f>
        <v>0</v>
      </c>
      <c r="BA101">
        <f t="shared" si="16"/>
        <v>571.2</v>
      </c>
      <c r="BB101">
        <f t="shared" si="17"/>
        <v>1077.4</v>
      </c>
      <c r="BC101" s="49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49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49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49" cm="1">
        <f t="array" ref="BH101">$G$14+VLOOKUP($Q101,武学奇术!$A:$ZZ,16,FALSE)+SUM(_xlfn.XLOOKUP(R101:AF101,增益!$A:$A,增益!$P:$P,0))</f>
        <v>0</v>
      </c>
      <c r="BI101" s="41">
        <f>MIN(IF(VLOOKUP($Q101,武学奇术!$A:$ZZ,23,FALSE)=1,100%,$B$8),100%)</f>
        <v>1</v>
      </c>
      <c r="BJ101" s="41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0.9045</v>
      </c>
      <c r="BK101" s="41" cm="1">
        <f t="array" ref="BK101">1+$B$13+VLOOKUP($Q101,武学奇术!$A:$ZZ,18,FALSE)+SUM(_xlfn.XLOOKUP(R101:AF101,增益!$A:$A,增益!$R:$R,0))</f>
        <v>1.85</v>
      </c>
      <c r="BL101" s="41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0.0929</v>
      </c>
      <c r="BM101" s="41" cm="1">
        <f t="array" ref="BM101">1+$B$14+VLOOKUP($Q101,武学奇术!$A:$ZZ,20,FALSE)+SUM(_xlfn.XLOOKUP(R101:AF101,增益!$A:$A,增益!$T:$T,0))</f>
        <v>1.35</v>
      </c>
      <c r="BN101" s="41">
        <f t="shared" si="20"/>
        <v>0.9045</v>
      </c>
      <c r="BO101" s="41">
        <f t="shared" si="21"/>
        <v>0.00260000000000005</v>
      </c>
      <c r="BP101" s="41">
        <f>IF(VLOOKUP($Q101,武学奇术!$A:$ZZ,22,FALSE)=1,0,(1-$BI101))*(1-$BL101)</f>
        <v>0</v>
      </c>
      <c r="BQ101" s="41" cm="1">
        <f t="array" ref="BQ101">SUM(_xlfn.XLOOKUP(R101:AF101,增益!$A:$A,增益!$W:$W,0))+$I$5</f>
        <v>0.21</v>
      </c>
    </row>
    <row r="102" spans="1:69">
      <c r="K102" s="55">
        <f t="shared" si="11"/>
        <v>51432.3714276165</v>
      </c>
      <c r="L102" s="55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弹道",$B$21,0))*(1+$BQ102)</f>
        <v>51220.4471056564</v>
      </c>
      <c r="M102" s="55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弹道",$B$21,0))*(1+$BQ102)</f>
        <v>54160.2963113104</v>
      </c>
      <c r="N102" s="55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弹道",$B$21,0))*(1+$BQ102)</f>
        <v>27686.7281652197</v>
      </c>
      <c r="O102" s="55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弹道",$B$21,0))*(1+$BQ102)</f>
        <v>15254.7183220613</v>
      </c>
      <c r="P102" s="56">
        <v>10</v>
      </c>
      <c r="Q102" s="57" t="s">
        <v>148</v>
      </c>
      <c r="R102" s="57" t="s">
        <v>116</v>
      </c>
      <c r="S102" s="57" t="s">
        <v>153</v>
      </c>
      <c r="T102" s="57" t="s">
        <v>72</v>
      </c>
      <c r="U102" s="57" t="s">
        <v>157</v>
      </c>
      <c r="V102" s="57" t="s">
        <v>72</v>
      </c>
      <c r="W102" s="57" t="s">
        <v>72</v>
      </c>
      <c r="X102" s="57" t="s">
        <v>72</v>
      </c>
      <c r="Y102" s="57" t="s">
        <v>161</v>
      </c>
      <c r="Z102" s="57" t="s">
        <v>72</v>
      </c>
      <c r="AA102" s="57" t="s">
        <v>72</v>
      </c>
      <c r="AB102" s="57" t="s">
        <v>72</v>
      </c>
      <c r="AC102" s="57" t="s">
        <v>72</v>
      </c>
      <c r="AD102" s="57" t="s">
        <v>72</v>
      </c>
      <c r="AE102" s="57" t="s">
        <v>72</v>
      </c>
      <c r="AF102" s="57" t="s">
        <v>87</v>
      </c>
      <c r="AG102" t="str">
        <f>VLOOKUP($Q102,武学奇术!$A:$ZZ,25,FALSE)</f>
        <v>单体奇术</v>
      </c>
      <c r="AH102" s="41">
        <f>VLOOKUP($Q102,武学奇术!$A:$ZZ,26,FALSE)</f>
        <v>0.236</v>
      </c>
      <c r="AI102" s="42">
        <f>VLOOKUP($Q102,武学奇术!$A:$ZZ,27,FALSE)*(1+IF(OR($AG102=$F$4,$AG102=$F$5),$B$22,0))</f>
        <v>44</v>
      </c>
      <c r="AJ102" s="41">
        <f>VLOOKUP($Q102,武学奇术!$A:$ZZ,28,FALSE)</f>
        <v>0.354</v>
      </c>
      <c r="AK102" s="42">
        <f>VLOOKUP($Q102,武学奇术!$A:$ZZ,29,FALSE)*(1+IF(OR($AG102=$F$4,$AG102=$F$5),$B$22,0))</f>
        <v>0</v>
      </c>
      <c r="AL102" s="41" cm="1">
        <f t="array" ref="AL102">$G$3+IFERROR(VLOOKUP($AG102,$F$4:$G$7,2,FALSE),0)+VLOOKUP($Q102,武学奇术!$A:$ZZ,2,FALSE)+SUM(_xlfn.XLOOKUP($R102:$AF102,增益!$A:$A,增益!$B:$B,0))</f>
        <v>0.4215</v>
      </c>
      <c r="AM102" s="41" cm="1">
        <f t="array" ref="AM102">VLOOKUP($Q102,武学奇术!$A:$ZZ,5,FALSE)+SUM(_xlfn.XLOOKUP($R102:$AF102,增益!$A:$A,增益!$E:$E,0))</f>
        <v>0.15</v>
      </c>
      <c r="AN102" cm="1">
        <f t="array" ref="AN102">$D$10*(1+$AM102)+VLOOKUP($Q102,武学奇术!$A:$ZZ,3,FALSE)+SUM(_xlfn.XLOOKUP($R102:$AF102,增益!$A:$A,增益!$C:$C,0))-$I$2</f>
        <v>2088.71</v>
      </c>
      <c r="AO102" cm="1">
        <f t="array" ref="AO102">$E$10*(1+$AM102)+VLOOKUP($Q102,武学奇术!$A:$ZZ,4,FALSE)+SUM(_xlfn.XLOOKUP($R102:$AF102,增益!$A:$A,增益!$D:$D,0))-$I$2</f>
        <v>6332.9</v>
      </c>
      <c r="AP102" s="49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0.3675</v>
      </c>
      <c r="AQ102" s="49" cm="1">
        <f t="array" ref="AQ102">$G$10+VLOOKUP($Q102,武学奇术!$A:$ZZ,7,FALSE)+SUM(_xlfn.XLOOKUP(R102:AF102,增益!$A:$A,增益!$G:$G,0))</f>
        <v>0</v>
      </c>
      <c r="AR102" s="41" cm="1">
        <f t="array" ref="AR102">VLOOKUP($Q102,武学奇术!$A:$ZZ,8,FALSE)+SUM(_xlfn.XLOOKUP(R102:AF102,增益!$A:$A,增益!$H:$H,0))</f>
        <v>0</v>
      </c>
      <c r="AS102">
        <f t="shared" si="12"/>
        <v>0</v>
      </c>
      <c r="AT102">
        <f t="shared" si="13"/>
        <v>0</v>
      </c>
      <c r="AU102" s="49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-0.3</v>
      </c>
      <c r="AV102" s="49" cm="1">
        <f t="array" ref="AV102">$G$11+VLOOKUP($Q102,武学奇术!$A:$ZZ,10,FALSE)+SUM(_xlfn.XLOOKUP(R102:AF102,增益!$A:$A,增益!$J:$J,0))</f>
        <v>0</v>
      </c>
      <c r="AW102">
        <f t="shared" si="14"/>
        <v>0</v>
      </c>
      <c r="AX102">
        <f t="shared" si="15"/>
        <v>0</v>
      </c>
      <c r="AY102" s="49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-0.3</v>
      </c>
      <c r="AZ102" s="49" cm="1">
        <f t="array" ref="AZ102">$G$12+VLOOKUP($Q102,武学奇术!$A:$ZZ,12,FALSE)+SUM(_xlfn.XLOOKUP(R102:AF102,增益!$A:$A,增益!$L:$L,0))</f>
        <v>0</v>
      </c>
      <c r="BA102">
        <f t="shared" si="16"/>
        <v>571.2</v>
      </c>
      <c r="BB102">
        <f t="shared" si="17"/>
        <v>1077.4</v>
      </c>
      <c r="BC102" s="49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0</v>
      </c>
      <c r="BD102" s="49" cm="1">
        <f t="array" ref="BD102">$G$13+VLOOKUP($Q102,武学奇术!$A:$ZZ,14,FALSE)+SUM(_xlfn.XLOOKUP(R102:AF102,增益!$A:$A,增益!$N:$N,0))</f>
        <v>0.15</v>
      </c>
      <c r="BE102">
        <f t="shared" si="18"/>
        <v>0</v>
      </c>
      <c r="BF102">
        <f t="shared" si="19"/>
        <v>0</v>
      </c>
      <c r="BG102" s="49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-0.3</v>
      </c>
      <c r="BH102" s="49" cm="1">
        <f t="array" ref="BH102">$G$14+VLOOKUP($Q102,武学奇术!$A:$ZZ,16,FALSE)+SUM(_xlfn.XLOOKUP(R102:AF102,增益!$A:$A,增益!$P:$P,0))</f>
        <v>0</v>
      </c>
      <c r="BI102" s="41">
        <f>MIN(IF(VLOOKUP($Q102,武学奇术!$A:$ZZ,23,FALSE)=1,100%,$B$8),100%)</f>
        <v>1</v>
      </c>
      <c r="BJ102" s="41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0.9045</v>
      </c>
      <c r="BK102" s="41" cm="1">
        <f t="array" ref="BK102">1+$B$13+VLOOKUP($Q102,武学奇术!$A:$ZZ,18,FALSE)+SUM(_xlfn.XLOOKUP(R102:AF102,增益!$A:$A,增益!$R:$R,0))</f>
        <v>1.85</v>
      </c>
      <c r="BL102" s="41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0.0929</v>
      </c>
      <c r="BM102" s="41" cm="1">
        <f t="array" ref="BM102">1+$B$14+VLOOKUP($Q102,武学奇术!$A:$ZZ,20,FALSE)+SUM(_xlfn.XLOOKUP(R102:AF102,增益!$A:$A,增益!$T:$T,0))</f>
        <v>1.35</v>
      </c>
      <c r="BN102" s="41">
        <f t="shared" si="20"/>
        <v>0.9045</v>
      </c>
      <c r="BO102" s="41">
        <f t="shared" si="21"/>
        <v>0.00260000000000005</v>
      </c>
      <c r="BP102" s="41">
        <f>IF(VLOOKUP($Q102,武学奇术!$A:$ZZ,22,FALSE)=1,0,(1-$BI102))*(1-$BL102)</f>
        <v>0</v>
      </c>
      <c r="BQ102" s="41" cm="1">
        <f t="array" ref="BQ102">SUM(_xlfn.XLOOKUP(R102:AF102,增益!$A:$A,增益!$W:$W,0))+$I$5</f>
        <v>0.11</v>
      </c>
    </row>
    <row r="103" spans="1:69">
      <c r="K103" s="55">
        <f t="shared" si="11"/>
        <v>1412656.68973549</v>
      </c>
      <c r="L103" s="55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弹道",$B$21,0))*(1+$BQ103)</f>
        <v>1432775.70129772</v>
      </c>
      <c r="M103" s="55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弹道",$B$21,0))*(1+$BQ103)</f>
        <v>1238164.14897293</v>
      </c>
      <c r="N103" s="55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弹道",$B$21,0))*(1+$BQ103)</f>
        <v>648314.796967293</v>
      </c>
      <c r="O103" s="55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弹道",$B$21,0))*(1+$BQ103)</f>
        <v>379470.965065752</v>
      </c>
      <c r="P103" s="56">
        <v>19</v>
      </c>
      <c r="Q103" s="57" t="s">
        <v>102</v>
      </c>
      <c r="R103" s="57" t="s">
        <v>116</v>
      </c>
      <c r="S103" s="57" t="s">
        <v>153</v>
      </c>
      <c r="T103" s="57" t="s">
        <v>160</v>
      </c>
      <c r="U103" s="57" t="s">
        <v>157</v>
      </c>
      <c r="V103" s="57" t="s">
        <v>86</v>
      </c>
      <c r="W103" s="57" t="s">
        <v>72</v>
      </c>
      <c r="X103" s="57" t="s">
        <v>72</v>
      </c>
      <c r="Y103" s="57" t="s">
        <v>161</v>
      </c>
      <c r="Z103" s="57" t="s">
        <v>72</v>
      </c>
      <c r="AA103" s="57" t="s">
        <v>72</v>
      </c>
      <c r="AB103" s="57" t="s">
        <v>72</v>
      </c>
      <c r="AC103" s="57" t="s">
        <v>162</v>
      </c>
      <c r="AD103" s="57" t="s">
        <v>72</v>
      </c>
      <c r="AE103" s="57" t="s">
        <v>72</v>
      </c>
      <c r="AF103" s="57" t="s">
        <v>87</v>
      </c>
      <c r="AG103" t="str">
        <f>VLOOKUP($Q103,武学奇术!$A:$ZZ,25,FALSE)</f>
        <v>伞</v>
      </c>
      <c r="AH103" s="41">
        <f>VLOOKUP($Q103,武学奇术!$A:$ZZ,26,FALSE)</f>
        <v>1.174955</v>
      </c>
      <c r="AI103" s="42">
        <f>VLOOKUP($Q103,武学奇术!$A:$ZZ,27,FALSE)*(1+IF(OR($AG103=$F$4,$AG103=$F$5),$B$22,0))</f>
        <v>454.02</v>
      </c>
      <c r="AJ103" s="41">
        <f>VLOOKUP($Q103,武学奇术!$A:$ZZ,28,FALSE)</f>
        <v>1.762375</v>
      </c>
      <c r="AK103" s="42">
        <f>VLOOKUP($Q103,武学奇术!$A:$ZZ,29,FALSE)*(1+IF(OR($AG103=$F$4,$AG103=$F$5),$B$22,0))</f>
        <v>247.94</v>
      </c>
      <c r="AL103" s="41" cm="1">
        <f t="array" ref="AL103">$G$3+IFERROR(VLOOKUP($AG103,$F$4:$G$7,2,FALSE),0)+VLOOKUP($Q103,武学奇术!$A:$ZZ,2,FALSE)+SUM(_xlfn.XLOOKUP($R103:$AF103,增益!$A:$A,增益!$B:$B,0))</f>
        <v>1.0241</v>
      </c>
      <c r="AM103" s="41" cm="1">
        <f t="array" ref="AM103">VLOOKUP($Q103,武学奇术!$A:$ZZ,5,FALSE)+SUM(_xlfn.XLOOKUP($R103:$AF103,增益!$A:$A,增益!$E:$E,0))</f>
        <v>0.15</v>
      </c>
      <c r="AN103" cm="1">
        <f t="array" ref="AN103">$D$10*(1+$AM103)+VLOOKUP($Q103,武学奇术!$A:$ZZ,3,FALSE)+SUM(_xlfn.XLOOKUP($R103:$AF103,增益!$A:$A,增益!$C:$C,0))-$I$2</f>
        <v>2088.71</v>
      </c>
      <c r="AO103" cm="1">
        <f t="array" ref="AO103">$E$10*(1+$AM103)+VLOOKUP($Q103,武学奇术!$A:$ZZ,4,FALSE)+SUM(_xlfn.XLOOKUP($R103:$AF103,增益!$A:$A,增益!$D:$D,0))-$I$2</f>
        <v>6332.9</v>
      </c>
      <c r="AP103" s="49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0.3925</v>
      </c>
      <c r="AQ103" s="49" cm="1">
        <f t="array" ref="AQ103">$G$10+VLOOKUP($Q103,武学奇术!$A:$ZZ,7,FALSE)+SUM(_xlfn.XLOOKUP(R103:AF103,增益!$A:$A,增益!$G:$G,0))</f>
        <v>0.1</v>
      </c>
      <c r="AR103" s="41" cm="1">
        <f t="array" ref="AR103">VLOOKUP($Q103,武学奇术!$A:$ZZ,8,FALSE)+SUM(_xlfn.XLOOKUP(R103:AF103,增益!$A:$A,增益!$H:$H,0))</f>
        <v>0</v>
      </c>
      <c r="AS103">
        <f t="shared" si="12"/>
        <v>0</v>
      </c>
      <c r="AT103">
        <f t="shared" si="13"/>
        <v>0</v>
      </c>
      <c r="AU103" s="49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-0.3</v>
      </c>
      <c r="AV103" s="49" cm="1">
        <f t="array" ref="AV103">$G$11+VLOOKUP($Q103,武学奇术!$A:$ZZ,10,FALSE)+SUM(_xlfn.XLOOKUP(R103:AF103,增益!$A:$A,增益!$J:$J,0))</f>
        <v>0</v>
      </c>
      <c r="AW103">
        <f t="shared" si="14"/>
        <v>0</v>
      </c>
      <c r="AX103">
        <f t="shared" si="15"/>
        <v>0</v>
      </c>
      <c r="AY103" s="49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-0.3</v>
      </c>
      <c r="AZ103" s="49" cm="1">
        <f t="array" ref="AZ103">$G$12+VLOOKUP($Q103,武学奇术!$A:$ZZ,12,FALSE)+SUM(_xlfn.XLOOKUP(R103:AF103,增益!$A:$A,增益!$L:$L,0))</f>
        <v>0</v>
      </c>
      <c r="BA103">
        <f t="shared" si="16"/>
        <v>571.2</v>
      </c>
      <c r="BB103">
        <f t="shared" si="17"/>
        <v>1077.4</v>
      </c>
      <c r="BC103" s="49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0</v>
      </c>
      <c r="BD103" s="49" cm="1">
        <f t="array" ref="BD103">$G$13+VLOOKUP($Q103,武学奇术!$A:$ZZ,14,FALSE)+SUM(_xlfn.XLOOKUP(R103:AF103,增益!$A:$A,增益!$N:$N,0))</f>
        <v>0.25</v>
      </c>
      <c r="BE103">
        <f t="shared" si="18"/>
        <v>0</v>
      </c>
      <c r="BF103">
        <f t="shared" si="19"/>
        <v>0</v>
      </c>
      <c r="BG103" s="49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-0.3</v>
      </c>
      <c r="BH103" s="49" cm="1">
        <f t="array" ref="BH103">$G$14+VLOOKUP($Q103,武学奇术!$A:$ZZ,16,FALSE)+SUM(_xlfn.XLOOKUP(R103:AF103,增益!$A:$A,增益!$P:$P,0))</f>
        <v>0</v>
      </c>
      <c r="BI103" s="41">
        <f>MIN(IF(VLOOKUP($Q103,武学奇术!$A:$ZZ,23,FALSE)=1,100%,$B$8),100%)</f>
        <v>1</v>
      </c>
      <c r="BJ103" s="41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0.9045</v>
      </c>
      <c r="BK103" s="41" cm="1">
        <f t="array" ref="BK103">1+$B$13+VLOOKUP($Q103,武学奇术!$A:$ZZ,18,FALSE)+SUM(_xlfn.XLOOKUP(R103:AF103,增益!$A:$A,增益!$R:$R,0))</f>
        <v>2.21</v>
      </c>
      <c r="BL103" s="41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0.0929</v>
      </c>
      <c r="BM103" s="41" cm="1">
        <f t="array" ref="BM103">1+$B$14+VLOOKUP($Q103,武学奇术!$A:$ZZ,20,FALSE)+SUM(_xlfn.XLOOKUP(R103:AF103,增益!$A:$A,增益!$T:$T,0))</f>
        <v>1.35</v>
      </c>
      <c r="BN103" s="41">
        <f t="shared" si="20"/>
        <v>0.9045</v>
      </c>
      <c r="BO103" s="41">
        <f t="shared" si="21"/>
        <v>0.00260000000000005</v>
      </c>
      <c r="BP103" s="41">
        <f>IF(VLOOKUP($Q103,武学奇术!$A:$ZZ,22,FALSE)=1,0,(1-$BI103))*(1-$BL103)</f>
        <v>0</v>
      </c>
      <c r="BQ103" s="41" cm="1">
        <f t="array" ref="BQ103">SUM(_xlfn.XLOOKUP(R103:AF103,增益!$A:$A,增益!$W:$W,0))+$I$5</f>
        <v>0.21</v>
      </c>
    </row>
    <row r="104" spans="1:69">
      <c r="K104" s="55">
        <f t="shared" si="11"/>
        <v>133041.709687933</v>
      </c>
      <c r="L104" s="55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弹道",$B$21,0))*(1+$BQ104)</f>
        <v>134936.485478059</v>
      </c>
      <c r="M104" s="55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弹道",$B$21,0))*(1+$BQ104)</f>
        <v>116608.285969684</v>
      </c>
      <c r="N104" s="55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弹道",$B$21,0))*(1+$BQ104)</f>
        <v>61057.2332479906</v>
      </c>
      <c r="O104" s="55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弹道",$B$21,0))*(1+$BQ104)</f>
        <v>35737.9583702894</v>
      </c>
      <c r="P104" s="56">
        <v>2</v>
      </c>
      <c r="Q104" s="57" t="s">
        <v>102</v>
      </c>
      <c r="R104" s="57" t="s">
        <v>116</v>
      </c>
      <c r="S104" s="57" t="s">
        <v>153</v>
      </c>
      <c r="T104" s="57" t="s">
        <v>92</v>
      </c>
      <c r="U104" s="57" t="s">
        <v>157</v>
      </c>
      <c r="V104" s="57" t="s">
        <v>86</v>
      </c>
      <c r="W104" s="57" t="s">
        <v>72</v>
      </c>
      <c r="X104" s="57" t="s">
        <v>72</v>
      </c>
      <c r="Y104" s="57" t="s">
        <v>161</v>
      </c>
      <c r="Z104" s="57" t="s">
        <v>72</v>
      </c>
      <c r="AA104" s="57" t="s">
        <v>72</v>
      </c>
      <c r="AB104" s="57" t="s">
        <v>72</v>
      </c>
      <c r="AC104" s="57" t="s">
        <v>72</v>
      </c>
      <c r="AD104" s="57" t="s">
        <v>72</v>
      </c>
      <c r="AE104" s="57" t="s">
        <v>72</v>
      </c>
      <c r="AF104" s="57" t="s">
        <v>87</v>
      </c>
      <c r="AG104" t="str">
        <f>VLOOKUP($Q104,武学奇术!$A:$ZZ,25,FALSE)</f>
        <v>伞</v>
      </c>
      <c r="AH104" s="41">
        <f>VLOOKUP($Q104,武学奇术!$A:$ZZ,26,FALSE)</f>
        <v>1.174955</v>
      </c>
      <c r="AI104" s="42">
        <f>VLOOKUP($Q104,武学奇术!$A:$ZZ,27,FALSE)*(1+IF(OR($AG104=$F$4,$AG104=$F$5),$B$22,0))</f>
        <v>454.02</v>
      </c>
      <c r="AJ104" s="41">
        <f>VLOOKUP($Q104,武学奇术!$A:$ZZ,28,FALSE)</f>
        <v>1.762375</v>
      </c>
      <c r="AK104" s="42">
        <f>VLOOKUP($Q104,武学奇术!$A:$ZZ,29,FALSE)*(1+IF(OR($AG104=$F$4,$AG104=$F$5),$B$22,0))</f>
        <v>247.94</v>
      </c>
      <c r="AL104" s="41" cm="1">
        <f t="array" ref="AL104">$G$3+IFERROR(VLOOKUP($AG104,$F$4:$G$7,2,FALSE),0)+VLOOKUP($Q104,武学奇术!$A:$ZZ,2,FALSE)+SUM(_xlfn.XLOOKUP($R104:$AF104,增益!$A:$A,增益!$B:$B,0))</f>
        <v>0.9741</v>
      </c>
      <c r="AM104" s="41" cm="1">
        <f t="array" ref="AM104">VLOOKUP($Q104,武学奇术!$A:$ZZ,5,FALSE)+SUM(_xlfn.XLOOKUP($R104:$AF104,增益!$A:$A,增益!$E:$E,0))</f>
        <v>0.15</v>
      </c>
      <c r="AN104" cm="1">
        <f t="array" ref="AN104">$D$10*(1+$AM104)+VLOOKUP($Q104,武学奇术!$A:$ZZ,3,FALSE)+SUM(_xlfn.XLOOKUP($R104:$AF104,增益!$A:$A,增益!$C:$C,0))-$I$2</f>
        <v>2088.71</v>
      </c>
      <c r="AO104" cm="1">
        <f t="array" ref="AO104">$E$10*(1+$AM104)+VLOOKUP($Q104,武学奇术!$A:$ZZ,4,FALSE)+SUM(_xlfn.XLOOKUP($R104:$AF104,增益!$A:$A,增益!$D:$D,0))-$I$2</f>
        <v>6332.9</v>
      </c>
      <c r="AP104" s="49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0.3925</v>
      </c>
      <c r="AQ104" s="49" cm="1">
        <f t="array" ref="AQ104">$G$10+VLOOKUP($Q104,武学奇术!$A:$ZZ,7,FALSE)+SUM(_xlfn.XLOOKUP(R104:AF104,增益!$A:$A,增益!$G:$G,0))</f>
        <v>0.1</v>
      </c>
      <c r="AR104" s="41" cm="1">
        <f t="array" ref="AR104">VLOOKUP($Q104,武学奇术!$A:$ZZ,8,FALSE)+SUM(_xlfn.XLOOKUP(R104:AF104,增益!$A:$A,增益!$H:$H,0))</f>
        <v>0</v>
      </c>
      <c r="AS104">
        <f t="shared" si="12"/>
        <v>0</v>
      </c>
      <c r="AT104">
        <f t="shared" si="13"/>
        <v>0</v>
      </c>
      <c r="AU104" s="49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-0.3</v>
      </c>
      <c r="AV104" s="49" cm="1">
        <f t="array" ref="AV104">$G$11+VLOOKUP($Q104,武学奇术!$A:$ZZ,10,FALSE)+SUM(_xlfn.XLOOKUP(R104:AF104,增益!$A:$A,增益!$J:$J,0))</f>
        <v>0</v>
      </c>
      <c r="AW104">
        <f t="shared" si="14"/>
        <v>0</v>
      </c>
      <c r="AX104">
        <f t="shared" si="15"/>
        <v>0</v>
      </c>
      <c r="AY104" s="49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-0.3</v>
      </c>
      <c r="AZ104" s="49" cm="1">
        <f t="array" ref="AZ104">$G$12+VLOOKUP($Q104,武学奇术!$A:$ZZ,12,FALSE)+SUM(_xlfn.XLOOKUP(R104:AF104,增益!$A:$A,增益!$L:$L,0))</f>
        <v>0</v>
      </c>
      <c r="BA104">
        <f t="shared" si="16"/>
        <v>571.2</v>
      </c>
      <c r="BB104">
        <f t="shared" si="17"/>
        <v>1077.4</v>
      </c>
      <c r="BC104" s="49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0</v>
      </c>
      <c r="BD104" s="49" cm="1">
        <f t="array" ref="BD104">$G$13+VLOOKUP($Q104,武学奇术!$A:$ZZ,14,FALSE)+SUM(_xlfn.XLOOKUP(R104:AF104,增益!$A:$A,增益!$N:$N,0))</f>
        <v>0.25</v>
      </c>
      <c r="BE104">
        <f t="shared" si="18"/>
        <v>0</v>
      </c>
      <c r="BF104">
        <f t="shared" si="19"/>
        <v>0</v>
      </c>
      <c r="BG104" s="49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-0.3</v>
      </c>
      <c r="BH104" s="49" cm="1">
        <f t="array" ref="BH104">$G$14+VLOOKUP($Q104,武学奇术!$A:$ZZ,16,FALSE)+SUM(_xlfn.XLOOKUP(R104:AF104,增益!$A:$A,增益!$P:$P,0))</f>
        <v>0</v>
      </c>
      <c r="BI104" s="41">
        <f>MIN(IF(VLOOKUP($Q104,武学奇术!$A:$ZZ,23,FALSE)=1,100%,$B$8),100%)</f>
        <v>1</v>
      </c>
      <c r="BJ104" s="41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0.9045</v>
      </c>
      <c r="BK104" s="41" cm="1">
        <f t="array" ref="BK104">1+$B$13+VLOOKUP($Q104,武学奇术!$A:$ZZ,18,FALSE)+SUM(_xlfn.XLOOKUP(R104:AF104,增益!$A:$A,增益!$R:$R,0))</f>
        <v>2.21</v>
      </c>
      <c r="BL104" s="41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0.0929</v>
      </c>
      <c r="BM104" s="41" cm="1">
        <f t="array" ref="BM104">1+$B$14+VLOOKUP($Q104,武学奇术!$A:$ZZ,20,FALSE)+SUM(_xlfn.XLOOKUP(R104:AF104,增益!$A:$A,增益!$T:$T,0))</f>
        <v>1.35</v>
      </c>
      <c r="BN104" s="41">
        <f t="shared" si="20"/>
        <v>0.9045</v>
      </c>
      <c r="BO104" s="41">
        <f t="shared" si="21"/>
        <v>0.00260000000000005</v>
      </c>
      <c r="BP104" s="41">
        <f>IF(VLOOKUP($Q104,武学奇术!$A:$ZZ,22,FALSE)=1,0,(1-$BI104))*(1-$BL104)</f>
        <v>0</v>
      </c>
      <c r="BQ104" s="41" cm="1">
        <f t="array" ref="BQ104">SUM(_xlfn.XLOOKUP(R104:AF104,增益!$A:$A,增益!$W:$W,0))+$I$5</f>
        <v>0.11</v>
      </c>
    </row>
    <row r="105" spans="1:69">
      <c r="A105" s="4"/>
      <c r="B105" s="4"/>
      <c r="K105" s="55">
        <f t="shared" si="11"/>
        <v>194513.58988308</v>
      </c>
      <c r="L105" s="55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弹道",$B$21,0))*(1+$BQ105)</f>
        <v>193710.125275221</v>
      </c>
      <c r="M105" s="55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弹道",$B$21,0))*(1+$BQ105)</f>
        <v>204849.734278787</v>
      </c>
      <c r="N105" s="55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弹道",$B$21,0))*(1+$BQ105)</f>
        <v>104708.175824444</v>
      </c>
      <c r="O105" s="55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弹道",$B$21,0))*(1+$BQ105)</f>
        <v>57675.8077386753</v>
      </c>
      <c r="P105" s="56">
        <v>8</v>
      </c>
      <c r="Q105" s="57" t="s">
        <v>164</v>
      </c>
      <c r="R105" s="57" t="s">
        <v>116</v>
      </c>
      <c r="S105" s="57" t="s">
        <v>153</v>
      </c>
      <c r="T105" s="57" t="s">
        <v>72</v>
      </c>
      <c r="U105" s="57" t="s">
        <v>157</v>
      </c>
      <c r="V105" s="57" t="s">
        <v>72</v>
      </c>
      <c r="W105" s="57" t="s">
        <v>72</v>
      </c>
      <c r="X105" s="57" t="s">
        <v>72</v>
      </c>
      <c r="Y105" s="57" t="s">
        <v>161</v>
      </c>
      <c r="Z105" s="57" t="s">
        <v>72</v>
      </c>
      <c r="AA105" s="57" t="s">
        <v>72</v>
      </c>
      <c r="AB105" s="57" t="s">
        <v>72</v>
      </c>
      <c r="AC105" s="57" t="s">
        <v>162</v>
      </c>
      <c r="AD105" s="57" t="s">
        <v>72</v>
      </c>
      <c r="AE105" s="57" t="s">
        <v>72</v>
      </c>
      <c r="AF105" s="57" t="s">
        <v>87</v>
      </c>
      <c r="AG105" t="str">
        <f>VLOOKUP($Q105,武学奇术!$A:$ZZ,25,FALSE)</f>
        <v>单体奇术</v>
      </c>
      <c r="AH105" s="41">
        <f>VLOOKUP($Q105,武学奇术!$A:$ZZ,26,FALSE)</f>
        <v>1.0238</v>
      </c>
      <c r="AI105" s="42">
        <f>VLOOKUP($Q105,武学奇术!$A:$ZZ,27,FALSE)*(1+IF(OR($AG105=$F$4,$AG105=$F$5),$B$22,0))</f>
        <v>189</v>
      </c>
      <c r="AJ105" s="41">
        <f>VLOOKUP($Q105,武学奇术!$A:$ZZ,28,FALSE)</f>
        <v>1.5357</v>
      </c>
      <c r="AK105" s="42">
        <f>VLOOKUP($Q105,武学奇术!$A:$ZZ,29,FALSE)*(1+IF(OR($AG105=$F$4,$AG105=$F$5),$B$22,0))</f>
        <v>0</v>
      </c>
      <c r="AL105" s="41" cm="1">
        <f t="array" ref="AL105">$G$3+IFERROR(VLOOKUP($AG105,$F$4:$G$7,2,FALSE),0)+VLOOKUP($Q105,武学奇术!$A:$ZZ,2,FALSE)+SUM(_xlfn.XLOOKUP($R105:$AF105,增益!$A:$A,增益!$B:$B,0))</f>
        <v>0.4215</v>
      </c>
      <c r="AM105" s="41" cm="1">
        <f t="array" ref="AM105">VLOOKUP($Q105,武学奇术!$A:$ZZ,5,FALSE)+SUM(_xlfn.XLOOKUP($R105:$AF105,增益!$A:$A,增益!$E:$E,0))</f>
        <v>0.15</v>
      </c>
      <c r="AN105" cm="1">
        <f t="array" ref="AN105">$D$10*(1+$AM105)+VLOOKUP($Q105,武学奇术!$A:$ZZ,3,FALSE)+SUM(_xlfn.XLOOKUP($R105:$AF105,增益!$A:$A,增益!$C:$C,0))-$I$2</f>
        <v>2088.71</v>
      </c>
      <c r="AO105" cm="1">
        <f t="array" ref="AO105">$E$10*(1+$AM105)+VLOOKUP($Q105,武学奇术!$A:$ZZ,4,FALSE)+SUM(_xlfn.XLOOKUP($R105:$AF105,增益!$A:$A,增益!$D:$D,0))-$I$2</f>
        <v>6332.9</v>
      </c>
      <c r="AP105" s="49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0.3675</v>
      </c>
      <c r="AQ105" s="49" cm="1">
        <f t="array" ref="AQ105">$G$10+VLOOKUP($Q105,武学奇术!$A:$ZZ,7,FALSE)+SUM(_xlfn.XLOOKUP(R105:AF105,增益!$A:$A,增益!$G:$G,0))</f>
        <v>0</v>
      </c>
      <c r="AR105" s="41" cm="1">
        <f t="array" ref="AR105">VLOOKUP($Q105,武学奇术!$A:$ZZ,8,FALSE)+SUM(_xlfn.XLOOKUP(R105:AF105,增益!$A:$A,增益!$H:$H,0))</f>
        <v>0</v>
      </c>
      <c r="AS105">
        <f t="shared" si="12"/>
        <v>0</v>
      </c>
      <c r="AT105">
        <f t="shared" si="13"/>
        <v>0</v>
      </c>
      <c r="AU105" s="49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-0.3</v>
      </c>
      <c r="AV105" s="49" cm="1">
        <f t="array" ref="AV105">$G$11+VLOOKUP($Q105,武学奇术!$A:$ZZ,10,FALSE)+SUM(_xlfn.XLOOKUP(R105:AF105,增益!$A:$A,增益!$J:$J,0))</f>
        <v>0</v>
      </c>
      <c r="AW105">
        <f t="shared" si="14"/>
        <v>0</v>
      </c>
      <c r="AX105">
        <f t="shared" si="15"/>
        <v>0</v>
      </c>
      <c r="AY105" s="49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-0.3</v>
      </c>
      <c r="AZ105" s="49" cm="1">
        <f t="array" ref="AZ105">$G$12+VLOOKUP($Q105,武学奇术!$A:$ZZ,12,FALSE)+SUM(_xlfn.XLOOKUP(R105:AF105,增益!$A:$A,增益!$L:$L,0))</f>
        <v>0</v>
      </c>
      <c r="BA105">
        <f t="shared" si="16"/>
        <v>571.2</v>
      </c>
      <c r="BB105">
        <f t="shared" si="17"/>
        <v>1077.4</v>
      </c>
      <c r="BC105" s="49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0</v>
      </c>
      <c r="BD105" s="49" cm="1">
        <f t="array" ref="BD105">$G$13+VLOOKUP($Q105,武学奇术!$A:$ZZ,14,FALSE)+SUM(_xlfn.XLOOKUP(R105:AF105,增益!$A:$A,增益!$N:$N,0))</f>
        <v>0.15</v>
      </c>
      <c r="BE105">
        <f t="shared" si="18"/>
        <v>0</v>
      </c>
      <c r="BF105">
        <f t="shared" si="19"/>
        <v>0</v>
      </c>
      <c r="BG105" s="49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-0.3</v>
      </c>
      <c r="BH105" s="49" cm="1">
        <f t="array" ref="BH105">$G$14+VLOOKUP($Q105,武学奇术!$A:$ZZ,16,FALSE)+SUM(_xlfn.XLOOKUP(R105:AF105,增益!$A:$A,增益!$P:$P,0))</f>
        <v>0</v>
      </c>
      <c r="BI105" s="41">
        <f>MIN(IF(VLOOKUP($Q105,武学奇术!$A:$ZZ,23,FALSE)=1,100%,$B$8),100%)</f>
        <v>1</v>
      </c>
      <c r="BJ105" s="41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0.9045</v>
      </c>
      <c r="BK105" s="41" cm="1">
        <f t="array" ref="BK105">1+$B$13+VLOOKUP($Q105,武学奇术!$A:$ZZ,18,FALSE)+SUM(_xlfn.XLOOKUP(R105:AF105,增益!$A:$A,增益!$R:$R,0))</f>
        <v>1.85</v>
      </c>
      <c r="BL105" s="41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0.0929</v>
      </c>
      <c r="BM105" s="41" cm="1">
        <f t="array" ref="BM105">1+$B$14+VLOOKUP($Q105,武学奇术!$A:$ZZ,20,FALSE)+SUM(_xlfn.XLOOKUP(R105:AF105,增益!$A:$A,增益!$T:$T,0))</f>
        <v>1.35</v>
      </c>
      <c r="BN105" s="41">
        <f t="shared" si="20"/>
        <v>0.9045</v>
      </c>
      <c r="BO105" s="41">
        <f t="shared" si="21"/>
        <v>0.00260000000000005</v>
      </c>
      <c r="BP105" s="41">
        <f>IF(VLOOKUP($Q105,武学奇术!$A:$ZZ,22,FALSE)=1,0,(1-$BI105))*(1-$BL105)</f>
        <v>0</v>
      </c>
      <c r="BQ105" s="41" cm="1">
        <f t="array" ref="BQ105">SUM(_xlfn.XLOOKUP(R105:AF105,增益!$A:$A,增益!$W:$W,0))+$I$5</f>
        <v>0.21</v>
      </c>
    </row>
    <row r="106" spans="1:69">
      <c r="K106" s="55">
        <f t="shared" si="11"/>
        <v>63328.610711286</v>
      </c>
      <c r="L106" s="55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弹道",$B$21,0))*(1+$BQ106)</f>
        <v>63067.0246155823</v>
      </c>
      <c r="M106" s="55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弹道",$B$21,0))*(1+$BQ106)</f>
        <v>66693.7805080109</v>
      </c>
      <c r="N106" s="55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弹道",$B$21,0))*(1+$BQ106)</f>
        <v>34090.2835759904</v>
      </c>
      <c r="O106" s="55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弹道",$B$21,0))*(1+$BQ106)</f>
        <v>18777.7667756765</v>
      </c>
      <c r="P106" s="56">
        <f>IF($C$22="易水歌",1,0)</f>
        <v>1</v>
      </c>
      <c r="Q106" s="57" t="s">
        <v>165</v>
      </c>
      <c r="R106" s="57" t="s">
        <v>116</v>
      </c>
      <c r="S106" s="57" t="s">
        <v>153</v>
      </c>
      <c r="T106" s="57" t="s">
        <v>72</v>
      </c>
      <c r="U106" s="57" t="s">
        <v>157</v>
      </c>
      <c r="V106" s="57" t="s">
        <v>72</v>
      </c>
      <c r="W106" s="57" t="s">
        <v>72</v>
      </c>
      <c r="X106" s="57" t="s">
        <v>72</v>
      </c>
      <c r="Y106" s="57" t="s">
        <v>161</v>
      </c>
      <c r="Z106" s="57" t="s">
        <v>72</v>
      </c>
      <c r="AA106" s="57" t="s">
        <v>72</v>
      </c>
      <c r="AB106" s="57" t="s">
        <v>72</v>
      </c>
      <c r="AC106" s="57" t="s">
        <v>162</v>
      </c>
      <c r="AD106" s="57" t="s">
        <v>72</v>
      </c>
      <c r="AE106" s="57" t="s">
        <v>72</v>
      </c>
      <c r="AF106" s="57" t="s">
        <v>87</v>
      </c>
      <c r="AG106" t="str">
        <f>VLOOKUP($Q106,武学奇术!$A:$ZZ,25,FALSE)</f>
        <v>单体奇术</v>
      </c>
      <c r="AH106" s="41">
        <f>VLOOKUP($Q106,武学奇术!$A:$ZZ,26,FALSE)</f>
        <v>1.7063</v>
      </c>
      <c r="AI106" s="42">
        <f>VLOOKUP($Q106,武学奇术!$A:$ZZ,27,FALSE)*(1+IF(OR($AG106=$F$4,$AG106=$F$5),$B$22,0))</f>
        <v>315</v>
      </c>
      <c r="AJ106" s="41">
        <f>VLOOKUP($Q106,武学奇术!$A:$ZZ,28,FALSE)</f>
        <v>2.55945</v>
      </c>
      <c r="AK106" s="42">
        <f>VLOOKUP($Q106,武学奇术!$A:$ZZ,29,FALSE)*(1+IF(OR($AG106=$F$4,$AG106=$F$5),$B$22,0))</f>
        <v>0</v>
      </c>
      <c r="AL106" s="41" cm="1">
        <f t="array" ref="AL106">$G$3+IFERROR(VLOOKUP($AG106,$F$4:$G$7,2,FALSE),0)+VLOOKUP($Q106,武学奇术!$A:$ZZ,2,FALSE)+SUM(_xlfn.XLOOKUP($R106:$AF106,增益!$A:$A,增益!$B:$B,0))</f>
        <v>1.2215</v>
      </c>
      <c r="AM106" s="41" cm="1">
        <f t="array" ref="AM106">VLOOKUP($Q106,武学奇术!$A:$ZZ,5,FALSE)+SUM(_xlfn.XLOOKUP($R106:$AF106,增益!$A:$A,增益!$E:$E,0))</f>
        <v>0.15</v>
      </c>
      <c r="AN106" cm="1">
        <f t="array" ref="AN106">$D$10*(1+$AM106)+VLOOKUP($Q106,武学奇术!$A:$ZZ,3,FALSE)+SUM(_xlfn.XLOOKUP($R106:$AF106,增益!$A:$A,增益!$C:$C,0))-$I$2</f>
        <v>2088.71</v>
      </c>
      <c r="AO106" cm="1">
        <f t="array" ref="AO106">$E$10*(1+$AM106)+VLOOKUP($Q106,武学奇术!$A:$ZZ,4,FALSE)+SUM(_xlfn.XLOOKUP($R106:$AF106,增益!$A:$A,增益!$D:$D,0))-$I$2</f>
        <v>6332.9</v>
      </c>
      <c r="AP106" s="49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0.3675</v>
      </c>
      <c r="AQ106" s="49" cm="1">
        <f t="array" ref="AQ106">$G$10+VLOOKUP($Q106,武学奇术!$A:$ZZ,7,FALSE)+SUM(_xlfn.XLOOKUP(R106:AF106,增益!$A:$A,增益!$G:$G,0))</f>
        <v>0</v>
      </c>
      <c r="AR106" s="41" cm="1">
        <f t="array" ref="AR106">VLOOKUP($Q106,武学奇术!$A:$ZZ,8,FALSE)+SUM(_xlfn.XLOOKUP(R106:AF106,增益!$A:$A,增益!$H:$H,0))</f>
        <v>0</v>
      </c>
      <c r="AS106">
        <f t="shared" si="12"/>
        <v>0</v>
      </c>
      <c r="AT106">
        <f t="shared" si="13"/>
        <v>0</v>
      </c>
      <c r="AU106" s="49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-0.3</v>
      </c>
      <c r="AV106" s="49" cm="1">
        <f t="array" ref="AV106">$G$11+VLOOKUP($Q106,武学奇术!$A:$ZZ,10,FALSE)+SUM(_xlfn.XLOOKUP(R106:AF106,增益!$A:$A,增益!$J:$J,0))</f>
        <v>0</v>
      </c>
      <c r="AW106">
        <f t="shared" si="14"/>
        <v>0</v>
      </c>
      <c r="AX106">
        <f t="shared" si="15"/>
        <v>0</v>
      </c>
      <c r="AY106" s="49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-0.3</v>
      </c>
      <c r="AZ106" s="49" cm="1">
        <f t="array" ref="AZ106">$G$12+VLOOKUP($Q106,武学奇术!$A:$ZZ,12,FALSE)+SUM(_xlfn.XLOOKUP(R106:AF106,增益!$A:$A,增益!$L:$L,0))</f>
        <v>0</v>
      </c>
      <c r="BA106">
        <f t="shared" si="16"/>
        <v>571.2</v>
      </c>
      <c r="BB106">
        <f t="shared" si="17"/>
        <v>1077.4</v>
      </c>
      <c r="BC106" s="49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0</v>
      </c>
      <c r="BD106" s="49" cm="1">
        <f t="array" ref="BD106">$G$13+VLOOKUP($Q106,武学奇术!$A:$ZZ,14,FALSE)+SUM(_xlfn.XLOOKUP(R106:AF106,增益!$A:$A,增益!$N:$N,0))</f>
        <v>0.15</v>
      </c>
      <c r="BE106">
        <f t="shared" si="18"/>
        <v>0</v>
      </c>
      <c r="BF106">
        <f t="shared" si="19"/>
        <v>0</v>
      </c>
      <c r="BG106" s="49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-0.3</v>
      </c>
      <c r="BH106" s="49" cm="1">
        <f t="array" ref="BH106">$G$14+VLOOKUP($Q106,武学奇术!$A:$ZZ,16,FALSE)+SUM(_xlfn.XLOOKUP(R106:AF106,增益!$A:$A,增益!$P:$P,0))</f>
        <v>0</v>
      </c>
      <c r="BI106" s="41">
        <f>MIN(IF(VLOOKUP($Q106,武学奇术!$A:$ZZ,23,FALSE)=1,100%,$B$8),100%)</f>
        <v>1</v>
      </c>
      <c r="BJ106" s="41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0.9045</v>
      </c>
      <c r="BK106" s="41" cm="1">
        <f t="array" ref="BK106">1+$B$13+VLOOKUP($Q106,武学奇术!$A:$ZZ,18,FALSE)+SUM(_xlfn.XLOOKUP(R106:AF106,增益!$A:$A,增益!$R:$R,0))</f>
        <v>1.85</v>
      </c>
      <c r="BL106" s="41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0.0929</v>
      </c>
      <c r="BM106" s="41" cm="1">
        <f t="array" ref="BM106">1+$B$14+VLOOKUP($Q106,武学奇术!$A:$ZZ,20,FALSE)+SUM(_xlfn.XLOOKUP(R106:AF106,增益!$A:$A,增益!$T:$T,0))</f>
        <v>1.35</v>
      </c>
      <c r="BN106" s="41">
        <f t="shared" si="20"/>
        <v>0.9045</v>
      </c>
      <c r="BO106" s="41">
        <f t="shared" si="21"/>
        <v>0.00260000000000005</v>
      </c>
      <c r="BP106" s="41">
        <f>IF(VLOOKUP($Q106,武学奇术!$A:$ZZ,22,FALSE)=1,0,(1-$BI106))*(1-$BL106)</f>
        <v>0</v>
      </c>
      <c r="BQ106" s="41" cm="1">
        <f t="array" ref="BQ106">SUM(_xlfn.XLOOKUP(R106:AF106,增益!$A:$A,增益!$W:$W,0))+$I$5</f>
        <v>0.21</v>
      </c>
    </row>
    <row r="107" spans="1:69">
      <c r="A107" s="4"/>
      <c r="B107" s="4"/>
      <c r="K107" s="55">
        <f t="shared" si="11"/>
        <v>343866.333508565</v>
      </c>
      <c r="L107" s="55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弹道",$B$21,0))*(1+$BQ107)</f>
        <v>342445.953520979</v>
      </c>
      <c r="M107" s="55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弹道",$B$21,0))*(1+$BQ107)</f>
        <v>362138.785303578</v>
      </c>
      <c r="N107" s="55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弹道",$B$21,0))*(1+$BQ107)</f>
        <v>185105.920822151</v>
      </c>
      <c r="O107" s="55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弹道",$B$21,0))*(1+$BQ107)</f>
        <v>101960.889567577</v>
      </c>
      <c r="P107" s="56">
        <v>9</v>
      </c>
      <c r="Q107" s="57" t="s">
        <v>166</v>
      </c>
      <c r="R107" s="57" t="s">
        <v>116</v>
      </c>
      <c r="S107" s="57" t="s">
        <v>153</v>
      </c>
      <c r="T107" s="57" t="s">
        <v>72</v>
      </c>
      <c r="U107" s="57" t="s">
        <v>157</v>
      </c>
      <c r="V107" s="57" t="s">
        <v>72</v>
      </c>
      <c r="W107" s="57" t="s">
        <v>72</v>
      </c>
      <c r="X107" s="57" t="s">
        <v>72</v>
      </c>
      <c r="Y107" s="57" t="s">
        <v>161</v>
      </c>
      <c r="Z107" s="57" t="s">
        <v>72</v>
      </c>
      <c r="AA107" s="57" t="s">
        <v>72</v>
      </c>
      <c r="AB107" s="57" t="s">
        <v>72</v>
      </c>
      <c r="AC107" s="57" t="s">
        <v>162</v>
      </c>
      <c r="AD107" s="57" t="s">
        <v>72</v>
      </c>
      <c r="AE107" s="57" t="s">
        <v>72</v>
      </c>
      <c r="AF107" s="57" t="s">
        <v>87</v>
      </c>
      <c r="AG107" t="str">
        <f>VLOOKUP($Q107,武学奇术!$A:$ZZ,25,FALSE)</f>
        <v>单体奇术</v>
      </c>
      <c r="AH107" s="41">
        <f>VLOOKUP($Q107,武学奇术!$A:$ZZ,26,FALSE)</f>
        <v>1.6088</v>
      </c>
      <c r="AI107" s="42">
        <f>VLOOKUP($Q107,武学奇术!$A:$ZZ,27,FALSE)*(1+IF(OR($AG107=$F$4,$AG107=$F$5),$B$22,0))</f>
        <v>297</v>
      </c>
      <c r="AJ107" s="41">
        <f>VLOOKUP($Q107,武学奇术!$A:$ZZ,28,FALSE)</f>
        <v>2.4132</v>
      </c>
      <c r="AK107" s="42">
        <f>VLOOKUP($Q107,武学奇术!$A:$ZZ,29,FALSE)*(1+IF(OR($AG107=$F$4,$AG107=$F$5),$B$22,0))</f>
        <v>0</v>
      </c>
      <c r="AL107" s="41" cm="1">
        <f t="array" ref="AL107">$G$3+IFERROR(VLOOKUP($AG107,$F$4:$G$7,2,FALSE),0)+VLOOKUP($Q107,武学奇术!$A:$ZZ,2,FALSE)+SUM(_xlfn.XLOOKUP($R107:$AF107,增益!$A:$A,增益!$B:$B,0))</f>
        <v>0.4215</v>
      </c>
      <c r="AM107" s="41" cm="1">
        <f t="array" ref="AM107">VLOOKUP($Q107,武学奇术!$A:$ZZ,5,FALSE)+SUM(_xlfn.XLOOKUP($R107:$AF107,增益!$A:$A,增益!$E:$E,0))</f>
        <v>0.15</v>
      </c>
      <c r="AN107" cm="1">
        <f t="array" ref="AN107">$D$10*(1+$AM107)+VLOOKUP($Q107,武学奇术!$A:$ZZ,3,FALSE)+SUM(_xlfn.XLOOKUP($R107:$AF107,增益!$A:$A,增益!$C:$C,0))-$I$2</f>
        <v>2088.71</v>
      </c>
      <c r="AO107" cm="1">
        <f t="array" ref="AO107">$E$10*(1+$AM107)+VLOOKUP($Q107,武学奇术!$A:$ZZ,4,FALSE)+SUM(_xlfn.XLOOKUP($R107:$AF107,增益!$A:$A,增益!$D:$D,0))-$I$2</f>
        <v>6332.9</v>
      </c>
      <c r="AP107" s="49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0.3675</v>
      </c>
      <c r="AQ107" s="49" cm="1">
        <f t="array" ref="AQ107">$G$10+VLOOKUP($Q107,武学奇术!$A:$ZZ,7,FALSE)+SUM(_xlfn.XLOOKUP(R107:AF107,增益!$A:$A,增益!$G:$G,0))</f>
        <v>0</v>
      </c>
      <c r="AR107" s="41" cm="1">
        <f t="array" ref="AR107">VLOOKUP($Q107,武学奇术!$A:$ZZ,8,FALSE)+SUM(_xlfn.XLOOKUP(R107:AF107,增益!$A:$A,增益!$H:$H,0))</f>
        <v>0</v>
      </c>
      <c r="AS107">
        <f t="shared" si="12"/>
        <v>0</v>
      </c>
      <c r="AT107">
        <f t="shared" si="13"/>
        <v>0</v>
      </c>
      <c r="AU107" s="49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-0.3</v>
      </c>
      <c r="AV107" s="49" cm="1">
        <f t="array" ref="AV107">$G$11+VLOOKUP($Q107,武学奇术!$A:$ZZ,10,FALSE)+SUM(_xlfn.XLOOKUP(R107:AF107,增益!$A:$A,增益!$J:$J,0))</f>
        <v>0</v>
      </c>
      <c r="AW107">
        <f t="shared" si="14"/>
        <v>0</v>
      </c>
      <c r="AX107">
        <f t="shared" si="15"/>
        <v>0</v>
      </c>
      <c r="AY107" s="49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-0.3</v>
      </c>
      <c r="AZ107" s="49" cm="1">
        <f t="array" ref="AZ107">$G$12+VLOOKUP($Q107,武学奇术!$A:$ZZ,12,FALSE)+SUM(_xlfn.XLOOKUP(R107:AF107,增益!$A:$A,增益!$L:$L,0))</f>
        <v>0</v>
      </c>
      <c r="BA107">
        <f t="shared" si="16"/>
        <v>571.2</v>
      </c>
      <c r="BB107">
        <f t="shared" si="17"/>
        <v>1077.4</v>
      </c>
      <c r="BC107" s="49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0</v>
      </c>
      <c r="BD107" s="49" cm="1">
        <f t="array" ref="BD107">$G$13+VLOOKUP($Q107,武学奇术!$A:$ZZ,14,FALSE)+SUM(_xlfn.XLOOKUP(R107:AF107,增益!$A:$A,增益!$N:$N,0))</f>
        <v>0.15</v>
      </c>
      <c r="BE107">
        <f t="shared" si="18"/>
        <v>0</v>
      </c>
      <c r="BF107">
        <f t="shared" si="19"/>
        <v>0</v>
      </c>
      <c r="BG107" s="49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-0.3</v>
      </c>
      <c r="BH107" s="49" cm="1">
        <f t="array" ref="BH107">$G$14+VLOOKUP($Q107,武学奇术!$A:$ZZ,16,FALSE)+SUM(_xlfn.XLOOKUP(R107:AF107,增益!$A:$A,增益!$P:$P,0))</f>
        <v>0</v>
      </c>
      <c r="BI107" s="41">
        <f>MIN(IF(VLOOKUP($Q107,武学奇术!$A:$ZZ,23,FALSE)=1,100%,$B$8),100%)</f>
        <v>1</v>
      </c>
      <c r="BJ107" s="41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0.9045</v>
      </c>
      <c r="BK107" s="41" cm="1">
        <f t="array" ref="BK107">1+$B$13+VLOOKUP($Q107,武学奇术!$A:$ZZ,18,FALSE)+SUM(_xlfn.XLOOKUP(R107:AF107,增益!$A:$A,增益!$R:$R,0))</f>
        <v>1.85</v>
      </c>
      <c r="BL107" s="41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0.0929</v>
      </c>
      <c r="BM107" s="41" cm="1">
        <f t="array" ref="BM107">1+$B$14+VLOOKUP($Q107,武学奇术!$A:$ZZ,20,FALSE)+SUM(_xlfn.XLOOKUP(R107:AF107,增益!$A:$A,增益!$T:$T,0))</f>
        <v>1.35</v>
      </c>
      <c r="BN107" s="41">
        <f t="shared" si="20"/>
        <v>0.9045</v>
      </c>
      <c r="BO107" s="41">
        <f t="shared" si="21"/>
        <v>0.00260000000000005</v>
      </c>
      <c r="BP107" s="41">
        <f>IF(VLOOKUP($Q107,武学奇术!$A:$ZZ,22,FALSE)=1,0,(1-$BI107))*(1-$BL107)</f>
        <v>0</v>
      </c>
      <c r="BQ107" s="41" cm="1">
        <f t="array" ref="BQ107">SUM(_xlfn.XLOOKUP(R107:AF107,增益!$A:$A,增益!$W:$W,0))+$I$5</f>
        <v>0.21</v>
      </c>
    </row>
    <row r="108" spans="1:69">
      <c r="K108" s="55">
        <f t="shared" si="11"/>
        <v>89219.043293479</v>
      </c>
      <c r="L108" s="55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弹道",$B$21,0))*(1+$BQ108)</f>
        <v>88850.5120064031</v>
      </c>
      <c r="M108" s="55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弹道",$B$21,0))*(1+$BQ108)</f>
        <v>93960.002086551</v>
      </c>
      <c r="N108" s="55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弹道",$B$21,0))*(1+$BQ108)</f>
        <v>48027.3037872449</v>
      </c>
      <c r="O108" s="55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弹道",$B$21,0))*(1+$BQ108)</f>
        <v>26454.6060288965</v>
      </c>
      <c r="P108" s="56">
        <v>4</v>
      </c>
      <c r="Q108" s="57" t="s">
        <v>164</v>
      </c>
      <c r="R108" s="57" t="s">
        <v>116</v>
      </c>
      <c r="S108" s="57" t="s">
        <v>153</v>
      </c>
      <c r="T108" s="57" t="s">
        <v>72</v>
      </c>
      <c r="U108" s="57" t="s">
        <v>157</v>
      </c>
      <c r="V108" s="57" t="s">
        <v>72</v>
      </c>
      <c r="W108" s="57" t="s">
        <v>72</v>
      </c>
      <c r="X108" s="57" t="s">
        <v>72</v>
      </c>
      <c r="Y108" s="57" t="s">
        <v>161</v>
      </c>
      <c r="Z108" s="57" t="s">
        <v>72</v>
      </c>
      <c r="AA108" s="57" t="s">
        <v>72</v>
      </c>
      <c r="AB108" s="57" t="s">
        <v>72</v>
      </c>
      <c r="AC108" s="57" t="s">
        <v>72</v>
      </c>
      <c r="AD108" s="57" t="s">
        <v>72</v>
      </c>
      <c r="AE108" s="57" t="s">
        <v>72</v>
      </c>
      <c r="AF108" s="57" t="s">
        <v>87</v>
      </c>
      <c r="AG108" t="str">
        <f>VLOOKUP($Q108,武学奇术!$A:$ZZ,25,FALSE)</f>
        <v>单体奇术</v>
      </c>
      <c r="AH108" s="41">
        <f>VLOOKUP($Q108,武学奇术!$A:$ZZ,26,FALSE)</f>
        <v>1.0238</v>
      </c>
      <c r="AI108" s="42">
        <f>VLOOKUP($Q108,武学奇术!$A:$ZZ,27,FALSE)*(1+IF(OR($AG108=$F$4,$AG108=$F$5),$B$22,0))</f>
        <v>189</v>
      </c>
      <c r="AJ108" s="41">
        <f>VLOOKUP($Q108,武学奇术!$A:$ZZ,28,FALSE)</f>
        <v>1.5357</v>
      </c>
      <c r="AK108" s="42">
        <f>VLOOKUP($Q108,武学奇术!$A:$ZZ,29,FALSE)*(1+IF(OR($AG108=$F$4,$AG108=$F$5),$B$22,0))</f>
        <v>0</v>
      </c>
      <c r="AL108" s="41" cm="1">
        <f t="array" ref="AL108">$G$3+IFERROR(VLOOKUP($AG108,$F$4:$G$7,2,FALSE),0)+VLOOKUP($Q108,武学奇术!$A:$ZZ,2,FALSE)+SUM(_xlfn.XLOOKUP($R108:$AF108,增益!$A:$A,增益!$B:$B,0))</f>
        <v>0.4215</v>
      </c>
      <c r="AM108" s="41" cm="1">
        <f t="array" ref="AM108">VLOOKUP($Q108,武学奇术!$A:$ZZ,5,FALSE)+SUM(_xlfn.XLOOKUP($R108:$AF108,增益!$A:$A,增益!$E:$E,0))</f>
        <v>0.15</v>
      </c>
      <c r="AN108" cm="1">
        <f t="array" ref="AN108">$D$10*(1+$AM108)+VLOOKUP($Q108,武学奇术!$A:$ZZ,3,FALSE)+SUM(_xlfn.XLOOKUP($R108:$AF108,增益!$A:$A,增益!$C:$C,0))-$I$2</f>
        <v>2088.71</v>
      </c>
      <c r="AO108" cm="1">
        <f t="array" ref="AO108">$E$10*(1+$AM108)+VLOOKUP($Q108,武学奇术!$A:$ZZ,4,FALSE)+SUM(_xlfn.XLOOKUP($R108:$AF108,增益!$A:$A,增益!$D:$D,0))-$I$2</f>
        <v>6332.9</v>
      </c>
      <c r="AP108" s="49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0.3675</v>
      </c>
      <c r="AQ108" s="49" cm="1">
        <f t="array" ref="AQ108">$G$10+VLOOKUP($Q108,武学奇术!$A:$ZZ,7,FALSE)+SUM(_xlfn.XLOOKUP(R108:AF108,增益!$A:$A,增益!$G:$G,0))</f>
        <v>0</v>
      </c>
      <c r="AR108" s="41" cm="1">
        <f t="array" ref="AR108">VLOOKUP($Q108,武学奇术!$A:$ZZ,8,FALSE)+SUM(_xlfn.XLOOKUP(R108:AF108,增益!$A:$A,增益!$H:$H,0))</f>
        <v>0</v>
      </c>
      <c r="AS108">
        <f t="shared" si="12"/>
        <v>0</v>
      </c>
      <c r="AT108">
        <f t="shared" si="13"/>
        <v>0</v>
      </c>
      <c r="AU108" s="49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-0.3</v>
      </c>
      <c r="AV108" s="49" cm="1">
        <f t="array" ref="AV108">$G$11+VLOOKUP($Q108,武学奇术!$A:$ZZ,10,FALSE)+SUM(_xlfn.XLOOKUP(R108:AF108,增益!$A:$A,增益!$J:$J,0))</f>
        <v>0</v>
      </c>
      <c r="AW108">
        <f t="shared" si="14"/>
        <v>0</v>
      </c>
      <c r="AX108">
        <f t="shared" si="15"/>
        <v>0</v>
      </c>
      <c r="AY108" s="49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-0.3</v>
      </c>
      <c r="AZ108" s="49" cm="1">
        <f t="array" ref="AZ108">$G$12+VLOOKUP($Q108,武学奇术!$A:$ZZ,12,FALSE)+SUM(_xlfn.XLOOKUP(R108:AF108,增益!$A:$A,增益!$L:$L,0))</f>
        <v>0</v>
      </c>
      <c r="BA108">
        <f t="shared" si="16"/>
        <v>571.2</v>
      </c>
      <c r="BB108">
        <f t="shared" si="17"/>
        <v>1077.4</v>
      </c>
      <c r="BC108" s="49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0</v>
      </c>
      <c r="BD108" s="49" cm="1">
        <f t="array" ref="BD108">$G$13+VLOOKUP($Q108,武学奇术!$A:$ZZ,14,FALSE)+SUM(_xlfn.XLOOKUP(R108:AF108,增益!$A:$A,增益!$N:$N,0))</f>
        <v>0.15</v>
      </c>
      <c r="BE108">
        <f t="shared" si="18"/>
        <v>0</v>
      </c>
      <c r="BF108">
        <f t="shared" si="19"/>
        <v>0</v>
      </c>
      <c r="BG108" s="49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-0.3</v>
      </c>
      <c r="BH108" s="49" cm="1">
        <f t="array" ref="BH108">$G$14+VLOOKUP($Q108,武学奇术!$A:$ZZ,16,FALSE)+SUM(_xlfn.XLOOKUP(R108:AF108,增益!$A:$A,增益!$P:$P,0))</f>
        <v>0</v>
      </c>
      <c r="BI108" s="41">
        <f>MIN(IF(VLOOKUP($Q108,武学奇术!$A:$ZZ,23,FALSE)=1,100%,$B$8),100%)</f>
        <v>1</v>
      </c>
      <c r="BJ108" s="41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0.9045</v>
      </c>
      <c r="BK108" s="41" cm="1">
        <f t="array" ref="BK108">1+$B$13+VLOOKUP($Q108,武学奇术!$A:$ZZ,18,FALSE)+SUM(_xlfn.XLOOKUP(R108:AF108,增益!$A:$A,增益!$R:$R,0))</f>
        <v>1.85</v>
      </c>
      <c r="BL108" s="41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0.0929</v>
      </c>
      <c r="BM108" s="41" cm="1">
        <f t="array" ref="BM108">1+$B$14+VLOOKUP($Q108,武学奇术!$A:$ZZ,20,FALSE)+SUM(_xlfn.XLOOKUP(R108:AF108,增益!$A:$A,增益!$T:$T,0))</f>
        <v>1.35</v>
      </c>
      <c r="BN108" s="41">
        <f t="shared" si="20"/>
        <v>0.9045</v>
      </c>
      <c r="BO108" s="41">
        <f t="shared" si="21"/>
        <v>0.00260000000000005</v>
      </c>
      <c r="BP108" s="41">
        <f>IF(VLOOKUP($Q108,武学奇术!$A:$ZZ,22,FALSE)=1,0,(1-$BI108))*(1-$BL108)</f>
        <v>0</v>
      </c>
      <c r="BQ108" s="41" cm="1">
        <f t="array" ref="BQ108">SUM(_xlfn.XLOOKUP(R108:AF108,增益!$A:$A,增益!$W:$W,0))+$I$5</f>
        <v>0.11</v>
      </c>
    </row>
    <row r="109" spans="1:69">
      <c r="K109" s="55">
        <f t="shared" si="11"/>
        <v>116189.682462029</v>
      </c>
      <c r="L109" s="55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弹道",$B$21,0))*(1+$BQ109)</f>
        <v>115709.747641812</v>
      </c>
      <c r="M109" s="55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弹道",$B$21,0))*(1+$BQ109)</f>
        <v>122363.795642797</v>
      </c>
      <c r="N109" s="55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弹道",$B$21,0))*(1+$BQ109)</f>
        <v>62545.8095361147</v>
      </c>
      <c r="O109" s="55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弹道",$B$21,0))*(1+$BQ109)</f>
        <v>34451.7704479355</v>
      </c>
      <c r="P109" s="56">
        <v>2</v>
      </c>
      <c r="Q109" s="57" t="s">
        <v>165</v>
      </c>
      <c r="R109" s="57" t="s">
        <v>116</v>
      </c>
      <c r="S109" s="57" t="s">
        <v>153</v>
      </c>
      <c r="T109" s="57" t="s">
        <v>72</v>
      </c>
      <c r="U109" s="57" t="s">
        <v>157</v>
      </c>
      <c r="V109" s="57" t="s">
        <v>72</v>
      </c>
      <c r="W109" s="57" t="s">
        <v>72</v>
      </c>
      <c r="X109" s="57" t="s">
        <v>72</v>
      </c>
      <c r="Y109" s="57" t="s">
        <v>161</v>
      </c>
      <c r="Z109" s="57" t="s">
        <v>72</v>
      </c>
      <c r="AA109" s="57" t="s">
        <v>72</v>
      </c>
      <c r="AB109" s="57" t="s">
        <v>72</v>
      </c>
      <c r="AC109" s="57" t="s">
        <v>72</v>
      </c>
      <c r="AD109" s="57" t="s">
        <v>72</v>
      </c>
      <c r="AE109" s="57" t="s">
        <v>72</v>
      </c>
      <c r="AF109" s="57" t="s">
        <v>87</v>
      </c>
      <c r="AG109" t="str">
        <f>VLOOKUP($Q109,武学奇术!$A:$ZZ,25,FALSE)</f>
        <v>单体奇术</v>
      </c>
      <c r="AH109" s="41">
        <f>VLOOKUP($Q109,武学奇术!$A:$ZZ,26,FALSE)</f>
        <v>1.7063</v>
      </c>
      <c r="AI109" s="42">
        <f>VLOOKUP($Q109,武学奇术!$A:$ZZ,27,FALSE)*(1+IF(OR($AG109=$F$4,$AG109=$F$5),$B$22,0))</f>
        <v>315</v>
      </c>
      <c r="AJ109" s="41">
        <f>VLOOKUP($Q109,武学奇术!$A:$ZZ,28,FALSE)</f>
        <v>2.55945</v>
      </c>
      <c r="AK109" s="42">
        <f>VLOOKUP($Q109,武学奇术!$A:$ZZ,29,FALSE)*(1+IF(OR($AG109=$F$4,$AG109=$F$5),$B$22,0))</f>
        <v>0</v>
      </c>
      <c r="AL109" s="41" cm="1">
        <f t="array" ref="AL109">$G$3+IFERROR(VLOOKUP($AG109,$F$4:$G$7,2,FALSE),0)+VLOOKUP($Q109,武学奇术!$A:$ZZ,2,FALSE)+SUM(_xlfn.XLOOKUP($R109:$AF109,增益!$A:$A,增益!$B:$B,0))</f>
        <v>1.2215</v>
      </c>
      <c r="AM109" s="41" cm="1">
        <f t="array" ref="AM109">VLOOKUP($Q109,武学奇术!$A:$ZZ,5,FALSE)+SUM(_xlfn.XLOOKUP($R109:$AF109,增益!$A:$A,增益!$E:$E,0))</f>
        <v>0.15</v>
      </c>
      <c r="AN109" cm="1">
        <f t="array" ref="AN109">$D$10*(1+$AM109)+VLOOKUP($Q109,武学奇术!$A:$ZZ,3,FALSE)+SUM(_xlfn.XLOOKUP($R109:$AF109,增益!$A:$A,增益!$C:$C,0))-$I$2</f>
        <v>2088.71</v>
      </c>
      <c r="AO109" cm="1">
        <f t="array" ref="AO109">$E$10*(1+$AM109)+VLOOKUP($Q109,武学奇术!$A:$ZZ,4,FALSE)+SUM(_xlfn.XLOOKUP($R109:$AF109,增益!$A:$A,增益!$D:$D,0))-$I$2</f>
        <v>6332.9</v>
      </c>
      <c r="AP109" s="49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0.3675</v>
      </c>
      <c r="AQ109" s="49" cm="1">
        <f t="array" ref="AQ109">$G$10+VLOOKUP($Q109,武学奇术!$A:$ZZ,7,FALSE)+SUM(_xlfn.XLOOKUP(R109:AF109,增益!$A:$A,增益!$G:$G,0))</f>
        <v>0</v>
      </c>
      <c r="AR109" s="41" cm="1">
        <f t="array" ref="AR109">VLOOKUP($Q109,武学奇术!$A:$ZZ,8,FALSE)+SUM(_xlfn.XLOOKUP(R109:AF109,增益!$A:$A,增益!$H:$H,0))</f>
        <v>0</v>
      </c>
      <c r="AS109">
        <f t="shared" si="12"/>
        <v>0</v>
      </c>
      <c r="AT109">
        <f t="shared" si="13"/>
        <v>0</v>
      </c>
      <c r="AU109" s="49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-0.3</v>
      </c>
      <c r="AV109" s="49" cm="1">
        <f t="array" ref="AV109">$G$11+VLOOKUP($Q109,武学奇术!$A:$ZZ,10,FALSE)+SUM(_xlfn.XLOOKUP(R109:AF109,增益!$A:$A,增益!$J:$J,0))</f>
        <v>0</v>
      </c>
      <c r="AW109">
        <f t="shared" si="14"/>
        <v>0</v>
      </c>
      <c r="AX109">
        <f t="shared" si="15"/>
        <v>0</v>
      </c>
      <c r="AY109" s="49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-0.3</v>
      </c>
      <c r="AZ109" s="49" cm="1">
        <f t="array" ref="AZ109">$G$12+VLOOKUP($Q109,武学奇术!$A:$ZZ,12,FALSE)+SUM(_xlfn.XLOOKUP(R109:AF109,增益!$A:$A,增益!$L:$L,0))</f>
        <v>0</v>
      </c>
      <c r="BA109">
        <f t="shared" si="16"/>
        <v>571.2</v>
      </c>
      <c r="BB109">
        <f t="shared" si="17"/>
        <v>1077.4</v>
      </c>
      <c r="BC109" s="49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0</v>
      </c>
      <c r="BD109" s="49" cm="1">
        <f t="array" ref="BD109">$G$13+VLOOKUP($Q109,武学奇术!$A:$ZZ,14,FALSE)+SUM(_xlfn.XLOOKUP(R109:AF109,增益!$A:$A,增益!$N:$N,0))</f>
        <v>0.15</v>
      </c>
      <c r="BE109">
        <f t="shared" si="18"/>
        <v>0</v>
      </c>
      <c r="BF109">
        <f t="shared" si="19"/>
        <v>0</v>
      </c>
      <c r="BG109" s="49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-0.3</v>
      </c>
      <c r="BH109" s="49" cm="1">
        <f t="array" ref="BH109">$G$14+VLOOKUP($Q109,武学奇术!$A:$ZZ,16,FALSE)+SUM(_xlfn.XLOOKUP(R109:AF109,增益!$A:$A,增益!$P:$P,0))</f>
        <v>0</v>
      </c>
      <c r="BI109" s="41">
        <f>MIN(IF(VLOOKUP($Q109,武学奇术!$A:$ZZ,23,FALSE)=1,100%,$B$8),100%)</f>
        <v>1</v>
      </c>
      <c r="BJ109" s="41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0.9045</v>
      </c>
      <c r="BK109" s="41" cm="1">
        <f t="array" ref="BK109">1+$B$13+VLOOKUP($Q109,武学奇术!$A:$ZZ,18,FALSE)+SUM(_xlfn.XLOOKUP(R109:AF109,增益!$A:$A,增益!$R:$R,0))</f>
        <v>1.85</v>
      </c>
      <c r="BL109" s="41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0.0929</v>
      </c>
      <c r="BM109" s="41" cm="1">
        <f t="array" ref="BM109">1+$B$14+VLOOKUP($Q109,武学奇术!$A:$ZZ,20,FALSE)+SUM(_xlfn.XLOOKUP(R109:AF109,增益!$A:$A,增益!$T:$T,0))</f>
        <v>1.35</v>
      </c>
      <c r="BN109" s="41">
        <f t="shared" si="20"/>
        <v>0.9045</v>
      </c>
      <c r="BO109" s="41">
        <f t="shared" si="21"/>
        <v>0.00260000000000005</v>
      </c>
      <c r="BP109" s="41">
        <f>IF(VLOOKUP($Q109,武学奇术!$A:$ZZ,22,FALSE)=1,0,(1-$BI109))*(1-$BL109)</f>
        <v>0</v>
      </c>
      <c r="BQ109" s="41" cm="1">
        <f t="array" ref="BQ109">SUM(_xlfn.XLOOKUP(R109:AF109,增益!$A:$A,增益!$W:$W,0))+$I$5</f>
        <v>0.11</v>
      </c>
    </row>
    <row r="110" spans="1:69">
      <c r="K110" s="55">
        <f t="shared" si="11"/>
        <v>210298.418839949</v>
      </c>
      <c r="L110" s="55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弹道",$B$21,0))*(1+$BQ110)</f>
        <v>209429.75669878</v>
      </c>
      <c r="M110" s="55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弹道",$B$21,0))*(1+$BQ110)</f>
        <v>221473.306714585</v>
      </c>
      <c r="N110" s="55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弹道",$B$21,0))*(1+$BQ110)</f>
        <v>113205.273891233</v>
      </c>
      <c r="O110" s="55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弹道",$B$21,0))*(1+$BQ110)</f>
        <v>62356.2465124025</v>
      </c>
      <c r="P110" s="56">
        <v>6</v>
      </c>
      <c r="Q110" s="57" t="s">
        <v>166</v>
      </c>
      <c r="R110" s="57" t="s">
        <v>116</v>
      </c>
      <c r="S110" s="57" t="s">
        <v>153</v>
      </c>
      <c r="T110" s="57" t="s">
        <v>72</v>
      </c>
      <c r="U110" s="57" t="s">
        <v>157</v>
      </c>
      <c r="V110" s="57" t="s">
        <v>72</v>
      </c>
      <c r="W110" s="57" t="s">
        <v>72</v>
      </c>
      <c r="X110" s="57" t="s">
        <v>72</v>
      </c>
      <c r="Y110" s="57" t="s">
        <v>161</v>
      </c>
      <c r="Z110" s="57" t="s">
        <v>72</v>
      </c>
      <c r="AA110" s="57" t="s">
        <v>72</v>
      </c>
      <c r="AB110" s="57" t="s">
        <v>72</v>
      </c>
      <c r="AC110" s="57" t="s">
        <v>72</v>
      </c>
      <c r="AD110" s="57" t="s">
        <v>72</v>
      </c>
      <c r="AE110" s="57" t="s">
        <v>72</v>
      </c>
      <c r="AF110" s="57" t="s">
        <v>87</v>
      </c>
      <c r="AG110" t="str">
        <f>VLOOKUP($Q110,武学奇术!$A:$ZZ,25,FALSE)</f>
        <v>单体奇术</v>
      </c>
      <c r="AH110" s="41">
        <f>VLOOKUP($Q110,武学奇术!$A:$ZZ,26,FALSE)</f>
        <v>1.6088</v>
      </c>
      <c r="AI110" s="42">
        <f>VLOOKUP($Q110,武学奇术!$A:$ZZ,27,FALSE)*(1+IF(OR($AG110=$F$4,$AG110=$F$5),$B$22,0))</f>
        <v>297</v>
      </c>
      <c r="AJ110" s="41">
        <f>VLOOKUP($Q110,武学奇术!$A:$ZZ,28,FALSE)</f>
        <v>2.4132</v>
      </c>
      <c r="AK110" s="42">
        <f>VLOOKUP($Q110,武学奇术!$A:$ZZ,29,FALSE)*(1+IF(OR($AG110=$F$4,$AG110=$F$5),$B$22,0))</f>
        <v>0</v>
      </c>
      <c r="AL110" s="41" cm="1">
        <f t="array" ref="AL110">$G$3+IFERROR(VLOOKUP($AG110,$F$4:$G$7,2,FALSE),0)+VLOOKUP($Q110,武学奇术!$A:$ZZ,2,FALSE)+SUM(_xlfn.XLOOKUP($R110:$AF110,增益!$A:$A,增益!$B:$B,0))</f>
        <v>0.4215</v>
      </c>
      <c r="AM110" s="41" cm="1">
        <f t="array" ref="AM110">VLOOKUP($Q110,武学奇术!$A:$ZZ,5,FALSE)+SUM(_xlfn.XLOOKUP($R110:$AF110,增益!$A:$A,增益!$E:$E,0))</f>
        <v>0.15</v>
      </c>
      <c r="AN110" cm="1">
        <f t="array" ref="AN110">$D$10*(1+$AM110)+VLOOKUP($Q110,武学奇术!$A:$ZZ,3,FALSE)+SUM(_xlfn.XLOOKUP($R110:$AF110,增益!$A:$A,增益!$C:$C,0))-$I$2</f>
        <v>2088.71</v>
      </c>
      <c r="AO110" cm="1">
        <f t="array" ref="AO110">$E$10*(1+$AM110)+VLOOKUP($Q110,武学奇术!$A:$ZZ,4,FALSE)+SUM(_xlfn.XLOOKUP($R110:$AF110,增益!$A:$A,增益!$D:$D,0))-$I$2</f>
        <v>6332.9</v>
      </c>
      <c r="AP110" s="49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0.3675</v>
      </c>
      <c r="AQ110" s="49" cm="1">
        <f t="array" ref="AQ110">$G$10+VLOOKUP($Q110,武学奇术!$A:$ZZ,7,FALSE)+SUM(_xlfn.XLOOKUP(R110:AF110,增益!$A:$A,增益!$G:$G,0))</f>
        <v>0</v>
      </c>
      <c r="AR110" s="41" cm="1">
        <f t="array" ref="AR110">VLOOKUP($Q110,武学奇术!$A:$ZZ,8,FALSE)+SUM(_xlfn.XLOOKUP(R110:AF110,增益!$A:$A,增益!$H:$H,0))</f>
        <v>0</v>
      </c>
      <c r="AS110">
        <f t="shared" si="12"/>
        <v>0</v>
      </c>
      <c r="AT110">
        <f t="shared" si="13"/>
        <v>0</v>
      </c>
      <c r="AU110" s="49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49" cm="1">
        <f t="array" ref="AV110">$G$11+VLOOKUP($Q110,武学奇术!$A:$ZZ,10,FALSE)+SUM(_xlfn.XLOOKUP(R110:AF110,增益!$A:$A,增益!$J:$J,0))</f>
        <v>0</v>
      </c>
      <c r="AW110">
        <f t="shared" si="14"/>
        <v>0</v>
      </c>
      <c r="AX110">
        <f t="shared" si="15"/>
        <v>0</v>
      </c>
      <c r="AY110" s="49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49" cm="1">
        <f t="array" ref="AZ110">$G$12+VLOOKUP($Q110,武学奇术!$A:$ZZ,12,FALSE)+SUM(_xlfn.XLOOKUP(R110:AF110,增益!$A:$A,增益!$L:$L,0))</f>
        <v>0</v>
      </c>
      <c r="BA110">
        <f t="shared" si="16"/>
        <v>571.2</v>
      </c>
      <c r="BB110">
        <f t="shared" si="17"/>
        <v>1077.4</v>
      </c>
      <c r="BC110" s="49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0</v>
      </c>
      <c r="BD110" s="49" cm="1">
        <f t="array" ref="BD110">$G$13+VLOOKUP($Q110,武学奇术!$A:$ZZ,14,FALSE)+SUM(_xlfn.XLOOKUP(R110:AF110,增益!$A:$A,增益!$N:$N,0))</f>
        <v>0.15</v>
      </c>
      <c r="BE110">
        <f t="shared" si="18"/>
        <v>0</v>
      </c>
      <c r="BF110">
        <f t="shared" si="19"/>
        <v>0</v>
      </c>
      <c r="BG110" s="49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-0.3</v>
      </c>
      <c r="BH110" s="49" cm="1">
        <f t="array" ref="BH110">$G$14+VLOOKUP($Q110,武学奇术!$A:$ZZ,16,FALSE)+SUM(_xlfn.XLOOKUP(R110:AF110,增益!$A:$A,增益!$P:$P,0))</f>
        <v>0</v>
      </c>
      <c r="BI110" s="41">
        <f>MIN(IF(VLOOKUP($Q110,武学奇术!$A:$ZZ,23,FALSE)=1,100%,$B$8),100%)</f>
        <v>1</v>
      </c>
      <c r="BJ110" s="41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0.9045</v>
      </c>
      <c r="BK110" s="41" cm="1">
        <f t="array" ref="BK110">1+$B$13+VLOOKUP($Q110,武学奇术!$A:$ZZ,18,FALSE)+SUM(_xlfn.XLOOKUP(R110:AF110,增益!$A:$A,增益!$R:$R,0))</f>
        <v>1.85</v>
      </c>
      <c r="BL110" s="41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0.0929</v>
      </c>
      <c r="BM110" s="41" cm="1">
        <f t="array" ref="BM110">1+$B$14+VLOOKUP($Q110,武学奇术!$A:$ZZ,20,FALSE)+SUM(_xlfn.XLOOKUP(R110:AF110,增益!$A:$A,增益!$T:$T,0))</f>
        <v>1.35</v>
      </c>
      <c r="BN110" s="41">
        <f t="shared" si="20"/>
        <v>0.9045</v>
      </c>
      <c r="BO110" s="41">
        <f t="shared" si="21"/>
        <v>0.00260000000000005</v>
      </c>
      <c r="BP110" s="41">
        <f>IF(VLOOKUP($Q110,武学奇术!$A:$ZZ,22,FALSE)=1,0,(1-$BI110))*(1-$BL110)</f>
        <v>0</v>
      </c>
      <c r="BQ110" s="41" cm="1">
        <f t="array" ref="BQ110">SUM(_xlfn.XLOOKUP(R110:AF110,增益!$A:$A,增益!$W:$W,0))+$I$5</f>
        <v>0.11</v>
      </c>
    </row>
    <row r="111" spans="1:69">
      <c r="K111" s="55">
        <f t="shared" si="11"/>
        <v>0</v>
      </c>
      <c r="L111" s="55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弹道",$B$21,0))*(1+$BQ111)</f>
        <v>0</v>
      </c>
      <c r="M111" s="55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弹道",$B$21,0))*(1+$BQ111)</f>
        <v>0</v>
      </c>
      <c r="N111" s="55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弹道",$B$21,0))*(1+$BQ111)</f>
        <v>0</v>
      </c>
      <c r="O111" s="55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弹道",$B$21,0))*(1+$BQ111)</f>
        <v>0</v>
      </c>
      <c r="P111" s="56">
        <v>1</v>
      </c>
      <c r="Q111" s="57" t="s">
        <v>72</v>
      </c>
      <c r="R111" s="57" t="s">
        <v>72</v>
      </c>
      <c r="S111" s="57" t="s">
        <v>72</v>
      </c>
      <c r="T111" s="57" t="s">
        <v>72</v>
      </c>
      <c r="U111" s="57" t="s">
        <v>72</v>
      </c>
      <c r="V111" s="57" t="s">
        <v>72</v>
      </c>
      <c r="W111" s="57" t="s">
        <v>72</v>
      </c>
      <c r="X111" s="57" t="s">
        <v>72</v>
      </c>
      <c r="Y111" s="57" t="s">
        <v>72</v>
      </c>
      <c r="Z111" s="57" t="s">
        <v>72</v>
      </c>
      <c r="AA111" s="57" t="s">
        <v>72</v>
      </c>
      <c r="AB111" s="57" t="s">
        <v>72</v>
      </c>
      <c r="AC111" s="57" t="s">
        <v>72</v>
      </c>
      <c r="AD111" s="57" t="s">
        <v>72</v>
      </c>
      <c r="AE111" s="57" t="s">
        <v>72</v>
      </c>
      <c r="AF111" s="57" t="s">
        <v>87</v>
      </c>
      <c r="AG111" t="str">
        <f>VLOOKUP($Q111,武学奇术!$A:$ZZ,25,FALSE)</f>
        <v>心法</v>
      </c>
      <c r="AH111" s="41">
        <f>VLOOKUP($Q111,武学奇术!$A:$ZZ,26,FALSE)</f>
        <v>0</v>
      </c>
      <c r="AI111" s="42">
        <f>VLOOKUP($Q111,武学奇术!$A:$ZZ,27,FALSE)*(1+IF(OR($AG111=$F$4,$AG111=$F$5),$B$22,0))</f>
        <v>0</v>
      </c>
      <c r="AJ111" s="41">
        <f>VLOOKUP($Q111,武学奇术!$A:$ZZ,28,FALSE)</f>
        <v>0</v>
      </c>
      <c r="AK111" s="42">
        <f>VLOOKUP($Q111,武学奇术!$A:$ZZ,29,FALSE)*(1+IF(OR($AG111=$F$4,$AG111=$F$5),$B$22,0))</f>
        <v>0</v>
      </c>
      <c r="AL111" s="41" cm="1">
        <f t="array" ref="AL111">$G$3+IFERROR(VLOOKUP($AG111,$F$4:$G$7,2,FALSE),0)+VLOOKUP($Q111,武学奇术!$A:$ZZ,2,FALSE)+SUM(_xlfn.XLOOKUP($R111:$AF111,增益!$A:$A,增益!$B:$B,0))</f>
        <v>0.1037</v>
      </c>
      <c r="AM111" s="41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1735.4</v>
      </c>
      <c r="AO111" cm="1">
        <f t="array" ref="AO111">$E$10*(1+$AM111)+VLOOKUP($Q111,武学奇术!$A:$ZZ,4,FALSE)+SUM(_xlfn.XLOOKUP($R111:$AF111,增益!$A:$A,增益!$D:$D,0))-$I$2</f>
        <v>5426</v>
      </c>
      <c r="AP111" s="49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0.1925</v>
      </c>
      <c r="AQ111" s="49" cm="1">
        <f t="array" ref="AQ111">$G$10+VLOOKUP($Q111,武学奇术!$A:$ZZ,7,FALSE)+SUM(_xlfn.XLOOKUP(R111:AF111,增益!$A:$A,增益!$G:$G,0))</f>
        <v>0</v>
      </c>
      <c r="AR111" s="41" cm="1">
        <f t="array" ref="AR111">VLOOKUP($Q111,武学奇术!$A:$ZZ,8,FALSE)+SUM(_xlfn.XLOOKUP(R111:AF111,增益!$A:$A,增益!$H:$H,0))</f>
        <v>0</v>
      </c>
      <c r="AS111">
        <f t="shared" si="12"/>
        <v>0</v>
      </c>
      <c r="AT111">
        <f t="shared" si="13"/>
        <v>0</v>
      </c>
      <c r="AU111" s="49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-0.3</v>
      </c>
      <c r="AV111" s="49" cm="1">
        <f t="array" ref="AV111">$G$11+VLOOKUP($Q111,武学奇术!$A:$ZZ,10,FALSE)+SUM(_xlfn.XLOOKUP(R111:AF111,增益!$A:$A,增益!$J:$J,0))</f>
        <v>0</v>
      </c>
      <c r="AW111">
        <f t="shared" si="14"/>
        <v>0</v>
      </c>
      <c r="AX111">
        <f t="shared" si="15"/>
        <v>0</v>
      </c>
      <c r="AY111" s="49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-0.3</v>
      </c>
      <c r="AZ111" s="49" cm="1">
        <f t="array" ref="AZ111">$G$12+VLOOKUP($Q111,武学奇术!$A:$ZZ,12,FALSE)+SUM(_xlfn.XLOOKUP(R111:AF111,增益!$A:$A,增益!$L:$L,0))</f>
        <v>0</v>
      </c>
      <c r="BA111">
        <f t="shared" si="16"/>
        <v>571.2</v>
      </c>
      <c r="BB111">
        <f t="shared" si="17"/>
        <v>1077.4</v>
      </c>
      <c r="BC111" s="49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0</v>
      </c>
      <c r="BD111" s="49" cm="1">
        <f t="array" ref="BD111">$G$13+VLOOKUP($Q111,武学奇术!$A:$ZZ,14,FALSE)+SUM(_xlfn.XLOOKUP(R111:AF111,增益!$A:$A,增益!$N:$N,0))</f>
        <v>0.15</v>
      </c>
      <c r="BE111">
        <f t="shared" si="18"/>
        <v>0</v>
      </c>
      <c r="BF111">
        <f t="shared" si="19"/>
        <v>0</v>
      </c>
      <c r="BG111" s="49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-0.3</v>
      </c>
      <c r="BH111" s="49" cm="1">
        <f t="array" ref="BH111">$G$14+VLOOKUP($Q111,武学奇术!$A:$ZZ,16,FALSE)+SUM(_xlfn.XLOOKUP(R111:AF111,增益!$A:$A,增益!$P:$P,0))</f>
        <v>0</v>
      </c>
      <c r="BI111" s="41">
        <f>MIN(IF(VLOOKUP($Q111,武学奇术!$A:$ZZ,23,FALSE)=1,100%,$B$8),100%)</f>
        <v>1</v>
      </c>
      <c r="BJ111" s="41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0.9045</v>
      </c>
      <c r="BK111" s="41" cm="1">
        <f t="array" ref="BK111">1+$B$13+VLOOKUP($Q111,武学奇术!$A:$ZZ,18,FALSE)+SUM(_xlfn.XLOOKUP(R111:AF111,增益!$A:$A,增益!$R:$R,0))</f>
        <v>1.5</v>
      </c>
      <c r="BL111" s="41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0.0929</v>
      </c>
      <c r="BM111" s="41" cm="1">
        <f t="array" ref="BM111">1+$B$14+VLOOKUP($Q111,武学奇术!$A:$ZZ,20,FALSE)+SUM(_xlfn.XLOOKUP(R111:AF111,增益!$A:$A,增益!$T:$T,0))</f>
        <v>1.35</v>
      </c>
      <c r="BN111" s="41">
        <f t="shared" si="20"/>
        <v>0.9045</v>
      </c>
      <c r="BO111" s="41">
        <f t="shared" si="21"/>
        <v>0.00260000000000005</v>
      </c>
      <c r="BP111" s="41">
        <f>IF(VLOOKUP($Q111,武学奇术!$A:$ZZ,22,FALSE)=1,0,(1-$BI111))*(1-$BL111)</f>
        <v>0</v>
      </c>
      <c r="BQ111" s="41" cm="1">
        <f t="array" ref="BQ111">SUM(_xlfn.XLOOKUP(R111:AF111,增益!$A:$A,增益!$W:$W,0))+$I$5</f>
        <v>0.11</v>
      </c>
    </row>
    <row r="112" spans="1:69">
      <c r="K112" s="55">
        <f t="shared" si="11"/>
        <v>0</v>
      </c>
      <c r="L112" s="55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弹道",$B$21,0))*(1+$BQ112)</f>
        <v>0</v>
      </c>
      <c r="M112" s="55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弹道",$B$21,0))*(1+$BQ112)</f>
        <v>0</v>
      </c>
      <c r="N112" s="55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弹道",$B$21,0))*(1+$BQ112)</f>
        <v>0</v>
      </c>
      <c r="O112" s="55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弹道",$B$21,0))*(1+$BQ112)</f>
        <v>0</v>
      </c>
      <c r="P112" s="56">
        <v>1</v>
      </c>
      <c r="Q112" s="57" t="s">
        <v>72</v>
      </c>
      <c r="R112" s="57" t="s">
        <v>72</v>
      </c>
      <c r="S112" s="57" t="s">
        <v>72</v>
      </c>
      <c r="T112" s="57" t="s">
        <v>72</v>
      </c>
      <c r="U112" s="57" t="s">
        <v>72</v>
      </c>
      <c r="V112" s="57" t="s">
        <v>72</v>
      </c>
      <c r="W112" s="57" t="s">
        <v>72</v>
      </c>
      <c r="X112" s="57" t="s">
        <v>72</v>
      </c>
      <c r="Y112" s="57" t="s">
        <v>72</v>
      </c>
      <c r="Z112" s="57" t="s">
        <v>72</v>
      </c>
      <c r="AA112" s="57" t="s">
        <v>72</v>
      </c>
      <c r="AB112" s="57" t="s">
        <v>72</v>
      </c>
      <c r="AC112" s="57" t="s">
        <v>72</v>
      </c>
      <c r="AD112" s="57" t="s">
        <v>72</v>
      </c>
      <c r="AE112" s="57" t="s">
        <v>72</v>
      </c>
      <c r="AF112" s="57" t="s">
        <v>87</v>
      </c>
      <c r="AG112" t="str">
        <f>VLOOKUP($Q112,武学奇术!$A:$ZZ,25,FALSE)</f>
        <v>心法</v>
      </c>
      <c r="AH112" s="41">
        <f>VLOOKUP($Q112,武学奇术!$A:$ZZ,26,FALSE)</f>
        <v>0</v>
      </c>
      <c r="AI112" s="42">
        <f>VLOOKUP($Q112,武学奇术!$A:$ZZ,27,FALSE)*(1+IF(OR($AG112=$F$4,$AG112=$F$5),$B$22,0))</f>
        <v>0</v>
      </c>
      <c r="AJ112" s="41">
        <f>VLOOKUP($Q112,武学奇术!$A:$ZZ,28,FALSE)</f>
        <v>0</v>
      </c>
      <c r="AK112" s="42">
        <f>VLOOKUP($Q112,武学奇术!$A:$ZZ,29,FALSE)*(1+IF(OR($AG112=$F$4,$AG112=$F$5),$B$22,0))</f>
        <v>0</v>
      </c>
      <c r="AL112" s="41" cm="1">
        <f t="array" ref="AL112">$G$3+IFERROR(VLOOKUP($AG112,$F$4:$G$7,2,FALSE),0)+VLOOKUP($Q112,武学奇术!$A:$ZZ,2,FALSE)+SUM(_xlfn.XLOOKUP($R112:$AF112,增益!$A:$A,增益!$B:$B,0))</f>
        <v>0.1037</v>
      </c>
      <c r="AM112" s="41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1735.4</v>
      </c>
      <c r="AO112" cm="1">
        <f t="array" ref="AO112">$E$10*(1+$AM112)+VLOOKUP($Q112,武学奇术!$A:$ZZ,4,FALSE)+SUM(_xlfn.XLOOKUP($R112:$AF112,增益!$A:$A,增益!$D:$D,0))-$I$2</f>
        <v>5426</v>
      </c>
      <c r="AP112" s="49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0.1925</v>
      </c>
      <c r="AQ112" s="49" cm="1">
        <f t="array" ref="AQ112">$G$10+VLOOKUP($Q112,武学奇术!$A:$ZZ,7,FALSE)+SUM(_xlfn.XLOOKUP(R112:AF112,增益!$A:$A,增益!$G:$G,0))</f>
        <v>0</v>
      </c>
      <c r="AR112" s="41" cm="1">
        <f t="array" ref="AR112">VLOOKUP($Q112,武学奇术!$A:$ZZ,8,FALSE)+SUM(_xlfn.XLOOKUP(R112:AF112,增益!$A:$A,增益!$H:$H,0))</f>
        <v>0</v>
      </c>
      <c r="AS112">
        <f t="shared" si="12"/>
        <v>0</v>
      </c>
      <c r="AT112">
        <f t="shared" si="13"/>
        <v>0</v>
      </c>
      <c r="AU112" s="49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-0.3</v>
      </c>
      <c r="AV112" s="49" cm="1">
        <f t="array" ref="AV112">$G$11+VLOOKUP($Q112,武学奇术!$A:$ZZ,10,FALSE)+SUM(_xlfn.XLOOKUP(R112:AF112,增益!$A:$A,增益!$J:$J,0))</f>
        <v>0</v>
      </c>
      <c r="AW112">
        <f t="shared" si="14"/>
        <v>0</v>
      </c>
      <c r="AX112">
        <f t="shared" si="15"/>
        <v>0</v>
      </c>
      <c r="AY112" s="49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-0.3</v>
      </c>
      <c r="AZ112" s="49" cm="1">
        <f t="array" ref="AZ112">$G$12+VLOOKUP($Q112,武学奇术!$A:$ZZ,12,FALSE)+SUM(_xlfn.XLOOKUP(R112:AF112,增益!$A:$A,增益!$L:$L,0))</f>
        <v>0</v>
      </c>
      <c r="BA112">
        <f t="shared" si="16"/>
        <v>571.2</v>
      </c>
      <c r="BB112">
        <f t="shared" si="17"/>
        <v>1077.4</v>
      </c>
      <c r="BC112" s="49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0</v>
      </c>
      <c r="BD112" s="49" cm="1">
        <f t="array" ref="BD112">$G$13+VLOOKUP($Q112,武学奇术!$A:$ZZ,14,FALSE)+SUM(_xlfn.XLOOKUP(R112:AF112,增益!$A:$A,增益!$N:$N,0))</f>
        <v>0.15</v>
      </c>
      <c r="BE112">
        <f t="shared" si="18"/>
        <v>0</v>
      </c>
      <c r="BF112">
        <f t="shared" si="19"/>
        <v>0</v>
      </c>
      <c r="BG112" s="49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-0.3</v>
      </c>
      <c r="BH112" s="49" cm="1">
        <f t="array" ref="BH112">$G$14+VLOOKUP($Q112,武学奇术!$A:$ZZ,16,FALSE)+SUM(_xlfn.XLOOKUP(R112:AF112,增益!$A:$A,增益!$P:$P,0))</f>
        <v>0</v>
      </c>
      <c r="BI112" s="41">
        <f>MIN(IF(VLOOKUP($Q112,武学奇术!$A:$ZZ,23,FALSE)=1,100%,$B$8),100%)</f>
        <v>1</v>
      </c>
      <c r="BJ112" s="41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0.9045</v>
      </c>
      <c r="BK112" s="41" cm="1">
        <f t="array" ref="BK112">1+$B$13+VLOOKUP($Q112,武学奇术!$A:$ZZ,18,FALSE)+SUM(_xlfn.XLOOKUP(R112:AF112,增益!$A:$A,增益!$R:$R,0))</f>
        <v>1.5</v>
      </c>
      <c r="BL112" s="41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0.0929</v>
      </c>
      <c r="BM112" s="41" cm="1">
        <f t="array" ref="BM112">1+$B$14+VLOOKUP($Q112,武学奇术!$A:$ZZ,20,FALSE)+SUM(_xlfn.XLOOKUP(R112:AF112,增益!$A:$A,增益!$T:$T,0))</f>
        <v>1.35</v>
      </c>
      <c r="BN112" s="41">
        <f t="shared" si="20"/>
        <v>0.9045</v>
      </c>
      <c r="BO112" s="41">
        <f t="shared" si="21"/>
        <v>0.00260000000000005</v>
      </c>
      <c r="BP112" s="41">
        <f>IF(VLOOKUP($Q112,武学奇术!$A:$ZZ,22,FALSE)=1,0,(1-$BI112))*(1-$BL112)</f>
        <v>0</v>
      </c>
      <c r="BQ112" s="41" cm="1">
        <f t="array" ref="BQ112">SUM(_xlfn.XLOOKUP(R112:AF112,增益!$A:$A,增益!$W:$W,0))+$I$5</f>
        <v>0.11</v>
      </c>
    </row>
    <row r="113" spans="11:69">
      <c r="K113" s="55">
        <f t="shared" si="11"/>
        <v>0</v>
      </c>
      <c r="L113" s="55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弹道",$B$21,0))*(1+$BQ113)</f>
        <v>0</v>
      </c>
      <c r="M113" s="55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弹道",$B$21,0))*(1+$BQ113)</f>
        <v>0</v>
      </c>
      <c r="N113" s="55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弹道",$B$21,0))*(1+$BQ113)</f>
        <v>0</v>
      </c>
      <c r="O113" s="55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弹道",$B$21,0))*(1+$BQ113)</f>
        <v>0</v>
      </c>
      <c r="P113" s="56">
        <f t="shared" ref="P113:P117" si="22">IF($C$22="易水歌",1,0)</f>
        <v>1</v>
      </c>
      <c r="Q113" s="57" t="s">
        <v>72</v>
      </c>
      <c r="R113" s="57" t="s">
        <v>72</v>
      </c>
      <c r="S113" s="57" t="s">
        <v>72</v>
      </c>
      <c r="T113" s="57" t="s">
        <v>72</v>
      </c>
      <c r="U113" s="57" t="s">
        <v>72</v>
      </c>
      <c r="V113" s="57" t="s">
        <v>72</v>
      </c>
      <c r="W113" s="57" t="s">
        <v>72</v>
      </c>
      <c r="X113" s="57" t="s">
        <v>72</v>
      </c>
      <c r="Y113" s="57" t="s">
        <v>72</v>
      </c>
      <c r="Z113" s="57" t="s">
        <v>72</v>
      </c>
      <c r="AA113" s="57" t="s">
        <v>72</v>
      </c>
      <c r="AB113" s="57" t="s">
        <v>72</v>
      </c>
      <c r="AC113" s="57" t="s">
        <v>72</v>
      </c>
      <c r="AD113" s="57" t="s">
        <v>72</v>
      </c>
      <c r="AE113" s="57" t="s">
        <v>72</v>
      </c>
      <c r="AF113" s="57" t="s">
        <v>87</v>
      </c>
      <c r="AG113" t="str">
        <f>VLOOKUP($Q113,武学奇术!$A:$ZZ,25,FALSE)</f>
        <v>心法</v>
      </c>
      <c r="AH113" s="41">
        <f>VLOOKUP($Q113,武学奇术!$A:$ZZ,26,FALSE)</f>
        <v>0</v>
      </c>
      <c r="AI113" s="42">
        <f>VLOOKUP($Q113,武学奇术!$A:$ZZ,27,FALSE)*(1+IF(OR($AG113=$F$4,$AG113=$F$5),$B$22,0))</f>
        <v>0</v>
      </c>
      <c r="AJ113" s="41">
        <f>VLOOKUP($Q113,武学奇术!$A:$ZZ,28,FALSE)</f>
        <v>0</v>
      </c>
      <c r="AK113" s="42">
        <f>VLOOKUP($Q113,武学奇术!$A:$ZZ,29,FALSE)*(1+IF(OR($AG113=$F$4,$AG113=$F$5),$B$22,0))</f>
        <v>0</v>
      </c>
      <c r="AL113" s="41" cm="1">
        <f t="array" ref="AL113">$G$3+IFERROR(VLOOKUP($AG113,$F$4:$G$7,2,FALSE),0)+VLOOKUP($Q113,武学奇术!$A:$ZZ,2,FALSE)+SUM(_xlfn.XLOOKUP($R113:$AF113,增益!$A:$A,增益!$B:$B,0))</f>
        <v>0.1037</v>
      </c>
      <c r="AM113" s="41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1735.4</v>
      </c>
      <c r="AO113" cm="1">
        <f t="array" ref="AO113">$E$10*(1+$AM113)+VLOOKUP($Q113,武学奇术!$A:$ZZ,4,FALSE)+SUM(_xlfn.XLOOKUP($R113:$AF113,增益!$A:$A,增益!$D:$D,0))-$I$2</f>
        <v>5426</v>
      </c>
      <c r="AP113" s="49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0.1925</v>
      </c>
      <c r="AQ113" s="49" cm="1">
        <f t="array" ref="AQ113">$G$10+VLOOKUP($Q113,武学奇术!$A:$ZZ,7,FALSE)+SUM(_xlfn.XLOOKUP(R113:AF113,增益!$A:$A,增益!$G:$G,0))</f>
        <v>0</v>
      </c>
      <c r="AR113" s="41" cm="1">
        <f t="array" ref="AR113">VLOOKUP($Q113,武学奇术!$A:$ZZ,8,FALSE)+SUM(_xlfn.XLOOKUP(R113:AF113,增益!$A:$A,增益!$H:$H,0))</f>
        <v>0</v>
      </c>
      <c r="AS113">
        <f t="shared" si="12"/>
        <v>0</v>
      </c>
      <c r="AT113">
        <f t="shared" si="13"/>
        <v>0</v>
      </c>
      <c r="AU113" s="49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-0.3</v>
      </c>
      <c r="AV113" s="49" cm="1">
        <f t="array" ref="AV113">$G$11+VLOOKUP($Q113,武学奇术!$A:$ZZ,10,FALSE)+SUM(_xlfn.XLOOKUP(R113:AF113,增益!$A:$A,增益!$J:$J,0))</f>
        <v>0</v>
      </c>
      <c r="AW113">
        <f t="shared" si="14"/>
        <v>0</v>
      </c>
      <c r="AX113">
        <f t="shared" si="15"/>
        <v>0</v>
      </c>
      <c r="AY113" s="49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-0.3</v>
      </c>
      <c r="AZ113" s="49" cm="1">
        <f t="array" ref="AZ113">$G$12+VLOOKUP($Q113,武学奇术!$A:$ZZ,12,FALSE)+SUM(_xlfn.XLOOKUP(R113:AF113,增益!$A:$A,增益!$L:$L,0))</f>
        <v>0</v>
      </c>
      <c r="BA113">
        <f t="shared" si="16"/>
        <v>571.2</v>
      </c>
      <c r="BB113">
        <f t="shared" si="17"/>
        <v>1077.4</v>
      </c>
      <c r="BC113" s="49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0</v>
      </c>
      <c r="BD113" s="49" cm="1">
        <f t="array" ref="BD113">$G$13+VLOOKUP($Q113,武学奇术!$A:$ZZ,14,FALSE)+SUM(_xlfn.XLOOKUP(R113:AF113,增益!$A:$A,增益!$N:$N,0))</f>
        <v>0.15</v>
      </c>
      <c r="BE113">
        <f t="shared" si="18"/>
        <v>0</v>
      </c>
      <c r="BF113">
        <f t="shared" si="19"/>
        <v>0</v>
      </c>
      <c r="BG113" s="49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-0.3</v>
      </c>
      <c r="BH113" s="49" cm="1">
        <f t="array" ref="BH113">$G$14+VLOOKUP($Q113,武学奇术!$A:$ZZ,16,FALSE)+SUM(_xlfn.XLOOKUP(R113:AF113,增益!$A:$A,增益!$P:$P,0))</f>
        <v>0</v>
      </c>
      <c r="BI113" s="41">
        <f>MIN(IF(VLOOKUP($Q113,武学奇术!$A:$ZZ,23,FALSE)=1,100%,$B$8),100%)</f>
        <v>1</v>
      </c>
      <c r="BJ113" s="41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0.9045</v>
      </c>
      <c r="BK113" s="41" cm="1">
        <f t="array" ref="BK113">1+$B$13+VLOOKUP($Q113,武学奇术!$A:$ZZ,18,FALSE)+SUM(_xlfn.XLOOKUP(R113:AF113,增益!$A:$A,增益!$R:$R,0))</f>
        <v>1.5</v>
      </c>
      <c r="BL113" s="41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0.0929</v>
      </c>
      <c r="BM113" s="41" cm="1">
        <f t="array" ref="BM113">1+$B$14+VLOOKUP($Q113,武学奇术!$A:$ZZ,20,FALSE)+SUM(_xlfn.XLOOKUP(R113:AF113,增益!$A:$A,增益!$T:$T,0))</f>
        <v>1.35</v>
      </c>
      <c r="BN113" s="41">
        <f t="shared" si="20"/>
        <v>0.9045</v>
      </c>
      <c r="BO113" s="41">
        <f t="shared" si="21"/>
        <v>0.00260000000000005</v>
      </c>
      <c r="BP113" s="41">
        <f>IF(VLOOKUP($Q113,武学奇术!$A:$ZZ,22,FALSE)=1,0,(1-$BI113))*(1-$BL113)</f>
        <v>0</v>
      </c>
      <c r="BQ113" s="41" cm="1">
        <f t="array" ref="BQ113">SUM(_xlfn.XLOOKUP(R113:AF113,增益!$A:$A,增益!$W:$W,0))+$I$5</f>
        <v>0.11</v>
      </c>
    </row>
    <row r="114" spans="11:69">
      <c r="K114" s="55">
        <f t="shared" si="11"/>
        <v>0</v>
      </c>
      <c r="L114" s="55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弹道",$B$21,0))*(1+$BQ114)</f>
        <v>0</v>
      </c>
      <c r="M114" s="55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弹道",$B$21,0))*(1+$BQ114)</f>
        <v>0</v>
      </c>
      <c r="N114" s="55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弹道",$B$21,0))*(1+$BQ114)</f>
        <v>0</v>
      </c>
      <c r="O114" s="55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弹道",$B$21,0))*(1+$BQ114)</f>
        <v>0</v>
      </c>
      <c r="P114" s="56">
        <v>1</v>
      </c>
      <c r="Q114" s="57" t="s">
        <v>72</v>
      </c>
      <c r="R114" s="57" t="s">
        <v>72</v>
      </c>
      <c r="S114" s="57" t="s">
        <v>72</v>
      </c>
      <c r="T114" s="57" t="s">
        <v>72</v>
      </c>
      <c r="U114" s="57" t="s">
        <v>72</v>
      </c>
      <c r="V114" s="57" t="s">
        <v>72</v>
      </c>
      <c r="W114" s="57" t="s">
        <v>72</v>
      </c>
      <c r="X114" s="57" t="s">
        <v>72</v>
      </c>
      <c r="Y114" s="57" t="s">
        <v>72</v>
      </c>
      <c r="Z114" s="57" t="s">
        <v>72</v>
      </c>
      <c r="AA114" s="57" t="s">
        <v>72</v>
      </c>
      <c r="AB114" s="57" t="s">
        <v>72</v>
      </c>
      <c r="AC114" s="57" t="s">
        <v>72</v>
      </c>
      <c r="AD114" s="57" t="s">
        <v>72</v>
      </c>
      <c r="AE114" s="57" t="s">
        <v>72</v>
      </c>
      <c r="AF114" s="57" t="s">
        <v>87</v>
      </c>
      <c r="AG114" t="str">
        <f>VLOOKUP($Q114,武学奇术!$A:$ZZ,25,FALSE)</f>
        <v>心法</v>
      </c>
      <c r="AH114" s="41">
        <f>VLOOKUP($Q114,武学奇术!$A:$ZZ,26,FALSE)</f>
        <v>0</v>
      </c>
      <c r="AI114" s="42">
        <f>VLOOKUP($Q114,武学奇术!$A:$ZZ,27,FALSE)*(1+IF(OR($AG114=$F$4,$AG114=$F$5),$B$22,0))</f>
        <v>0</v>
      </c>
      <c r="AJ114" s="41">
        <f>VLOOKUP($Q114,武学奇术!$A:$ZZ,28,FALSE)</f>
        <v>0</v>
      </c>
      <c r="AK114" s="42">
        <f>VLOOKUP($Q114,武学奇术!$A:$ZZ,29,FALSE)*(1+IF(OR($AG114=$F$4,$AG114=$F$5),$B$22,0))</f>
        <v>0</v>
      </c>
      <c r="AL114" s="41" cm="1">
        <f t="array" ref="AL114">$G$3+IFERROR(VLOOKUP($AG114,$F$4:$G$7,2,FALSE),0)+VLOOKUP($Q114,武学奇术!$A:$ZZ,2,FALSE)+SUM(_xlfn.XLOOKUP($R114:$AF114,增益!$A:$A,增益!$B:$B,0))</f>
        <v>0.1037</v>
      </c>
      <c r="AM114" s="41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1735.4</v>
      </c>
      <c r="AO114" cm="1">
        <f t="array" ref="AO114">$E$10*(1+$AM114)+VLOOKUP($Q114,武学奇术!$A:$ZZ,4,FALSE)+SUM(_xlfn.XLOOKUP($R114:$AF114,增益!$A:$A,增益!$D:$D,0))-$I$2</f>
        <v>5426</v>
      </c>
      <c r="AP114" s="49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0.1925</v>
      </c>
      <c r="AQ114" s="49" cm="1">
        <f t="array" ref="AQ114">$G$10+VLOOKUP($Q114,武学奇术!$A:$ZZ,7,FALSE)+SUM(_xlfn.XLOOKUP(R114:AF114,增益!$A:$A,增益!$G:$G,0))</f>
        <v>0</v>
      </c>
      <c r="AR114" s="41" cm="1">
        <f t="array" ref="AR114">VLOOKUP($Q114,武学奇术!$A:$ZZ,8,FALSE)+SUM(_xlfn.XLOOKUP(R114:AF114,增益!$A:$A,增益!$H:$H,0))</f>
        <v>0</v>
      </c>
      <c r="AS114">
        <f t="shared" si="12"/>
        <v>0</v>
      </c>
      <c r="AT114">
        <f t="shared" si="13"/>
        <v>0</v>
      </c>
      <c r="AU114" s="49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-0.3</v>
      </c>
      <c r="AV114" s="49" cm="1">
        <f t="array" ref="AV114">$G$11+VLOOKUP($Q114,武学奇术!$A:$ZZ,10,FALSE)+SUM(_xlfn.XLOOKUP(R114:AF114,增益!$A:$A,增益!$J:$J,0))</f>
        <v>0</v>
      </c>
      <c r="AW114">
        <f t="shared" si="14"/>
        <v>0</v>
      </c>
      <c r="AX114">
        <f t="shared" si="15"/>
        <v>0</v>
      </c>
      <c r="AY114" s="49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-0.3</v>
      </c>
      <c r="AZ114" s="49" cm="1">
        <f t="array" ref="AZ114">$G$12+VLOOKUP($Q114,武学奇术!$A:$ZZ,12,FALSE)+SUM(_xlfn.XLOOKUP(R114:AF114,增益!$A:$A,增益!$L:$L,0))</f>
        <v>0</v>
      </c>
      <c r="BA114">
        <f t="shared" si="16"/>
        <v>571.2</v>
      </c>
      <c r="BB114">
        <f t="shared" si="17"/>
        <v>1077.4</v>
      </c>
      <c r="BC114" s="49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0</v>
      </c>
      <c r="BD114" s="49" cm="1">
        <f t="array" ref="BD114">$G$13+VLOOKUP($Q114,武学奇术!$A:$ZZ,14,FALSE)+SUM(_xlfn.XLOOKUP(R114:AF114,增益!$A:$A,增益!$N:$N,0))</f>
        <v>0.15</v>
      </c>
      <c r="BE114">
        <f t="shared" si="18"/>
        <v>0</v>
      </c>
      <c r="BF114">
        <f t="shared" si="19"/>
        <v>0</v>
      </c>
      <c r="BG114" s="49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-0.3</v>
      </c>
      <c r="BH114" s="49" cm="1">
        <f t="array" ref="BH114">$G$14+VLOOKUP($Q114,武学奇术!$A:$ZZ,16,FALSE)+SUM(_xlfn.XLOOKUP(R114:AF114,增益!$A:$A,增益!$P:$P,0))</f>
        <v>0</v>
      </c>
      <c r="BI114" s="41">
        <f>MIN(IF(VLOOKUP($Q114,武学奇术!$A:$ZZ,23,FALSE)=1,100%,$B$8),100%)</f>
        <v>1</v>
      </c>
      <c r="BJ114" s="41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0.9045</v>
      </c>
      <c r="BK114" s="41" cm="1">
        <f t="array" ref="BK114">1+$B$13+VLOOKUP($Q114,武学奇术!$A:$ZZ,18,FALSE)+SUM(_xlfn.XLOOKUP(R114:AF114,增益!$A:$A,增益!$R:$R,0))</f>
        <v>1.5</v>
      </c>
      <c r="BL114" s="41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0.0929</v>
      </c>
      <c r="BM114" s="41" cm="1">
        <f t="array" ref="BM114">1+$B$14+VLOOKUP($Q114,武学奇术!$A:$ZZ,20,FALSE)+SUM(_xlfn.XLOOKUP(R114:AF114,增益!$A:$A,增益!$T:$T,0))</f>
        <v>1.35</v>
      </c>
      <c r="BN114" s="41">
        <f t="shared" si="20"/>
        <v>0.9045</v>
      </c>
      <c r="BO114" s="41">
        <f t="shared" si="21"/>
        <v>0.00260000000000005</v>
      </c>
      <c r="BP114" s="41">
        <f>IF(VLOOKUP($Q114,武学奇术!$A:$ZZ,22,FALSE)=1,0,(1-$BI114))*(1-$BL114)</f>
        <v>0</v>
      </c>
      <c r="BQ114" s="41" cm="1">
        <f t="array" ref="BQ114">SUM(_xlfn.XLOOKUP(R114:AF114,增益!$A:$A,增益!$W:$W,0))+$I$5</f>
        <v>0.11</v>
      </c>
    </row>
    <row r="115" spans="11:69">
      <c r="K115" s="55">
        <f t="shared" si="11"/>
        <v>0</v>
      </c>
      <c r="L115" s="55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弹道",$B$21,0))*(1+$BQ115)</f>
        <v>0</v>
      </c>
      <c r="M115" s="55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弹道",$B$21,0))*(1+$BQ115)</f>
        <v>0</v>
      </c>
      <c r="N115" s="55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弹道",$B$21,0))*(1+$BQ115)</f>
        <v>0</v>
      </c>
      <c r="O115" s="55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弹道",$B$21,0))*(1+$BQ115)</f>
        <v>0</v>
      </c>
      <c r="P115" s="56">
        <f t="shared" si="22"/>
        <v>1</v>
      </c>
      <c r="Q115" s="57" t="s">
        <v>72</v>
      </c>
      <c r="R115" s="57" t="s">
        <v>72</v>
      </c>
      <c r="S115" s="57" t="s">
        <v>72</v>
      </c>
      <c r="T115" s="57" t="s">
        <v>72</v>
      </c>
      <c r="U115" s="57" t="s">
        <v>72</v>
      </c>
      <c r="V115" s="57" t="s">
        <v>72</v>
      </c>
      <c r="W115" s="57" t="s">
        <v>72</v>
      </c>
      <c r="X115" s="57" t="s">
        <v>72</v>
      </c>
      <c r="Y115" s="57" t="s">
        <v>72</v>
      </c>
      <c r="Z115" s="57" t="s">
        <v>72</v>
      </c>
      <c r="AA115" s="57" t="s">
        <v>72</v>
      </c>
      <c r="AB115" s="57" t="s">
        <v>72</v>
      </c>
      <c r="AC115" s="57" t="s">
        <v>72</v>
      </c>
      <c r="AD115" s="57" t="s">
        <v>72</v>
      </c>
      <c r="AE115" s="57" t="s">
        <v>72</v>
      </c>
      <c r="AF115" s="57" t="s">
        <v>87</v>
      </c>
      <c r="AG115" t="str">
        <f>VLOOKUP($Q115,武学奇术!$A:$ZZ,25,FALSE)</f>
        <v>心法</v>
      </c>
      <c r="AH115" s="41">
        <f>VLOOKUP($Q115,武学奇术!$A:$ZZ,26,FALSE)</f>
        <v>0</v>
      </c>
      <c r="AI115" s="42">
        <f>VLOOKUP($Q115,武学奇术!$A:$ZZ,27,FALSE)*(1+IF(OR($AG115=$F$4,$AG115=$F$5),$B$22,0))</f>
        <v>0</v>
      </c>
      <c r="AJ115" s="41">
        <f>VLOOKUP($Q115,武学奇术!$A:$ZZ,28,FALSE)</f>
        <v>0</v>
      </c>
      <c r="AK115" s="42">
        <f>VLOOKUP($Q115,武学奇术!$A:$ZZ,29,FALSE)*(1+IF(OR($AG115=$F$4,$AG115=$F$5),$B$22,0))</f>
        <v>0</v>
      </c>
      <c r="AL115" s="41" cm="1">
        <f t="array" ref="AL115">$G$3+IFERROR(VLOOKUP($AG115,$F$4:$G$7,2,FALSE),0)+VLOOKUP($Q115,武学奇术!$A:$ZZ,2,FALSE)+SUM(_xlfn.XLOOKUP($R115:$AF115,增益!$A:$A,增益!$B:$B,0))</f>
        <v>0.1037</v>
      </c>
      <c r="AM115" s="41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1735.4</v>
      </c>
      <c r="AO115" cm="1">
        <f t="array" ref="AO115">$E$10*(1+$AM115)+VLOOKUP($Q115,武学奇术!$A:$ZZ,4,FALSE)+SUM(_xlfn.XLOOKUP($R115:$AF115,增益!$A:$A,增益!$D:$D,0))-$I$2</f>
        <v>5426</v>
      </c>
      <c r="AP115" s="49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0.1925</v>
      </c>
      <c r="AQ115" s="49" cm="1">
        <f t="array" ref="AQ115">$G$10+VLOOKUP($Q115,武学奇术!$A:$ZZ,7,FALSE)+SUM(_xlfn.XLOOKUP(R115:AF115,增益!$A:$A,增益!$G:$G,0))</f>
        <v>0</v>
      </c>
      <c r="AR115" s="41" cm="1">
        <f t="array" ref="AR115">VLOOKUP($Q115,武学奇术!$A:$ZZ,8,FALSE)+SUM(_xlfn.XLOOKUP(R115:AF115,增益!$A:$A,增益!$H:$H,0))</f>
        <v>0</v>
      </c>
      <c r="AS115">
        <f t="shared" si="12"/>
        <v>0</v>
      </c>
      <c r="AT115">
        <f t="shared" si="13"/>
        <v>0</v>
      </c>
      <c r="AU115" s="49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-0.3</v>
      </c>
      <c r="AV115" s="49" cm="1">
        <f t="array" ref="AV115">$G$11+VLOOKUP($Q115,武学奇术!$A:$ZZ,10,FALSE)+SUM(_xlfn.XLOOKUP(R115:AF115,增益!$A:$A,增益!$J:$J,0))</f>
        <v>0</v>
      </c>
      <c r="AW115">
        <f t="shared" si="14"/>
        <v>0</v>
      </c>
      <c r="AX115">
        <f t="shared" si="15"/>
        <v>0</v>
      </c>
      <c r="AY115" s="49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-0.3</v>
      </c>
      <c r="AZ115" s="49" cm="1">
        <f t="array" ref="AZ115">$G$12+VLOOKUP($Q115,武学奇术!$A:$ZZ,12,FALSE)+SUM(_xlfn.XLOOKUP(R115:AF115,增益!$A:$A,增益!$L:$L,0))</f>
        <v>0</v>
      </c>
      <c r="BA115">
        <f t="shared" si="16"/>
        <v>571.2</v>
      </c>
      <c r="BB115">
        <f t="shared" si="17"/>
        <v>1077.4</v>
      </c>
      <c r="BC115" s="49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0</v>
      </c>
      <c r="BD115" s="49" cm="1">
        <f t="array" ref="BD115">$G$13+VLOOKUP($Q115,武学奇术!$A:$ZZ,14,FALSE)+SUM(_xlfn.XLOOKUP(R115:AF115,增益!$A:$A,增益!$N:$N,0))</f>
        <v>0.15</v>
      </c>
      <c r="BE115">
        <f t="shared" si="18"/>
        <v>0</v>
      </c>
      <c r="BF115">
        <f t="shared" si="19"/>
        <v>0</v>
      </c>
      <c r="BG115" s="49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-0.3</v>
      </c>
      <c r="BH115" s="49" cm="1">
        <f t="array" ref="BH115">$G$14+VLOOKUP($Q115,武学奇术!$A:$ZZ,16,FALSE)+SUM(_xlfn.XLOOKUP(R115:AF115,增益!$A:$A,增益!$P:$P,0))</f>
        <v>0</v>
      </c>
      <c r="BI115" s="41">
        <f>MIN(IF(VLOOKUP($Q115,武学奇术!$A:$ZZ,23,FALSE)=1,100%,$B$8),100%)</f>
        <v>1</v>
      </c>
      <c r="BJ115" s="41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0.9045</v>
      </c>
      <c r="BK115" s="41" cm="1">
        <f t="array" ref="BK115">1+$B$13+VLOOKUP($Q115,武学奇术!$A:$ZZ,18,FALSE)+SUM(_xlfn.XLOOKUP(R115:AF115,增益!$A:$A,增益!$R:$R,0))</f>
        <v>1.5</v>
      </c>
      <c r="BL115" s="41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0.0929</v>
      </c>
      <c r="BM115" s="41" cm="1">
        <f t="array" ref="BM115">1+$B$14+VLOOKUP($Q115,武学奇术!$A:$ZZ,20,FALSE)+SUM(_xlfn.XLOOKUP(R115:AF115,增益!$A:$A,增益!$T:$T,0))</f>
        <v>1.35</v>
      </c>
      <c r="BN115" s="41">
        <f t="shared" si="20"/>
        <v>0.9045</v>
      </c>
      <c r="BO115" s="41">
        <f t="shared" si="21"/>
        <v>0.00260000000000005</v>
      </c>
      <c r="BP115" s="41">
        <f>IF(VLOOKUP($Q115,武学奇术!$A:$ZZ,22,FALSE)=1,0,(1-$BI115))*(1-$BL115)</f>
        <v>0</v>
      </c>
      <c r="BQ115" s="41" cm="1">
        <f t="array" ref="BQ115">SUM(_xlfn.XLOOKUP(R115:AF115,增益!$A:$A,增益!$W:$W,0))+$I$5</f>
        <v>0.11</v>
      </c>
    </row>
    <row r="116" spans="11:69">
      <c r="K116" s="55">
        <f t="shared" si="11"/>
        <v>0</v>
      </c>
      <c r="L116" s="55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弹道",$B$21,0))*(1+$BQ116)</f>
        <v>0</v>
      </c>
      <c r="M116" s="55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弹道",$B$21,0))*(1+$BQ116)</f>
        <v>0</v>
      </c>
      <c r="N116" s="55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弹道",$B$21,0))*(1+$BQ116)</f>
        <v>0</v>
      </c>
      <c r="O116" s="55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弹道",$B$21,0))*(1+$BQ116)</f>
        <v>0</v>
      </c>
      <c r="P116" s="56">
        <v>1</v>
      </c>
      <c r="Q116" s="57" t="s">
        <v>72</v>
      </c>
      <c r="R116" s="57" t="s">
        <v>72</v>
      </c>
      <c r="S116" s="57" t="s">
        <v>72</v>
      </c>
      <c r="T116" s="57" t="s">
        <v>72</v>
      </c>
      <c r="U116" s="57" t="s">
        <v>72</v>
      </c>
      <c r="V116" s="57" t="s">
        <v>72</v>
      </c>
      <c r="W116" s="57" t="s">
        <v>72</v>
      </c>
      <c r="X116" s="57" t="s">
        <v>72</v>
      </c>
      <c r="Y116" s="57" t="s">
        <v>72</v>
      </c>
      <c r="Z116" s="57" t="s">
        <v>72</v>
      </c>
      <c r="AA116" s="57" t="s">
        <v>72</v>
      </c>
      <c r="AB116" s="57" t="s">
        <v>72</v>
      </c>
      <c r="AC116" s="57" t="s">
        <v>72</v>
      </c>
      <c r="AD116" s="57" t="s">
        <v>72</v>
      </c>
      <c r="AE116" s="57" t="s">
        <v>72</v>
      </c>
      <c r="AF116" s="57" t="s">
        <v>87</v>
      </c>
      <c r="AG116" t="str">
        <f>VLOOKUP($Q116,武学奇术!$A:$ZZ,25,FALSE)</f>
        <v>心法</v>
      </c>
      <c r="AH116" s="41">
        <f>VLOOKUP($Q116,武学奇术!$A:$ZZ,26,FALSE)</f>
        <v>0</v>
      </c>
      <c r="AI116" s="42">
        <f>VLOOKUP($Q116,武学奇术!$A:$ZZ,27,FALSE)*(1+IF(OR($AG116=$F$4,$AG116=$F$5),$B$22,0))</f>
        <v>0</v>
      </c>
      <c r="AJ116" s="41">
        <f>VLOOKUP($Q116,武学奇术!$A:$ZZ,28,FALSE)</f>
        <v>0</v>
      </c>
      <c r="AK116" s="42">
        <f>VLOOKUP($Q116,武学奇术!$A:$ZZ,29,FALSE)*(1+IF(OR($AG116=$F$4,$AG116=$F$5),$B$22,0))</f>
        <v>0</v>
      </c>
      <c r="AL116" s="41" cm="1">
        <f t="array" ref="AL116">$G$3+IFERROR(VLOOKUP($AG116,$F$4:$G$7,2,FALSE),0)+VLOOKUP($Q116,武学奇术!$A:$ZZ,2,FALSE)+SUM(_xlfn.XLOOKUP($R116:$AF116,增益!$A:$A,增益!$B:$B,0))</f>
        <v>0.1037</v>
      </c>
      <c r="AM116" s="41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1735.4</v>
      </c>
      <c r="AO116" cm="1">
        <f t="array" ref="AO116">$E$10*(1+$AM116)+VLOOKUP($Q116,武学奇术!$A:$ZZ,4,FALSE)+SUM(_xlfn.XLOOKUP($R116:$AF116,增益!$A:$A,增益!$D:$D,0))-$I$2</f>
        <v>5426</v>
      </c>
      <c r="AP116" s="49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0.1925</v>
      </c>
      <c r="AQ116" s="49" cm="1">
        <f t="array" ref="AQ116">$G$10+VLOOKUP($Q116,武学奇术!$A:$ZZ,7,FALSE)+SUM(_xlfn.XLOOKUP(R116:AF116,增益!$A:$A,增益!$G:$G,0))</f>
        <v>0</v>
      </c>
      <c r="AR116" s="41" cm="1">
        <f t="array" ref="AR116">VLOOKUP($Q116,武学奇术!$A:$ZZ,8,FALSE)+SUM(_xlfn.XLOOKUP(R116:AF116,增益!$A:$A,增益!$H:$H,0))</f>
        <v>0</v>
      </c>
      <c r="AS116">
        <f t="shared" si="12"/>
        <v>0</v>
      </c>
      <c r="AT116">
        <f t="shared" si="13"/>
        <v>0</v>
      </c>
      <c r="AU116" s="49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-0.3</v>
      </c>
      <c r="AV116" s="49" cm="1">
        <f t="array" ref="AV116">$G$11+VLOOKUP($Q116,武学奇术!$A:$ZZ,10,FALSE)+SUM(_xlfn.XLOOKUP(R116:AF116,增益!$A:$A,增益!$J:$J,0))</f>
        <v>0</v>
      </c>
      <c r="AW116">
        <f t="shared" si="14"/>
        <v>0</v>
      </c>
      <c r="AX116">
        <f t="shared" si="15"/>
        <v>0</v>
      </c>
      <c r="AY116" s="49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-0.3</v>
      </c>
      <c r="AZ116" s="49" cm="1">
        <f t="array" ref="AZ116">$G$12+VLOOKUP($Q116,武学奇术!$A:$ZZ,12,FALSE)+SUM(_xlfn.XLOOKUP(R116:AF116,增益!$A:$A,增益!$L:$L,0))</f>
        <v>0</v>
      </c>
      <c r="BA116">
        <f t="shared" si="16"/>
        <v>571.2</v>
      </c>
      <c r="BB116">
        <f t="shared" si="17"/>
        <v>1077.4</v>
      </c>
      <c r="BC116" s="49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0</v>
      </c>
      <c r="BD116" s="49" cm="1">
        <f t="array" ref="BD116">$G$13+VLOOKUP($Q116,武学奇术!$A:$ZZ,14,FALSE)+SUM(_xlfn.XLOOKUP(R116:AF116,增益!$A:$A,增益!$N:$N,0))</f>
        <v>0.15</v>
      </c>
      <c r="BE116">
        <f t="shared" si="18"/>
        <v>0</v>
      </c>
      <c r="BF116">
        <f t="shared" si="19"/>
        <v>0</v>
      </c>
      <c r="BG116" s="49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-0.3</v>
      </c>
      <c r="BH116" s="49" cm="1">
        <f t="array" ref="BH116">$G$14+VLOOKUP($Q116,武学奇术!$A:$ZZ,16,FALSE)+SUM(_xlfn.XLOOKUP(R116:AF116,增益!$A:$A,增益!$P:$P,0))</f>
        <v>0</v>
      </c>
      <c r="BI116" s="41">
        <f>MIN(IF(VLOOKUP($Q116,武学奇术!$A:$ZZ,23,FALSE)=1,100%,$B$8),100%)</f>
        <v>1</v>
      </c>
      <c r="BJ116" s="41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0.9045</v>
      </c>
      <c r="BK116" s="41" cm="1">
        <f t="array" ref="BK116">1+$B$13+VLOOKUP($Q116,武学奇术!$A:$ZZ,18,FALSE)+SUM(_xlfn.XLOOKUP(R116:AF116,增益!$A:$A,增益!$R:$R,0))</f>
        <v>1.5</v>
      </c>
      <c r="BL116" s="41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0.0929</v>
      </c>
      <c r="BM116" s="41" cm="1">
        <f t="array" ref="BM116">1+$B$14+VLOOKUP($Q116,武学奇术!$A:$ZZ,20,FALSE)+SUM(_xlfn.XLOOKUP(R116:AF116,增益!$A:$A,增益!$T:$T,0))</f>
        <v>1.35</v>
      </c>
      <c r="BN116" s="41">
        <f t="shared" si="20"/>
        <v>0.9045</v>
      </c>
      <c r="BO116" s="41">
        <f t="shared" si="21"/>
        <v>0.00260000000000005</v>
      </c>
      <c r="BP116" s="41">
        <f>IF(VLOOKUP($Q116,武学奇术!$A:$ZZ,22,FALSE)=1,0,(1-$BI116))*(1-$BL116)</f>
        <v>0</v>
      </c>
      <c r="BQ116" s="41" cm="1">
        <f t="array" ref="BQ116">SUM(_xlfn.XLOOKUP(R116:AF116,增益!$A:$A,增益!$W:$W,0))+$I$5</f>
        <v>0.11</v>
      </c>
    </row>
    <row r="117" spans="11:69">
      <c r="K117" s="55">
        <f t="shared" si="11"/>
        <v>0</v>
      </c>
      <c r="L117" s="55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弹道",$B$21,0))*(1+$BQ117)</f>
        <v>0</v>
      </c>
      <c r="M117" s="55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弹道",$B$21,0))*(1+$BQ117)</f>
        <v>0</v>
      </c>
      <c r="N117" s="55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弹道",$B$21,0))*(1+$BQ117)</f>
        <v>0</v>
      </c>
      <c r="O117" s="55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弹道",$B$21,0))*(1+$BQ117)</f>
        <v>0</v>
      </c>
      <c r="P117" s="56">
        <f t="shared" si="22"/>
        <v>1</v>
      </c>
      <c r="Q117" s="57" t="s">
        <v>72</v>
      </c>
      <c r="R117" s="57" t="s">
        <v>72</v>
      </c>
      <c r="S117" s="57" t="s">
        <v>72</v>
      </c>
      <c r="T117" s="57" t="s">
        <v>72</v>
      </c>
      <c r="U117" s="57" t="s">
        <v>72</v>
      </c>
      <c r="V117" s="57" t="s">
        <v>72</v>
      </c>
      <c r="W117" s="57" t="s">
        <v>72</v>
      </c>
      <c r="X117" s="57" t="s">
        <v>72</v>
      </c>
      <c r="Y117" s="57" t="s">
        <v>72</v>
      </c>
      <c r="Z117" s="57" t="s">
        <v>72</v>
      </c>
      <c r="AA117" s="57" t="s">
        <v>72</v>
      </c>
      <c r="AB117" s="57" t="s">
        <v>72</v>
      </c>
      <c r="AC117" s="57" t="s">
        <v>72</v>
      </c>
      <c r="AD117" s="57" t="s">
        <v>72</v>
      </c>
      <c r="AE117" s="57" t="s">
        <v>72</v>
      </c>
      <c r="AF117" s="57" t="s">
        <v>87</v>
      </c>
      <c r="AG117" t="str">
        <f>VLOOKUP($Q117,武学奇术!$A:$ZZ,25,FALSE)</f>
        <v>心法</v>
      </c>
      <c r="AH117" s="41">
        <f>VLOOKUP($Q117,武学奇术!$A:$ZZ,26,FALSE)</f>
        <v>0</v>
      </c>
      <c r="AI117" s="42">
        <f>VLOOKUP($Q117,武学奇术!$A:$ZZ,27,FALSE)*(1+IF(OR($AG117=$F$4,$AG117=$F$5),$B$22,0))</f>
        <v>0</v>
      </c>
      <c r="AJ117" s="41">
        <f>VLOOKUP($Q117,武学奇术!$A:$ZZ,28,FALSE)</f>
        <v>0</v>
      </c>
      <c r="AK117" s="42">
        <f>VLOOKUP($Q117,武学奇术!$A:$ZZ,29,FALSE)*(1+IF(OR($AG117=$F$4,$AG117=$F$5),$B$22,0))</f>
        <v>0</v>
      </c>
      <c r="AL117" s="41" cm="1">
        <f t="array" ref="AL117">$G$3+IFERROR(VLOOKUP($AG117,$F$4:$G$7,2,FALSE),0)+VLOOKUP($Q117,武学奇术!$A:$ZZ,2,FALSE)+SUM(_xlfn.XLOOKUP($R117:$AF117,增益!$A:$A,增益!$B:$B,0))</f>
        <v>0.1037</v>
      </c>
      <c r="AM117" s="41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1735.4</v>
      </c>
      <c r="AO117" cm="1">
        <f t="array" ref="AO117">$E$10*(1+$AM117)+VLOOKUP($Q117,武学奇术!$A:$ZZ,4,FALSE)+SUM(_xlfn.XLOOKUP($R117:$AF117,增益!$A:$A,增益!$D:$D,0))-$I$2</f>
        <v>5426</v>
      </c>
      <c r="AP117" s="49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0.1925</v>
      </c>
      <c r="AQ117" s="49" cm="1">
        <f t="array" ref="AQ117">$G$10+VLOOKUP($Q117,武学奇术!$A:$ZZ,7,FALSE)+SUM(_xlfn.XLOOKUP(R117:AF117,增益!$A:$A,增益!$G:$G,0))</f>
        <v>0</v>
      </c>
      <c r="AR117" s="41" cm="1">
        <f t="array" ref="AR117">VLOOKUP($Q117,武学奇术!$A:$ZZ,8,FALSE)+SUM(_xlfn.XLOOKUP(R117:AF117,增益!$A:$A,增益!$H:$H,0))</f>
        <v>0</v>
      </c>
      <c r="AS117">
        <f t="shared" si="12"/>
        <v>0</v>
      </c>
      <c r="AT117">
        <f t="shared" si="13"/>
        <v>0</v>
      </c>
      <c r="AU117" s="49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-0.3</v>
      </c>
      <c r="AV117" s="49" cm="1">
        <f t="array" ref="AV117">$G$11+VLOOKUP($Q117,武学奇术!$A:$ZZ,10,FALSE)+SUM(_xlfn.XLOOKUP(R117:AF117,增益!$A:$A,增益!$J:$J,0))</f>
        <v>0</v>
      </c>
      <c r="AW117">
        <f t="shared" si="14"/>
        <v>0</v>
      </c>
      <c r="AX117">
        <f t="shared" si="15"/>
        <v>0</v>
      </c>
      <c r="AY117" s="49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-0.3</v>
      </c>
      <c r="AZ117" s="49" cm="1">
        <f t="array" ref="AZ117">$G$12+VLOOKUP($Q117,武学奇术!$A:$ZZ,12,FALSE)+SUM(_xlfn.XLOOKUP(R117:AF117,增益!$A:$A,增益!$L:$L,0))</f>
        <v>0</v>
      </c>
      <c r="BA117">
        <f t="shared" si="16"/>
        <v>571.2</v>
      </c>
      <c r="BB117">
        <f t="shared" si="17"/>
        <v>1077.4</v>
      </c>
      <c r="BC117" s="49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0</v>
      </c>
      <c r="BD117" s="49" cm="1">
        <f t="array" ref="BD117">$G$13+VLOOKUP($Q117,武学奇术!$A:$ZZ,14,FALSE)+SUM(_xlfn.XLOOKUP(R117:AF117,增益!$A:$A,增益!$N:$N,0))</f>
        <v>0.15</v>
      </c>
      <c r="BE117">
        <f t="shared" si="18"/>
        <v>0</v>
      </c>
      <c r="BF117">
        <f t="shared" si="19"/>
        <v>0</v>
      </c>
      <c r="BG117" s="49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-0.3</v>
      </c>
      <c r="BH117" s="49" cm="1">
        <f t="array" ref="BH117">$G$14+VLOOKUP($Q117,武学奇术!$A:$ZZ,16,FALSE)+SUM(_xlfn.XLOOKUP(R117:AF117,增益!$A:$A,增益!$P:$P,0))</f>
        <v>0</v>
      </c>
      <c r="BI117" s="41">
        <f>MIN(IF(VLOOKUP($Q117,武学奇术!$A:$ZZ,23,FALSE)=1,100%,$B$8),100%)</f>
        <v>1</v>
      </c>
      <c r="BJ117" s="41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0.9045</v>
      </c>
      <c r="BK117" s="41" cm="1">
        <f t="array" ref="BK117">1+$B$13+VLOOKUP($Q117,武学奇术!$A:$ZZ,18,FALSE)+SUM(_xlfn.XLOOKUP(R117:AF117,增益!$A:$A,增益!$R:$R,0))</f>
        <v>1.5</v>
      </c>
      <c r="BL117" s="41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0.0929</v>
      </c>
      <c r="BM117" s="41" cm="1">
        <f t="array" ref="BM117">1+$B$14+VLOOKUP($Q117,武学奇术!$A:$ZZ,20,FALSE)+SUM(_xlfn.XLOOKUP(R117:AF117,增益!$A:$A,增益!$T:$T,0))</f>
        <v>1.35</v>
      </c>
      <c r="BN117" s="41">
        <f t="shared" si="20"/>
        <v>0.9045</v>
      </c>
      <c r="BO117" s="41">
        <f t="shared" si="21"/>
        <v>0.00260000000000005</v>
      </c>
      <c r="BP117" s="41">
        <f>IF(VLOOKUP($Q117,武学奇术!$A:$ZZ,22,FALSE)=1,0,(1-$BI117))*(1-$BL117)</f>
        <v>0</v>
      </c>
      <c r="BQ117" s="41" cm="1">
        <f t="array" ref="BQ117">SUM(_xlfn.XLOOKUP(R117:AF117,增益!$A:$A,增益!$W:$W,0))+$I$5</f>
        <v>0.11</v>
      </c>
    </row>
    <row r="118" spans="11:69">
      <c r="K118" s="55">
        <f t="shared" si="11"/>
        <v>0</v>
      </c>
      <c r="L118" s="55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弹道",$B$21,0))*(1+$BQ118)</f>
        <v>0</v>
      </c>
      <c r="M118" s="55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弹道",$B$21,0))*(1+$BQ118)</f>
        <v>0</v>
      </c>
      <c r="N118" s="55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弹道",$B$21,0))*(1+$BQ118)</f>
        <v>0</v>
      </c>
      <c r="O118" s="55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弹道",$B$21,0))*(1+$BQ118)</f>
        <v>0</v>
      </c>
      <c r="P118" s="56">
        <v>1</v>
      </c>
      <c r="Q118" s="57" t="s">
        <v>72</v>
      </c>
      <c r="R118" s="57" t="s">
        <v>72</v>
      </c>
      <c r="S118" s="57" t="s">
        <v>72</v>
      </c>
      <c r="T118" s="57" t="s">
        <v>72</v>
      </c>
      <c r="U118" s="57" t="s">
        <v>72</v>
      </c>
      <c r="V118" s="57" t="s">
        <v>72</v>
      </c>
      <c r="W118" s="57" t="s">
        <v>72</v>
      </c>
      <c r="X118" s="57" t="s">
        <v>72</v>
      </c>
      <c r="Y118" s="57" t="s">
        <v>72</v>
      </c>
      <c r="Z118" s="57" t="s">
        <v>72</v>
      </c>
      <c r="AA118" s="57" t="s">
        <v>72</v>
      </c>
      <c r="AB118" s="57" t="s">
        <v>72</v>
      </c>
      <c r="AC118" s="57" t="s">
        <v>72</v>
      </c>
      <c r="AD118" s="57" t="s">
        <v>72</v>
      </c>
      <c r="AE118" s="57" t="s">
        <v>72</v>
      </c>
      <c r="AF118" s="57" t="s">
        <v>87</v>
      </c>
      <c r="AG118" t="str">
        <f>VLOOKUP($Q118,武学奇术!$A:$ZZ,25,FALSE)</f>
        <v>心法</v>
      </c>
      <c r="AH118" s="41">
        <f>VLOOKUP($Q118,武学奇术!$A:$ZZ,26,FALSE)</f>
        <v>0</v>
      </c>
      <c r="AI118" s="42">
        <f>VLOOKUP($Q118,武学奇术!$A:$ZZ,27,FALSE)*(1+IF(OR($AG118=$F$4,$AG118=$F$5),$B$22,0))</f>
        <v>0</v>
      </c>
      <c r="AJ118" s="41">
        <f>VLOOKUP($Q118,武学奇术!$A:$ZZ,28,FALSE)</f>
        <v>0</v>
      </c>
      <c r="AK118" s="42">
        <f>VLOOKUP($Q118,武学奇术!$A:$ZZ,29,FALSE)*(1+IF(OR($AG118=$F$4,$AG118=$F$5),$B$22,0))</f>
        <v>0</v>
      </c>
      <c r="AL118" s="41" cm="1">
        <f t="array" ref="AL118">$G$3+IFERROR(VLOOKUP($AG118,$F$4:$G$7,2,FALSE),0)+VLOOKUP($Q118,武学奇术!$A:$ZZ,2,FALSE)+SUM(_xlfn.XLOOKUP($R118:$AF118,增益!$A:$A,增益!$B:$B,0))</f>
        <v>0.1037</v>
      </c>
      <c r="AM118" s="41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1735.4</v>
      </c>
      <c r="AO118" cm="1">
        <f t="array" ref="AO118">$E$10*(1+$AM118)+VLOOKUP($Q118,武学奇术!$A:$ZZ,4,FALSE)+SUM(_xlfn.XLOOKUP($R118:$AF118,增益!$A:$A,增益!$D:$D,0))-$I$2</f>
        <v>5426</v>
      </c>
      <c r="AP118" s="49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0.1925</v>
      </c>
      <c r="AQ118" s="49" cm="1">
        <f t="array" ref="AQ118">$G$10+VLOOKUP($Q118,武学奇术!$A:$ZZ,7,FALSE)+SUM(_xlfn.XLOOKUP(R118:AF118,增益!$A:$A,增益!$G:$G,0))</f>
        <v>0</v>
      </c>
      <c r="AR118" s="41" cm="1">
        <f t="array" ref="AR118">VLOOKUP($Q118,武学奇术!$A:$ZZ,8,FALSE)+SUM(_xlfn.XLOOKUP(R118:AF118,增益!$A:$A,增益!$H:$H,0))</f>
        <v>0</v>
      </c>
      <c r="AS118">
        <f t="shared" si="12"/>
        <v>0</v>
      </c>
      <c r="AT118">
        <f t="shared" si="13"/>
        <v>0</v>
      </c>
      <c r="AU118" s="49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-0.3</v>
      </c>
      <c r="AV118" s="49" cm="1">
        <f t="array" ref="AV118">$G$11+VLOOKUP($Q118,武学奇术!$A:$ZZ,10,FALSE)+SUM(_xlfn.XLOOKUP(R118:AF118,增益!$A:$A,增益!$J:$J,0))</f>
        <v>0</v>
      </c>
      <c r="AW118">
        <f t="shared" si="14"/>
        <v>0</v>
      </c>
      <c r="AX118">
        <f t="shared" si="15"/>
        <v>0</v>
      </c>
      <c r="AY118" s="49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-0.3</v>
      </c>
      <c r="AZ118" s="49" cm="1">
        <f t="array" ref="AZ118">$G$12+VLOOKUP($Q118,武学奇术!$A:$ZZ,12,FALSE)+SUM(_xlfn.XLOOKUP(R118:AF118,增益!$A:$A,增益!$L:$L,0))</f>
        <v>0</v>
      </c>
      <c r="BA118">
        <f t="shared" si="16"/>
        <v>571.2</v>
      </c>
      <c r="BB118">
        <f t="shared" si="17"/>
        <v>1077.4</v>
      </c>
      <c r="BC118" s="49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0</v>
      </c>
      <c r="BD118" s="49" cm="1">
        <f t="array" ref="BD118">$G$13+VLOOKUP($Q118,武学奇术!$A:$ZZ,14,FALSE)+SUM(_xlfn.XLOOKUP(R118:AF118,增益!$A:$A,增益!$N:$N,0))</f>
        <v>0.15</v>
      </c>
      <c r="BE118">
        <f t="shared" si="18"/>
        <v>0</v>
      </c>
      <c r="BF118">
        <f t="shared" si="19"/>
        <v>0</v>
      </c>
      <c r="BG118" s="49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-0.3</v>
      </c>
      <c r="BH118" s="49" cm="1">
        <f t="array" ref="BH118">$G$14+VLOOKUP($Q118,武学奇术!$A:$ZZ,16,FALSE)+SUM(_xlfn.XLOOKUP(R118:AF118,增益!$A:$A,增益!$P:$P,0))</f>
        <v>0</v>
      </c>
      <c r="BI118" s="41">
        <f>MIN(IF(VLOOKUP($Q118,武学奇术!$A:$ZZ,23,FALSE)=1,100%,$B$8),100%)</f>
        <v>1</v>
      </c>
      <c r="BJ118" s="41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0.9045</v>
      </c>
      <c r="BK118" s="41" cm="1">
        <f t="array" ref="BK118">1+$B$13+VLOOKUP($Q118,武学奇术!$A:$ZZ,18,FALSE)+SUM(_xlfn.XLOOKUP(R118:AF118,增益!$A:$A,增益!$R:$R,0))</f>
        <v>1.5</v>
      </c>
      <c r="BL118" s="41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0.0929</v>
      </c>
      <c r="BM118" s="41" cm="1">
        <f t="array" ref="BM118">1+$B$14+VLOOKUP($Q118,武学奇术!$A:$ZZ,20,FALSE)+SUM(_xlfn.XLOOKUP(R118:AF118,增益!$A:$A,增益!$T:$T,0))</f>
        <v>1.35</v>
      </c>
      <c r="BN118" s="41">
        <f t="shared" si="20"/>
        <v>0.9045</v>
      </c>
      <c r="BO118" s="41">
        <f t="shared" si="21"/>
        <v>0.00260000000000005</v>
      </c>
      <c r="BP118" s="41">
        <f>IF(VLOOKUP($Q118,武学奇术!$A:$ZZ,22,FALSE)=1,0,(1-$BI118))*(1-$BL118)</f>
        <v>0</v>
      </c>
      <c r="BQ118" s="41" cm="1">
        <f t="array" ref="BQ118">SUM(_xlfn.XLOOKUP(R118:AF118,增益!$A:$A,增益!$W:$W,0))+$I$5</f>
        <v>0.11</v>
      </c>
    </row>
    <row r="119" spans="11:69">
      <c r="K119" s="55">
        <f t="shared" si="11"/>
        <v>0</v>
      </c>
      <c r="L119" s="55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弹道",$B$21,0))*(1+$BQ119)</f>
        <v>0</v>
      </c>
      <c r="M119" s="55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弹道",$B$21,0))*(1+$BQ119)</f>
        <v>0</v>
      </c>
      <c r="N119" s="55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弹道",$B$21,0))*(1+$BQ119)</f>
        <v>0</v>
      </c>
      <c r="O119" s="55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弹道",$B$21,0))*(1+$BQ119)</f>
        <v>0</v>
      </c>
      <c r="P119" s="56">
        <f t="shared" ref="P119:P123" si="23">IF($C$22="易水歌",1,0)</f>
        <v>1</v>
      </c>
      <c r="Q119" s="57" t="s">
        <v>72</v>
      </c>
      <c r="R119" s="57" t="s">
        <v>72</v>
      </c>
      <c r="S119" s="57" t="s">
        <v>72</v>
      </c>
      <c r="T119" s="57" t="s">
        <v>72</v>
      </c>
      <c r="U119" s="57" t="s">
        <v>72</v>
      </c>
      <c r="V119" s="57" t="s">
        <v>72</v>
      </c>
      <c r="W119" s="57" t="s">
        <v>72</v>
      </c>
      <c r="X119" s="57" t="s">
        <v>72</v>
      </c>
      <c r="Y119" s="57" t="s">
        <v>72</v>
      </c>
      <c r="Z119" s="57" t="s">
        <v>72</v>
      </c>
      <c r="AA119" s="57" t="s">
        <v>72</v>
      </c>
      <c r="AB119" s="57" t="s">
        <v>72</v>
      </c>
      <c r="AC119" s="57" t="s">
        <v>72</v>
      </c>
      <c r="AD119" s="57" t="s">
        <v>72</v>
      </c>
      <c r="AE119" s="57" t="s">
        <v>72</v>
      </c>
      <c r="AF119" s="57" t="s">
        <v>87</v>
      </c>
      <c r="AG119" t="str">
        <f>VLOOKUP($Q119,武学奇术!$A:$ZZ,25,FALSE)</f>
        <v>心法</v>
      </c>
      <c r="AH119" s="41">
        <f>VLOOKUP($Q119,武学奇术!$A:$ZZ,26,FALSE)</f>
        <v>0</v>
      </c>
      <c r="AI119" s="42">
        <f>VLOOKUP($Q119,武学奇术!$A:$ZZ,27,FALSE)*(1+IF(OR($AG119=$F$4,$AG119=$F$5),$B$22,0))</f>
        <v>0</v>
      </c>
      <c r="AJ119" s="41">
        <f>VLOOKUP($Q119,武学奇术!$A:$ZZ,28,FALSE)</f>
        <v>0</v>
      </c>
      <c r="AK119" s="42">
        <f>VLOOKUP($Q119,武学奇术!$A:$ZZ,29,FALSE)*(1+IF(OR($AG119=$F$4,$AG119=$F$5),$B$22,0))</f>
        <v>0</v>
      </c>
      <c r="AL119" s="41" cm="1">
        <f t="array" ref="AL119">$G$3+IFERROR(VLOOKUP($AG119,$F$4:$G$7,2,FALSE),0)+VLOOKUP($Q119,武学奇术!$A:$ZZ,2,FALSE)+SUM(_xlfn.XLOOKUP($R119:$AF119,增益!$A:$A,增益!$B:$B,0))</f>
        <v>0.1037</v>
      </c>
      <c r="AM119" s="41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1735.4</v>
      </c>
      <c r="AO119" cm="1">
        <f t="array" ref="AO119">$E$10*(1+$AM119)+VLOOKUP($Q119,武学奇术!$A:$ZZ,4,FALSE)+SUM(_xlfn.XLOOKUP($R119:$AF119,增益!$A:$A,增益!$D:$D,0))-$I$2</f>
        <v>5426</v>
      </c>
      <c r="AP119" s="49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0.1925</v>
      </c>
      <c r="AQ119" s="49" cm="1">
        <f t="array" ref="AQ119">$G$10+VLOOKUP($Q119,武学奇术!$A:$ZZ,7,FALSE)+SUM(_xlfn.XLOOKUP(R119:AF119,增益!$A:$A,增益!$G:$G,0))</f>
        <v>0</v>
      </c>
      <c r="AR119" s="41" cm="1">
        <f t="array" ref="AR119">VLOOKUP($Q119,武学奇术!$A:$ZZ,8,FALSE)+SUM(_xlfn.XLOOKUP(R119:AF119,增益!$A:$A,增益!$H:$H,0))</f>
        <v>0</v>
      </c>
      <c r="AS119">
        <f t="shared" si="12"/>
        <v>0</v>
      </c>
      <c r="AT119">
        <f t="shared" si="13"/>
        <v>0</v>
      </c>
      <c r="AU119" s="49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-0.3</v>
      </c>
      <c r="AV119" s="49" cm="1">
        <f t="array" ref="AV119">$G$11+VLOOKUP($Q119,武学奇术!$A:$ZZ,10,FALSE)+SUM(_xlfn.XLOOKUP(R119:AF119,增益!$A:$A,增益!$J:$J,0))</f>
        <v>0</v>
      </c>
      <c r="AW119">
        <f t="shared" si="14"/>
        <v>0</v>
      </c>
      <c r="AX119">
        <f t="shared" si="15"/>
        <v>0</v>
      </c>
      <c r="AY119" s="49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-0.3</v>
      </c>
      <c r="AZ119" s="49" cm="1">
        <f t="array" ref="AZ119">$G$12+VLOOKUP($Q119,武学奇术!$A:$ZZ,12,FALSE)+SUM(_xlfn.XLOOKUP(R119:AF119,增益!$A:$A,增益!$L:$L,0))</f>
        <v>0</v>
      </c>
      <c r="BA119">
        <f t="shared" si="16"/>
        <v>571.2</v>
      </c>
      <c r="BB119">
        <f t="shared" si="17"/>
        <v>1077.4</v>
      </c>
      <c r="BC119" s="49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0</v>
      </c>
      <c r="BD119" s="49" cm="1">
        <f t="array" ref="BD119">$G$13+VLOOKUP($Q119,武学奇术!$A:$ZZ,14,FALSE)+SUM(_xlfn.XLOOKUP(R119:AF119,增益!$A:$A,增益!$N:$N,0))</f>
        <v>0.15</v>
      </c>
      <c r="BE119">
        <f t="shared" si="18"/>
        <v>0</v>
      </c>
      <c r="BF119">
        <f t="shared" si="19"/>
        <v>0</v>
      </c>
      <c r="BG119" s="49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-0.3</v>
      </c>
      <c r="BH119" s="49" cm="1">
        <f t="array" ref="BH119">$G$14+VLOOKUP($Q119,武学奇术!$A:$ZZ,16,FALSE)+SUM(_xlfn.XLOOKUP(R119:AF119,增益!$A:$A,增益!$P:$P,0))</f>
        <v>0</v>
      </c>
      <c r="BI119" s="41">
        <f>MIN(IF(VLOOKUP($Q119,武学奇术!$A:$ZZ,23,FALSE)=1,100%,$B$8),100%)</f>
        <v>1</v>
      </c>
      <c r="BJ119" s="41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0.9045</v>
      </c>
      <c r="BK119" s="41" cm="1">
        <f t="array" ref="BK119">1+$B$13+VLOOKUP($Q119,武学奇术!$A:$ZZ,18,FALSE)+SUM(_xlfn.XLOOKUP(R119:AF119,增益!$A:$A,增益!$R:$R,0))</f>
        <v>1.5</v>
      </c>
      <c r="BL119" s="41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0.0929</v>
      </c>
      <c r="BM119" s="41" cm="1">
        <f t="array" ref="BM119">1+$B$14+VLOOKUP($Q119,武学奇术!$A:$ZZ,20,FALSE)+SUM(_xlfn.XLOOKUP(R119:AF119,增益!$A:$A,增益!$T:$T,0))</f>
        <v>1.35</v>
      </c>
      <c r="BN119" s="41">
        <f t="shared" si="20"/>
        <v>0.9045</v>
      </c>
      <c r="BO119" s="41">
        <f t="shared" si="21"/>
        <v>0.00260000000000005</v>
      </c>
      <c r="BP119" s="41">
        <f>IF(VLOOKUP($Q119,武学奇术!$A:$ZZ,22,FALSE)=1,0,(1-$BI119))*(1-$BL119)</f>
        <v>0</v>
      </c>
      <c r="BQ119" s="41" cm="1">
        <f t="array" ref="BQ119">SUM(_xlfn.XLOOKUP(R119:AF119,增益!$A:$A,增益!$W:$W,0))+$I$5</f>
        <v>0.11</v>
      </c>
    </row>
    <row r="120" spans="11:69">
      <c r="K120" s="55">
        <f t="shared" si="11"/>
        <v>0</v>
      </c>
      <c r="L120" s="55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弹道",$B$21,0))*(1+$BQ120)</f>
        <v>0</v>
      </c>
      <c r="M120" s="55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弹道",$B$21,0))*(1+$BQ120)</f>
        <v>0</v>
      </c>
      <c r="N120" s="55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弹道",$B$21,0))*(1+$BQ120)</f>
        <v>0</v>
      </c>
      <c r="O120" s="55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弹道",$B$21,0))*(1+$BQ120)</f>
        <v>0</v>
      </c>
      <c r="P120" s="56">
        <v>1</v>
      </c>
      <c r="Q120" s="57" t="s">
        <v>72</v>
      </c>
      <c r="R120" s="57" t="s">
        <v>72</v>
      </c>
      <c r="S120" s="57" t="s">
        <v>72</v>
      </c>
      <c r="T120" s="57" t="s">
        <v>72</v>
      </c>
      <c r="U120" s="57" t="s">
        <v>72</v>
      </c>
      <c r="V120" s="57" t="s">
        <v>72</v>
      </c>
      <c r="W120" s="57" t="s">
        <v>72</v>
      </c>
      <c r="X120" s="57" t="s">
        <v>72</v>
      </c>
      <c r="Y120" s="57" t="s">
        <v>72</v>
      </c>
      <c r="Z120" s="57" t="s">
        <v>72</v>
      </c>
      <c r="AA120" s="57" t="s">
        <v>72</v>
      </c>
      <c r="AB120" s="57" t="s">
        <v>72</v>
      </c>
      <c r="AC120" s="57" t="s">
        <v>72</v>
      </c>
      <c r="AD120" s="57" t="s">
        <v>72</v>
      </c>
      <c r="AE120" s="57" t="s">
        <v>72</v>
      </c>
      <c r="AF120" s="57" t="s">
        <v>87</v>
      </c>
      <c r="AG120" t="str">
        <f>VLOOKUP($Q120,武学奇术!$A:$ZZ,25,FALSE)</f>
        <v>心法</v>
      </c>
      <c r="AH120" s="41">
        <f>VLOOKUP($Q120,武学奇术!$A:$ZZ,26,FALSE)</f>
        <v>0</v>
      </c>
      <c r="AI120" s="42">
        <f>VLOOKUP($Q120,武学奇术!$A:$ZZ,27,FALSE)*(1+IF(OR($AG120=$F$4,$AG120=$F$5),$B$22,0))</f>
        <v>0</v>
      </c>
      <c r="AJ120" s="41">
        <f>VLOOKUP($Q120,武学奇术!$A:$ZZ,28,FALSE)</f>
        <v>0</v>
      </c>
      <c r="AK120" s="42">
        <f>VLOOKUP($Q120,武学奇术!$A:$ZZ,29,FALSE)*(1+IF(OR($AG120=$F$4,$AG120=$F$5),$B$22,0))</f>
        <v>0</v>
      </c>
      <c r="AL120" s="41" cm="1">
        <f t="array" ref="AL120">$G$3+IFERROR(VLOOKUP($AG120,$F$4:$G$7,2,FALSE),0)+VLOOKUP($Q120,武学奇术!$A:$ZZ,2,FALSE)+SUM(_xlfn.XLOOKUP($R120:$AF120,增益!$A:$A,增益!$B:$B,0))</f>
        <v>0.1037</v>
      </c>
      <c r="AM120" s="41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1735.4</v>
      </c>
      <c r="AO120" cm="1">
        <f t="array" ref="AO120">$E$10*(1+$AM120)+VLOOKUP($Q120,武学奇术!$A:$ZZ,4,FALSE)+SUM(_xlfn.XLOOKUP($R120:$AF120,增益!$A:$A,增益!$D:$D,0))-$I$2</f>
        <v>5426</v>
      </c>
      <c r="AP120" s="49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0.1925</v>
      </c>
      <c r="AQ120" s="49" cm="1">
        <f t="array" ref="AQ120">$G$10+VLOOKUP($Q120,武学奇术!$A:$ZZ,7,FALSE)+SUM(_xlfn.XLOOKUP(R120:AF120,增益!$A:$A,增益!$G:$G,0))</f>
        <v>0</v>
      </c>
      <c r="AR120" s="41" cm="1">
        <f t="array" ref="AR120">VLOOKUP($Q120,武学奇术!$A:$ZZ,8,FALSE)+SUM(_xlfn.XLOOKUP(R120:AF120,增益!$A:$A,增益!$H:$H,0))</f>
        <v>0</v>
      </c>
      <c r="AS120">
        <f t="shared" si="12"/>
        <v>0</v>
      </c>
      <c r="AT120">
        <f t="shared" si="13"/>
        <v>0</v>
      </c>
      <c r="AU120" s="49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-0.3</v>
      </c>
      <c r="AV120" s="49" cm="1">
        <f t="array" ref="AV120">$G$11+VLOOKUP($Q120,武学奇术!$A:$ZZ,10,FALSE)+SUM(_xlfn.XLOOKUP(R120:AF120,增益!$A:$A,增益!$J:$J,0))</f>
        <v>0</v>
      </c>
      <c r="AW120">
        <f t="shared" si="14"/>
        <v>0</v>
      </c>
      <c r="AX120">
        <f t="shared" si="15"/>
        <v>0</v>
      </c>
      <c r="AY120" s="49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-0.3</v>
      </c>
      <c r="AZ120" s="49" cm="1">
        <f t="array" ref="AZ120">$G$12+VLOOKUP($Q120,武学奇术!$A:$ZZ,12,FALSE)+SUM(_xlfn.XLOOKUP(R120:AF120,增益!$A:$A,增益!$L:$L,0))</f>
        <v>0</v>
      </c>
      <c r="BA120">
        <f t="shared" si="16"/>
        <v>571.2</v>
      </c>
      <c r="BB120">
        <f t="shared" si="17"/>
        <v>1077.4</v>
      </c>
      <c r="BC120" s="49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0</v>
      </c>
      <c r="BD120" s="49" cm="1">
        <f t="array" ref="BD120">$G$13+VLOOKUP($Q120,武学奇术!$A:$ZZ,14,FALSE)+SUM(_xlfn.XLOOKUP(R120:AF120,增益!$A:$A,增益!$N:$N,0))</f>
        <v>0.15</v>
      </c>
      <c r="BE120">
        <f t="shared" si="18"/>
        <v>0</v>
      </c>
      <c r="BF120">
        <f t="shared" si="19"/>
        <v>0</v>
      </c>
      <c r="BG120" s="49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-0.3</v>
      </c>
      <c r="BH120" s="49" cm="1">
        <f t="array" ref="BH120">$G$14+VLOOKUP($Q120,武学奇术!$A:$ZZ,16,FALSE)+SUM(_xlfn.XLOOKUP(R120:AF120,增益!$A:$A,增益!$P:$P,0))</f>
        <v>0</v>
      </c>
      <c r="BI120" s="41">
        <f>MIN(IF(VLOOKUP($Q120,武学奇术!$A:$ZZ,23,FALSE)=1,100%,$B$8),100%)</f>
        <v>1</v>
      </c>
      <c r="BJ120" s="41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0.9045</v>
      </c>
      <c r="BK120" s="41" cm="1">
        <f t="array" ref="BK120">1+$B$13+VLOOKUP($Q120,武学奇术!$A:$ZZ,18,FALSE)+SUM(_xlfn.XLOOKUP(R120:AF120,增益!$A:$A,增益!$R:$R,0))</f>
        <v>1.5</v>
      </c>
      <c r="BL120" s="41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0.0929</v>
      </c>
      <c r="BM120" s="41" cm="1">
        <f t="array" ref="BM120">1+$B$14+VLOOKUP($Q120,武学奇术!$A:$ZZ,20,FALSE)+SUM(_xlfn.XLOOKUP(R120:AF120,增益!$A:$A,增益!$T:$T,0))</f>
        <v>1.35</v>
      </c>
      <c r="BN120" s="41">
        <f t="shared" si="20"/>
        <v>0.9045</v>
      </c>
      <c r="BO120" s="41">
        <f t="shared" si="21"/>
        <v>0.00260000000000005</v>
      </c>
      <c r="BP120" s="41">
        <f>IF(VLOOKUP($Q120,武学奇术!$A:$ZZ,22,FALSE)=1,0,(1-$BI120))*(1-$BL120)</f>
        <v>0</v>
      </c>
      <c r="BQ120" s="41" cm="1">
        <f t="array" ref="BQ120">SUM(_xlfn.XLOOKUP(R120:AF120,增益!$A:$A,增益!$W:$W,0))+$I$5</f>
        <v>0.11</v>
      </c>
    </row>
    <row r="121" spans="11:69">
      <c r="K121" s="55">
        <f t="shared" si="11"/>
        <v>0</v>
      </c>
      <c r="L121" s="55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弹道",$B$21,0))*(1+$BQ121)</f>
        <v>0</v>
      </c>
      <c r="M121" s="55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弹道",$B$21,0))*(1+$BQ121)</f>
        <v>0</v>
      </c>
      <c r="N121" s="55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弹道",$B$21,0))*(1+$BQ121)</f>
        <v>0</v>
      </c>
      <c r="O121" s="55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弹道",$B$21,0))*(1+$BQ121)</f>
        <v>0</v>
      </c>
      <c r="P121" s="56">
        <f t="shared" si="23"/>
        <v>1</v>
      </c>
      <c r="Q121" s="57" t="s">
        <v>72</v>
      </c>
      <c r="R121" s="57" t="s">
        <v>72</v>
      </c>
      <c r="S121" s="57" t="s">
        <v>72</v>
      </c>
      <c r="T121" s="57" t="s">
        <v>72</v>
      </c>
      <c r="U121" s="57" t="s">
        <v>72</v>
      </c>
      <c r="V121" s="57" t="s">
        <v>72</v>
      </c>
      <c r="W121" s="57" t="s">
        <v>72</v>
      </c>
      <c r="X121" s="57" t="s">
        <v>72</v>
      </c>
      <c r="Y121" s="57" t="s">
        <v>72</v>
      </c>
      <c r="Z121" s="57" t="s">
        <v>72</v>
      </c>
      <c r="AA121" s="57" t="s">
        <v>72</v>
      </c>
      <c r="AB121" s="57" t="s">
        <v>72</v>
      </c>
      <c r="AC121" s="57" t="s">
        <v>72</v>
      </c>
      <c r="AD121" s="57" t="s">
        <v>72</v>
      </c>
      <c r="AE121" s="57" t="s">
        <v>72</v>
      </c>
      <c r="AF121" s="57" t="s">
        <v>87</v>
      </c>
      <c r="AG121" t="str">
        <f>VLOOKUP($Q121,武学奇术!$A:$ZZ,25,FALSE)</f>
        <v>心法</v>
      </c>
      <c r="AH121" s="41">
        <f>VLOOKUP($Q121,武学奇术!$A:$ZZ,26,FALSE)</f>
        <v>0</v>
      </c>
      <c r="AI121" s="42">
        <f>VLOOKUP($Q121,武学奇术!$A:$ZZ,27,FALSE)*(1+IF(OR($AG121=$F$4,$AG121=$F$5),$B$22,0))</f>
        <v>0</v>
      </c>
      <c r="AJ121" s="41">
        <f>VLOOKUP($Q121,武学奇术!$A:$ZZ,28,FALSE)</f>
        <v>0</v>
      </c>
      <c r="AK121" s="42">
        <f>VLOOKUP($Q121,武学奇术!$A:$ZZ,29,FALSE)*(1+IF(OR($AG121=$F$4,$AG121=$F$5),$B$22,0))</f>
        <v>0</v>
      </c>
      <c r="AL121" s="41" cm="1">
        <f t="array" ref="AL121">$G$3+IFERROR(VLOOKUP($AG121,$F$4:$G$7,2,FALSE),0)+VLOOKUP($Q121,武学奇术!$A:$ZZ,2,FALSE)+SUM(_xlfn.XLOOKUP($R121:$AF121,增益!$A:$A,增益!$B:$B,0))</f>
        <v>0.1037</v>
      </c>
      <c r="AM121" s="41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1735.4</v>
      </c>
      <c r="AO121" cm="1">
        <f t="array" ref="AO121">$E$10*(1+$AM121)+VLOOKUP($Q121,武学奇术!$A:$ZZ,4,FALSE)+SUM(_xlfn.XLOOKUP($R121:$AF121,增益!$A:$A,增益!$D:$D,0))-$I$2</f>
        <v>5426</v>
      </c>
      <c r="AP121" s="49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0.1925</v>
      </c>
      <c r="AQ121" s="49" cm="1">
        <f t="array" ref="AQ121">$G$10+VLOOKUP($Q121,武学奇术!$A:$ZZ,7,FALSE)+SUM(_xlfn.XLOOKUP(R121:AF121,增益!$A:$A,增益!$G:$G,0))</f>
        <v>0</v>
      </c>
      <c r="AR121" s="41" cm="1">
        <f t="array" ref="AR121">VLOOKUP($Q121,武学奇术!$A:$ZZ,8,FALSE)+SUM(_xlfn.XLOOKUP(R121:AF121,增益!$A:$A,增益!$H:$H,0))</f>
        <v>0</v>
      </c>
      <c r="AS121">
        <f t="shared" si="12"/>
        <v>0</v>
      </c>
      <c r="AT121">
        <f t="shared" si="13"/>
        <v>0</v>
      </c>
      <c r="AU121" s="49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-0.3</v>
      </c>
      <c r="AV121" s="49" cm="1">
        <f t="array" ref="AV121">$G$11+VLOOKUP($Q121,武学奇术!$A:$ZZ,10,FALSE)+SUM(_xlfn.XLOOKUP(R121:AF121,增益!$A:$A,增益!$J:$J,0))</f>
        <v>0</v>
      </c>
      <c r="AW121">
        <f t="shared" si="14"/>
        <v>0</v>
      </c>
      <c r="AX121">
        <f t="shared" si="15"/>
        <v>0</v>
      </c>
      <c r="AY121" s="49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-0.3</v>
      </c>
      <c r="AZ121" s="49" cm="1">
        <f t="array" ref="AZ121">$G$12+VLOOKUP($Q121,武学奇术!$A:$ZZ,12,FALSE)+SUM(_xlfn.XLOOKUP(R121:AF121,增益!$A:$A,增益!$L:$L,0))</f>
        <v>0</v>
      </c>
      <c r="BA121">
        <f t="shared" si="16"/>
        <v>571.2</v>
      </c>
      <c r="BB121">
        <f t="shared" si="17"/>
        <v>1077.4</v>
      </c>
      <c r="BC121" s="49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0</v>
      </c>
      <c r="BD121" s="49" cm="1">
        <f t="array" ref="BD121">$G$13+VLOOKUP($Q121,武学奇术!$A:$ZZ,14,FALSE)+SUM(_xlfn.XLOOKUP(R121:AF121,增益!$A:$A,增益!$N:$N,0))</f>
        <v>0.15</v>
      </c>
      <c r="BE121">
        <f t="shared" si="18"/>
        <v>0</v>
      </c>
      <c r="BF121">
        <f t="shared" si="19"/>
        <v>0</v>
      </c>
      <c r="BG121" s="49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-0.3</v>
      </c>
      <c r="BH121" s="49" cm="1">
        <f t="array" ref="BH121">$G$14+VLOOKUP($Q121,武学奇术!$A:$ZZ,16,FALSE)+SUM(_xlfn.XLOOKUP(R121:AF121,增益!$A:$A,增益!$P:$P,0))</f>
        <v>0</v>
      </c>
      <c r="BI121" s="41">
        <f>MIN(IF(VLOOKUP($Q121,武学奇术!$A:$ZZ,23,FALSE)=1,100%,$B$8),100%)</f>
        <v>1</v>
      </c>
      <c r="BJ121" s="41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0.9045</v>
      </c>
      <c r="BK121" s="41" cm="1">
        <f t="array" ref="BK121">1+$B$13+VLOOKUP($Q121,武学奇术!$A:$ZZ,18,FALSE)+SUM(_xlfn.XLOOKUP(R121:AF121,增益!$A:$A,增益!$R:$R,0))</f>
        <v>1.5</v>
      </c>
      <c r="BL121" s="41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0.0929</v>
      </c>
      <c r="BM121" s="41" cm="1">
        <f t="array" ref="BM121">1+$B$14+VLOOKUP($Q121,武学奇术!$A:$ZZ,20,FALSE)+SUM(_xlfn.XLOOKUP(R121:AF121,增益!$A:$A,增益!$T:$T,0))</f>
        <v>1.35</v>
      </c>
      <c r="BN121" s="41">
        <f t="shared" si="20"/>
        <v>0.9045</v>
      </c>
      <c r="BO121" s="41">
        <f t="shared" si="21"/>
        <v>0.00260000000000005</v>
      </c>
      <c r="BP121" s="41">
        <f>IF(VLOOKUP($Q121,武学奇术!$A:$ZZ,22,FALSE)=1,0,(1-$BI121))*(1-$BL121)</f>
        <v>0</v>
      </c>
      <c r="BQ121" s="41" cm="1">
        <f t="array" ref="BQ121">SUM(_xlfn.XLOOKUP(R121:AF121,增益!$A:$A,增益!$W:$W,0))+$I$5</f>
        <v>0.11</v>
      </c>
    </row>
    <row r="122" spans="11:69">
      <c r="K122" s="55">
        <f t="shared" si="11"/>
        <v>0</v>
      </c>
      <c r="L122" s="55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BK122*$P122*(1+IF(VLOOKUP($Q122,武学奇术!$A:$ZZ,30,FALSE)="弹道",$B$21,0))*(1+$BQ122)</f>
        <v>0</v>
      </c>
      <c r="M122" s="55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弹道",$B$21,0))*(1+$BQ122)</f>
        <v>0</v>
      </c>
      <c r="N122" s="55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P122*(1+IF(VLOOKUP($Q122,武学奇术!$A:$ZZ,30,FALSE)="弹道",$B$21,0))*(1+$BQ122)</f>
        <v>0</v>
      </c>
      <c r="O122" s="55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弹道",$B$21,0))*(1+$BQ122)</f>
        <v>0</v>
      </c>
      <c r="P122" s="56">
        <v>1</v>
      </c>
      <c r="Q122" s="57" t="s">
        <v>72</v>
      </c>
      <c r="R122" s="57" t="s">
        <v>72</v>
      </c>
      <c r="S122" s="57" t="s">
        <v>72</v>
      </c>
      <c r="T122" s="57" t="s">
        <v>72</v>
      </c>
      <c r="U122" s="57" t="s">
        <v>72</v>
      </c>
      <c r="V122" s="57" t="s">
        <v>72</v>
      </c>
      <c r="W122" s="57" t="s">
        <v>72</v>
      </c>
      <c r="X122" s="57" t="s">
        <v>72</v>
      </c>
      <c r="Y122" s="57" t="s">
        <v>72</v>
      </c>
      <c r="Z122" s="57" t="s">
        <v>72</v>
      </c>
      <c r="AA122" s="57" t="s">
        <v>72</v>
      </c>
      <c r="AB122" s="57" t="s">
        <v>72</v>
      </c>
      <c r="AC122" s="57" t="s">
        <v>72</v>
      </c>
      <c r="AD122" s="57" t="s">
        <v>72</v>
      </c>
      <c r="AE122" s="57" t="s">
        <v>72</v>
      </c>
      <c r="AF122" s="57" t="s">
        <v>87</v>
      </c>
      <c r="AG122" t="str">
        <f>VLOOKUP($Q122,武学奇术!$A:$ZZ,25,FALSE)</f>
        <v>心法</v>
      </c>
      <c r="AH122" s="41">
        <f>VLOOKUP($Q122,武学奇术!$A:$ZZ,26,FALSE)</f>
        <v>0</v>
      </c>
      <c r="AI122" s="42">
        <f>VLOOKUP($Q122,武学奇术!$A:$ZZ,27,FALSE)*(1+IF(OR($AG122=$F$4,$AG122=$F$5),$B$22,0))</f>
        <v>0</v>
      </c>
      <c r="AJ122" s="41">
        <f>VLOOKUP($Q122,武学奇术!$A:$ZZ,28,FALSE)</f>
        <v>0</v>
      </c>
      <c r="AK122" s="42">
        <f>VLOOKUP($Q122,武学奇术!$A:$ZZ,29,FALSE)*(1+IF(OR($AG122=$F$4,$AG122=$F$5),$B$22,0))</f>
        <v>0</v>
      </c>
      <c r="AL122" s="41" cm="1">
        <f t="array" ref="AL122">$G$3+IFERROR(VLOOKUP($AG122,$F$4:$G$7,2,FALSE),0)+VLOOKUP($Q122,武学奇术!$A:$ZZ,2,FALSE)+SUM(_xlfn.XLOOKUP($R122:$AF122,增益!$A:$A,增益!$B:$B,0))</f>
        <v>0.1037</v>
      </c>
      <c r="AM122" s="41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1735.4</v>
      </c>
      <c r="AO122" cm="1">
        <f t="array" ref="AO122">$E$10*(1+$AM122)+VLOOKUP($Q122,武学奇术!$A:$ZZ,4,FALSE)+SUM(_xlfn.XLOOKUP($R122:$AF122,增益!$A:$A,增益!$D:$D,0))-$I$2</f>
        <v>5426</v>
      </c>
      <c r="AP122" s="49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0.1925</v>
      </c>
      <c r="AQ122" s="49" cm="1">
        <f t="array" ref="AQ122">$G$10+VLOOKUP($Q122,武学奇术!$A:$ZZ,7,FALSE)+SUM(_xlfn.XLOOKUP(R122:AF122,增益!$A:$A,增益!$G:$G,0))</f>
        <v>0</v>
      </c>
      <c r="AR122" s="41" cm="1">
        <f t="array" ref="AR122">VLOOKUP($Q122,武学奇术!$A:$ZZ,8,FALSE)+SUM(_xlfn.XLOOKUP(R122:AF122,增益!$A:$A,增益!$H:$H,0))</f>
        <v>0</v>
      </c>
      <c r="AS122">
        <f t="shared" si="12"/>
        <v>0</v>
      </c>
      <c r="AT122">
        <f t="shared" si="13"/>
        <v>0</v>
      </c>
      <c r="AU122" s="49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-0.3</v>
      </c>
      <c r="AV122" s="49" cm="1">
        <f t="array" ref="AV122">$G$11+VLOOKUP($Q122,武学奇术!$A:$ZZ,10,FALSE)+SUM(_xlfn.XLOOKUP(R122:AF122,增益!$A:$A,增益!$J:$J,0))</f>
        <v>0</v>
      </c>
      <c r="AW122">
        <f t="shared" si="14"/>
        <v>0</v>
      </c>
      <c r="AX122">
        <f t="shared" si="15"/>
        <v>0</v>
      </c>
      <c r="AY122" s="49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-0.3</v>
      </c>
      <c r="AZ122" s="49" cm="1">
        <f t="array" ref="AZ122">$G$12+VLOOKUP($Q122,武学奇术!$A:$ZZ,12,FALSE)+SUM(_xlfn.XLOOKUP(R122:AF122,增益!$A:$A,增益!$L:$L,0))</f>
        <v>0</v>
      </c>
      <c r="BA122">
        <f t="shared" si="16"/>
        <v>571.2</v>
      </c>
      <c r="BB122">
        <f t="shared" si="17"/>
        <v>1077.4</v>
      </c>
      <c r="BC122" s="49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0</v>
      </c>
      <c r="BD122" s="49" cm="1">
        <f t="array" ref="BD122">$G$13+VLOOKUP($Q122,武学奇术!$A:$ZZ,14,FALSE)+SUM(_xlfn.XLOOKUP(R122:AF122,增益!$A:$A,增益!$N:$N,0))</f>
        <v>0.15</v>
      </c>
      <c r="BE122">
        <f t="shared" si="18"/>
        <v>0</v>
      </c>
      <c r="BF122">
        <f t="shared" si="19"/>
        <v>0</v>
      </c>
      <c r="BG122" s="49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-0.3</v>
      </c>
      <c r="BH122" s="49" cm="1">
        <f t="array" ref="BH122">$G$14+VLOOKUP($Q122,武学奇术!$A:$ZZ,16,FALSE)+SUM(_xlfn.XLOOKUP(R122:AF122,增益!$A:$A,增益!$P:$P,0))</f>
        <v>0</v>
      </c>
      <c r="BI122" s="41">
        <f>MIN(IF(VLOOKUP($Q122,武学奇术!$A:$ZZ,23,FALSE)=1,100%,$B$8),100%)</f>
        <v>1</v>
      </c>
      <c r="BJ122" s="41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</f>
        <v>0.9045</v>
      </c>
      <c r="BK122" s="41" cm="1">
        <f t="array" ref="BK122">1+$B$13+VLOOKUP($Q122,武学奇术!$A:$ZZ,18,FALSE)+SUM(_xlfn.XLOOKUP(R122:AF122,增益!$A:$A,增益!$R:$R,0))</f>
        <v>1.5</v>
      </c>
      <c r="BL122" s="41" cm="1">
        <f t="array" ref="BL122">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</f>
        <v>0.0929</v>
      </c>
      <c r="BM122" s="41" cm="1">
        <f t="array" ref="BM122">1+$B$14+VLOOKUP($Q122,武学奇术!$A:$ZZ,20,FALSE)+SUM(_xlfn.XLOOKUP(R122:AF122,增益!$A:$A,增益!$T:$T,0))</f>
        <v>1.35</v>
      </c>
      <c r="BN122" s="41">
        <f t="shared" si="20"/>
        <v>0.9045</v>
      </c>
      <c r="BO122" s="41">
        <f t="shared" si="21"/>
        <v>0.00260000000000005</v>
      </c>
      <c r="BP122" s="41">
        <f>IF(VLOOKUP($Q122,武学奇术!$A:$ZZ,22,FALSE)=1,0,(1-$BI122))*(1-$BL122)</f>
        <v>0</v>
      </c>
      <c r="BQ122" s="41" cm="1">
        <f t="array" ref="BQ122">SUM(_xlfn.XLOOKUP(R122:AF122,增益!$A:$A,增益!$W:$W,0))+$I$5</f>
        <v>0.11</v>
      </c>
    </row>
    <row r="123" spans="11:69">
      <c r="K123" s="55">
        <f t="shared" si="11"/>
        <v>0</v>
      </c>
      <c r="L123" s="55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BK123*$P123*(1+IF(VLOOKUP($Q123,武学奇术!$A:$ZZ,30,FALSE)="弹道",$B$21,0))*(1+$BQ123)</f>
        <v>0</v>
      </c>
      <c r="M123" s="55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弹道",$B$21,0))*(1+$BQ123)</f>
        <v>0</v>
      </c>
      <c r="N123" s="55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P123*(1+IF(VLOOKUP($Q123,武学奇术!$A:$ZZ,30,FALSE)="弹道",$B$21,0))*(1+$BQ123)</f>
        <v>0</v>
      </c>
      <c r="O123" s="55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弹道",$B$21,0))*(1+$BQ123)</f>
        <v>0</v>
      </c>
      <c r="P123" s="56">
        <f t="shared" si="23"/>
        <v>1</v>
      </c>
      <c r="Q123" s="57" t="s">
        <v>72</v>
      </c>
      <c r="R123" s="57" t="s">
        <v>72</v>
      </c>
      <c r="S123" s="57" t="s">
        <v>72</v>
      </c>
      <c r="T123" s="57" t="s">
        <v>72</v>
      </c>
      <c r="U123" s="57" t="s">
        <v>72</v>
      </c>
      <c r="V123" s="57" t="s">
        <v>72</v>
      </c>
      <c r="W123" s="57" t="s">
        <v>72</v>
      </c>
      <c r="X123" s="57" t="s">
        <v>72</v>
      </c>
      <c r="Y123" s="57" t="s">
        <v>72</v>
      </c>
      <c r="Z123" s="57" t="s">
        <v>72</v>
      </c>
      <c r="AA123" s="57" t="s">
        <v>72</v>
      </c>
      <c r="AB123" s="57" t="s">
        <v>72</v>
      </c>
      <c r="AC123" s="57" t="s">
        <v>72</v>
      </c>
      <c r="AD123" s="57" t="s">
        <v>72</v>
      </c>
      <c r="AE123" s="57" t="s">
        <v>72</v>
      </c>
      <c r="AF123" s="57" t="s">
        <v>87</v>
      </c>
      <c r="AG123" t="str">
        <f>VLOOKUP($Q123,武学奇术!$A:$ZZ,25,FALSE)</f>
        <v>心法</v>
      </c>
      <c r="AH123" s="41">
        <f>VLOOKUP($Q123,武学奇术!$A:$ZZ,26,FALSE)</f>
        <v>0</v>
      </c>
      <c r="AI123" s="42">
        <f>VLOOKUP($Q123,武学奇术!$A:$ZZ,27,FALSE)*(1+IF(OR($AG123=$F$4,$AG123=$F$5),$B$22,0))</f>
        <v>0</v>
      </c>
      <c r="AJ123" s="41">
        <f>VLOOKUP($Q123,武学奇术!$A:$ZZ,28,FALSE)</f>
        <v>0</v>
      </c>
      <c r="AK123" s="42">
        <f>VLOOKUP($Q123,武学奇术!$A:$ZZ,29,FALSE)*(1+IF(OR($AG123=$F$4,$AG123=$F$5),$B$22,0))</f>
        <v>0</v>
      </c>
      <c r="AL123" s="41" cm="1">
        <f t="array" ref="AL123">$G$3+IFERROR(VLOOKUP($AG123,$F$4:$G$7,2,FALSE),0)+VLOOKUP($Q123,武学奇术!$A:$ZZ,2,FALSE)+SUM(_xlfn.XLOOKUP($R123:$AF123,增益!$A:$A,增益!$B:$B,0))</f>
        <v>0.1037</v>
      </c>
      <c r="AM123" s="41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1735.4</v>
      </c>
      <c r="AO123" cm="1">
        <f t="array" ref="AO123">$E$10*(1+$AM123)+VLOOKUP($Q123,武学奇术!$A:$ZZ,4,FALSE)+SUM(_xlfn.XLOOKUP($R123:$AF123,增益!$A:$A,增益!$D:$D,0))-$I$2</f>
        <v>5426</v>
      </c>
      <c r="AP123" s="49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0.1925</v>
      </c>
      <c r="AQ123" s="49" cm="1">
        <f t="array" ref="AQ123">$G$10+VLOOKUP($Q123,武学奇术!$A:$ZZ,7,FALSE)+SUM(_xlfn.XLOOKUP(R123:AF123,增益!$A:$A,增益!$G:$G,0))</f>
        <v>0</v>
      </c>
      <c r="AR123" s="41" cm="1">
        <f t="array" ref="AR123">VLOOKUP($Q123,武学奇术!$A:$ZZ,8,FALSE)+SUM(_xlfn.XLOOKUP(R123:AF123,增益!$A:$A,增益!$H:$H,0))</f>
        <v>0</v>
      </c>
      <c r="AS123">
        <f t="shared" si="12"/>
        <v>0</v>
      </c>
      <c r="AT123">
        <f t="shared" si="13"/>
        <v>0</v>
      </c>
      <c r="AU123" s="49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-0.3</v>
      </c>
      <c r="AV123" s="49" cm="1">
        <f t="array" ref="AV123">$G$11+VLOOKUP($Q123,武学奇术!$A:$ZZ,10,FALSE)+SUM(_xlfn.XLOOKUP(R123:AF123,增益!$A:$A,增益!$J:$J,0))</f>
        <v>0</v>
      </c>
      <c r="AW123">
        <f t="shared" si="14"/>
        <v>0</v>
      </c>
      <c r="AX123">
        <f t="shared" si="15"/>
        <v>0</v>
      </c>
      <c r="AY123" s="49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-0.3</v>
      </c>
      <c r="AZ123" s="49" cm="1">
        <f t="array" ref="AZ123">$G$12+VLOOKUP($Q123,武学奇术!$A:$ZZ,12,FALSE)+SUM(_xlfn.XLOOKUP(R123:AF123,增益!$A:$A,增益!$L:$L,0))</f>
        <v>0</v>
      </c>
      <c r="BA123">
        <f t="shared" si="16"/>
        <v>571.2</v>
      </c>
      <c r="BB123">
        <f t="shared" si="17"/>
        <v>1077.4</v>
      </c>
      <c r="BC123" s="49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0</v>
      </c>
      <c r="BD123" s="49" cm="1">
        <f t="array" ref="BD123">$G$13+VLOOKUP($Q123,武学奇术!$A:$ZZ,14,FALSE)+SUM(_xlfn.XLOOKUP(R123:AF123,增益!$A:$A,增益!$N:$N,0))</f>
        <v>0.15</v>
      </c>
      <c r="BE123">
        <f t="shared" si="18"/>
        <v>0</v>
      </c>
      <c r="BF123">
        <f t="shared" si="19"/>
        <v>0</v>
      </c>
      <c r="BG123" s="49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-0.3</v>
      </c>
      <c r="BH123" s="49" cm="1">
        <f t="array" ref="BH123">$G$14+VLOOKUP($Q123,武学奇术!$A:$ZZ,16,FALSE)+SUM(_xlfn.XLOOKUP(R123:AF123,增益!$A:$A,增益!$P:$P,0))</f>
        <v>0</v>
      </c>
      <c r="BI123" s="41">
        <f>MIN(IF(VLOOKUP($Q123,武学奇术!$A:$ZZ,23,FALSE)=1,100%,$B$8),100%)</f>
        <v>1</v>
      </c>
      <c r="BJ123" s="41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</f>
        <v>0.9045</v>
      </c>
      <c r="BK123" s="41" cm="1">
        <f t="array" ref="BK123">1+$B$13+VLOOKUP($Q123,武学奇术!$A:$ZZ,18,FALSE)+SUM(_xlfn.XLOOKUP(R123:AF123,增益!$A:$A,增益!$R:$R,0))</f>
        <v>1.5</v>
      </c>
      <c r="BL123" s="41" cm="1">
        <f t="array" ref="BL123">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</f>
        <v>0.0929</v>
      </c>
      <c r="BM123" s="41" cm="1">
        <f t="array" ref="BM123">1+$B$14+VLOOKUP($Q123,武学奇术!$A:$ZZ,20,FALSE)+SUM(_xlfn.XLOOKUP(R123:AF123,增益!$A:$A,增益!$T:$T,0))</f>
        <v>1.35</v>
      </c>
      <c r="BN123" s="41">
        <f t="shared" si="20"/>
        <v>0.9045</v>
      </c>
      <c r="BO123" s="41">
        <f t="shared" si="21"/>
        <v>0.00260000000000005</v>
      </c>
      <c r="BP123" s="41">
        <f>IF(VLOOKUP($Q123,武学奇术!$A:$ZZ,22,FALSE)=1,0,(1-$BI123))*(1-$BL123)</f>
        <v>0</v>
      </c>
      <c r="BQ123" s="41" cm="1">
        <f t="array" ref="BQ123">SUM(_xlfn.XLOOKUP(R123:AF123,增益!$A:$A,增益!$W:$W,0))+$I$5</f>
        <v>0.11</v>
      </c>
    </row>
    <row r="124" spans="11:69">
      <c r="K124" s="55">
        <f t="shared" si="11"/>
        <v>0</v>
      </c>
      <c r="L124" s="55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BK124*$P124*(1+IF(VLOOKUP($Q124,武学奇术!$A:$ZZ,30,FALSE)="弹道",$B$21,0))*(1+$BQ124)</f>
        <v>0</v>
      </c>
      <c r="M124" s="55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弹道",$B$21,0))*(1+$BQ124)</f>
        <v>0</v>
      </c>
      <c r="N124" s="55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P124*(1+IF(VLOOKUP($Q124,武学奇术!$A:$ZZ,30,FALSE)="弹道",$B$21,0))*(1+$BQ124)</f>
        <v>0</v>
      </c>
      <c r="O124" s="55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弹道",$B$21,0))*(1+$BQ124)</f>
        <v>0</v>
      </c>
      <c r="P124" s="56">
        <v>1</v>
      </c>
      <c r="Q124" s="57" t="s">
        <v>72</v>
      </c>
      <c r="R124" s="57" t="s">
        <v>72</v>
      </c>
      <c r="S124" s="57" t="s">
        <v>72</v>
      </c>
      <c r="T124" s="57" t="s">
        <v>72</v>
      </c>
      <c r="U124" s="57" t="s">
        <v>72</v>
      </c>
      <c r="V124" s="57" t="s">
        <v>72</v>
      </c>
      <c r="W124" s="57" t="s">
        <v>72</v>
      </c>
      <c r="X124" s="57" t="s">
        <v>72</v>
      </c>
      <c r="Y124" s="57" t="s">
        <v>72</v>
      </c>
      <c r="Z124" s="57" t="s">
        <v>72</v>
      </c>
      <c r="AA124" s="57" t="s">
        <v>72</v>
      </c>
      <c r="AB124" s="57" t="s">
        <v>72</v>
      </c>
      <c r="AC124" s="57" t="s">
        <v>72</v>
      </c>
      <c r="AD124" s="57" t="s">
        <v>72</v>
      </c>
      <c r="AE124" s="57" t="s">
        <v>72</v>
      </c>
      <c r="AF124" s="57" t="s">
        <v>87</v>
      </c>
      <c r="AG124" t="str">
        <f>VLOOKUP($Q124,武学奇术!$A:$ZZ,25,FALSE)</f>
        <v>心法</v>
      </c>
      <c r="AH124" s="41">
        <f>VLOOKUP($Q124,武学奇术!$A:$ZZ,26,FALSE)</f>
        <v>0</v>
      </c>
      <c r="AI124" s="42">
        <f>VLOOKUP($Q124,武学奇术!$A:$ZZ,27,FALSE)*(1+IF(OR($AG124=$F$4,$AG124=$F$5),$B$22,0))</f>
        <v>0</v>
      </c>
      <c r="AJ124" s="41">
        <f>VLOOKUP($Q124,武学奇术!$A:$ZZ,28,FALSE)</f>
        <v>0</v>
      </c>
      <c r="AK124" s="42">
        <f>VLOOKUP($Q124,武学奇术!$A:$ZZ,29,FALSE)*(1+IF(OR($AG124=$F$4,$AG124=$F$5),$B$22,0))</f>
        <v>0</v>
      </c>
      <c r="AL124" s="41" cm="1">
        <f t="array" ref="AL124">$G$3+IFERROR(VLOOKUP($AG124,$F$4:$G$7,2,FALSE),0)+VLOOKUP($Q124,武学奇术!$A:$ZZ,2,FALSE)+SUM(_xlfn.XLOOKUP($R124:$AF124,增益!$A:$A,增益!$B:$B,0))</f>
        <v>0.1037</v>
      </c>
      <c r="AM124" s="41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1735.4</v>
      </c>
      <c r="AO124" cm="1">
        <f t="array" ref="AO124">$E$10*(1+$AM124)+VLOOKUP($Q124,武学奇术!$A:$ZZ,4,FALSE)+SUM(_xlfn.XLOOKUP($R124:$AF124,增益!$A:$A,增益!$D:$D,0))-$I$2</f>
        <v>5426</v>
      </c>
      <c r="AP124" s="49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0.1925</v>
      </c>
      <c r="AQ124" s="49" cm="1">
        <f t="array" ref="AQ124">$G$10+VLOOKUP($Q124,武学奇术!$A:$ZZ,7,FALSE)+SUM(_xlfn.XLOOKUP(R124:AF124,增益!$A:$A,增益!$G:$G,0))</f>
        <v>0</v>
      </c>
      <c r="AR124" s="41" cm="1">
        <f t="array" ref="AR124">VLOOKUP($Q124,武学奇术!$A:$ZZ,8,FALSE)+SUM(_xlfn.XLOOKUP(R124:AF124,增益!$A:$A,增益!$H:$H,0))</f>
        <v>0</v>
      </c>
      <c r="AS124">
        <f t="shared" si="12"/>
        <v>0</v>
      </c>
      <c r="AT124">
        <f t="shared" si="13"/>
        <v>0</v>
      </c>
      <c r="AU124" s="49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-0.3</v>
      </c>
      <c r="AV124" s="49" cm="1">
        <f t="array" ref="AV124">$G$11+VLOOKUP($Q124,武学奇术!$A:$ZZ,10,FALSE)+SUM(_xlfn.XLOOKUP(R124:AF124,增益!$A:$A,增益!$J:$J,0))</f>
        <v>0</v>
      </c>
      <c r="AW124">
        <f t="shared" si="14"/>
        <v>0</v>
      </c>
      <c r="AX124">
        <f t="shared" si="15"/>
        <v>0</v>
      </c>
      <c r="AY124" s="49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-0.3</v>
      </c>
      <c r="AZ124" s="49" cm="1">
        <f t="array" ref="AZ124">$G$12+VLOOKUP($Q124,武学奇术!$A:$ZZ,12,FALSE)+SUM(_xlfn.XLOOKUP(R124:AF124,增益!$A:$A,增益!$L:$L,0))</f>
        <v>0</v>
      </c>
      <c r="BA124">
        <f t="shared" si="16"/>
        <v>571.2</v>
      </c>
      <c r="BB124">
        <f t="shared" si="17"/>
        <v>1077.4</v>
      </c>
      <c r="BC124" s="49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0</v>
      </c>
      <c r="BD124" s="49" cm="1">
        <f t="array" ref="BD124">$G$13+VLOOKUP($Q124,武学奇术!$A:$ZZ,14,FALSE)+SUM(_xlfn.XLOOKUP(R124:AF124,增益!$A:$A,增益!$N:$N,0))</f>
        <v>0.15</v>
      </c>
      <c r="BE124">
        <f t="shared" si="18"/>
        <v>0</v>
      </c>
      <c r="BF124">
        <f t="shared" si="19"/>
        <v>0</v>
      </c>
      <c r="BG124" s="49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-0.3</v>
      </c>
      <c r="BH124" s="49" cm="1">
        <f t="array" ref="BH124">$G$14+VLOOKUP($Q124,武学奇术!$A:$ZZ,16,FALSE)+SUM(_xlfn.XLOOKUP(R124:AF124,增益!$A:$A,增益!$P:$P,0))</f>
        <v>0</v>
      </c>
      <c r="BI124" s="41">
        <f>MIN(IF(VLOOKUP($Q124,武学奇术!$A:$ZZ,23,FALSE)=1,100%,$B$8),100%)</f>
        <v>1</v>
      </c>
      <c r="BJ124" s="41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</f>
        <v>0.9045</v>
      </c>
      <c r="BK124" s="41" cm="1">
        <f t="array" ref="BK124">1+$B$13+VLOOKUP($Q124,武学奇术!$A:$ZZ,18,FALSE)+SUM(_xlfn.XLOOKUP(R124:AF124,增益!$A:$A,增益!$R:$R,0))</f>
        <v>1.5</v>
      </c>
      <c r="BL124" s="41" cm="1">
        <f t="array" ref="BL124">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</f>
        <v>0.0929</v>
      </c>
      <c r="BM124" s="41" cm="1">
        <f t="array" ref="BM124">1+$B$14+VLOOKUP($Q124,武学奇术!$A:$ZZ,20,FALSE)+SUM(_xlfn.XLOOKUP(R124:AF124,增益!$A:$A,增益!$T:$T,0))</f>
        <v>1.35</v>
      </c>
      <c r="BN124" s="41">
        <f t="shared" si="20"/>
        <v>0.9045</v>
      </c>
      <c r="BO124" s="41">
        <f t="shared" si="21"/>
        <v>0.00260000000000005</v>
      </c>
      <c r="BP124" s="41">
        <f>IF(VLOOKUP($Q124,武学奇术!$A:$ZZ,22,FALSE)=1,0,(1-$BI124))*(1-$BL124)</f>
        <v>0</v>
      </c>
      <c r="BQ124" s="41" cm="1">
        <f t="array" ref="BQ124">SUM(_xlfn.XLOOKUP(R124:AF124,增益!$A:$A,增益!$W:$W,0))+$I$5</f>
        <v>0.11</v>
      </c>
    </row>
    <row r="125" spans="11:69">
      <c r="K125" s="55">
        <f t="shared" si="11"/>
        <v>0</v>
      </c>
      <c r="L125" s="55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BK125*$P125*(1+IF(VLOOKUP($Q125,武学奇术!$A:$ZZ,30,FALSE)="弹道",$B$21,0))*(1+$BQ125)</f>
        <v>0</v>
      </c>
      <c r="M125" s="55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弹道",$B$21,0))*(1+$BQ125)</f>
        <v>0</v>
      </c>
      <c r="N125" s="55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P125*(1+IF(VLOOKUP($Q125,武学奇术!$A:$ZZ,30,FALSE)="弹道",$B$21,0))*(1+$BQ125)</f>
        <v>0</v>
      </c>
      <c r="O125" s="55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弹道",$B$21,0))*(1+$BQ125)</f>
        <v>0</v>
      </c>
      <c r="P125" s="56">
        <v>1</v>
      </c>
      <c r="Q125" s="57" t="s">
        <v>72</v>
      </c>
      <c r="R125" s="57" t="s">
        <v>72</v>
      </c>
      <c r="S125" s="57" t="s">
        <v>72</v>
      </c>
      <c r="T125" s="57" t="s">
        <v>72</v>
      </c>
      <c r="U125" s="57" t="s">
        <v>72</v>
      </c>
      <c r="V125" s="57" t="s">
        <v>72</v>
      </c>
      <c r="W125" s="57" t="s">
        <v>72</v>
      </c>
      <c r="X125" s="57" t="s">
        <v>72</v>
      </c>
      <c r="Y125" s="57" t="s">
        <v>72</v>
      </c>
      <c r="Z125" s="57" t="s">
        <v>72</v>
      </c>
      <c r="AA125" s="57" t="s">
        <v>72</v>
      </c>
      <c r="AB125" s="57" t="s">
        <v>72</v>
      </c>
      <c r="AC125" s="57" t="s">
        <v>72</v>
      </c>
      <c r="AD125" s="57" t="s">
        <v>72</v>
      </c>
      <c r="AE125" s="57" t="s">
        <v>72</v>
      </c>
      <c r="AF125" s="57" t="s">
        <v>87</v>
      </c>
      <c r="AG125" t="str">
        <f>VLOOKUP($Q125,武学奇术!$A:$ZZ,25,FALSE)</f>
        <v>心法</v>
      </c>
      <c r="AH125" s="41">
        <f>VLOOKUP($Q125,武学奇术!$A:$ZZ,26,FALSE)</f>
        <v>0</v>
      </c>
      <c r="AI125" s="42">
        <f>VLOOKUP($Q125,武学奇术!$A:$ZZ,27,FALSE)*(1+IF(OR($AG125=$F$4,$AG125=$F$5),$B$22,0))</f>
        <v>0</v>
      </c>
      <c r="AJ125" s="41">
        <f>VLOOKUP($Q125,武学奇术!$A:$ZZ,28,FALSE)</f>
        <v>0</v>
      </c>
      <c r="AK125" s="42">
        <f>VLOOKUP($Q125,武学奇术!$A:$ZZ,29,FALSE)*(1+IF(OR($AG125=$F$4,$AG125=$F$5),$B$22,0))</f>
        <v>0</v>
      </c>
      <c r="AL125" s="41" cm="1">
        <f t="array" ref="AL125">$G$3+IFERROR(VLOOKUP($AG125,$F$4:$G$7,2,FALSE),0)+VLOOKUP($Q125,武学奇术!$A:$ZZ,2,FALSE)+SUM(_xlfn.XLOOKUP($R125:$AF125,增益!$A:$A,增益!$B:$B,0))</f>
        <v>0.1037</v>
      </c>
      <c r="AM125" s="41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1735.4</v>
      </c>
      <c r="AO125" cm="1">
        <f t="array" ref="AO125">$E$10*(1+$AM125)+VLOOKUP($Q125,武学奇术!$A:$ZZ,4,FALSE)+SUM(_xlfn.XLOOKUP($R125:$AF125,增益!$A:$A,增益!$D:$D,0))-$I$2</f>
        <v>5426</v>
      </c>
      <c r="AP125" s="49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0.1925</v>
      </c>
      <c r="AQ125" s="49" cm="1">
        <f t="array" ref="AQ125">$G$10+VLOOKUP($Q125,武学奇术!$A:$ZZ,7,FALSE)+SUM(_xlfn.XLOOKUP(R125:AF125,增益!$A:$A,增益!$G:$G,0))</f>
        <v>0</v>
      </c>
      <c r="AR125" s="41" cm="1">
        <f t="array" ref="AR125">VLOOKUP($Q125,武学奇术!$A:$ZZ,8,FALSE)+SUM(_xlfn.XLOOKUP(R125:AF125,增益!$A:$A,增益!$H:$H,0))</f>
        <v>0</v>
      </c>
      <c r="AS125">
        <f t="shared" si="12"/>
        <v>0</v>
      </c>
      <c r="AT125">
        <f t="shared" si="13"/>
        <v>0</v>
      </c>
      <c r="AU125" s="49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-0.3</v>
      </c>
      <c r="AV125" s="49" cm="1">
        <f t="array" ref="AV125">$G$11+VLOOKUP($Q125,武学奇术!$A:$ZZ,10,FALSE)+SUM(_xlfn.XLOOKUP(R125:AF125,增益!$A:$A,增益!$J:$J,0))</f>
        <v>0</v>
      </c>
      <c r="AW125">
        <f t="shared" si="14"/>
        <v>0</v>
      </c>
      <c r="AX125">
        <f t="shared" si="15"/>
        <v>0</v>
      </c>
      <c r="AY125" s="49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-0.3</v>
      </c>
      <c r="AZ125" s="49" cm="1">
        <f t="array" ref="AZ125">$G$12+VLOOKUP($Q125,武学奇术!$A:$ZZ,12,FALSE)+SUM(_xlfn.XLOOKUP(R125:AF125,增益!$A:$A,增益!$L:$L,0))</f>
        <v>0</v>
      </c>
      <c r="BA125">
        <f t="shared" si="16"/>
        <v>571.2</v>
      </c>
      <c r="BB125">
        <f t="shared" si="17"/>
        <v>1077.4</v>
      </c>
      <c r="BC125" s="49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0</v>
      </c>
      <c r="BD125" s="49" cm="1">
        <f t="array" ref="BD125">$G$13+VLOOKUP($Q125,武学奇术!$A:$ZZ,14,FALSE)+SUM(_xlfn.XLOOKUP(R125:AF125,增益!$A:$A,增益!$N:$N,0))</f>
        <v>0.15</v>
      </c>
      <c r="BE125">
        <f t="shared" si="18"/>
        <v>0</v>
      </c>
      <c r="BF125">
        <f t="shared" si="19"/>
        <v>0</v>
      </c>
      <c r="BG125" s="49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-0.3</v>
      </c>
      <c r="BH125" s="49" cm="1">
        <f t="array" ref="BH125">$G$14+VLOOKUP($Q125,武学奇术!$A:$ZZ,16,FALSE)+SUM(_xlfn.XLOOKUP(R125:AF125,增益!$A:$A,增益!$P:$P,0))</f>
        <v>0</v>
      </c>
      <c r="BI125" s="41">
        <f>MIN(IF(VLOOKUP($Q125,武学奇术!$A:$ZZ,23,FALSE)=1,100%,$B$8),100%)</f>
        <v>1</v>
      </c>
      <c r="BJ125" s="41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</f>
        <v>0.9045</v>
      </c>
      <c r="BK125" s="41" cm="1">
        <f t="array" ref="BK125">1+$B$13+VLOOKUP($Q125,武学奇术!$A:$ZZ,18,FALSE)+SUM(_xlfn.XLOOKUP(R125:AF125,增益!$A:$A,增益!$R:$R,0))</f>
        <v>1.5</v>
      </c>
      <c r="BL125" s="41" cm="1">
        <f t="array" ref="BL125">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</f>
        <v>0.0929</v>
      </c>
      <c r="BM125" s="41" cm="1">
        <f t="array" ref="BM125">1+$B$14+VLOOKUP($Q125,武学奇术!$A:$ZZ,20,FALSE)+SUM(_xlfn.XLOOKUP(R125:AF125,增益!$A:$A,增益!$T:$T,0))</f>
        <v>1.35</v>
      </c>
      <c r="BN125" s="41">
        <f t="shared" si="20"/>
        <v>0.9045</v>
      </c>
      <c r="BO125" s="41">
        <f t="shared" si="21"/>
        <v>0.00260000000000005</v>
      </c>
      <c r="BP125" s="41">
        <f>IF(VLOOKUP($Q125,武学奇术!$A:$ZZ,22,FALSE)=1,0,(1-$BI125))*(1-$BL125)</f>
        <v>0</v>
      </c>
      <c r="BQ125" s="41" cm="1">
        <f t="array" ref="BQ125">SUM(_xlfn.XLOOKUP(R125:AF125,增益!$A:$A,增益!$W:$W,0))+$I$5</f>
        <v>0.11</v>
      </c>
    </row>
    <row r="126" spans="11:69">
      <c r="K126" s="55">
        <f t="shared" si="11"/>
        <v>14700.2184581513</v>
      </c>
      <c r="L126" s="55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BK126*$P126*(1+IF(VLOOKUP($Q126,武学奇术!$A:$ZZ,30,FALSE)="弹道",$B$21,0))*(1+$BQ126)</f>
        <v>14552.5991800879</v>
      </c>
      <c r="M126" s="55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弹道",$B$21,0))*(1+$BQ126)</f>
        <v>16320.0849754344</v>
      </c>
      <c r="N126" s="55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P126*(1+IF(VLOOKUP($Q126,武学奇术!$A:$ZZ,30,FALSE)="弹道",$B$21,0))*(1+$BQ126)</f>
        <v>8175.6175169033</v>
      </c>
      <c r="O126" s="55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弹道",$B$21,0))*(1+$BQ126)</f>
        <v>4262.28320015149</v>
      </c>
      <c r="P126" s="56">
        <f t="shared" ref="P126:P136" si="24">IF($C$22="易水歌",1,0)</f>
        <v>1</v>
      </c>
      <c r="Q126" s="57" t="s">
        <v>171</v>
      </c>
      <c r="R126" s="57" t="s">
        <v>116</v>
      </c>
      <c r="S126" s="57" t="s">
        <v>111</v>
      </c>
      <c r="T126" s="57" t="s">
        <v>72</v>
      </c>
      <c r="U126" s="57" t="s">
        <v>107</v>
      </c>
      <c r="V126" s="57" t="s">
        <v>173</v>
      </c>
      <c r="W126" s="57" t="s">
        <v>72</v>
      </c>
      <c r="X126" s="57" t="s">
        <v>72</v>
      </c>
      <c r="Y126" s="57" t="s">
        <v>112</v>
      </c>
      <c r="Z126" s="57" t="s">
        <v>72</v>
      </c>
      <c r="AA126" s="57" t="s">
        <v>72</v>
      </c>
      <c r="AB126" s="57" t="s">
        <v>72</v>
      </c>
      <c r="AC126" s="57" t="s">
        <v>72</v>
      </c>
      <c r="AD126" s="57" t="s">
        <v>72</v>
      </c>
      <c r="AE126" s="57" t="s">
        <v>72</v>
      </c>
      <c r="AF126" s="57" t="s">
        <v>87</v>
      </c>
      <c r="AG126" t="str">
        <f>VLOOKUP($Q126,武学奇术!$A:$ZZ,25,FALSE)</f>
        <v>心法</v>
      </c>
      <c r="AH126" s="41">
        <f>VLOOKUP($Q126,武学奇术!$A:$ZZ,26,FALSE)</f>
        <v>1</v>
      </c>
      <c r="AI126" s="42">
        <f>VLOOKUP($Q126,武学奇术!$A:$ZZ,27,FALSE)*(1+IF(OR($AG126=$F$4,$AG126=$F$5),$B$22,0))</f>
        <v>0</v>
      </c>
      <c r="AJ126" s="41">
        <f>VLOOKUP($Q126,武学奇术!$A:$ZZ,28,FALSE)</f>
        <v>1</v>
      </c>
      <c r="AK126" s="42">
        <f>VLOOKUP($Q126,武学奇术!$A:$ZZ,29,FALSE)*(1+IF(OR($AG126=$F$4,$AG126=$F$5),$B$22,0))</f>
        <v>0</v>
      </c>
      <c r="AL126" s="41" cm="1">
        <f t="array" ref="AL126">$G$3+IFERROR(VLOOKUP($AG126,$F$4:$G$7,2,FALSE),0)+VLOOKUP($Q126,武学奇术!$A:$ZZ,2,FALSE)+SUM(_xlfn.XLOOKUP($R126:$AF126,增益!$A:$A,增益!$B:$B,0))</f>
        <v>0.1737</v>
      </c>
      <c r="AM126" s="41" cm="1">
        <f t="array" ref="AM126">VLOOKUP($Q126,武学奇术!$A:$ZZ,5,FALSE)+SUM(_xlfn.XLOOKUP($R126:$AF126,增益!$A:$A,增益!$E:$E,0))</f>
        <v>0.075</v>
      </c>
      <c r="AN126" cm="1">
        <f t="array" ref="AN126">$D$10*(1+$AM126)+VLOOKUP($Q126,武学奇术!$A:$ZZ,3,FALSE)+SUM(_xlfn.XLOOKUP($R126:$AF126,增益!$A:$A,增益!$C:$C,0))-$I$2</f>
        <v>1912.055</v>
      </c>
      <c r="AO126" cm="1">
        <f t="array" ref="AO126">$E$10*(1+$AM126)+VLOOKUP($Q126,武学奇术!$A:$ZZ,4,FALSE)+SUM(_xlfn.XLOOKUP($R126:$AF126,增益!$A:$A,增益!$D:$D,0))-$I$2</f>
        <v>5879.45</v>
      </c>
      <c r="AP126" s="49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0.3675</v>
      </c>
      <c r="AQ126" s="49" cm="1">
        <f t="array" ref="AQ126">$G$10+VLOOKUP($Q126,武学奇术!$A:$ZZ,7,FALSE)+SUM(_xlfn.XLOOKUP(R126:AF126,增益!$A:$A,增益!$G:$G,0))</f>
        <v>0</v>
      </c>
      <c r="AR126" s="41" cm="1">
        <f t="array" ref="AR126">VLOOKUP($Q126,武学奇术!$A:$ZZ,8,FALSE)+SUM(_xlfn.XLOOKUP(R126:AF126,增益!$A:$A,增益!$H:$H,0))</f>
        <v>0</v>
      </c>
      <c r="AS126">
        <f t="shared" si="12"/>
        <v>0</v>
      </c>
      <c r="AT126">
        <f t="shared" si="13"/>
        <v>0</v>
      </c>
      <c r="AU126" s="49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-0.3</v>
      </c>
      <c r="AV126" s="49" cm="1">
        <f t="array" ref="AV126">$G$11+VLOOKUP($Q126,武学奇术!$A:$ZZ,10,FALSE)+SUM(_xlfn.XLOOKUP(R126:AF126,增益!$A:$A,增益!$J:$J,0))</f>
        <v>0</v>
      </c>
      <c r="AW126">
        <f t="shared" si="14"/>
        <v>0</v>
      </c>
      <c r="AX126">
        <f t="shared" si="15"/>
        <v>0</v>
      </c>
      <c r="AY126" s="49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-0.3</v>
      </c>
      <c r="AZ126" s="49" cm="1">
        <f t="array" ref="AZ126">$G$12+VLOOKUP($Q126,武学奇术!$A:$ZZ,12,FALSE)+SUM(_xlfn.XLOOKUP(R126:AF126,增益!$A:$A,增益!$L:$L,0))</f>
        <v>0</v>
      </c>
      <c r="BA126">
        <f t="shared" si="16"/>
        <v>571.2</v>
      </c>
      <c r="BB126">
        <f t="shared" si="17"/>
        <v>1077.4</v>
      </c>
      <c r="BC126" s="49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0</v>
      </c>
      <c r="BD126" s="49" cm="1">
        <f t="array" ref="BD126">$G$13+VLOOKUP($Q126,武学奇术!$A:$ZZ,14,FALSE)+SUM(_xlfn.XLOOKUP(R126:AF126,增益!$A:$A,增益!$N:$N,0))</f>
        <v>0.15</v>
      </c>
      <c r="BE126">
        <f t="shared" si="18"/>
        <v>0</v>
      </c>
      <c r="BF126">
        <f t="shared" si="19"/>
        <v>0</v>
      </c>
      <c r="BG126" s="49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-0.3</v>
      </c>
      <c r="BH126" s="49" cm="1">
        <f t="array" ref="BH126">$G$14+VLOOKUP($Q126,武学奇术!$A:$ZZ,16,FALSE)+SUM(_xlfn.XLOOKUP(R126:AF126,增益!$A:$A,增益!$P:$P,0))</f>
        <v>0</v>
      </c>
      <c r="BI126" s="41">
        <f>MIN(IF(VLOOKUP($Q126,武学奇术!$A:$ZZ,23,FALSE)=1,100%,$B$8),100%)</f>
        <v>1</v>
      </c>
      <c r="BJ126" s="41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</f>
        <v>0.9045</v>
      </c>
      <c r="BK126" s="41" cm="1">
        <f t="array" ref="BK126">1+$B$13+VLOOKUP($Q126,武学奇术!$A:$ZZ,18,FALSE)+SUM(_xlfn.XLOOKUP(R126:AF126,增益!$A:$A,增益!$R:$R,0))</f>
        <v>1.78</v>
      </c>
      <c r="BL126" s="41" cm="1">
        <f t="array" ref="BL126">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</f>
        <v>0.0929</v>
      </c>
      <c r="BM126" s="41" cm="1">
        <f t="array" ref="BM126">1+$B$14+VLOOKUP($Q126,武学奇术!$A:$ZZ,20,FALSE)+SUM(_xlfn.XLOOKUP(R126:AF126,增益!$A:$A,增益!$T:$T,0))</f>
        <v>1.35</v>
      </c>
      <c r="BN126" s="41">
        <f t="shared" si="20"/>
        <v>0.9045</v>
      </c>
      <c r="BO126" s="41">
        <f t="shared" si="21"/>
        <v>0.00260000000000005</v>
      </c>
      <c r="BP126" s="41">
        <f>IF(VLOOKUP($Q126,武学奇术!$A:$ZZ,22,FALSE)=1,0,(1-$BI126))*(1-$BL126)</f>
        <v>0</v>
      </c>
      <c r="BQ126" s="41" cm="1">
        <f t="array" ref="BQ126">SUM(_xlfn.XLOOKUP(R126:AF126,增益!$A:$A,增益!$W:$W,0))+$I$5</f>
        <v>0.11</v>
      </c>
    </row>
    <row r="127" spans="11:69">
      <c r="K127" s="55">
        <f t="shared" si="11"/>
        <v>11918.0370945701</v>
      </c>
      <c r="L127" s="55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BK127*$P127*(1+IF(VLOOKUP($Q127,武学奇术!$A:$ZZ,30,FALSE)="弹道",$B$21,0))*(1+$BQ127)</f>
        <v>11637.9200742955</v>
      </c>
      <c r="M127" s="55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弹道",$B$21,0))*(1+$BQ127)</f>
        <v>14771.4251745079</v>
      </c>
      <c r="N127" s="55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P127*(1+IF(VLOOKUP($Q127,武学奇术!$A:$ZZ,30,FALSE)="弹道",$B$21,0))*(1+$BQ127)</f>
        <v>7412.68794541112</v>
      </c>
      <c r="O127" s="55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弹道",$B$21,0))*(1+$BQ127)</f>
        <v>3883.57946526086</v>
      </c>
      <c r="P127" s="56">
        <f t="shared" si="24"/>
        <v>1</v>
      </c>
      <c r="Q127" s="57" t="s">
        <v>171</v>
      </c>
      <c r="R127" s="57" t="s">
        <v>116</v>
      </c>
      <c r="S127" s="57" t="s">
        <v>149</v>
      </c>
      <c r="T127" s="57" t="s">
        <v>72</v>
      </c>
      <c r="U127" s="57" t="s">
        <v>107</v>
      </c>
      <c r="V127" s="57" t="s">
        <v>72</v>
      </c>
      <c r="W127" s="57" t="s">
        <v>72</v>
      </c>
      <c r="X127" s="57" t="s">
        <v>72</v>
      </c>
      <c r="Y127" s="57" t="s">
        <v>72</v>
      </c>
      <c r="Z127" s="57" t="s">
        <v>72</v>
      </c>
      <c r="AA127" s="57" t="s">
        <v>72</v>
      </c>
      <c r="AB127" s="57" t="s">
        <v>72</v>
      </c>
      <c r="AC127" s="57" t="s">
        <v>72</v>
      </c>
      <c r="AD127" s="57" t="s">
        <v>72</v>
      </c>
      <c r="AE127" s="57" t="s">
        <v>72</v>
      </c>
      <c r="AF127" s="57" t="s">
        <v>87</v>
      </c>
      <c r="AG127" t="str">
        <f>VLOOKUP($Q127,武学奇术!$A:$ZZ,25,FALSE)</f>
        <v>心法</v>
      </c>
      <c r="AH127" s="41">
        <f>VLOOKUP($Q127,武学奇术!$A:$ZZ,26,FALSE)</f>
        <v>1</v>
      </c>
      <c r="AI127" s="42">
        <f>VLOOKUP($Q127,武学奇术!$A:$ZZ,27,FALSE)*(1+IF(OR($AG127=$F$4,$AG127=$F$5),$B$22,0))</f>
        <v>0</v>
      </c>
      <c r="AJ127" s="41">
        <f>VLOOKUP($Q127,武学奇术!$A:$ZZ,28,FALSE)</f>
        <v>1</v>
      </c>
      <c r="AK127" s="42">
        <f>VLOOKUP($Q127,武学奇术!$A:$ZZ,29,FALSE)*(1+IF(OR($AG127=$F$4,$AG127=$F$5),$B$22,0))</f>
        <v>0</v>
      </c>
      <c r="AL127" s="41" cm="1">
        <f t="array" ref="AL127">$G$3+IFERROR(VLOOKUP($AG127,$F$4:$G$7,2,FALSE),0)+VLOOKUP($Q127,武学奇术!$A:$ZZ,2,FALSE)+SUM(_xlfn.XLOOKUP($R127:$AF127,增益!$A:$A,增益!$B:$B,0))</f>
        <v>0.1537</v>
      </c>
      <c r="AM127" s="41" cm="1">
        <f t="array" ref="AM127">VLOOKUP($Q127,武学奇术!$A:$ZZ,5,FALSE)+SUM(_xlfn.XLOOKUP($R127:$AF127,增益!$A:$A,增益!$E:$E,0))</f>
        <v>0.075</v>
      </c>
      <c r="AN127" cm="1">
        <f t="array" ref="AN127">$D$10*(1+$AM127)+VLOOKUP($Q127,武学奇术!$A:$ZZ,3,FALSE)+SUM(_xlfn.XLOOKUP($R127:$AF127,增益!$A:$A,增益!$C:$C,0))-$I$2</f>
        <v>1912.055</v>
      </c>
      <c r="AO127" cm="1">
        <f t="array" ref="AO127">$E$10*(1+$AM127)+VLOOKUP($Q127,武学奇术!$A:$ZZ,4,FALSE)+SUM(_xlfn.XLOOKUP($R127:$AF127,增益!$A:$A,增益!$D:$D,0))-$I$2</f>
        <v>5879.45</v>
      </c>
      <c r="AP127" s="49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0.2425</v>
      </c>
      <c r="AQ127" s="49" cm="1">
        <f t="array" ref="AQ127">$G$10+VLOOKUP($Q127,武学奇术!$A:$ZZ,7,FALSE)+SUM(_xlfn.XLOOKUP(R127:AF127,增益!$A:$A,增益!$G:$G,0))</f>
        <v>0</v>
      </c>
      <c r="AR127" s="41" cm="1">
        <f t="array" ref="AR127">VLOOKUP($Q127,武学奇术!$A:$ZZ,8,FALSE)+SUM(_xlfn.XLOOKUP(R127:AF127,增益!$A:$A,增益!$H:$H,0))</f>
        <v>0</v>
      </c>
      <c r="AS127">
        <f t="shared" si="12"/>
        <v>0</v>
      </c>
      <c r="AT127">
        <f t="shared" si="13"/>
        <v>0</v>
      </c>
      <c r="AU127" s="49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-0.3</v>
      </c>
      <c r="AV127" s="49" cm="1">
        <f t="array" ref="AV127">$G$11+VLOOKUP($Q127,武学奇术!$A:$ZZ,10,FALSE)+SUM(_xlfn.XLOOKUP(R127:AF127,增益!$A:$A,增益!$J:$J,0))</f>
        <v>0</v>
      </c>
      <c r="AW127">
        <f t="shared" si="14"/>
        <v>0</v>
      </c>
      <c r="AX127">
        <f t="shared" si="15"/>
        <v>0</v>
      </c>
      <c r="AY127" s="49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-0.3</v>
      </c>
      <c r="AZ127" s="49" cm="1">
        <f t="array" ref="AZ127">$G$12+VLOOKUP($Q127,武学奇术!$A:$ZZ,12,FALSE)+SUM(_xlfn.XLOOKUP(R127:AF127,增益!$A:$A,增益!$L:$L,0))</f>
        <v>0</v>
      </c>
      <c r="BA127">
        <f t="shared" si="16"/>
        <v>571.2</v>
      </c>
      <c r="BB127">
        <f t="shared" si="17"/>
        <v>1077.4</v>
      </c>
      <c r="BC127" s="49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0</v>
      </c>
      <c r="BD127" s="49" cm="1">
        <f t="array" ref="BD127">$G$13+VLOOKUP($Q127,武学奇术!$A:$ZZ,14,FALSE)+SUM(_xlfn.XLOOKUP(R127:AF127,增益!$A:$A,增益!$N:$N,0))</f>
        <v>0.15</v>
      </c>
      <c r="BE127">
        <f t="shared" si="18"/>
        <v>0</v>
      </c>
      <c r="BF127">
        <f t="shared" si="19"/>
        <v>0</v>
      </c>
      <c r="BG127" s="49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-0.3</v>
      </c>
      <c r="BH127" s="49" cm="1">
        <f t="array" ref="BH127">$G$14+VLOOKUP($Q127,武学奇术!$A:$ZZ,16,FALSE)+SUM(_xlfn.XLOOKUP(R127:AF127,增益!$A:$A,增益!$P:$P,0))</f>
        <v>0</v>
      </c>
      <c r="BI127" s="41">
        <f>MIN(IF(VLOOKUP($Q127,武学奇术!$A:$ZZ,23,FALSE)=1,100%,$B$8),100%)</f>
        <v>1</v>
      </c>
      <c r="BJ127" s="41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</f>
        <v>0.9045</v>
      </c>
      <c r="BK127" s="41" cm="1">
        <f t="array" ref="BK127">1+$B$13+VLOOKUP($Q127,武学奇术!$A:$ZZ,18,FALSE)+SUM(_xlfn.XLOOKUP(R127:AF127,增益!$A:$A,增益!$R:$R,0))</f>
        <v>1.57</v>
      </c>
      <c r="BL127" s="41" cm="1">
        <f t="array" ref="BL127">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</f>
        <v>0.0929</v>
      </c>
      <c r="BM127" s="41" cm="1">
        <f t="array" ref="BM127">1+$B$14+VLOOKUP($Q127,武学奇术!$A:$ZZ,20,FALSE)+SUM(_xlfn.XLOOKUP(R127:AF127,增益!$A:$A,增益!$T:$T,0))</f>
        <v>1.35</v>
      </c>
      <c r="BN127" s="41">
        <f t="shared" si="20"/>
        <v>0.9045</v>
      </c>
      <c r="BO127" s="41">
        <f t="shared" si="21"/>
        <v>0.00260000000000005</v>
      </c>
      <c r="BP127" s="41">
        <f>IF(VLOOKUP($Q127,武学奇术!$A:$ZZ,22,FALSE)=1,0,(1-$BI127))*(1-$BL127)</f>
        <v>0</v>
      </c>
      <c r="BQ127" s="41" cm="1">
        <f t="array" ref="BQ127">SUM(_xlfn.XLOOKUP(R127:AF127,增益!$A:$A,增益!$W:$W,0))+$I$5</f>
        <v>0.11</v>
      </c>
    </row>
    <row r="128" spans="11:69">
      <c r="K128" s="55">
        <f t="shared" si="11"/>
        <v>12936.4489639071</v>
      </c>
      <c r="L128" s="55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BK128*$P128*(1+IF(VLOOKUP($Q128,武学奇术!$A:$ZZ,30,FALSE)="弹道",$B$21,0))*(1+$BQ128)</f>
        <v>12662.3760851504</v>
      </c>
      <c r="M128" s="55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弹道",$B$21,0))*(1+$BQ128)</f>
        <v>15745.462150164</v>
      </c>
      <c r="N128" s="55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P128*(1+IF(VLOOKUP($Q128,武学奇术!$A:$ZZ,30,FALSE)="弹道",$B$21,0))*(1+$BQ128)</f>
        <v>7913.98505321899</v>
      </c>
      <c r="O128" s="55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弹道",$B$21,0))*(1+$BQ128)</f>
        <v>4164.66481002023</v>
      </c>
      <c r="P128" s="56">
        <f t="shared" si="24"/>
        <v>1</v>
      </c>
      <c r="Q128" s="57" t="s">
        <v>171</v>
      </c>
      <c r="R128" s="57" t="s">
        <v>116</v>
      </c>
      <c r="S128" s="57" t="s">
        <v>153</v>
      </c>
      <c r="T128" s="57" t="s">
        <v>72</v>
      </c>
      <c r="U128" s="57" t="s">
        <v>157</v>
      </c>
      <c r="V128" s="57" t="s">
        <v>72</v>
      </c>
      <c r="W128" s="57" t="s">
        <v>72</v>
      </c>
      <c r="X128" s="57" t="s">
        <v>72</v>
      </c>
      <c r="Y128" s="57" t="s">
        <v>72</v>
      </c>
      <c r="Z128" s="57" t="s">
        <v>72</v>
      </c>
      <c r="AA128" s="57" t="s">
        <v>72</v>
      </c>
      <c r="AB128" s="57" t="s">
        <v>72</v>
      </c>
      <c r="AC128" s="57" t="s">
        <v>72</v>
      </c>
      <c r="AD128" s="57" t="s">
        <v>72</v>
      </c>
      <c r="AE128" s="57" t="s">
        <v>72</v>
      </c>
      <c r="AF128" s="57" t="s">
        <v>87</v>
      </c>
      <c r="AG128" t="str">
        <f>VLOOKUP($Q128,武学奇术!$A:$ZZ,25,FALSE)</f>
        <v>心法</v>
      </c>
      <c r="AH128" s="41">
        <f>VLOOKUP($Q128,武学奇术!$A:$ZZ,26,FALSE)</f>
        <v>1</v>
      </c>
      <c r="AI128" s="42">
        <f>VLOOKUP($Q128,武学奇术!$A:$ZZ,27,FALSE)*(1+IF(OR($AG128=$F$4,$AG128=$F$5),$B$22,0))</f>
        <v>0</v>
      </c>
      <c r="AJ128" s="41">
        <f>VLOOKUP($Q128,武学奇术!$A:$ZZ,28,FALSE)</f>
        <v>1</v>
      </c>
      <c r="AK128" s="42">
        <f>VLOOKUP($Q128,武学奇术!$A:$ZZ,29,FALSE)*(1+IF(OR($AG128=$F$4,$AG128=$F$5),$B$22,0))</f>
        <v>0</v>
      </c>
      <c r="AL128" s="41" cm="1">
        <f t="array" ref="AL128">$G$3+IFERROR(VLOOKUP($AG128,$F$4:$G$7,2,FALSE),0)+VLOOKUP($Q128,武学奇术!$A:$ZZ,2,FALSE)+SUM(_xlfn.XLOOKUP($R128:$AF128,增益!$A:$A,增益!$B:$B,0))</f>
        <v>0.1537</v>
      </c>
      <c r="AM128" s="41" cm="1">
        <f t="array" ref="AM128">VLOOKUP($Q128,武学奇术!$A:$ZZ,5,FALSE)+SUM(_xlfn.XLOOKUP($R128:$AF128,增益!$A:$A,增益!$E:$E,0))</f>
        <v>0.15</v>
      </c>
      <c r="AN128" cm="1">
        <f t="array" ref="AN128">$D$10*(1+$AM128)+VLOOKUP($Q128,武学奇术!$A:$ZZ,3,FALSE)+SUM(_xlfn.XLOOKUP($R128:$AF128,增益!$A:$A,增益!$C:$C,0))-$I$2</f>
        <v>2088.71</v>
      </c>
      <c r="AO128" cm="1">
        <f t="array" ref="AO128">$E$10*(1+$AM128)+VLOOKUP($Q128,武学奇术!$A:$ZZ,4,FALSE)+SUM(_xlfn.XLOOKUP($R128:$AF128,增益!$A:$A,增益!$D:$D,0))-$I$2</f>
        <v>6332.9</v>
      </c>
      <c r="AP128" s="49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0.2425</v>
      </c>
      <c r="AQ128" s="49" cm="1">
        <f t="array" ref="AQ128">$G$10+VLOOKUP($Q128,武学奇术!$A:$ZZ,7,FALSE)+SUM(_xlfn.XLOOKUP(R128:AF128,增益!$A:$A,增益!$G:$G,0))</f>
        <v>0</v>
      </c>
      <c r="AR128" s="41" cm="1">
        <f t="array" ref="AR128">VLOOKUP($Q128,武学奇术!$A:$ZZ,8,FALSE)+SUM(_xlfn.XLOOKUP(R128:AF128,增益!$A:$A,增益!$H:$H,0))</f>
        <v>0</v>
      </c>
      <c r="AS128">
        <f t="shared" si="12"/>
        <v>0</v>
      </c>
      <c r="AT128">
        <f t="shared" si="13"/>
        <v>0</v>
      </c>
      <c r="AU128" s="49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-0.3</v>
      </c>
      <c r="AV128" s="49" cm="1">
        <f t="array" ref="AV128">$G$11+VLOOKUP($Q128,武学奇术!$A:$ZZ,10,FALSE)+SUM(_xlfn.XLOOKUP(R128:AF128,增益!$A:$A,增益!$J:$J,0))</f>
        <v>0</v>
      </c>
      <c r="AW128">
        <f t="shared" si="14"/>
        <v>0</v>
      </c>
      <c r="AX128">
        <f t="shared" si="15"/>
        <v>0</v>
      </c>
      <c r="AY128" s="49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-0.3</v>
      </c>
      <c r="AZ128" s="49" cm="1">
        <f t="array" ref="AZ128">$G$12+VLOOKUP($Q128,武学奇术!$A:$ZZ,12,FALSE)+SUM(_xlfn.XLOOKUP(R128:AF128,增益!$A:$A,增益!$L:$L,0))</f>
        <v>0</v>
      </c>
      <c r="BA128">
        <f t="shared" si="16"/>
        <v>571.2</v>
      </c>
      <c r="BB128">
        <f t="shared" si="17"/>
        <v>1077.4</v>
      </c>
      <c r="BC128" s="49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0</v>
      </c>
      <c r="BD128" s="49" cm="1">
        <f t="array" ref="BD128">$G$13+VLOOKUP($Q128,武学奇术!$A:$ZZ,14,FALSE)+SUM(_xlfn.XLOOKUP(R128:AF128,增益!$A:$A,增益!$N:$N,0))</f>
        <v>0.15</v>
      </c>
      <c r="BE128">
        <f t="shared" si="18"/>
        <v>0</v>
      </c>
      <c r="BF128">
        <f t="shared" si="19"/>
        <v>0</v>
      </c>
      <c r="BG128" s="49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-0.3</v>
      </c>
      <c r="BH128" s="49" cm="1">
        <f t="array" ref="BH128">$G$14+VLOOKUP($Q128,武学奇术!$A:$ZZ,16,FALSE)+SUM(_xlfn.XLOOKUP(R128:AF128,增益!$A:$A,增益!$P:$P,0))</f>
        <v>0</v>
      </c>
      <c r="BI128" s="41">
        <f>MIN(IF(VLOOKUP($Q128,武学奇术!$A:$ZZ,23,FALSE)=1,100%,$B$8),100%)</f>
        <v>1</v>
      </c>
      <c r="BJ128" s="41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</f>
        <v>0.9045</v>
      </c>
      <c r="BK128" s="41" cm="1">
        <f t="array" ref="BK128">1+$B$13+VLOOKUP($Q128,武学奇术!$A:$ZZ,18,FALSE)+SUM(_xlfn.XLOOKUP(R128:AF128,增益!$A:$A,增益!$R:$R,0))</f>
        <v>1.6</v>
      </c>
      <c r="BL128" s="41" cm="1">
        <f t="array" ref="BL128">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</f>
        <v>0.0929</v>
      </c>
      <c r="BM128" s="41" cm="1">
        <f t="array" ref="BM128">1+$B$14+VLOOKUP($Q128,武学奇术!$A:$ZZ,20,FALSE)+SUM(_xlfn.XLOOKUP(R128:AF128,增益!$A:$A,增益!$T:$T,0))</f>
        <v>1.35</v>
      </c>
      <c r="BN128" s="41">
        <f t="shared" si="20"/>
        <v>0.9045</v>
      </c>
      <c r="BO128" s="41">
        <f t="shared" si="21"/>
        <v>0.00260000000000005</v>
      </c>
      <c r="BP128" s="41">
        <f>IF(VLOOKUP($Q128,武学奇术!$A:$ZZ,22,FALSE)=1,0,(1-$BI128))*(1-$BL128)</f>
        <v>0</v>
      </c>
      <c r="BQ128" s="41" cm="1">
        <f t="array" ref="BQ128">SUM(_xlfn.XLOOKUP(R128:AF128,增益!$A:$A,增益!$W:$W,0))+$I$5</f>
        <v>0.11</v>
      </c>
    </row>
    <row r="129" spans="11:69">
      <c r="K129" s="55">
        <f t="shared" si="11"/>
        <v>17422.6831604314</v>
      </c>
      <c r="L129" s="55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BK129*$P129*(1+IF(VLOOKUP($Q129,武学奇术!$A:$ZZ,30,FALSE)="弹道",$B$21,0))*(1+$BQ129)</f>
        <v>17319.2005852309</v>
      </c>
      <c r="M129" s="55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弹道",$B$21,0))*(1+$BQ129)</f>
        <v>18655.8205917142</v>
      </c>
      <c r="N129" s="55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P129*(1+IF(VLOOKUP($Q129,武学奇术!$A:$ZZ,30,FALSE)="弹道",$B$21,0))*(1+$BQ129)</f>
        <v>9361.73004607074</v>
      </c>
      <c r="O129" s="55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弹道",$B$21,0))*(1+$BQ129)</f>
        <v>4904.33372790872</v>
      </c>
      <c r="P129" s="56">
        <f t="shared" si="24"/>
        <v>1</v>
      </c>
      <c r="Q129" s="57" t="s">
        <v>171</v>
      </c>
      <c r="R129" s="57" t="s">
        <v>116</v>
      </c>
      <c r="S129" s="57" t="s">
        <v>153</v>
      </c>
      <c r="T129" s="57" t="s">
        <v>72</v>
      </c>
      <c r="U129" s="57" t="s">
        <v>157</v>
      </c>
      <c r="V129" s="57" t="s">
        <v>72</v>
      </c>
      <c r="W129" s="57" t="s">
        <v>72</v>
      </c>
      <c r="X129" s="57" t="s">
        <v>72</v>
      </c>
      <c r="Y129" s="57" t="s">
        <v>161</v>
      </c>
      <c r="Z129" s="57" t="s">
        <v>72</v>
      </c>
      <c r="AA129" s="57" t="s">
        <v>72</v>
      </c>
      <c r="AB129" s="57" t="s">
        <v>72</v>
      </c>
      <c r="AC129" s="57" t="s">
        <v>162</v>
      </c>
      <c r="AD129" s="57" t="s">
        <v>72</v>
      </c>
      <c r="AE129" s="57" t="s">
        <v>72</v>
      </c>
      <c r="AF129" s="57" t="s">
        <v>87</v>
      </c>
      <c r="AG129" t="str">
        <f>VLOOKUP($Q129,武学奇术!$A:$ZZ,25,FALSE)</f>
        <v>心法</v>
      </c>
      <c r="AH129" s="41">
        <f>VLOOKUP($Q129,武学奇术!$A:$ZZ,26,FALSE)</f>
        <v>1</v>
      </c>
      <c r="AI129" s="42">
        <f>VLOOKUP($Q129,武学奇术!$A:$ZZ,27,FALSE)*(1+IF(OR($AG129=$F$4,$AG129=$F$5),$B$22,0))</f>
        <v>0</v>
      </c>
      <c r="AJ129" s="41">
        <f>VLOOKUP($Q129,武学奇术!$A:$ZZ,28,FALSE)</f>
        <v>1</v>
      </c>
      <c r="AK129" s="42">
        <f>VLOOKUP($Q129,武学奇术!$A:$ZZ,29,FALSE)*(1+IF(OR($AG129=$F$4,$AG129=$F$5),$B$22,0))</f>
        <v>0</v>
      </c>
      <c r="AL129" s="41" cm="1">
        <f t="array" ref="AL129">$G$3+IFERROR(VLOOKUP($AG129,$F$4:$G$7,2,FALSE),0)+VLOOKUP($Q129,武学奇术!$A:$ZZ,2,FALSE)+SUM(_xlfn.XLOOKUP($R129:$AF129,增益!$A:$A,增益!$B:$B,0))</f>
        <v>0.1537</v>
      </c>
      <c r="AM129" s="41" cm="1">
        <f t="array" ref="AM129">VLOOKUP($Q129,武学奇术!$A:$ZZ,5,FALSE)+SUM(_xlfn.XLOOKUP($R129:$AF129,增益!$A:$A,增益!$E:$E,0))</f>
        <v>0.15</v>
      </c>
      <c r="AN129" cm="1">
        <f t="array" ref="AN129">$D$10*(1+$AM129)+VLOOKUP($Q129,武学奇术!$A:$ZZ,3,FALSE)+SUM(_xlfn.XLOOKUP($R129:$AF129,增益!$A:$A,增益!$C:$C,0))-$I$2</f>
        <v>2088.71</v>
      </c>
      <c r="AO129" cm="1">
        <f t="array" ref="AO129">$E$10*(1+$AM129)+VLOOKUP($Q129,武学奇术!$A:$ZZ,4,FALSE)+SUM(_xlfn.XLOOKUP($R129:$AF129,增益!$A:$A,增益!$D:$D,0))-$I$2</f>
        <v>6332.9</v>
      </c>
      <c r="AP129" s="49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0.3675</v>
      </c>
      <c r="AQ129" s="49" cm="1">
        <f t="array" ref="AQ129">$G$10+VLOOKUP($Q129,武学奇术!$A:$ZZ,7,FALSE)+SUM(_xlfn.XLOOKUP(R129:AF129,增益!$A:$A,增益!$G:$G,0))</f>
        <v>0</v>
      </c>
      <c r="AR129" s="41" cm="1">
        <f t="array" ref="AR129">VLOOKUP($Q129,武学奇术!$A:$ZZ,8,FALSE)+SUM(_xlfn.XLOOKUP(R129:AF129,增益!$A:$A,增益!$H:$H,0))</f>
        <v>0</v>
      </c>
      <c r="AS129">
        <f t="shared" si="12"/>
        <v>0</v>
      </c>
      <c r="AT129">
        <f t="shared" si="13"/>
        <v>0</v>
      </c>
      <c r="AU129" s="49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-0.3</v>
      </c>
      <c r="AV129" s="49" cm="1">
        <f t="array" ref="AV129">$G$11+VLOOKUP($Q129,武学奇术!$A:$ZZ,10,FALSE)+SUM(_xlfn.XLOOKUP(R129:AF129,增益!$A:$A,增益!$J:$J,0))</f>
        <v>0</v>
      </c>
      <c r="AW129">
        <f t="shared" si="14"/>
        <v>0</v>
      </c>
      <c r="AX129">
        <f t="shared" si="15"/>
        <v>0</v>
      </c>
      <c r="AY129" s="49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-0.3</v>
      </c>
      <c r="AZ129" s="49" cm="1">
        <f t="array" ref="AZ129">$G$12+VLOOKUP($Q129,武学奇术!$A:$ZZ,12,FALSE)+SUM(_xlfn.XLOOKUP(R129:AF129,增益!$A:$A,增益!$L:$L,0))</f>
        <v>0</v>
      </c>
      <c r="BA129">
        <f t="shared" si="16"/>
        <v>571.2</v>
      </c>
      <c r="BB129">
        <f t="shared" si="17"/>
        <v>1077.4</v>
      </c>
      <c r="BC129" s="49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0</v>
      </c>
      <c r="BD129" s="49" cm="1">
        <f t="array" ref="BD129">$G$13+VLOOKUP($Q129,武学奇术!$A:$ZZ,14,FALSE)+SUM(_xlfn.XLOOKUP(R129:AF129,增益!$A:$A,增益!$N:$N,0))</f>
        <v>0.15</v>
      </c>
      <c r="BE129">
        <f t="shared" si="18"/>
        <v>0</v>
      </c>
      <c r="BF129">
        <f t="shared" si="19"/>
        <v>0</v>
      </c>
      <c r="BG129" s="49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-0.3</v>
      </c>
      <c r="BH129" s="49" cm="1">
        <f t="array" ref="BH129">$G$14+VLOOKUP($Q129,武学奇术!$A:$ZZ,16,FALSE)+SUM(_xlfn.XLOOKUP(R129:AF129,增益!$A:$A,增益!$P:$P,0))</f>
        <v>0</v>
      </c>
      <c r="BI129" s="41">
        <f>MIN(IF(VLOOKUP($Q129,武学奇术!$A:$ZZ,23,FALSE)=1,100%,$B$8),100%)</f>
        <v>1</v>
      </c>
      <c r="BJ129" s="41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</f>
        <v>0.9045</v>
      </c>
      <c r="BK129" s="41" cm="1">
        <f t="array" ref="BK129">1+$B$13+VLOOKUP($Q129,武学奇术!$A:$ZZ,18,FALSE)+SUM(_xlfn.XLOOKUP(R129:AF129,增益!$A:$A,增益!$R:$R,0))</f>
        <v>1.85</v>
      </c>
      <c r="BL129" s="41" cm="1">
        <f t="array" ref="BL129">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</f>
        <v>0.0929</v>
      </c>
      <c r="BM129" s="41" cm="1">
        <f t="array" ref="BM129">1+$B$14+VLOOKUP($Q129,武学奇术!$A:$ZZ,20,FALSE)+SUM(_xlfn.XLOOKUP(R129:AF129,增益!$A:$A,增益!$T:$T,0))</f>
        <v>1.35</v>
      </c>
      <c r="BN129" s="41">
        <f t="shared" si="20"/>
        <v>0.9045</v>
      </c>
      <c r="BO129" s="41">
        <f t="shared" si="21"/>
        <v>0.00260000000000005</v>
      </c>
      <c r="BP129" s="41">
        <f>IF(VLOOKUP($Q129,武学奇术!$A:$ZZ,22,FALSE)=1,0,(1-$BI129))*(1-$BL129)</f>
        <v>0</v>
      </c>
      <c r="BQ129" s="41" cm="1">
        <f t="array" ref="BQ129">SUM(_xlfn.XLOOKUP(R129:AF129,增益!$A:$A,增益!$W:$W,0))+$I$5</f>
        <v>0.21</v>
      </c>
    </row>
    <row r="130" spans="11:69">
      <c r="K130" s="55">
        <f t="shared" ref="K130:K136" si="25">($L130*$BN130+$M130*$BL130+$N130*$BO130+$O130*$BP130)</f>
        <v>15982.7919901478</v>
      </c>
      <c r="L130" s="55">
        <f>((($AN130+$AO130)/2*$AH130+$AI130)*(1+$AP130)*(1+$AQ130)+(($AS130+$AT130)/2*IF($G$1="鸣金",$AJ130,$AH130)+IF($G$1="鸣金",$AK130*1.5,0))*(1+$AU130)*(1+$AV130)+(($AW130+$AX130)/2*IF($G$1="裂石",$AJ130,$AH130)+IF($G$1="裂石",$AK130*1.5,0))*(1+$AY130)*(1+$AZ130)+(($BA130+$BB130)/2*IF($G$1="牵丝",$AJ130,$AH130)+IF($G$1="牵丝",$AK130*1.5,0))*(1+$BC130)*(1+$BD130)+(($BE130+$BF130)/2*IF($G$1="破竹",$AJ130,$AH130)+IF($G$1="破竹",$AK130*1.5,0))*(1+$BG130)*(1+$BH130))*(1+$AL130)*$BK130*$P130*(1+IF(VLOOKUP($Q130,武学奇术!$A:$ZZ,30,FALSE)="弹道",$B$21,0))*(1+$BQ130)</f>
        <v>15887.8616938895</v>
      </c>
      <c r="M130" s="55">
        <f>(($AO130*$AH130+$AI130)*(1+$AP130)*(1+$AQ130)+($AT130*IF($G$1="鸣金",$AJ130,$AH130)+IF($G$1="鸣金",$AK130*1.5,0))*(1+$AU130)*(1+$AV130)+($AX130*IF($G$1="裂石",$AJ130,$AH130)+IF($G$1="裂石",$AK130*1.5,0))*(1+$AY130)*(1+$AZ130)+($BB130*IF($G$1="牵丝",$AJ130,$AH130)+IF($G$1="牵丝",$AK130*1.5,0))*(1+$BC130)*(1+$BD130)+($BF130*IF($G$1="破竹",$AJ130,$AH130)+IF($G$1="破竹",$AK130*1.5,0))*(1+$BG130)*(1+$BH130))*(1+$AL130)*$BM130*$P130*(1+IF(VLOOKUP($Q130,武学奇术!$A:$ZZ,30,FALSE)="弹道",$B$21,0))*(1+$BQ130)</f>
        <v>17114.0172370271</v>
      </c>
      <c r="N130" s="55">
        <f>((($AN130+$AO130)/2*$AH130+$AI130)*(1+$AP130)*(1+$AQ130)+(($AS130+$AT130)/2*IF($G$1="鸣金",$AJ130,$AH130)+IF($G$1="鸣金",$AK130*1.5,0))*(1+$AU130)*(1+$AV130)+(($AW130+$AX130)/2*IF($G$1="裂石",$AJ130,$AH130)+IF($G$1="裂石",$AK130*1.5,0))*(1+$AY130)*(1+$AZ130)+(($BA130+$BB130)/2*IF($G$1="牵丝",$AJ130,$AH130)+IF($G$1="牵丝",$AK130*1.5,0))*(1+$BC130)*(1+$BD130)+(($BE130+$BF130)/2*IF($G$1="破竹",$AJ130,$AH130)+IF($G$1="破竹",$AK130*1.5,0))*(1+$BG130)*(1+$BH130))*(1+$AL130)*$P130*(1+IF(VLOOKUP($Q130,武学奇术!$A:$ZZ,30,FALSE)="弹道",$B$21,0))*(1+$BQ130)</f>
        <v>8588.03334804836</v>
      </c>
      <c r="O130" s="55">
        <f>((($AN130*$AH130+$AI130)*(1+$AP130)*(1+$AQ130)+($AS130*IF($G$1="鸣金",$AJ130,$AH130)+IF($G$1="鸣金",$AK130*1.5,0))*(1+$AU130)*(1+$AV130)+($AW130*IF($G$1="裂石",$AJ130,$AH130)+IF($G$1="裂石",$AK130*1.5,0))*(1+$AY130)*(1+$AZ130)+($BA130*IF($G$1="牵丝",$AJ130,$AH130)+IF($G$1="牵丝",$AK130*1.5,0))*(1+$BC130)*(1+$BD130)+($BE130*IF($G$1="破竹",$AJ130,$AH130)+IF($G$1="破竹",$AK130*1.5,0))*(1+$BG130)*(1+$BH130))*(1+$AL130))*$P130*(1+IF(VLOOKUP($Q130,武学奇术!$A:$ZZ,30,FALSE)="弹道",$B$21,0))*(1+$BQ130)</f>
        <v>4499.01689089147</v>
      </c>
      <c r="P130" s="56">
        <f t="shared" si="24"/>
        <v>1</v>
      </c>
      <c r="Q130" s="57" t="s">
        <v>171</v>
      </c>
      <c r="R130" s="57" t="s">
        <v>116</v>
      </c>
      <c r="S130" s="57" t="s">
        <v>153</v>
      </c>
      <c r="T130" s="57" t="s">
        <v>72</v>
      </c>
      <c r="U130" s="57" t="s">
        <v>157</v>
      </c>
      <c r="V130" s="57" t="s">
        <v>72</v>
      </c>
      <c r="W130" s="57" t="s">
        <v>72</v>
      </c>
      <c r="X130" s="57" t="s">
        <v>72</v>
      </c>
      <c r="Y130" s="57" t="s">
        <v>161</v>
      </c>
      <c r="Z130" s="57" t="s">
        <v>72</v>
      </c>
      <c r="AA130" s="57" t="s">
        <v>72</v>
      </c>
      <c r="AB130" s="57" t="s">
        <v>72</v>
      </c>
      <c r="AC130" s="57" t="s">
        <v>72</v>
      </c>
      <c r="AD130" s="57" t="s">
        <v>72</v>
      </c>
      <c r="AE130" s="57" t="s">
        <v>72</v>
      </c>
      <c r="AF130" s="57" t="s">
        <v>87</v>
      </c>
      <c r="AG130" t="str">
        <f>VLOOKUP($Q130,武学奇术!$A:$ZZ,25,FALSE)</f>
        <v>心法</v>
      </c>
      <c r="AH130" s="41">
        <f>VLOOKUP($Q130,武学奇术!$A:$ZZ,26,FALSE)</f>
        <v>1</v>
      </c>
      <c r="AI130" s="42">
        <f>VLOOKUP($Q130,武学奇术!$A:$ZZ,27,FALSE)*(1+IF(OR($AG130=$F$4,$AG130=$F$5),$B$22,0))</f>
        <v>0</v>
      </c>
      <c r="AJ130" s="41">
        <f>VLOOKUP($Q130,武学奇术!$A:$ZZ,28,FALSE)</f>
        <v>1</v>
      </c>
      <c r="AK130" s="42">
        <f>VLOOKUP($Q130,武学奇术!$A:$ZZ,29,FALSE)*(1+IF(OR($AG130=$F$4,$AG130=$F$5),$B$22,0))</f>
        <v>0</v>
      </c>
      <c r="AL130" s="41" cm="1">
        <f t="array" ref="AL130">$G$3+IFERROR(VLOOKUP($AG130,$F$4:$G$7,2,FALSE),0)+VLOOKUP($Q130,武学奇术!$A:$ZZ,2,FALSE)+SUM(_xlfn.XLOOKUP($R130:$AF130,增益!$A:$A,增益!$B:$B,0))</f>
        <v>0.1537</v>
      </c>
      <c r="AM130" s="41" cm="1">
        <f t="array" ref="AM130">VLOOKUP($Q130,武学奇术!$A:$ZZ,5,FALSE)+SUM(_xlfn.XLOOKUP($R130:$AF130,增益!$A:$A,增益!$E:$E,0))</f>
        <v>0.15</v>
      </c>
      <c r="AN130" cm="1">
        <f t="array" ref="AN130">$D$10*(1+$AM130)+VLOOKUP($Q130,武学奇术!$A:$ZZ,3,FALSE)+SUM(_xlfn.XLOOKUP($R130:$AF130,增益!$A:$A,增益!$C:$C,0))-$I$2</f>
        <v>2088.71</v>
      </c>
      <c r="AO130" cm="1">
        <f t="array" ref="AO130">$E$10*(1+$AM130)+VLOOKUP($Q130,武学奇术!$A:$ZZ,4,FALSE)+SUM(_xlfn.XLOOKUP($R130:$AF130,增益!$A:$A,增益!$D:$D,0))-$I$2</f>
        <v>6332.9</v>
      </c>
      <c r="AP130" s="49" cm="1">
        <f t="array" ref="AP130">IF($F$10-$I$3+VLOOKUP($Q130,武学奇术!$A:$ZZ,6,FALSE)+SUM(_xlfn.XLOOKUP(R130:AF130,增益!$A:$A,增益!$F:$F,0))&gt;0,($F$10-$I$3+VLOOKUP($Q130,武学奇术!$A:$ZZ,6,FALSE)+SUM(_xlfn.XLOOKUP(R130:AF130,增益!$A:$A,增益!$F:$F,0)))/200,($F$10-$I$3+VLOOKUP($Q130,武学奇术!$A:$ZZ,6,FALSE)+SUM(_xlfn.XLOOKUP(R130:AF130,增益!$A:$A,增益!$F:$F,0)))/100)</f>
        <v>0.3675</v>
      </c>
      <c r="AQ130" s="49" cm="1">
        <f t="array" ref="AQ130">$G$10+VLOOKUP($Q130,武学奇术!$A:$ZZ,7,FALSE)+SUM(_xlfn.XLOOKUP(R130:AF130,增益!$A:$A,增益!$G:$G,0))</f>
        <v>0</v>
      </c>
      <c r="AR130" s="41" cm="1">
        <f t="array" ref="AR130">VLOOKUP($Q130,武学奇术!$A:$ZZ,8,FALSE)+SUM(_xlfn.XLOOKUP(R130:AF130,增益!$A:$A,增益!$H:$H,0))</f>
        <v>0</v>
      </c>
      <c r="AS130">
        <f t="shared" ref="AS130:AS136" si="26">$D$11*(1+$AR130)</f>
        <v>0</v>
      </c>
      <c r="AT130">
        <f t="shared" ref="AT130:AT136" si="27">$E$11*(1+$AR130)</f>
        <v>0</v>
      </c>
      <c r="AU130" s="49" cm="1">
        <f t="array" ref="AU130">IF($F$11-$I$4+VLOOKUP($Q130,武学奇术!$A:$ZZ,9,FALSE)+SUM(_xlfn.XLOOKUP(R130:AF130,增益!$A:$A,增益!$I:$I,0))&gt;0,($F$11-$I$4+VLOOKUP($Q130,武学奇术!$A:$ZZ,9,FALSE)+SUM(_xlfn.XLOOKUP(R130:AF130,增益!$A:$A,增益!$I:$I,0)))/200,($F$11-$I$4+VLOOKUP($Q130,武学奇术!$A:$ZZ,9,FALSE)+SUM(_xlfn.XLOOKUP(R130:AF130,增益!$A:$A,增益!$I:$I,0)))/100)</f>
        <v>-0.3</v>
      </c>
      <c r="AV130" s="49" cm="1">
        <f t="array" ref="AV130">$G$11+VLOOKUP($Q130,武学奇术!$A:$ZZ,10,FALSE)+SUM(_xlfn.XLOOKUP(R130:AF130,增益!$A:$A,增益!$J:$J,0))</f>
        <v>0</v>
      </c>
      <c r="AW130">
        <f t="shared" ref="AW130:AW136" si="28">$D$12*(1+$AR130)</f>
        <v>0</v>
      </c>
      <c r="AX130">
        <f t="shared" ref="AX130:AX136" si="29">$E$12*(1+$AR130)</f>
        <v>0</v>
      </c>
      <c r="AY130" s="49" cm="1">
        <f t="array" ref="AY130">IF($F$12-$I$4+VLOOKUP($Q130,武学奇术!$A:$ZZ,11,FALSE)+SUM(_xlfn.XLOOKUP(R130:AF130,增益!$A:$A,增益!$K:$K,0))&gt;0,($F$12-$I$4+VLOOKUP($Q130,武学奇术!$A:$ZZ,11,FALSE)+SUM(_xlfn.XLOOKUP(R130:AF130,增益!$A:$A,增益!$K:$K,0)))/200,($F$12-$I$4+VLOOKUP($Q130,武学奇术!$A:$ZZ,11,FALSE)+SUM(_xlfn.XLOOKUP(R130:AF130,增益!$A:$A,增益!$K:$K,0)))/100)</f>
        <v>-0.3</v>
      </c>
      <c r="AZ130" s="49" cm="1">
        <f t="array" ref="AZ130">$G$12+VLOOKUP($Q130,武学奇术!$A:$ZZ,12,FALSE)+SUM(_xlfn.XLOOKUP(R130:AF130,增益!$A:$A,增益!$L:$L,0))</f>
        <v>0</v>
      </c>
      <c r="BA130">
        <f t="shared" ref="BA130:BA136" si="30">$D$13*(1+$AR130)</f>
        <v>571.2</v>
      </c>
      <c r="BB130">
        <f t="shared" ref="BB130:BB136" si="31">$E$13*(1+$AR130)</f>
        <v>1077.4</v>
      </c>
      <c r="BC130" s="49" cm="1">
        <f t="array" ref="BC130">IF($F$13-$I$4+VLOOKUP($Q130,武学奇术!$A:$ZZ,13,FALSE)+SUM(_xlfn.XLOOKUP(R130:AF130,增益!$A:$A,增益!$M:$M,0))&gt;0,($F$13-$I$4+VLOOKUP($Q130,武学奇术!$A:$ZZ,13,FALSE)+SUM(_xlfn.XLOOKUP(R130:AF130,增益!$A:$A,增益!$K:$K,0)))/200,($F$13-$I$4+VLOOKUP($Q130,武学奇术!$A:$ZZ,13,FALSE)+SUM(_xlfn.XLOOKUP(R130:AF130,增益!$A:$A,增益!$M:$M,0)))/100)</f>
        <v>0</v>
      </c>
      <c r="BD130" s="49" cm="1">
        <f t="array" ref="BD130">$G$13+VLOOKUP($Q130,武学奇术!$A:$ZZ,14,FALSE)+SUM(_xlfn.XLOOKUP(R130:AF130,增益!$A:$A,增益!$N:$N,0))</f>
        <v>0.15</v>
      </c>
      <c r="BE130">
        <f t="shared" ref="BE130:BE136" si="32">$D$14*(1+$AR130)</f>
        <v>0</v>
      </c>
      <c r="BF130">
        <f t="shared" ref="BF130:BF136" si="33">$E$14*(1+$AR130)</f>
        <v>0</v>
      </c>
      <c r="BG130" s="49" cm="1">
        <f t="array" ref="BG130">IF($F$14-$I$4+VLOOKUP($Q130,武学奇术!$A:$ZZ,15,FALSE)+SUM(_xlfn.XLOOKUP(R130:AF130,增益!$A:$A,增益!$O:$O,0))&gt;0,($F$14-$I$4+VLOOKUP($Q130,武学奇术!$A:$ZZ,15,FALSE)+SUM(_xlfn.XLOOKUP(R130:AF130,增益!$A:$A,增益!$O:$O,0)))/200,($F$14-$I$4+VLOOKUP($Q130,武学奇术!$A:$ZZ,15,FALSE)+SUM(_xlfn.XLOOKUP(R130:AF130,增益!$A:$A,增益!$O:$O,0)))/100)</f>
        <v>-0.3</v>
      </c>
      <c r="BH130" s="49" cm="1">
        <f t="array" ref="BH130">$G$14+VLOOKUP($Q130,武学奇术!$A:$ZZ,16,FALSE)+SUM(_xlfn.XLOOKUP(R130:AF130,增益!$A:$A,增益!$P:$P,0))</f>
        <v>0</v>
      </c>
      <c r="BI130" s="41">
        <f>MIN(IF(VLOOKUP($Q130,武学奇术!$A:$ZZ,23,FALSE)=1,100%,$B$8),100%)</f>
        <v>1</v>
      </c>
      <c r="BJ130" s="41" cm="1">
        <f t="array" ref="BJ130">IF(VLOOKUP($Q130,武学奇术!$A:$ZZ,23,FALSE)=1,100%,MIN(80%,$B$9+VLOOKUP($Q130,武学奇术!$A:$ZZ,17,FALSE)+SUM(_xlfn.XLOOKUP(R130:AF130,增益!$A:$A,增益!$Q:$Q,0)))+$B$11+SUM(_xlfn.XLOOKUP(R130:AF130,增益!$A:$A,增益!$U:$U,0)))*IF(VLOOKUP($Q130,武学奇术!$A:$ZZ,24,FALSE)=1,0,1)</f>
        <v>0.9045</v>
      </c>
      <c r="BK130" s="41" cm="1">
        <f t="array" ref="BK130">1+$B$13+VLOOKUP($Q130,武学奇术!$A:$ZZ,18,FALSE)+SUM(_xlfn.XLOOKUP(R130:AF130,增益!$A:$A,增益!$R:$R,0))</f>
        <v>1.85</v>
      </c>
      <c r="BL130" s="41" cm="1">
        <f t="array" ref="BL130">IF(VLOOKUP($Q130,武学奇术!$A:$ZZ,24,FALSE)=1,100%,MIN(40%,$B$10+VLOOKUP($Q130,武学奇术!$A:$ZZ,19,FALSE)+SUM(_xlfn.XLOOKUP(R130:AF130,增益!$A:$A,增益!$S:$S,0)))+$B$12+SUM(_xlfn.XLOOKUP(R130:AF130,增益!$A:$A,增益!$V:$V,0)))*IF(VLOOKUP($Q130,武学奇术!$A:$ZZ,23,FALSE)=1,0,1)</f>
        <v>0.0929</v>
      </c>
      <c r="BM130" s="41" cm="1">
        <f t="array" ref="BM130">1+$B$14+VLOOKUP($Q130,武学奇术!$A:$ZZ,20,FALSE)+SUM(_xlfn.XLOOKUP(R130:AF130,增益!$A:$A,增益!$T:$T,0))</f>
        <v>1.35</v>
      </c>
      <c r="BN130" s="41">
        <f t="shared" ref="BN130:BN136" si="34">MIN((1-BL130)*BI130,BI130*BJ130)</f>
        <v>0.9045</v>
      </c>
      <c r="BO130" s="41">
        <f t="shared" ref="BO130:BO136" si="35">1-BL130-BN130-BP130</f>
        <v>0.00260000000000005</v>
      </c>
      <c r="BP130" s="41">
        <f>IF(VLOOKUP($Q130,武学奇术!$A:$ZZ,22,FALSE)=1,0,(1-$BI130))*(1-$BL130)</f>
        <v>0</v>
      </c>
      <c r="BQ130" s="41" cm="1">
        <f t="array" ref="BQ130">SUM(_xlfn.XLOOKUP(R130:AF130,增益!$A:$A,增益!$W:$W,0))+$I$5</f>
        <v>0.11</v>
      </c>
    </row>
    <row r="131" spans="11:69">
      <c r="K131" s="55">
        <f t="shared" si="25"/>
        <v>12936.4489639071</v>
      </c>
      <c r="L131" s="55">
        <f>((($AN131+$AO131)/2*$AH131+$AI131)*(1+$AP131)*(1+$AQ131)+(($AS131+$AT131)/2*IF($G$1="鸣金",$AJ131,$AH131)+IF($G$1="鸣金",$AK131*1.5,0))*(1+$AU131)*(1+$AV131)+(($AW131+$AX131)/2*IF($G$1="裂石",$AJ131,$AH131)+IF($G$1="裂石",$AK131*1.5,0))*(1+$AY131)*(1+$AZ131)+(($BA131+$BB131)/2*IF($G$1="牵丝",$AJ131,$AH131)+IF($G$1="牵丝",$AK131*1.5,0))*(1+$BC131)*(1+$BD131)+(($BE131+$BF131)/2*IF($G$1="破竹",$AJ131,$AH131)+IF($G$1="破竹",$AK131*1.5,0))*(1+$BG131)*(1+$BH131))*(1+$AL131)*$BK131*$P131*(1+IF(VLOOKUP($Q131,武学奇术!$A:$ZZ,30,FALSE)="弹道",$B$21,0))*(1+$BQ131)</f>
        <v>12662.3760851504</v>
      </c>
      <c r="M131" s="55">
        <f>(($AO131*$AH131+$AI131)*(1+$AP131)*(1+$AQ131)+($AT131*IF($G$1="鸣金",$AJ131,$AH131)+IF($G$1="鸣金",$AK131*1.5,0))*(1+$AU131)*(1+$AV131)+($AX131*IF($G$1="裂石",$AJ131,$AH131)+IF($G$1="裂石",$AK131*1.5,0))*(1+$AY131)*(1+$AZ131)+($BB131*IF($G$1="牵丝",$AJ131,$AH131)+IF($G$1="牵丝",$AK131*1.5,0))*(1+$BC131)*(1+$BD131)+($BF131*IF($G$1="破竹",$AJ131,$AH131)+IF($G$1="破竹",$AK131*1.5,0))*(1+$BG131)*(1+$BH131))*(1+$AL131)*$BM131*$P131*(1+IF(VLOOKUP($Q131,武学奇术!$A:$ZZ,30,FALSE)="弹道",$B$21,0))*(1+$BQ131)</f>
        <v>15745.462150164</v>
      </c>
      <c r="N131" s="55">
        <f>((($AN131+$AO131)/2*$AH131+$AI131)*(1+$AP131)*(1+$AQ131)+(($AS131+$AT131)/2*IF($G$1="鸣金",$AJ131,$AH131)+IF($G$1="鸣金",$AK131*1.5,0))*(1+$AU131)*(1+$AV131)+(($AW131+$AX131)/2*IF($G$1="裂石",$AJ131,$AH131)+IF($G$1="裂石",$AK131*1.5,0))*(1+$AY131)*(1+$AZ131)+(($BA131+$BB131)/2*IF($G$1="牵丝",$AJ131,$AH131)+IF($G$1="牵丝",$AK131*1.5,0))*(1+$BC131)*(1+$BD131)+(($BE131+$BF131)/2*IF($G$1="破竹",$AJ131,$AH131)+IF($G$1="破竹",$AK131*1.5,0))*(1+$BG131)*(1+$BH131))*(1+$AL131)*$P131*(1+IF(VLOOKUP($Q131,武学奇术!$A:$ZZ,30,FALSE)="弹道",$B$21,0))*(1+$BQ131)</f>
        <v>7913.98505321899</v>
      </c>
      <c r="O131" s="55">
        <f>((($AN131*$AH131+$AI131)*(1+$AP131)*(1+$AQ131)+($AS131*IF($G$1="鸣金",$AJ131,$AH131)+IF($G$1="鸣金",$AK131*1.5,0))*(1+$AU131)*(1+$AV131)+($AW131*IF($G$1="裂石",$AJ131,$AH131)+IF($G$1="裂石",$AK131*1.5,0))*(1+$AY131)*(1+$AZ131)+($BA131*IF($G$1="牵丝",$AJ131,$AH131)+IF($G$1="牵丝",$AK131*1.5,0))*(1+$BC131)*(1+$BD131)+($BE131*IF($G$1="破竹",$AJ131,$AH131)+IF($G$1="破竹",$AK131*1.5,0))*(1+$BG131)*(1+$BH131))*(1+$AL131))*$P131*(1+IF(VLOOKUP($Q131,武学奇术!$A:$ZZ,30,FALSE)="弹道",$B$21,0))*(1+$BQ131)</f>
        <v>4164.66481002023</v>
      </c>
      <c r="P131" s="56">
        <f t="shared" si="24"/>
        <v>1</v>
      </c>
      <c r="Q131" s="57" t="s">
        <v>171</v>
      </c>
      <c r="R131" s="57" t="s">
        <v>116</v>
      </c>
      <c r="S131" s="57" t="s">
        <v>153</v>
      </c>
      <c r="T131" s="57" t="s">
        <v>72</v>
      </c>
      <c r="U131" s="57" t="s">
        <v>157</v>
      </c>
      <c r="V131" s="57" t="s">
        <v>72</v>
      </c>
      <c r="W131" s="57" t="s">
        <v>72</v>
      </c>
      <c r="X131" s="57" t="s">
        <v>72</v>
      </c>
      <c r="Y131" s="57" t="s">
        <v>72</v>
      </c>
      <c r="Z131" s="57" t="s">
        <v>72</v>
      </c>
      <c r="AA131" s="57" t="s">
        <v>72</v>
      </c>
      <c r="AB131" s="57" t="s">
        <v>72</v>
      </c>
      <c r="AC131" s="57" t="s">
        <v>72</v>
      </c>
      <c r="AD131" s="57" t="s">
        <v>72</v>
      </c>
      <c r="AE131" s="57" t="s">
        <v>72</v>
      </c>
      <c r="AF131" s="57" t="s">
        <v>87</v>
      </c>
      <c r="AG131" t="str">
        <f>VLOOKUP($Q131,武学奇术!$A:$ZZ,25,FALSE)</f>
        <v>心法</v>
      </c>
      <c r="AH131" s="41">
        <f>VLOOKUP($Q131,武学奇术!$A:$ZZ,26,FALSE)</f>
        <v>1</v>
      </c>
      <c r="AI131" s="42">
        <f>VLOOKUP($Q131,武学奇术!$A:$ZZ,27,FALSE)*(1+IF(OR($AG131=$F$4,$AG131=$F$5),$B$22,0))</f>
        <v>0</v>
      </c>
      <c r="AJ131" s="41">
        <f>VLOOKUP($Q131,武学奇术!$A:$ZZ,28,FALSE)</f>
        <v>1</v>
      </c>
      <c r="AK131" s="42">
        <f>VLOOKUP($Q131,武学奇术!$A:$ZZ,29,FALSE)*(1+IF(OR($AG131=$F$4,$AG131=$F$5),$B$22,0))</f>
        <v>0</v>
      </c>
      <c r="AL131" s="41" cm="1">
        <f t="array" ref="AL131">$G$3+IFERROR(VLOOKUP($AG131,$F$4:$G$7,2,FALSE),0)+VLOOKUP($Q131,武学奇术!$A:$ZZ,2,FALSE)+SUM(_xlfn.XLOOKUP($R131:$AF131,增益!$A:$A,增益!$B:$B,0))</f>
        <v>0.1537</v>
      </c>
      <c r="AM131" s="41" cm="1">
        <f t="array" ref="AM131">VLOOKUP($Q131,武学奇术!$A:$ZZ,5,FALSE)+SUM(_xlfn.XLOOKUP($R131:$AF131,增益!$A:$A,增益!$E:$E,0))</f>
        <v>0.15</v>
      </c>
      <c r="AN131" cm="1">
        <f t="array" ref="AN131">$D$10*(1+$AM131)+VLOOKUP($Q131,武学奇术!$A:$ZZ,3,FALSE)+SUM(_xlfn.XLOOKUP($R131:$AF131,增益!$A:$A,增益!$C:$C,0))-$I$2</f>
        <v>2088.71</v>
      </c>
      <c r="AO131" cm="1">
        <f t="array" ref="AO131">$E$10*(1+$AM131)+VLOOKUP($Q131,武学奇术!$A:$ZZ,4,FALSE)+SUM(_xlfn.XLOOKUP($R131:$AF131,增益!$A:$A,增益!$D:$D,0))-$I$2</f>
        <v>6332.9</v>
      </c>
      <c r="AP131" s="49" cm="1">
        <f t="array" ref="AP131">IF($F$10-$I$3+VLOOKUP($Q131,武学奇术!$A:$ZZ,6,FALSE)+SUM(_xlfn.XLOOKUP(R131:AF131,增益!$A:$A,增益!$F:$F,0))&gt;0,($F$10-$I$3+VLOOKUP($Q131,武学奇术!$A:$ZZ,6,FALSE)+SUM(_xlfn.XLOOKUP(R131:AF131,增益!$A:$A,增益!$F:$F,0)))/200,($F$10-$I$3+VLOOKUP($Q131,武学奇术!$A:$ZZ,6,FALSE)+SUM(_xlfn.XLOOKUP(R131:AF131,增益!$A:$A,增益!$F:$F,0)))/100)</f>
        <v>0.2425</v>
      </c>
      <c r="AQ131" s="49" cm="1">
        <f t="array" ref="AQ131">$G$10+VLOOKUP($Q131,武学奇术!$A:$ZZ,7,FALSE)+SUM(_xlfn.XLOOKUP(R131:AF131,增益!$A:$A,增益!$G:$G,0))</f>
        <v>0</v>
      </c>
      <c r="AR131" s="41" cm="1">
        <f t="array" ref="AR131">VLOOKUP($Q131,武学奇术!$A:$ZZ,8,FALSE)+SUM(_xlfn.XLOOKUP(R131:AF131,增益!$A:$A,增益!$H:$H,0))</f>
        <v>0</v>
      </c>
      <c r="AS131">
        <f t="shared" si="26"/>
        <v>0</v>
      </c>
      <c r="AT131">
        <f t="shared" si="27"/>
        <v>0</v>
      </c>
      <c r="AU131" s="49" cm="1">
        <f t="array" ref="AU131">IF($F$11-$I$4+VLOOKUP($Q131,武学奇术!$A:$ZZ,9,FALSE)+SUM(_xlfn.XLOOKUP(R131:AF131,增益!$A:$A,增益!$I:$I,0))&gt;0,($F$11-$I$4+VLOOKUP($Q131,武学奇术!$A:$ZZ,9,FALSE)+SUM(_xlfn.XLOOKUP(R131:AF131,增益!$A:$A,增益!$I:$I,0)))/200,($F$11-$I$4+VLOOKUP($Q131,武学奇术!$A:$ZZ,9,FALSE)+SUM(_xlfn.XLOOKUP(R131:AF131,增益!$A:$A,增益!$I:$I,0)))/100)</f>
        <v>-0.3</v>
      </c>
      <c r="AV131" s="49" cm="1">
        <f t="array" ref="AV131">$G$11+VLOOKUP($Q131,武学奇术!$A:$ZZ,10,FALSE)+SUM(_xlfn.XLOOKUP(R131:AF131,增益!$A:$A,增益!$J:$J,0))</f>
        <v>0</v>
      </c>
      <c r="AW131">
        <f t="shared" si="28"/>
        <v>0</v>
      </c>
      <c r="AX131">
        <f t="shared" si="29"/>
        <v>0</v>
      </c>
      <c r="AY131" s="49" cm="1">
        <f t="array" ref="AY131">IF($F$12-$I$4+VLOOKUP($Q131,武学奇术!$A:$ZZ,11,FALSE)+SUM(_xlfn.XLOOKUP(R131:AF131,增益!$A:$A,增益!$K:$K,0))&gt;0,($F$12-$I$4+VLOOKUP($Q131,武学奇术!$A:$ZZ,11,FALSE)+SUM(_xlfn.XLOOKUP(R131:AF131,增益!$A:$A,增益!$K:$K,0)))/200,($F$12-$I$4+VLOOKUP($Q131,武学奇术!$A:$ZZ,11,FALSE)+SUM(_xlfn.XLOOKUP(R131:AF131,增益!$A:$A,增益!$K:$K,0)))/100)</f>
        <v>-0.3</v>
      </c>
      <c r="AZ131" s="49" cm="1">
        <f t="array" ref="AZ131">$G$12+VLOOKUP($Q131,武学奇术!$A:$ZZ,12,FALSE)+SUM(_xlfn.XLOOKUP(R131:AF131,增益!$A:$A,增益!$L:$L,0))</f>
        <v>0</v>
      </c>
      <c r="BA131">
        <f t="shared" si="30"/>
        <v>571.2</v>
      </c>
      <c r="BB131">
        <f t="shared" si="31"/>
        <v>1077.4</v>
      </c>
      <c r="BC131" s="49" cm="1">
        <f t="array" ref="BC131">IF($F$13-$I$4+VLOOKUP($Q131,武学奇术!$A:$ZZ,13,FALSE)+SUM(_xlfn.XLOOKUP(R131:AF131,增益!$A:$A,增益!$M:$M,0))&gt;0,($F$13-$I$4+VLOOKUP($Q131,武学奇术!$A:$ZZ,13,FALSE)+SUM(_xlfn.XLOOKUP(R131:AF131,增益!$A:$A,增益!$K:$K,0)))/200,($F$13-$I$4+VLOOKUP($Q131,武学奇术!$A:$ZZ,13,FALSE)+SUM(_xlfn.XLOOKUP(R131:AF131,增益!$A:$A,增益!$M:$M,0)))/100)</f>
        <v>0</v>
      </c>
      <c r="BD131" s="49" cm="1">
        <f t="array" ref="BD131">$G$13+VLOOKUP($Q131,武学奇术!$A:$ZZ,14,FALSE)+SUM(_xlfn.XLOOKUP(R131:AF131,增益!$A:$A,增益!$N:$N,0))</f>
        <v>0.15</v>
      </c>
      <c r="BE131">
        <f t="shared" si="32"/>
        <v>0</v>
      </c>
      <c r="BF131">
        <f t="shared" si="33"/>
        <v>0</v>
      </c>
      <c r="BG131" s="49" cm="1">
        <f t="array" ref="BG131">IF($F$14-$I$4+VLOOKUP($Q131,武学奇术!$A:$ZZ,15,FALSE)+SUM(_xlfn.XLOOKUP(R131:AF131,增益!$A:$A,增益!$O:$O,0))&gt;0,($F$14-$I$4+VLOOKUP($Q131,武学奇术!$A:$ZZ,15,FALSE)+SUM(_xlfn.XLOOKUP(R131:AF131,增益!$A:$A,增益!$O:$O,0)))/200,($F$14-$I$4+VLOOKUP($Q131,武学奇术!$A:$ZZ,15,FALSE)+SUM(_xlfn.XLOOKUP(R131:AF131,增益!$A:$A,增益!$O:$O,0)))/100)</f>
        <v>-0.3</v>
      </c>
      <c r="BH131" s="49" cm="1">
        <f t="array" ref="BH131">$G$14+VLOOKUP($Q131,武学奇术!$A:$ZZ,16,FALSE)+SUM(_xlfn.XLOOKUP(R131:AF131,增益!$A:$A,增益!$P:$P,0))</f>
        <v>0</v>
      </c>
      <c r="BI131" s="41">
        <f>MIN(IF(VLOOKUP($Q131,武学奇术!$A:$ZZ,23,FALSE)=1,100%,$B$8),100%)</f>
        <v>1</v>
      </c>
      <c r="BJ131" s="41" cm="1">
        <f t="array" ref="BJ131">IF(VLOOKUP($Q131,武学奇术!$A:$ZZ,23,FALSE)=1,100%,MIN(80%,$B$9+VLOOKUP($Q131,武学奇术!$A:$ZZ,17,FALSE)+SUM(_xlfn.XLOOKUP(R131:AF131,增益!$A:$A,增益!$Q:$Q,0)))+$B$11+SUM(_xlfn.XLOOKUP(R131:AF131,增益!$A:$A,增益!$U:$U,0)))*IF(VLOOKUP($Q131,武学奇术!$A:$ZZ,24,FALSE)=1,0,1)</f>
        <v>0.9045</v>
      </c>
      <c r="BK131" s="41" cm="1">
        <f t="array" ref="BK131">1+$B$13+VLOOKUP($Q131,武学奇术!$A:$ZZ,18,FALSE)+SUM(_xlfn.XLOOKUP(R131:AF131,增益!$A:$A,增益!$R:$R,0))</f>
        <v>1.6</v>
      </c>
      <c r="BL131" s="41" cm="1">
        <f t="array" ref="BL131">IF(VLOOKUP($Q131,武学奇术!$A:$ZZ,24,FALSE)=1,100%,MIN(40%,$B$10+VLOOKUP($Q131,武学奇术!$A:$ZZ,19,FALSE)+SUM(_xlfn.XLOOKUP(R131:AF131,增益!$A:$A,增益!$S:$S,0)))+$B$12+SUM(_xlfn.XLOOKUP(R131:AF131,增益!$A:$A,增益!$V:$V,0)))*IF(VLOOKUP($Q131,武学奇术!$A:$ZZ,23,FALSE)=1,0,1)</f>
        <v>0.0929</v>
      </c>
      <c r="BM131" s="41" cm="1">
        <f t="array" ref="BM131">1+$B$14+VLOOKUP($Q131,武学奇术!$A:$ZZ,20,FALSE)+SUM(_xlfn.XLOOKUP(R131:AF131,增益!$A:$A,增益!$T:$T,0))</f>
        <v>1.35</v>
      </c>
      <c r="BN131" s="41">
        <f t="shared" si="34"/>
        <v>0.9045</v>
      </c>
      <c r="BO131" s="41">
        <f t="shared" si="35"/>
        <v>0.00260000000000005</v>
      </c>
      <c r="BP131" s="41">
        <f>IF(VLOOKUP($Q131,武学奇术!$A:$ZZ,22,FALSE)=1,0,(1-$BI131))*(1-$BL131)</f>
        <v>0</v>
      </c>
      <c r="BQ131" s="41" cm="1">
        <f t="array" ref="BQ131">SUM(_xlfn.XLOOKUP(R131:AF131,增益!$A:$A,增益!$W:$W,0))+$I$5</f>
        <v>0.11</v>
      </c>
    </row>
    <row r="132" spans="11:69">
      <c r="K132" s="55">
        <f t="shared" si="25"/>
        <v>12119.1803819688</v>
      </c>
      <c r="L132" s="55">
        <f>((($AN132+$AO132)/2*$AH132+$AI132)*(1+$AP132)*(1+$AQ132)+(($AS132+$AT132)/2*IF($G$1="鸣金",$AJ132,$AH132)+IF($G$1="鸣金",$AK132*1.5,0))*(1+$AU132)*(1+$AV132)+(($AW132+$AX132)/2*IF($G$1="裂石",$AJ132,$AH132)+IF($G$1="裂石",$AK132*1.5,0))*(1+$AY132)*(1+$AZ132)+(($BA132+$BB132)/2*IF($G$1="牵丝",$AJ132,$AH132)+IF($G$1="牵丝",$AK132*1.5,0))*(1+$BC132)*(1+$BD132)+(($BE132+$BF132)/2*IF($G$1="破竹",$AJ132,$AH132)+IF($G$1="破竹",$AK132*1.5,0))*(1+$BG132)*(1+$BH132))*(1+$AL132)*$BK132*$P132*(1+IF(VLOOKUP($Q132,武学奇术!$A:$ZZ,30,FALSE)="弹道",$B$21,0))*(1+$BQ132)</f>
        <v>11860.3007126578</v>
      </c>
      <c r="M132" s="55">
        <f>(($AO132*$AH132+$AI132)*(1+$AP132)*(1+$AQ132)+($AT132*IF($G$1="鸣金",$AJ132,$AH132)+IF($G$1="鸣金",$AK132*1.5,0))*(1+$AU132)*(1+$AV132)+($AX132*IF($G$1="裂石",$AJ132,$AH132)+IF($G$1="裂石",$AK132*1.5,0))*(1+$AY132)*(1+$AZ132)+($BB132*IF($G$1="牵丝",$AJ132,$AH132)+IF($G$1="牵丝",$AK132*1.5,0))*(1+$BC132)*(1+$BD132)+($BF132*IF($G$1="破竹",$AJ132,$AH132)+IF($G$1="破竹",$AK132*1.5,0))*(1+$BG132)*(1+$BH132))*(1+$AL132)*$BM132*$P132*(1+IF(VLOOKUP($Q132,武学奇术!$A:$ZZ,30,FALSE)="弹道",$B$21,0))*(1+$BQ132)</f>
        <v>14771.4251745079</v>
      </c>
      <c r="N132" s="55">
        <f>((($AN132+$AO132)/2*$AH132+$AI132)*(1+$AP132)*(1+$AQ132)+(($AS132+$AT132)/2*IF($G$1="鸣金",$AJ132,$AH132)+IF($G$1="鸣金",$AK132*1.5,0))*(1+$AU132)*(1+$AV132)+(($AW132+$AX132)/2*IF($G$1="裂石",$AJ132,$AH132)+IF($G$1="裂石",$AK132*1.5,0))*(1+$AY132)*(1+$AZ132)+(($BA132+$BB132)/2*IF($G$1="牵丝",$AJ132,$AH132)+IF($G$1="牵丝",$AK132*1.5,0))*(1+$BC132)*(1+$BD132)+(($BE132+$BF132)/2*IF($G$1="破竹",$AJ132,$AH132)+IF($G$1="破竹",$AK132*1.5,0))*(1+$BG132)*(1+$BH132))*(1+$AL132)*$P132*(1+IF(VLOOKUP($Q132,武学奇术!$A:$ZZ,30,FALSE)="弹道",$B$21,0))*(1+$BQ132)</f>
        <v>7412.68794541112</v>
      </c>
      <c r="O132" s="55">
        <f>((($AN132*$AH132+$AI132)*(1+$AP132)*(1+$AQ132)+($AS132*IF($G$1="鸣金",$AJ132,$AH132)+IF($G$1="鸣金",$AK132*1.5,0))*(1+$AU132)*(1+$AV132)+($AW132*IF($G$1="裂石",$AJ132,$AH132)+IF($G$1="裂石",$AK132*1.5,0))*(1+$AY132)*(1+$AZ132)+($BA132*IF($G$1="牵丝",$AJ132,$AH132)+IF($G$1="牵丝",$AK132*1.5,0))*(1+$BC132)*(1+$BD132)+($BE132*IF($G$1="破竹",$AJ132,$AH132)+IF($G$1="破竹",$AK132*1.5,0))*(1+$BG132)*(1+$BH132))*(1+$AL132))*$P132*(1+IF(VLOOKUP($Q132,武学奇术!$A:$ZZ,30,FALSE)="弹道",$B$21,0))*(1+$BQ132)</f>
        <v>3883.57946526086</v>
      </c>
      <c r="P132" s="56">
        <f t="shared" si="24"/>
        <v>1</v>
      </c>
      <c r="Q132" s="57" t="s">
        <v>171</v>
      </c>
      <c r="R132" s="57" t="s">
        <v>116</v>
      </c>
      <c r="S132" s="57" t="s">
        <v>153</v>
      </c>
      <c r="T132" s="57" t="s">
        <v>72</v>
      </c>
      <c r="U132" s="57" t="s">
        <v>107</v>
      </c>
      <c r="V132" s="57" t="s">
        <v>72</v>
      </c>
      <c r="W132" s="57" t="s">
        <v>72</v>
      </c>
      <c r="X132" s="57" t="s">
        <v>72</v>
      </c>
      <c r="Y132" s="57" t="s">
        <v>72</v>
      </c>
      <c r="Z132" s="57" t="s">
        <v>72</v>
      </c>
      <c r="AA132" s="57" t="s">
        <v>72</v>
      </c>
      <c r="AB132" s="57" t="s">
        <v>72</v>
      </c>
      <c r="AC132" s="57" t="s">
        <v>72</v>
      </c>
      <c r="AD132" s="57" t="s">
        <v>72</v>
      </c>
      <c r="AE132" s="57" t="s">
        <v>72</v>
      </c>
      <c r="AF132" s="57" t="s">
        <v>87</v>
      </c>
      <c r="AG132" t="str">
        <f>VLOOKUP($Q132,武学奇术!$A:$ZZ,25,FALSE)</f>
        <v>心法</v>
      </c>
      <c r="AH132" s="41">
        <f>VLOOKUP($Q132,武学奇术!$A:$ZZ,26,FALSE)</f>
        <v>1</v>
      </c>
      <c r="AI132" s="42">
        <f>VLOOKUP($Q132,武学奇术!$A:$ZZ,27,FALSE)*(1+IF(OR($AG132=$F$4,$AG132=$F$5),$B$22,0))</f>
        <v>0</v>
      </c>
      <c r="AJ132" s="41">
        <f>VLOOKUP($Q132,武学奇术!$A:$ZZ,28,FALSE)</f>
        <v>1</v>
      </c>
      <c r="AK132" s="42">
        <f>VLOOKUP($Q132,武学奇术!$A:$ZZ,29,FALSE)*(1+IF(OR($AG132=$F$4,$AG132=$F$5),$B$22,0))</f>
        <v>0</v>
      </c>
      <c r="AL132" s="41" cm="1">
        <f t="array" ref="AL132">$G$3+IFERROR(VLOOKUP($AG132,$F$4:$G$7,2,FALSE),0)+VLOOKUP($Q132,武学奇术!$A:$ZZ,2,FALSE)+SUM(_xlfn.XLOOKUP($R132:$AF132,增益!$A:$A,增益!$B:$B,0))</f>
        <v>0.1537</v>
      </c>
      <c r="AM132" s="41" cm="1">
        <f t="array" ref="AM132">VLOOKUP($Q132,武学奇术!$A:$ZZ,5,FALSE)+SUM(_xlfn.XLOOKUP($R132:$AF132,增益!$A:$A,增益!$E:$E,0))</f>
        <v>0.075</v>
      </c>
      <c r="AN132" cm="1">
        <f t="array" ref="AN132">$D$10*(1+$AM132)+VLOOKUP($Q132,武学奇术!$A:$ZZ,3,FALSE)+SUM(_xlfn.XLOOKUP($R132:$AF132,增益!$A:$A,增益!$C:$C,0))-$I$2</f>
        <v>1912.055</v>
      </c>
      <c r="AO132" cm="1">
        <f t="array" ref="AO132">$E$10*(1+$AM132)+VLOOKUP($Q132,武学奇术!$A:$ZZ,4,FALSE)+SUM(_xlfn.XLOOKUP($R132:$AF132,增益!$A:$A,增益!$D:$D,0))-$I$2</f>
        <v>5879.45</v>
      </c>
      <c r="AP132" s="49" cm="1">
        <f t="array" ref="AP132">IF($F$10-$I$3+VLOOKUP($Q132,武学奇术!$A:$ZZ,6,FALSE)+SUM(_xlfn.XLOOKUP(R132:AF132,增益!$A:$A,增益!$F:$F,0))&gt;0,($F$10-$I$3+VLOOKUP($Q132,武学奇术!$A:$ZZ,6,FALSE)+SUM(_xlfn.XLOOKUP(R132:AF132,增益!$A:$A,增益!$F:$F,0)))/200,($F$10-$I$3+VLOOKUP($Q132,武学奇术!$A:$ZZ,6,FALSE)+SUM(_xlfn.XLOOKUP(R132:AF132,增益!$A:$A,增益!$F:$F,0)))/100)</f>
        <v>0.2425</v>
      </c>
      <c r="AQ132" s="49" cm="1">
        <f t="array" ref="AQ132">$G$10+VLOOKUP($Q132,武学奇术!$A:$ZZ,7,FALSE)+SUM(_xlfn.XLOOKUP(R132:AF132,增益!$A:$A,增益!$G:$G,0))</f>
        <v>0</v>
      </c>
      <c r="AR132" s="41" cm="1">
        <f t="array" ref="AR132">VLOOKUP($Q132,武学奇术!$A:$ZZ,8,FALSE)+SUM(_xlfn.XLOOKUP(R132:AF132,增益!$A:$A,增益!$H:$H,0))</f>
        <v>0</v>
      </c>
      <c r="AS132">
        <f t="shared" si="26"/>
        <v>0</v>
      </c>
      <c r="AT132">
        <f t="shared" si="27"/>
        <v>0</v>
      </c>
      <c r="AU132" s="49" cm="1">
        <f t="array" ref="AU132">IF($F$11-$I$4+VLOOKUP($Q132,武学奇术!$A:$ZZ,9,FALSE)+SUM(_xlfn.XLOOKUP(R132:AF132,增益!$A:$A,增益!$I:$I,0))&gt;0,($F$11-$I$4+VLOOKUP($Q132,武学奇术!$A:$ZZ,9,FALSE)+SUM(_xlfn.XLOOKUP(R132:AF132,增益!$A:$A,增益!$I:$I,0)))/200,($F$11-$I$4+VLOOKUP($Q132,武学奇术!$A:$ZZ,9,FALSE)+SUM(_xlfn.XLOOKUP(R132:AF132,增益!$A:$A,增益!$I:$I,0)))/100)</f>
        <v>-0.3</v>
      </c>
      <c r="AV132" s="49" cm="1">
        <f t="array" ref="AV132">$G$11+VLOOKUP($Q132,武学奇术!$A:$ZZ,10,FALSE)+SUM(_xlfn.XLOOKUP(R132:AF132,增益!$A:$A,增益!$J:$J,0))</f>
        <v>0</v>
      </c>
      <c r="AW132">
        <f t="shared" si="28"/>
        <v>0</v>
      </c>
      <c r="AX132">
        <f t="shared" si="29"/>
        <v>0</v>
      </c>
      <c r="AY132" s="49" cm="1">
        <f t="array" ref="AY132">IF($F$12-$I$4+VLOOKUP($Q132,武学奇术!$A:$ZZ,11,FALSE)+SUM(_xlfn.XLOOKUP(R132:AF132,增益!$A:$A,增益!$K:$K,0))&gt;0,($F$12-$I$4+VLOOKUP($Q132,武学奇术!$A:$ZZ,11,FALSE)+SUM(_xlfn.XLOOKUP(R132:AF132,增益!$A:$A,增益!$K:$K,0)))/200,($F$12-$I$4+VLOOKUP($Q132,武学奇术!$A:$ZZ,11,FALSE)+SUM(_xlfn.XLOOKUP(R132:AF132,增益!$A:$A,增益!$K:$K,0)))/100)</f>
        <v>-0.3</v>
      </c>
      <c r="AZ132" s="49" cm="1">
        <f t="array" ref="AZ132">$G$12+VLOOKUP($Q132,武学奇术!$A:$ZZ,12,FALSE)+SUM(_xlfn.XLOOKUP(R132:AF132,增益!$A:$A,增益!$L:$L,0))</f>
        <v>0</v>
      </c>
      <c r="BA132">
        <f t="shared" si="30"/>
        <v>571.2</v>
      </c>
      <c r="BB132">
        <f t="shared" si="31"/>
        <v>1077.4</v>
      </c>
      <c r="BC132" s="49" cm="1">
        <f t="array" ref="BC132">IF($F$13-$I$4+VLOOKUP($Q132,武学奇术!$A:$ZZ,13,FALSE)+SUM(_xlfn.XLOOKUP(R132:AF132,增益!$A:$A,增益!$M:$M,0))&gt;0,($F$13-$I$4+VLOOKUP($Q132,武学奇术!$A:$ZZ,13,FALSE)+SUM(_xlfn.XLOOKUP(R132:AF132,增益!$A:$A,增益!$K:$K,0)))/200,($F$13-$I$4+VLOOKUP($Q132,武学奇术!$A:$ZZ,13,FALSE)+SUM(_xlfn.XLOOKUP(R132:AF132,增益!$A:$A,增益!$M:$M,0)))/100)</f>
        <v>0</v>
      </c>
      <c r="BD132" s="49" cm="1">
        <f t="array" ref="BD132">$G$13+VLOOKUP($Q132,武学奇术!$A:$ZZ,14,FALSE)+SUM(_xlfn.XLOOKUP(R132:AF132,增益!$A:$A,增益!$N:$N,0))</f>
        <v>0.15</v>
      </c>
      <c r="BE132">
        <f t="shared" si="32"/>
        <v>0</v>
      </c>
      <c r="BF132">
        <f t="shared" si="33"/>
        <v>0</v>
      </c>
      <c r="BG132" s="49" cm="1">
        <f t="array" ref="BG132">IF($F$14-$I$4+VLOOKUP($Q132,武学奇术!$A:$ZZ,15,FALSE)+SUM(_xlfn.XLOOKUP(R132:AF132,增益!$A:$A,增益!$O:$O,0))&gt;0,($F$14-$I$4+VLOOKUP($Q132,武学奇术!$A:$ZZ,15,FALSE)+SUM(_xlfn.XLOOKUP(R132:AF132,增益!$A:$A,增益!$O:$O,0)))/200,($F$14-$I$4+VLOOKUP($Q132,武学奇术!$A:$ZZ,15,FALSE)+SUM(_xlfn.XLOOKUP(R132:AF132,增益!$A:$A,增益!$O:$O,0)))/100)</f>
        <v>-0.3</v>
      </c>
      <c r="BH132" s="49" cm="1">
        <f t="array" ref="BH132">$G$14+VLOOKUP($Q132,武学奇术!$A:$ZZ,16,FALSE)+SUM(_xlfn.XLOOKUP(R132:AF132,增益!$A:$A,增益!$P:$P,0))</f>
        <v>0</v>
      </c>
      <c r="BI132" s="41">
        <f>MIN(IF(VLOOKUP($Q132,武学奇术!$A:$ZZ,23,FALSE)=1,100%,$B$8),100%)</f>
        <v>1</v>
      </c>
      <c r="BJ132" s="41" cm="1">
        <f t="array" ref="BJ132">IF(VLOOKUP($Q132,武学奇术!$A:$ZZ,23,FALSE)=1,100%,MIN(80%,$B$9+VLOOKUP($Q132,武学奇术!$A:$ZZ,17,FALSE)+SUM(_xlfn.XLOOKUP(R132:AF132,增益!$A:$A,增益!$Q:$Q,0)))+$B$11+SUM(_xlfn.XLOOKUP(R132:AF132,增益!$A:$A,增益!$U:$U,0)))*IF(VLOOKUP($Q132,武学奇术!$A:$ZZ,24,FALSE)=1,0,1)</f>
        <v>0.9045</v>
      </c>
      <c r="BK132" s="41" cm="1">
        <f t="array" ref="BK132">1+$B$13+VLOOKUP($Q132,武学奇术!$A:$ZZ,18,FALSE)+SUM(_xlfn.XLOOKUP(R132:AF132,增益!$A:$A,增益!$R:$R,0))</f>
        <v>1.6</v>
      </c>
      <c r="BL132" s="41" cm="1">
        <f t="array" ref="BL132">IF(VLOOKUP($Q132,武学奇术!$A:$ZZ,24,FALSE)=1,100%,MIN(40%,$B$10+VLOOKUP($Q132,武学奇术!$A:$ZZ,19,FALSE)+SUM(_xlfn.XLOOKUP(R132:AF132,增益!$A:$A,增益!$S:$S,0)))+$B$12+SUM(_xlfn.XLOOKUP(R132:AF132,增益!$A:$A,增益!$V:$V,0)))*IF(VLOOKUP($Q132,武学奇术!$A:$ZZ,23,FALSE)=1,0,1)</f>
        <v>0.0929</v>
      </c>
      <c r="BM132" s="41" cm="1">
        <f t="array" ref="BM132">1+$B$14+VLOOKUP($Q132,武学奇术!$A:$ZZ,20,FALSE)+SUM(_xlfn.XLOOKUP(R132:AF132,增益!$A:$A,增益!$T:$T,0))</f>
        <v>1.35</v>
      </c>
      <c r="BN132" s="41">
        <f t="shared" si="34"/>
        <v>0.9045</v>
      </c>
      <c r="BO132" s="41">
        <f t="shared" si="35"/>
        <v>0.00260000000000005</v>
      </c>
      <c r="BP132" s="41">
        <f>IF(VLOOKUP($Q132,武学奇术!$A:$ZZ,22,FALSE)=1,0,(1-$BI132))*(1-$BL132)</f>
        <v>0</v>
      </c>
      <c r="BQ132" s="41" cm="1">
        <f t="array" ref="BQ132">SUM(_xlfn.XLOOKUP(R132:AF132,增益!$A:$A,增益!$W:$W,0))+$I$5</f>
        <v>0.11</v>
      </c>
    </row>
    <row r="133" spans="11:69">
      <c r="K133" s="55">
        <f t="shared" si="25"/>
        <v>12119.1803819688</v>
      </c>
      <c r="L133" s="55">
        <f>((($AN133+$AO133)/2*$AH133+$AI133)*(1+$AP133)*(1+$AQ133)+(($AS133+$AT133)/2*IF($G$1="鸣金",$AJ133,$AH133)+IF($G$1="鸣金",$AK133*1.5,0))*(1+$AU133)*(1+$AV133)+(($AW133+$AX133)/2*IF($G$1="裂石",$AJ133,$AH133)+IF($G$1="裂石",$AK133*1.5,0))*(1+$AY133)*(1+$AZ133)+(($BA133+$BB133)/2*IF($G$1="牵丝",$AJ133,$AH133)+IF($G$1="牵丝",$AK133*1.5,0))*(1+$BC133)*(1+$BD133)+(($BE133+$BF133)/2*IF($G$1="破竹",$AJ133,$AH133)+IF($G$1="破竹",$AK133*1.5,0))*(1+$BG133)*(1+$BH133))*(1+$AL133)*$BK133*$P133*(1+IF(VLOOKUP($Q133,武学奇术!$A:$ZZ,30,FALSE)="弹道",$B$21,0))*(1+$BQ133)</f>
        <v>11860.3007126578</v>
      </c>
      <c r="M133" s="55">
        <f>(($AO133*$AH133+$AI133)*(1+$AP133)*(1+$AQ133)+($AT133*IF($G$1="鸣金",$AJ133,$AH133)+IF($G$1="鸣金",$AK133*1.5,0))*(1+$AU133)*(1+$AV133)+($AX133*IF($G$1="裂石",$AJ133,$AH133)+IF($G$1="裂石",$AK133*1.5,0))*(1+$AY133)*(1+$AZ133)+($BB133*IF($G$1="牵丝",$AJ133,$AH133)+IF($G$1="牵丝",$AK133*1.5,0))*(1+$BC133)*(1+$BD133)+($BF133*IF($G$1="破竹",$AJ133,$AH133)+IF($G$1="破竹",$AK133*1.5,0))*(1+$BG133)*(1+$BH133))*(1+$AL133)*$BM133*$P133*(1+IF(VLOOKUP($Q133,武学奇术!$A:$ZZ,30,FALSE)="弹道",$B$21,0))*(1+$BQ133)</f>
        <v>14771.4251745079</v>
      </c>
      <c r="N133" s="55">
        <f>((($AN133+$AO133)/2*$AH133+$AI133)*(1+$AP133)*(1+$AQ133)+(($AS133+$AT133)/2*IF($G$1="鸣金",$AJ133,$AH133)+IF($G$1="鸣金",$AK133*1.5,0))*(1+$AU133)*(1+$AV133)+(($AW133+$AX133)/2*IF($G$1="裂石",$AJ133,$AH133)+IF($G$1="裂石",$AK133*1.5,0))*(1+$AY133)*(1+$AZ133)+(($BA133+$BB133)/2*IF($G$1="牵丝",$AJ133,$AH133)+IF($G$1="牵丝",$AK133*1.5,0))*(1+$BC133)*(1+$BD133)+(($BE133+$BF133)/2*IF($G$1="破竹",$AJ133,$AH133)+IF($G$1="破竹",$AK133*1.5,0))*(1+$BG133)*(1+$BH133))*(1+$AL133)*$P133*(1+IF(VLOOKUP($Q133,武学奇术!$A:$ZZ,30,FALSE)="弹道",$B$21,0))*(1+$BQ133)</f>
        <v>7412.68794541112</v>
      </c>
      <c r="O133" s="55">
        <f>((($AN133*$AH133+$AI133)*(1+$AP133)*(1+$AQ133)+($AS133*IF($G$1="鸣金",$AJ133,$AH133)+IF($G$1="鸣金",$AK133*1.5,0))*(1+$AU133)*(1+$AV133)+($AW133*IF($G$1="裂石",$AJ133,$AH133)+IF($G$1="裂石",$AK133*1.5,0))*(1+$AY133)*(1+$AZ133)+($BA133*IF($G$1="牵丝",$AJ133,$AH133)+IF($G$1="牵丝",$AK133*1.5,0))*(1+$BC133)*(1+$BD133)+($BE133*IF($G$1="破竹",$AJ133,$AH133)+IF($G$1="破竹",$AK133*1.5,0))*(1+$BG133)*(1+$BH133))*(1+$AL133))*$P133*(1+IF(VLOOKUP($Q133,武学奇术!$A:$ZZ,30,FALSE)="弹道",$B$21,0))*(1+$BQ133)</f>
        <v>3883.57946526086</v>
      </c>
      <c r="P133" s="56">
        <f t="shared" si="24"/>
        <v>1</v>
      </c>
      <c r="Q133" s="57" t="s">
        <v>171</v>
      </c>
      <c r="R133" s="57" t="s">
        <v>116</v>
      </c>
      <c r="S133" s="57" t="s">
        <v>153</v>
      </c>
      <c r="T133" s="57" t="s">
        <v>72</v>
      </c>
      <c r="U133" s="57" t="s">
        <v>107</v>
      </c>
      <c r="V133" s="57" t="s">
        <v>72</v>
      </c>
      <c r="W133" s="57" t="s">
        <v>72</v>
      </c>
      <c r="X133" s="57" t="s">
        <v>72</v>
      </c>
      <c r="Y133" s="57" t="s">
        <v>72</v>
      </c>
      <c r="Z133" s="57" t="s">
        <v>72</v>
      </c>
      <c r="AA133" s="57" t="s">
        <v>72</v>
      </c>
      <c r="AB133" s="57" t="s">
        <v>72</v>
      </c>
      <c r="AC133" s="57" t="s">
        <v>72</v>
      </c>
      <c r="AD133" s="57" t="s">
        <v>72</v>
      </c>
      <c r="AE133" s="57" t="s">
        <v>72</v>
      </c>
      <c r="AF133" s="57" t="s">
        <v>87</v>
      </c>
      <c r="AG133" t="str">
        <f>VLOOKUP($Q133,武学奇术!$A:$ZZ,25,FALSE)</f>
        <v>心法</v>
      </c>
      <c r="AH133" s="41">
        <f>VLOOKUP($Q133,武学奇术!$A:$ZZ,26,FALSE)</f>
        <v>1</v>
      </c>
      <c r="AI133" s="42">
        <f>VLOOKUP($Q133,武学奇术!$A:$ZZ,27,FALSE)*(1+IF(OR($AG133=$F$4,$AG133=$F$5),$B$22,0))</f>
        <v>0</v>
      </c>
      <c r="AJ133" s="41">
        <f>VLOOKUP($Q133,武学奇术!$A:$ZZ,28,FALSE)</f>
        <v>1</v>
      </c>
      <c r="AK133" s="42">
        <f>VLOOKUP($Q133,武学奇术!$A:$ZZ,29,FALSE)*(1+IF(OR($AG133=$F$4,$AG133=$F$5),$B$22,0))</f>
        <v>0</v>
      </c>
      <c r="AL133" s="41" cm="1">
        <f t="array" ref="AL133">$G$3+IFERROR(VLOOKUP($AG133,$F$4:$G$7,2,FALSE),0)+VLOOKUP($Q133,武学奇术!$A:$ZZ,2,FALSE)+SUM(_xlfn.XLOOKUP($R133:$AF133,增益!$A:$A,增益!$B:$B,0))</f>
        <v>0.1537</v>
      </c>
      <c r="AM133" s="41" cm="1">
        <f t="array" ref="AM133">VLOOKUP($Q133,武学奇术!$A:$ZZ,5,FALSE)+SUM(_xlfn.XLOOKUP($R133:$AF133,增益!$A:$A,增益!$E:$E,0))</f>
        <v>0.075</v>
      </c>
      <c r="AN133" cm="1">
        <f t="array" ref="AN133">$D$10*(1+$AM133)+VLOOKUP($Q133,武学奇术!$A:$ZZ,3,FALSE)+SUM(_xlfn.XLOOKUP($R133:$AF133,增益!$A:$A,增益!$C:$C,0))-$I$2</f>
        <v>1912.055</v>
      </c>
      <c r="AO133" cm="1">
        <f t="array" ref="AO133">$E$10*(1+$AM133)+VLOOKUP($Q133,武学奇术!$A:$ZZ,4,FALSE)+SUM(_xlfn.XLOOKUP($R133:$AF133,增益!$A:$A,增益!$D:$D,0))-$I$2</f>
        <v>5879.45</v>
      </c>
      <c r="AP133" s="49" cm="1">
        <f t="array" ref="AP133">IF($F$10-$I$3+VLOOKUP($Q133,武学奇术!$A:$ZZ,6,FALSE)+SUM(_xlfn.XLOOKUP(R133:AF133,增益!$A:$A,增益!$F:$F,0))&gt;0,($F$10-$I$3+VLOOKUP($Q133,武学奇术!$A:$ZZ,6,FALSE)+SUM(_xlfn.XLOOKUP(R133:AF133,增益!$A:$A,增益!$F:$F,0)))/200,($F$10-$I$3+VLOOKUP($Q133,武学奇术!$A:$ZZ,6,FALSE)+SUM(_xlfn.XLOOKUP(R133:AF133,增益!$A:$A,增益!$F:$F,0)))/100)</f>
        <v>0.2425</v>
      </c>
      <c r="AQ133" s="49" cm="1">
        <f t="array" ref="AQ133">$G$10+VLOOKUP($Q133,武学奇术!$A:$ZZ,7,FALSE)+SUM(_xlfn.XLOOKUP(R133:AF133,增益!$A:$A,增益!$G:$G,0))</f>
        <v>0</v>
      </c>
      <c r="AR133" s="41" cm="1">
        <f t="array" ref="AR133">VLOOKUP($Q133,武学奇术!$A:$ZZ,8,FALSE)+SUM(_xlfn.XLOOKUP(R133:AF133,增益!$A:$A,增益!$H:$H,0))</f>
        <v>0</v>
      </c>
      <c r="AS133">
        <f t="shared" si="26"/>
        <v>0</v>
      </c>
      <c r="AT133">
        <f t="shared" si="27"/>
        <v>0</v>
      </c>
      <c r="AU133" s="49" cm="1">
        <f t="array" ref="AU133">IF($F$11-$I$4+VLOOKUP($Q133,武学奇术!$A:$ZZ,9,FALSE)+SUM(_xlfn.XLOOKUP(R133:AF133,增益!$A:$A,增益!$I:$I,0))&gt;0,($F$11-$I$4+VLOOKUP($Q133,武学奇术!$A:$ZZ,9,FALSE)+SUM(_xlfn.XLOOKUP(R133:AF133,增益!$A:$A,增益!$I:$I,0)))/200,($F$11-$I$4+VLOOKUP($Q133,武学奇术!$A:$ZZ,9,FALSE)+SUM(_xlfn.XLOOKUP(R133:AF133,增益!$A:$A,增益!$I:$I,0)))/100)</f>
        <v>-0.3</v>
      </c>
      <c r="AV133" s="49" cm="1">
        <f t="array" ref="AV133">$G$11+VLOOKUP($Q133,武学奇术!$A:$ZZ,10,FALSE)+SUM(_xlfn.XLOOKUP(R133:AF133,增益!$A:$A,增益!$J:$J,0))</f>
        <v>0</v>
      </c>
      <c r="AW133">
        <f t="shared" si="28"/>
        <v>0</v>
      </c>
      <c r="AX133">
        <f t="shared" si="29"/>
        <v>0</v>
      </c>
      <c r="AY133" s="49" cm="1">
        <f t="array" ref="AY133">IF($F$12-$I$4+VLOOKUP($Q133,武学奇术!$A:$ZZ,11,FALSE)+SUM(_xlfn.XLOOKUP(R133:AF133,增益!$A:$A,增益!$K:$K,0))&gt;0,($F$12-$I$4+VLOOKUP($Q133,武学奇术!$A:$ZZ,11,FALSE)+SUM(_xlfn.XLOOKUP(R133:AF133,增益!$A:$A,增益!$K:$K,0)))/200,($F$12-$I$4+VLOOKUP($Q133,武学奇术!$A:$ZZ,11,FALSE)+SUM(_xlfn.XLOOKUP(R133:AF133,增益!$A:$A,增益!$K:$K,0)))/100)</f>
        <v>-0.3</v>
      </c>
      <c r="AZ133" s="49" cm="1">
        <f t="array" ref="AZ133">$G$12+VLOOKUP($Q133,武学奇术!$A:$ZZ,12,FALSE)+SUM(_xlfn.XLOOKUP(R133:AF133,增益!$A:$A,增益!$L:$L,0))</f>
        <v>0</v>
      </c>
      <c r="BA133">
        <f t="shared" si="30"/>
        <v>571.2</v>
      </c>
      <c r="BB133">
        <f t="shared" si="31"/>
        <v>1077.4</v>
      </c>
      <c r="BC133" s="49" cm="1">
        <f t="array" ref="BC133">IF($F$13-$I$4+VLOOKUP($Q133,武学奇术!$A:$ZZ,13,FALSE)+SUM(_xlfn.XLOOKUP(R133:AF133,增益!$A:$A,增益!$M:$M,0))&gt;0,($F$13-$I$4+VLOOKUP($Q133,武学奇术!$A:$ZZ,13,FALSE)+SUM(_xlfn.XLOOKUP(R133:AF133,增益!$A:$A,增益!$K:$K,0)))/200,($F$13-$I$4+VLOOKUP($Q133,武学奇术!$A:$ZZ,13,FALSE)+SUM(_xlfn.XLOOKUP(R133:AF133,增益!$A:$A,增益!$M:$M,0)))/100)</f>
        <v>0</v>
      </c>
      <c r="BD133" s="49" cm="1">
        <f t="array" ref="BD133">$G$13+VLOOKUP($Q133,武学奇术!$A:$ZZ,14,FALSE)+SUM(_xlfn.XLOOKUP(R133:AF133,增益!$A:$A,增益!$N:$N,0))</f>
        <v>0.15</v>
      </c>
      <c r="BE133">
        <f t="shared" si="32"/>
        <v>0</v>
      </c>
      <c r="BF133">
        <f t="shared" si="33"/>
        <v>0</v>
      </c>
      <c r="BG133" s="49" cm="1">
        <f t="array" ref="BG133">IF($F$14-$I$4+VLOOKUP($Q133,武学奇术!$A:$ZZ,15,FALSE)+SUM(_xlfn.XLOOKUP(R133:AF133,增益!$A:$A,增益!$O:$O,0))&gt;0,($F$14-$I$4+VLOOKUP($Q133,武学奇术!$A:$ZZ,15,FALSE)+SUM(_xlfn.XLOOKUP(R133:AF133,增益!$A:$A,增益!$O:$O,0)))/200,($F$14-$I$4+VLOOKUP($Q133,武学奇术!$A:$ZZ,15,FALSE)+SUM(_xlfn.XLOOKUP(R133:AF133,增益!$A:$A,增益!$O:$O,0)))/100)</f>
        <v>-0.3</v>
      </c>
      <c r="BH133" s="49" cm="1">
        <f t="array" ref="BH133">$G$14+VLOOKUP($Q133,武学奇术!$A:$ZZ,16,FALSE)+SUM(_xlfn.XLOOKUP(R133:AF133,增益!$A:$A,增益!$P:$P,0))</f>
        <v>0</v>
      </c>
      <c r="BI133" s="41">
        <f>MIN(IF(VLOOKUP($Q133,武学奇术!$A:$ZZ,23,FALSE)=1,100%,$B$8),100%)</f>
        <v>1</v>
      </c>
      <c r="BJ133" s="41" cm="1">
        <f t="array" ref="BJ133">IF(VLOOKUP($Q133,武学奇术!$A:$ZZ,23,FALSE)=1,100%,MIN(80%,$B$9+VLOOKUP($Q133,武学奇术!$A:$ZZ,17,FALSE)+SUM(_xlfn.XLOOKUP(R133:AF133,增益!$A:$A,增益!$Q:$Q,0)))+$B$11+SUM(_xlfn.XLOOKUP(R133:AF133,增益!$A:$A,增益!$U:$U,0)))*IF(VLOOKUP($Q133,武学奇术!$A:$ZZ,24,FALSE)=1,0,1)</f>
        <v>0.9045</v>
      </c>
      <c r="BK133" s="41" cm="1">
        <f t="array" ref="BK133">1+$B$13+VLOOKUP($Q133,武学奇术!$A:$ZZ,18,FALSE)+SUM(_xlfn.XLOOKUP(R133:AF133,增益!$A:$A,增益!$R:$R,0))</f>
        <v>1.6</v>
      </c>
      <c r="BL133" s="41" cm="1">
        <f t="array" ref="BL133">IF(VLOOKUP($Q133,武学奇术!$A:$ZZ,24,FALSE)=1,100%,MIN(40%,$B$10+VLOOKUP($Q133,武学奇术!$A:$ZZ,19,FALSE)+SUM(_xlfn.XLOOKUP(R133:AF133,增益!$A:$A,增益!$S:$S,0)))+$B$12+SUM(_xlfn.XLOOKUP(R133:AF133,增益!$A:$A,增益!$V:$V,0)))*IF(VLOOKUP($Q133,武学奇术!$A:$ZZ,23,FALSE)=1,0,1)</f>
        <v>0.0929</v>
      </c>
      <c r="BM133" s="41" cm="1">
        <f t="array" ref="BM133">1+$B$14+VLOOKUP($Q133,武学奇术!$A:$ZZ,20,FALSE)+SUM(_xlfn.XLOOKUP(R133:AF133,增益!$A:$A,增益!$T:$T,0))</f>
        <v>1.35</v>
      </c>
      <c r="BN133" s="41">
        <f t="shared" si="34"/>
        <v>0.9045</v>
      </c>
      <c r="BO133" s="41">
        <f t="shared" si="35"/>
        <v>0.00260000000000005</v>
      </c>
      <c r="BP133" s="41">
        <f>IF(VLOOKUP($Q133,武学奇术!$A:$ZZ,22,FALSE)=1,0,(1-$BI133))*(1-$BL133)</f>
        <v>0</v>
      </c>
      <c r="BQ133" s="41" cm="1">
        <f t="array" ref="BQ133">SUM(_xlfn.XLOOKUP(R133:AF133,增益!$A:$A,增益!$W:$W,0))+$I$5</f>
        <v>0.11</v>
      </c>
    </row>
    <row r="134" spans="11:69">
      <c r="K134" s="55">
        <f t="shared" si="25"/>
        <v>12936.4489639071</v>
      </c>
      <c r="L134" s="55">
        <f>((($AN134+$AO134)/2*$AH134+$AI134)*(1+$AP134)*(1+$AQ134)+(($AS134+$AT134)/2*IF($G$1="鸣金",$AJ134,$AH134)+IF($G$1="鸣金",$AK134*1.5,0))*(1+$AU134)*(1+$AV134)+(($AW134+$AX134)/2*IF($G$1="裂石",$AJ134,$AH134)+IF($G$1="裂石",$AK134*1.5,0))*(1+$AY134)*(1+$AZ134)+(($BA134+$BB134)/2*IF($G$1="牵丝",$AJ134,$AH134)+IF($G$1="牵丝",$AK134*1.5,0))*(1+$BC134)*(1+$BD134)+(($BE134+$BF134)/2*IF($G$1="破竹",$AJ134,$AH134)+IF($G$1="破竹",$AK134*1.5,0))*(1+$BG134)*(1+$BH134))*(1+$AL134)*$BK134*$P134*(1+IF(VLOOKUP($Q134,武学奇术!$A:$ZZ,30,FALSE)="弹道",$B$21,0))*(1+$BQ134)</f>
        <v>12662.3760851504</v>
      </c>
      <c r="M134" s="55">
        <f>(($AO134*$AH134+$AI134)*(1+$AP134)*(1+$AQ134)+($AT134*IF($G$1="鸣金",$AJ134,$AH134)+IF($G$1="鸣金",$AK134*1.5,0))*(1+$AU134)*(1+$AV134)+($AX134*IF($G$1="裂石",$AJ134,$AH134)+IF($G$1="裂石",$AK134*1.5,0))*(1+$AY134)*(1+$AZ134)+($BB134*IF($G$1="牵丝",$AJ134,$AH134)+IF($G$1="牵丝",$AK134*1.5,0))*(1+$BC134)*(1+$BD134)+($BF134*IF($G$1="破竹",$AJ134,$AH134)+IF($G$1="破竹",$AK134*1.5,0))*(1+$BG134)*(1+$BH134))*(1+$AL134)*$BM134*$P134*(1+IF(VLOOKUP($Q134,武学奇术!$A:$ZZ,30,FALSE)="弹道",$B$21,0))*(1+$BQ134)</f>
        <v>15745.462150164</v>
      </c>
      <c r="N134" s="55">
        <f>((($AN134+$AO134)/2*$AH134+$AI134)*(1+$AP134)*(1+$AQ134)+(($AS134+$AT134)/2*IF($G$1="鸣金",$AJ134,$AH134)+IF($G$1="鸣金",$AK134*1.5,0))*(1+$AU134)*(1+$AV134)+(($AW134+$AX134)/2*IF($G$1="裂石",$AJ134,$AH134)+IF($G$1="裂石",$AK134*1.5,0))*(1+$AY134)*(1+$AZ134)+(($BA134+$BB134)/2*IF($G$1="牵丝",$AJ134,$AH134)+IF($G$1="牵丝",$AK134*1.5,0))*(1+$BC134)*(1+$BD134)+(($BE134+$BF134)/2*IF($G$1="破竹",$AJ134,$AH134)+IF($G$1="破竹",$AK134*1.5,0))*(1+$BG134)*(1+$BH134))*(1+$AL134)*$P134*(1+IF(VLOOKUP($Q134,武学奇术!$A:$ZZ,30,FALSE)="弹道",$B$21,0))*(1+$BQ134)</f>
        <v>7913.98505321899</v>
      </c>
      <c r="O134" s="55">
        <f>((($AN134*$AH134+$AI134)*(1+$AP134)*(1+$AQ134)+($AS134*IF($G$1="鸣金",$AJ134,$AH134)+IF($G$1="鸣金",$AK134*1.5,0))*(1+$AU134)*(1+$AV134)+($AW134*IF($G$1="裂石",$AJ134,$AH134)+IF($G$1="裂石",$AK134*1.5,0))*(1+$AY134)*(1+$AZ134)+($BA134*IF($G$1="牵丝",$AJ134,$AH134)+IF($G$1="牵丝",$AK134*1.5,0))*(1+$BC134)*(1+$BD134)+($BE134*IF($G$1="破竹",$AJ134,$AH134)+IF($G$1="破竹",$AK134*1.5,0))*(1+$BG134)*(1+$BH134))*(1+$AL134))*$P134*(1+IF(VLOOKUP($Q134,武学奇术!$A:$ZZ,30,FALSE)="弹道",$B$21,0))*(1+$BQ134)</f>
        <v>4164.66481002023</v>
      </c>
      <c r="P134" s="56">
        <f t="shared" si="24"/>
        <v>1</v>
      </c>
      <c r="Q134" s="57" t="s">
        <v>171</v>
      </c>
      <c r="R134" s="57" t="s">
        <v>116</v>
      </c>
      <c r="S134" s="57" t="s">
        <v>153</v>
      </c>
      <c r="T134" s="57" t="s">
        <v>72</v>
      </c>
      <c r="U134" s="57" t="s">
        <v>157</v>
      </c>
      <c r="V134" s="57" t="s">
        <v>72</v>
      </c>
      <c r="W134" s="57" t="s">
        <v>72</v>
      </c>
      <c r="X134" s="57" t="s">
        <v>72</v>
      </c>
      <c r="Y134" s="57" t="s">
        <v>72</v>
      </c>
      <c r="Z134" s="57" t="s">
        <v>72</v>
      </c>
      <c r="AA134" s="57" t="s">
        <v>72</v>
      </c>
      <c r="AB134" s="57" t="s">
        <v>72</v>
      </c>
      <c r="AC134" s="57" t="s">
        <v>72</v>
      </c>
      <c r="AD134" s="57" t="s">
        <v>72</v>
      </c>
      <c r="AE134" s="57" t="s">
        <v>72</v>
      </c>
      <c r="AF134" s="57" t="s">
        <v>87</v>
      </c>
      <c r="AG134" t="str">
        <f>VLOOKUP($Q134,武学奇术!$A:$ZZ,25,FALSE)</f>
        <v>心法</v>
      </c>
      <c r="AH134" s="41">
        <f>VLOOKUP($Q134,武学奇术!$A:$ZZ,26,FALSE)</f>
        <v>1</v>
      </c>
      <c r="AI134" s="42">
        <f>VLOOKUP($Q134,武学奇术!$A:$ZZ,27,FALSE)*(1+IF(OR($AG134=$F$4,$AG134=$F$5),$B$22,0))</f>
        <v>0</v>
      </c>
      <c r="AJ134" s="41">
        <f>VLOOKUP($Q134,武学奇术!$A:$ZZ,28,FALSE)</f>
        <v>1</v>
      </c>
      <c r="AK134" s="42">
        <f>VLOOKUP($Q134,武学奇术!$A:$ZZ,29,FALSE)*(1+IF(OR($AG134=$F$4,$AG134=$F$5),$B$22,0))</f>
        <v>0</v>
      </c>
      <c r="AL134" s="41" cm="1">
        <f t="array" ref="AL134">$G$3+IFERROR(VLOOKUP($AG134,$F$4:$G$7,2,FALSE),0)+VLOOKUP($Q134,武学奇术!$A:$ZZ,2,FALSE)+SUM(_xlfn.XLOOKUP($R134:$AF134,增益!$A:$A,增益!$B:$B,0))</f>
        <v>0.1537</v>
      </c>
      <c r="AM134" s="41" cm="1">
        <f t="array" ref="AM134">VLOOKUP($Q134,武学奇术!$A:$ZZ,5,FALSE)+SUM(_xlfn.XLOOKUP($R134:$AF134,增益!$A:$A,增益!$E:$E,0))</f>
        <v>0.15</v>
      </c>
      <c r="AN134" cm="1">
        <f t="array" ref="AN134">$D$10*(1+$AM134)+VLOOKUP($Q134,武学奇术!$A:$ZZ,3,FALSE)+SUM(_xlfn.XLOOKUP($R134:$AF134,增益!$A:$A,增益!$C:$C,0))-$I$2</f>
        <v>2088.71</v>
      </c>
      <c r="AO134" cm="1">
        <f t="array" ref="AO134">$E$10*(1+$AM134)+VLOOKUP($Q134,武学奇术!$A:$ZZ,4,FALSE)+SUM(_xlfn.XLOOKUP($R134:$AF134,增益!$A:$A,增益!$D:$D,0))-$I$2</f>
        <v>6332.9</v>
      </c>
      <c r="AP134" s="49" cm="1">
        <f t="array" ref="AP134">IF($F$10-$I$3+VLOOKUP($Q134,武学奇术!$A:$ZZ,6,FALSE)+SUM(_xlfn.XLOOKUP(R134:AF134,增益!$A:$A,增益!$F:$F,0))&gt;0,($F$10-$I$3+VLOOKUP($Q134,武学奇术!$A:$ZZ,6,FALSE)+SUM(_xlfn.XLOOKUP(R134:AF134,增益!$A:$A,增益!$F:$F,0)))/200,($F$10-$I$3+VLOOKUP($Q134,武学奇术!$A:$ZZ,6,FALSE)+SUM(_xlfn.XLOOKUP(R134:AF134,增益!$A:$A,增益!$F:$F,0)))/100)</f>
        <v>0.2425</v>
      </c>
      <c r="AQ134" s="49" cm="1">
        <f t="array" ref="AQ134">$G$10+VLOOKUP($Q134,武学奇术!$A:$ZZ,7,FALSE)+SUM(_xlfn.XLOOKUP(R134:AF134,增益!$A:$A,增益!$G:$G,0))</f>
        <v>0</v>
      </c>
      <c r="AR134" s="41" cm="1">
        <f t="array" ref="AR134">VLOOKUP($Q134,武学奇术!$A:$ZZ,8,FALSE)+SUM(_xlfn.XLOOKUP(R134:AF134,增益!$A:$A,增益!$H:$H,0))</f>
        <v>0</v>
      </c>
      <c r="AS134">
        <f t="shared" si="26"/>
        <v>0</v>
      </c>
      <c r="AT134">
        <f t="shared" si="27"/>
        <v>0</v>
      </c>
      <c r="AU134" s="49" cm="1">
        <f t="array" ref="AU134">IF($F$11-$I$4+VLOOKUP($Q134,武学奇术!$A:$ZZ,9,FALSE)+SUM(_xlfn.XLOOKUP(R134:AF134,增益!$A:$A,增益!$I:$I,0))&gt;0,($F$11-$I$4+VLOOKUP($Q134,武学奇术!$A:$ZZ,9,FALSE)+SUM(_xlfn.XLOOKUP(R134:AF134,增益!$A:$A,增益!$I:$I,0)))/200,($F$11-$I$4+VLOOKUP($Q134,武学奇术!$A:$ZZ,9,FALSE)+SUM(_xlfn.XLOOKUP(R134:AF134,增益!$A:$A,增益!$I:$I,0)))/100)</f>
        <v>-0.3</v>
      </c>
      <c r="AV134" s="49" cm="1">
        <f t="array" ref="AV134">$G$11+VLOOKUP($Q134,武学奇术!$A:$ZZ,10,FALSE)+SUM(_xlfn.XLOOKUP(R134:AF134,增益!$A:$A,增益!$J:$J,0))</f>
        <v>0</v>
      </c>
      <c r="AW134">
        <f t="shared" si="28"/>
        <v>0</v>
      </c>
      <c r="AX134">
        <f t="shared" si="29"/>
        <v>0</v>
      </c>
      <c r="AY134" s="49" cm="1">
        <f t="array" ref="AY134">IF($F$12-$I$4+VLOOKUP($Q134,武学奇术!$A:$ZZ,11,FALSE)+SUM(_xlfn.XLOOKUP(R134:AF134,增益!$A:$A,增益!$K:$K,0))&gt;0,($F$12-$I$4+VLOOKUP($Q134,武学奇术!$A:$ZZ,11,FALSE)+SUM(_xlfn.XLOOKUP(R134:AF134,增益!$A:$A,增益!$K:$K,0)))/200,($F$12-$I$4+VLOOKUP($Q134,武学奇术!$A:$ZZ,11,FALSE)+SUM(_xlfn.XLOOKUP(R134:AF134,增益!$A:$A,增益!$K:$K,0)))/100)</f>
        <v>-0.3</v>
      </c>
      <c r="AZ134" s="49" cm="1">
        <f t="array" ref="AZ134">$G$12+VLOOKUP($Q134,武学奇术!$A:$ZZ,12,FALSE)+SUM(_xlfn.XLOOKUP(R134:AF134,增益!$A:$A,增益!$L:$L,0))</f>
        <v>0</v>
      </c>
      <c r="BA134">
        <f t="shared" si="30"/>
        <v>571.2</v>
      </c>
      <c r="BB134">
        <f t="shared" si="31"/>
        <v>1077.4</v>
      </c>
      <c r="BC134" s="49" cm="1">
        <f t="array" ref="BC134">IF($F$13-$I$4+VLOOKUP($Q134,武学奇术!$A:$ZZ,13,FALSE)+SUM(_xlfn.XLOOKUP(R134:AF134,增益!$A:$A,增益!$M:$M,0))&gt;0,($F$13-$I$4+VLOOKUP($Q134,武学奇术!$A:$ZZ,13,FALSE)+SUM(_xlfn.XLOOKUP(R134:AF134,增益!$A:$A,增益!$K:$K,0)))/200,($F$13-$I$4+VLOOKUP($Q134,武学奇术!$A:$ZZ,13,FALSE)+SUM(_xlfn.XLOOKUP(R134:AF134,增益!$A:$A,增益!$M:$M,0)))/100)</f>
        <v>0</v>
      </c>
      <c r="BD134" s="49" cm="1">
        <f t="array" ref="BD134">$G$13+VLOOKUP($Q134,武学奇术!$A:$ZZ,14,FALSE)+SUM(_xlfn.XLOOKUP(R134:AF134,增益!$A:$A,增益!$N:$N,0))</f>
        <v>0.15</v>
      </c>
      <c r="BE134">
        <f t="shared" si="32"/>
        <v>0</v>
      </c>
      <c r="BF134">
        <f t="shared" si="33"/>
        <v>0</v>
      </c>
      <c r="BG134" s="49" cm="1">
        <f t="array" ref="BG134">IF($F$14-$I$4+VLOOKUP($Q134,武学奇术!$A:$ZZ,15,FALSE)+SUM(_xlfn.XLOOKUP(R134:AF134,增益!$A:$A,增益!$O:$O,0))&gt;0,($F$14-$I$4+VLOOKUP($Q134,武学奇术!$A:$ZZ,15,FALSE)+SUM(_xlfn.XLOOKUP(R134:AF134,增益!$A:$A,增益!$O:$O,0)))/200,($F$14-$I$4+VLOOKUP($Q134,武学奇术!$A:$ZZ,15,FALSE)+SUM(_xlfn.XLOOKUP(R134:AF134,增益!$A:$A,增益!$O:$O,0)))/100)</f>
        <v>-0.3</v>
      </c>
      <c r="BH134" s="49" cm="1">
        <f t="array" ref="BH134">$G$14+VLOOKUP($Q134,武学奇术!$A:$ZZ,16,FALSE)+SUM(_xlfn.XLOOKUP(R134:AF134,增益!$A:$A,增益!$P:$P,0))</f>
        <v>0</v>
      </c>
      <c r="BI134" s="41">
        <f>MIN(IF(VLOOKUP($Q134,武学奇术!$A:$ZZ,23,FALSE)=1,100%,$B$8),100%)</f>
        <v>1</v>
      </c>
      <c r="BJ134" s="41" cm="1">
        <f t="array" ref="BJ134">IF(VLOOKUP($Q134,武学奇术!$A:$ZZ,23,FALSE)=1,100%,MIN(80%,$B$9+VLOOKUP($Q134,武学奇术!$A:$ZZ,17,FALSE)+SUM(_xlfn.XLOOKUP(R134:AF134,增益!$A:$A,增益!$Q:$Q,0)))+$B$11+SUM(_xlfn.XLOOKUP(R134:AF134,增益!$A:$A,增益!$U:$U,0)))*IF(VLOOKUP($Q134,武学奇术!$A:$ZZ,24,FALSE)=1,0,1)</f>
        <v>0.9045</v>
      </c>
      <c r="BK134" s="41" cm="1">
        <f t="array" ref="BK134">1+$B$13+VLOOKUP($Q134,武学奇术!$A:$ZZ,18,FALSE)+SUM(_xlfn.XLOOKUP(R134:AF134,增益!$A:$A,增益!$R:$R,0))</f>
        <v>1.6</v>
      </c>
      <c r="BL134" s="41" cm="1">
        <f t="array" ref="BL134">IF(VLOOKUP($Q134,武学奇术!$A:$ZZ,24,FALSE)=1,100%,MIN(40%,$B$10+VLOOKUP($Q134,武学奇术!$A:$ZZ,19,FALSE)+SUM(_xlfn.XLOOKUP(R134:AF134,增益!$A:$A,增益!$S:$S,0)))+$B$12+SUM(_xlfn.XLOOKUP(R134:AF134,增益!$A:$A,增益!$V:$V,0)))*IF(VLOOKUP($Q134,武学奇术!$A:$ZZ,23,FALSE)=1,0,1)</f>
        <v>0.0929</v>
      </c>
      <c r="BM134" s="41" cm="1">
        <f t="array" ref="BM134">1+$B$14+VLOOKUP($Q134,武学奇术!$A:$ZZ,20,FALSE)+SUM(_xlfn.XLOOKUP(R134:AF134,增益!$A:$A,增益!$T:$T,0))</f>
        <v>1.35</v>
      </c>
      <c r="BN134" s="41">
        <f t="shared" si="34"/>
        <v>0.9045</v>
      </c>
      <c r="BO134" s="41">
        <f t="shared" si="35"/>
        <v>0.00260000000000005</v>
      </c>
      <c r="BP134" s="41">
        <f>IF(VLOOKUP($Q134,武学奇术!$A:$ZZ,22,FALSE)=1,0,(1-$BI134))*(1-$BL134)</f>
        <v>0</v>
      </c>
      <c r="BQ134" s="41" cm="1">
        <f t="array" ref="BQ134">SUM(_xlfn.XLOOKUP(R134:AF134,增益!$A:$A,增益!$W:$W,0))+$I$5</f>
        <v>0.11</v>
      </c>
    </row>
    <row r="135" spans="11:69">
      <c r="K135" s="55">
        <f t="shared" si="25"/>
        <v>17422.6831604314</v>
      </c>
      <c r="L135" s="55">
        <f>((($AN135+$AO135)/2*$AH135+$AI135)*(1+$AP135)*(1+$AQ135)+(($AS135+$AT135)/2*IF($G$1="鸣金",$AJ135,$AH135)+IF($G$1="鸣金",$AK135*1.5,0))*(1+$AU135)*(1+$AV135)+(($AW135+$AX135)/2*IF($G$1="裂石",$AJ135,$AH135)+IF($G$1="裂石",$AK135*1.5,0))*(1+$AY135)*(1+$AZ135)+(($BA135+$BB135)/2*IF($G$1="牵丝",$AJ135,$AH135)+IF($G$1="牵丝",$AK135*1.5,0))*(1+$BC135)*(1+$BD135)+(($BE135+$BF135)/2*IF($G$1="破竹",$AJ135,$AH135)+IF($G$1="破竹",$AK135*1.5,0))*(1+$BG135)*(1+$BH135))*(1+$AL135)*$BK135*$P135*(1+IF(VLOOKUP($Q135,武学奇术!$A:$ZZ,30,FALSE)="弹道",$B$21,0))*(1+$BQ135)</f>
        <v>17319.2005852309</v>
      </c>
      <c r="M135" s="55">
        <f>(($AO135*$AH135+$AI135)*(1+$AP135)*(1+$AQ135)+($AT135*IF($G$1="鸣金",$AJ135,$AH135)+IF($G$1="鸣金",$AK135*1.5,0))*(1+$AU135)*(1+$AV135)+($AX135*IF($G$1="裂石",$AJ135,$AH135)+IF($G$1="裂石",$AK135*1.5,0))*(1+$AY135)*(1+$AZ135)+($BB135*IF($G$1="牵丝",$AJ135,$AH135)+IF($G$1="牵丝",$AK135*1.5,0))*(1+$BC135)*(1+$BD135)+($BF135*IF($G$1="破竹",$AJ135,$AH135)+IF($G$1="破竹",$AK135*1.5,0))*(1+$BG135)*(1+$BH135))*(1+$AL135)*$BM135*$P135*(1+IF(VLOOKUP($Q135,武学奇术!$A:$ZZ,30,FALSE)="弹道",$B$21,0))*(1+$BQ135)</f>
        <v>18655.8205917142</v>
      </c>
      <c r="N135" s="55">
        <f>((($AN135+$AO135)/2*$AH135+$AI135)*(1+$AP135)*(1+$AQ135)+(($AS135+$AT135)/2*IF($G$1="鸣金",$AJ135,$AH135)+IF($G$1="鸣金",$AK135*1.5,0))*(1+$AU135)*(1+$AV135)+(($AW135+$AX135)/2*IF($G$1="裂石",$AJ135,$AH135)+IF($G$1="裂石",$AK135*1.5,0))*(1+$AY135)*(1+$AZ135)+(($BA135+$BB135)/2*IF($G$1="牵丝",$AJ135,$AH135)+IF($G$1="牵丝",$AK135*1.5,0))*(1+$BC135)*(1+$BD135)+(($BE135+$BF135)/2*IF($G$1="破竹",$AJ135,$AH135)+IF($G$1="破竹",$AK135*1.5,0))*(1+$BG135)*(1+$BH135))*(1+$AL135)*$P135*(1+IF(VLOOKUP($Q135,武学奇术!$A:$ZZ,30,FALSE)="弹道",$B$21,0))*(1+$BQ135)</f>
        <v>9361.73004607074</v>
      </c>
      <c r="O135" s="55">
        <f>((($AN135*$AH135+$AI135)*(1+$AP135)*(1+$AQ135)+($AS135*IF($G$1="鸣金",$AJ135,$AH135)+IF($G$1="鸣金",$AK135*1.5,0))*(1+$AU135)*(1+$AV135)+($AW135*IF($G$1="裂石",$AJ135,$AH135)+IF($G$1="裂石",$AK135*1.5,0))*(1+$AY135)*(1+$AZ135)+($BA135*IF($G$1="牵丝",$AJ135,$AH135)+IF($G$1="牵丝",$AK135*1.5,0))*(1+$BC135)*(1+$BD135)+($BE135*IF($G$1="破竹",$AJ135,$AH135)+IF($G$1="破竹",$AK135*1.5,0))*(1+$BG135)*(1+$BH135))*(1+$AL135))*$P135*(1+IF(VLOOKUP($Q135,武学奇术!$A:$ZZ,30,FALSE)="弹道",$B$21,0))*(1+$BQ135)</f>
        <v>4904.33372790872</v>
      </c>
      <c r="P135" s="56">
        <f t="shared" si="24"/>
        <v>1</v>
      </c>
      <c r="Q135" s="57" t="s">
        <v>171</v>
      </c>
      <c r="R135" s="57" t="s">
        <v>116</v>
      </c>
      <c r="S135" s="57" t="s">
        <v>153</v>
      </c>
      <c r="T135" s="57" t="s">
        <v>72</v>
      </c>
      <c r="U135" s="57" t="s">
        <v>157</v>
      </c>
      <c r="V135" s="57" t="s">
        <v>72</v>
      </c>
      <c r="W135" s="57" t="s">
        <v>72</v>
      </c>
      <c r="X135" s="57" t="s">
        <v>72</v>
      </c>
      <c r="Y135" s="57" t="s">
        <v>161</v>
      </c>
      <c r="Z135" s="57" t="s">
        <v>72</v>
      </c>
      <c r="AA135" s="57" t="s">
        <v>72</v>
      </c>
      <c r="AB135" s="57" t="s">
        <v>72</v>
      </c>
      <c r="AC135" s="57" t="s">
        <v>162</v>
      </c>
      <c r="AD135" s="57" t="s">
        <v>72</v>
      </c>
      <c r="AE135" s="57" t="s">
        <v>72</v>
      </c>
      <c r="AF135" s="57" t="s">
        <v>87</v>
      </c>
      <c r="AG135" t="str">
        <f>VLOOKUP($Q135,武学奇术!$A:$ZZ,25,FALSE)</f>
        <v>心法</v>
      </c>
      <c r="AH135" s="41">
        <f>VLOOKUP($Q135,武学奇术!$A:$ZZ,26,FALSE)</f>
        <v>1</v>
      </c>
      <c r="AI135" s="42">
        <f>VLOOKUP($Q135,武学奇术!$A:$ZZ,27,FALSE)*(1+IF(OR($AG135=$F$4,$AG135=$F$5),$B$22,0))</f>
        <v>0</v>
      </c>
      <c r="AJ135" s="41">
        <f>VLOOKUP($Q135,武学奇术!$A:$ZZ,28,FALSE)</f>
        <v>1</v>
      </c>
      <c r="AK135" s="42">
        <f>VLOOKUP($Q135,武学奇术!$A:$ZZ,29,FALSE)*(1+IF(OR($AG135=$F$4,$AG135=$F$5),$B$22,0))</f>
        <v>0</v>
      </c>
      <c r="AL135" s="41" cm="1">
        <f t="array" ref="AL135">$G$3+IFERROR(VLOOKUP($AG135,$F$4:$G$7,2,FALSE),0)+VLOOKUP($Q135,武学奇术!$A:$ZZ,2,FALSE)+SUM(_xlfn.XLOOKUP($R135:$AF135,增益!$A:$A,增益!$B:$B,0))</f>
        <v>0.1537</v>
      </c>
      <c r="AM135" s="41" cm="1">
        <f t="array" ref="AM135">VLOOKUP($Q135,武学奇术!$A:$ZZ,5,FALSE)+SUM(_xlfn.XLOOKUP($R135:$AF135,增益!$A:$A,增益!$E:$E,0))</f>
        <v>0.15</v>
      </c>
      <c r="AN135" cm="1">
        <f t="array" ref="AN135">$D$10*(1+$AM135)+VLOOKUP($Q135,武学奇术!$A:$ZZ,3,FALSE)+SUM(_xlfn.XLOOKUP($R135:$AF135,增益!$A:$A,增益!$C:$C,0))-$I$2</f>
        <v>2088.71</v>
      </c>
      <c r="AO135" cm="1">
        <f t="array" ref="AO135">$E$10*(1+$AM135)+VLOOKUP($Q135,武学奇术!$A:$ZZ,4,FALSE)+SUM(_xlfn.XLOOKUP($R135:$AF135,增益!$A:$A,增益!$D:$D,0))-$I$2</f>
        <v>6332.9</v>
      </c>
      <c r="AP135" s="49" cm="1">
        <f t="array" ref="AP135">IF($F$10-$I$3+VLOOKUP($Q135,武学奇术!$A:$ZZ,6,FALSE)+SUM(_xlfn.XLOOKUP(R135:AF135,增益!$A:$A,增益!$F:$F,0))&gt;0,($F$10-$I$3+VLOOKUP($Q135,武学奇术!$A:$ZZ,6,FALSE)+SUM(_xlfn.XLOOKUP(R135:AF135,增益!$A:$A,增益!$F:$F,0)))/200,($F$10-$I$3+VLOOKUP($Q135,武学奇术!$A:$ZZ,6,FALSE)+SUM(_xlfn.XLOOKUP(R135:AF135,增益!$A:$A,增益!$F:$F,0)))/100)</f>
        <v>0.3675</v>
      </c>
      <c r="AQ135" s="49" cm="1">
        <f t="array" ref="AQ135">$G$10+VLOOKUP($Q135,武学奇术!$A:$ZZ,7,FALSE)+SUM(_xlfn.XLOOKUP(R135:AF135,增益!$A:$A,增益!$G:$G,0))</f>
        <v>0</v>
      </c>
      <c r="AR135" s="41" cm="1">
        <f t="array" ref="AR135">VLOOKUP($Q135,武学奇术!$A:$ZZ,8,FALSE)+SUM(_xlfn.XLOOKUP(R135:AF135,增益!$A:$A,增益!$H:$H,0))</f>
        <v>0</v>
      </c>
      <c r="AS135">
        <f t="shared" si="26"/>
        <v>0</v>
      </c>
      <c r="AT135">
        <f t="shared" si="27"/>
        <v>0</v>
      </c>
      <c r="AU135" s="49" cm="1">
        <f t="array" ref="AU135">IF($F$11-$I$4+VLOOKUP($Q135,武学奇术!$A:$ZZ,9,FALSE)+SUM(_xlfn.XLOOKUP(R135:AF135,增益!$A:$A,增益!$I:$I,0))&gt;0,($F$11-$I$4+VLOOKUP($Q135,武学奇术!$A:$ZZ,9,FALSE)+SUM(_xlfn.XLOOKUP(R135:AF135,增益!$A:$A,增益!$I:$I,0)))/200,($F$11-$I$4+VLOOKUP($Q135,武学奇术!$A:$ZZ,9,FALSE)+SUM(_xlfn.XLOOKUP(R135:AF135,增益!$A:$A,增益!$I:$I,0)))/100)</f>
        <v>-0.3</v>
      </c>
      <c r="AV135" s="49" cm="1">
        <f t="array" ref="AV135">$G$11+VLOOKUP($Q135,武学奇术!$A:$ZZ,10,FALSE)+SUM(_xlfn.XLOOKUP(R135:AF135,增益!$A:$A,增益!$J:$J,0))</f>
        <v>0</v>
      </c>
      <c r="AW135">
        <f t="shared" si="28"/>
        <v>0</v>
      </c>
      <c r="AX135">
        <f t="shared" si="29"/>
        <v>0</v>
      </c>
      <c r="AY135" s="49" cm="1">
        <f t="array" ref="AY135">IF($F$12-$I$4+VLOOKUP($Q135,武学奇术!$A:$ZZ,11,FALSE)+SUM(_xlfn.XLOOKUP(R135:AF135,增益!$A:$A,增益!$K:$K,0))&gt;0,($F$12-$I$4+VLOOKUP($Q135,武学奇术!$A:$ZZ,11,FALSE)+SUM(_xlfn.XLOOKUP(R135:AF135,增益!$A:$A,增益!$K:$K,0)))/200,($F$12-$I$4+VLOOKUP($Q135,武学奇术!$A:$ZZ,11,FALSE)+SUM(_xlfn.XLOOKUP(R135:AF135,增益!$A:$A,增益!$K:$K,0)))/100)</f>
        <v>-0.3</v>
      </c>
      <c r="AZ135" s="49" cm="1">
        <f t="array" ref="AZ135">$G$12+VLOOKUP($Q135,武学奇术!$A:$ZZ,12,FALSE)+SUM(_xlfn.XLOOKUP(R135:AF135,增益!$A:$A,增益!$L:$L,0))</f>
        <v>0</v>
      </c>
      <c r="BA135">
        <f t="shared" si="30"/>
        <v>571.2</v>
      </c>
      <c r="BB135">
        <f t="shared" si="31"/>
        <v>1077.4</v>
      </c>
      <c r="BC135" s="49" cm="1">
        <f t="array" ref="BC135">IF($F$13-$I$4+VLOOKUP($Q135,武学奇术!$A:$ZZ,13,FALSE)+SUM(_xlfn.XLOOKUP(R135:AF135,增益!$A:$A,增益!$M:$M,0))&gt;0,($F$13-$I$4+VLOOKUP($Q135,武学奇术!$A:$ZZ,13,FALSE)+SUM(_xlfn.XLOOKUP(R135:AF135,增益!$A:$A,增益!$K:$K,0)))/200,($F$13-$I$4+VLOOKUP($Q135,武学奇术!$A:$ZZ,13,FALSE)+SUM(_xlfn.XLOOKUP(R135:AF135,增益!$A:$A,增益!$M:$M,0)))/100)</f>
        <v>0</v>
      </c>
      <c r="BD135" s="49" cm="1">
        <f t="array" ref="BD135">$G$13+VLOOKUP($Q135,武学奇术!$A:$ZZ,14,FALSE)+SUM(_xlfn.XLOOKUP(R135:AF135,增益!$A:$A,增益!$N:$N,0))</f>
        <v>0.15</v>
      </c>
      <c r="BE135">
        <f t="shared" si="32"/>
        <v>0</v>
      </c>
      <c r="BF135">
        <f t="shared" si="33"/>
        <v>0</v>
      </c>
      <c r="BG135" s="49" cm="1">
        <f t="array" ref="BG135">IF($F$14-$I$4+VLOOKUP($Q135,武学奇术!$A:$ZZ,15,FALSE)+SUM(_xlfn.XLOOKUP(R135:AF135,增益!$A:$A,增益!$O:$O,0))&gt;0,($F$14-$I$4+VLOOKUP($Q135,武学奇术!$A:$ZZ,15,FALSE)+SUM(_xlfn.XLOOKUP(R135:AF135,增益!$A:$A,增益!$O:$O,0)))/200,($F$14-$I$4+VLOOKUP($Q135,武学奇术!$A:$ZZ,15,FALSE)+SUM(_xlfn.XLOOKUP(R135:AF135,增益!$A:$A,增益!$O:$O,0)))/100)</f>
        <v>-0.3</v>
      </c>
      <c r="BH135" s="49" cm="1">
        <f t="array" ref="BH135">$G$14+VLOOKUP($Q135,武学奇术!$A:$ZZ,16,FALSE)+SUM(_xlfn.XLOOKUP(R135:AF135,增益!$A:$A,增益!$P:$P,0))</f>
        <v>0</v>
      </c>
      <c r="BI135" s="41">
        <f>MIN(IF(VLOOKUP($Q135,武学奇术!$A:$ZZ,23,FALSE)=1,100%,$B$8),100%)</f>
        <v>1</v>
      </c>
      <c r="BJ135" s="41" cm="1">
        <f t="array" ref="BJ135">IF(VLOOKUP($Q135,武学奇术!$A:$ZZ,23,FALSE)=1,100%,MIN(80%,$B$9+VLOOKUP($Q135,武学奇术!$A:$ZZ,17,FALSE)+SUM(_xlfn.XLOOKUP(R135:AF135,增益!$A:$A,增益!$Q:$Q,0)))+$B$11+SUM(_xlfn.XLOOKUP(R135:AF135,增益!$A:$A,增益!$U:$U,0)))*IF(VLOOKUP($Q135,武学奇术!$A:$ZZ,24,FALSE)=1,0,1)</f>
        <v>0.9045</v>
      </c>
      <c r="BK135" s="41" cm="1">
        <f t="array" ref="BK135">1+$B$13+VLOOKUP($Q135,武学奇术!$A:$ZZ,18,FALSE)+SUM(_xlfn.XLOOKUP(R135:AF135,增益!$A:$A,增益!$R:$R,0))</f>
        <v>1.85</v>
      </c>
      <c r="BL135" s="41" cm="1">
        <f t="array" ref="BL135">IF(VLOOKUP($Q135,武学奇术!$A:$ZZ,24,FALSE)=1,100%,MIN(40%,$B$10+VLOOKUP($Q135,武学奇术!$A:$ZZ,19,FALSE)+SUM(_xlfn.XLOOKUP(R135:AF135,增益!$A:$A,增益!$S:$S,0)))+$B$12+SUM(_xlfn.XLOOKUP(R135:AF135,增益!$A:$A,增益!$V:$V,0)))*IF(VLOOKUP($Q135,武学奇术!$A:$ZZ,23,FALSE)=1,0,1)</f>
        <v>0.0929</v>
      </c>
      <c r="BM135" s="41" cm="1">
        <f t="array" ref="BM135">1+$B$14+VLOOKUP($Q135,武学奇术!$A:$ZZ,20,FALSE)+SUM(_xlfn.XLOOKUP(R135:AF135,增益!$A:$A,增益!$T:$T,0))</f>
        <v>1.35</v>
      </c>
      <c r="BN135" s="41">
        <f t="shared" si="34"/>
        <v>0.9045</v>
      </c>
      <c r="BO135" s="41">
        <f t="shared" si="35"/>
        <v>0.00260000000000005</v>
      </c>
      <c r="BP135" s="41">
        <f>IF(VLOOKUP($Q135,武学奇术!$A:$ZZ,22,FALSE)=1,0,(1-$BI135))*(1-$BL135)</f>
        <v>0</v>
      </c>
      <c r="BQ135" s="41" cm="1">
        <f t="array" ref="BQ135">SUM(_xlfn.XLOOKUP(R135:AF135,增益!$A:$A,增益!$W:$W,0))+$I$5</f>
        <v>0.21</v>
      </c>
    </row>
    <row r="136" spans="11:69">
      <c r="K136" s="55">
        <f t="shared" si="25"/>
        <v>0</v>
      </c>
      <c r="L136" s="55">
        <f>((($AN136+$AO136)/2*$AH136+$AI136)*(1+$AP136)*(1+$AQ136)+(($AS136+$AT136)/2*IF($G$1="鸣金",$AJ136,$AH136)+IF($G$1="鸣金",$AK136*1.5,0))*(1+$AU136)*(1+$AV136)+(($AW136+$AX136)/2*IF($G$1="裂石",$AJ136,$AH136)+IF($G$1="裂石",$AK136*1.5,0))*(1+$AY136)*(1+$AZ136)+(($BA136+$BB136)/2*IF($G$1="牵丝",$AJ136,$AH136)+IF($G$1="牵丝",$AK136*1.5,0))*(1+$BC136)*(1+$BD136)+(($BE136+$BF136)/2*IF($G$1="破竹",$AJ136,$AH136)+IF($G$1="破竹",$AK136*1.5,0))*(1+$BG136)*(1+$BH136))*(1+$AL136)*$BK136*$P136*(1+IF(VLOOKUP($Q136,武学奇术!$A:$ZZ,30,FALSE)="弹道",$B$21,0))*(1+$BQ136)</f>
        <v>0</v>
      </c>
      <c r="M136" s="55">
        <f>(($AO136*$AH136+$AI136)*(1+$AP136)*(1+$AQ136)+($AT136*IF($G$1="鸣金",$AJ136,$AH136)+IF($G$1="鸣金",$AK136*1.5,0))*(1+$AU136)*(1+$AV136)+($AX136*IF($G$1="裂石",$AJ136,$AH136)+IF($G$1="裂石",$AK136*1.5,0))*(1+$AY136)*(1+$AZ136)+($BB136*IF($G$1="牵丝",$AJ136,$AH136)+IF($G$1="牵丝",$AK136*1.5,0))*(1+$BC136)*(1+$BD136)+($BF136*IF($G$1="破竹",$AJ136,$AH136)+IF($G$1="破竹",$AK136*1.5,0))*(1+$BG136)*(1+$BH136))*(1+$AL136)*$BM136*$P136*(1+IF(VLOOKUP($Q136,武学奇术!$A:$ZZ,30,FALSE)="弹道",$B$21,0))*(1+$BQ136)</f>
        <v>0</v>
      </c>
      <c r="N136" s="55">
        <f>((($AN136+$AO136)/2*$AH136+$AI136)*(1+$AP136)*(1+$AQ136)+(($AS136+$AT136)/2*IF($G$1="鸣金",$AJ136,$AH136)+IF($G$1="鸣金",$AK136*1.5,0))*(1+$AU136)*(1+$AV136)+(($AW136+$AX136)/2*IF($G$1="裂石",$AJ136,$AH136)+IF($G$1="裂石",$AK136*1.5,0))*(1+$AY136)*(1+$AZ136)+(($BA136+$BB136)/2*IF($G$1="牵丝",$AJ136,$AH136)+IF($G$1="牵丝",$AK136*1.5,0))*(1+$BC136)*(1+$BD136)+(($BE136+$BF136)/2*IF($G$1="破竹",$AJ136,$AH136)+IF($G$1="破竹",$AK136*1.5,0))*(1+$BG136)*(1+$BH136))*(1+$AL136)*$P136*(1+IF(VLOOKUP($Q136,武学奇术!$A:$ZZ,30,FALSE)="弹道",$B$21,0))*(1+$BQ136)</f>
        <v>0</v>
      </c>
      <c r="O136" s="55">
        <f>((($AN136*$AH136+$AI136)*(1+$AP136)*(1+$AQ136)+($AS136*IF($G$1="鸣金",$AJ136,$AH136)+IF($G$1="鸣金",$AK136*1.5,0))*(1+$AU136)*(1+$AV136)+($AW136*IF($G$1="裂石",$AJ136,$AH136)+IF($G$1="裂石",$AK136*1.5,0))*(1+$AY136)*(1+$AZ136)+($BA136*IF($G$1="牵丝",$AJ136,$AH136)+IF($G$1="牵丝",$AK136*1.5,0))*(1+$BC136)*(1+$BD136)+($BE136*IF($G$1="破竹",$AJ136,$AH136)+IF($G$1="破竹",$AK136*1.5,0))*(1+$BG136)*(1+$BH136))*(1+$AL136))*$P136*(1+IF(VLOOKUP($Q136,武学奇术!$A:$ZZ,30,FALSE)="弹道",$B$21,0))*(1+$BQ136)</f>
        <v>0</v>
      </c>
      <c r="P136" s="56">
        <f t="shared" si="24"/>
        <v>1</v>
      </c>
      <c r="Q136" s="57" t="s">
        <v>72</v>
      </c>
      <c r="R136" s="57" t="s">
        <v>72</v>
      </c>
      <c r="S136" s="57" t="s">
        <v>72</v>
      </c>
      <c r="T136" s="57" t="s">
        <v>72</v>
      </c>
      <c r="U136" s="57" t="s">
        <v>72</v>
      </c>
      <c r="V136" s="57" t="s">
        <v>72</v>
      </c>
      <c r="W136" s="57" t="s">
        <v>72</v>
      </c>
      <c r="X136" s="57" t="s">
        <v>72</v>
      </c>
      <c r="Y136" s="57" t="s">
        <v>72</v>
      </c>
      <c r="Z136" s="57" t="s">
        <v>72</v>
      </c>
      <c r="AA136" s="57" t="s">
        <v>72</v>
      </c>
      <c r="AB136" s="57" t="s">
        <v>72</v>
      </c>
      <c r="AC136" s="57" t="s">
        <v>72</v>
      </c>
      <c r="AD136" s="57" t="s">
        <v>72</v>
      </c>
      <c r="AE136" s="57" t="s">
        <v>72</v>
      </c>
      <c r="AF136" s="57" t="s">
        <v>87</v>
      </c>
      <c r="AG136" t="str">
        <f>VLOOKUP($Q136,武学奇术!$A:$ZZ,25,FALSE)</f>
        <v>心法</v>
      </c>
      <c r="AH136" s="41">
        <f>VLOOKUP($Q136,武学奇术!$A:$ZZ,26,FALSE)</f>
        <v>0</v>
      </c>
      <c r="AI136" s="42">
        <f>VLOOKUP($Q136,武学奇术!$A:$ZZ,27,FALSE)*(1+IF(OR($AG136=$F$4,$AG136=$F$5),$B$22,0))</f>
        <v>0</v>
      </c>
      <c r="AJ136" s="41">
        <f>VLOOKUP($Q136,武学奇术!$A:$ZZ,28,FALSE)</f>
        <v>0</v>
      </c>
      <c r="AK136" s="42">
        <f>VLOOKUP($Q136,武学奇术!$A:$ZZ,29,FALSE)*(1+IF(OR($AG136=$F$4,$AG136=$F$5),$B$22,0))</f>
        <v>0</v>
      </c>
      <c r="AL136" s="41" cm="1">
        <f t="array" ref="AL136">$G$3+IFERROR(VLOOKUP($AG136,$F$4:$G$7,2,FALSE),0)+VLOOKUP($Q136,武学奇术!$A:$ZZ,2,FALSE)+SUM(_xlfn.XLOOKUP($R136:$AF136,增益!$A:$A,增益!$B:$B,0))</f>
        <v>0.1037</v>
      </c>
      <c r="AM136" s="41" cm="1">
        <f t="array" ref="AM136">VLOOKUP($Q136,武学奇术!$A:$ZZ,5,FALSE)+SUM(_xlfn.XLOOKUP($R136:$AF136,增益!$A:$A,增益!$E:$E,0))</f>
        <v>0</v>
      </c>
      <c r="AN136" cm="1">
        <f t="array" ref="AN136">$D$10*(1+$AM136)+VLOOKUP($Q136,武学奇术!$A:$ZZ,3,FALSE)+SUM(_xlfn.XLOOKUP($R136:$AF136,增益!$A:$A,增益!$C:$C,0))-$I$2</f>
        <v>1735.4</v>
      </c>
      <c r="AO136" cm="1">
        <f t="array" ref="AO136">$E$10*(1+$AM136)+VLOOKUP($Q136,武学奇术!$A:$ZZ,4,FALSE)+SUM(_xlfn.XLOOKUP($R136:$AF136,增益!$A:$A,增益!$D:$D,0))-$I$2</f>
        <v>5426</v>
      </c>
      <c r="AP136" s="49" cm="1">
        <f t="array" ref="AP136">IF($F$10-$I$3+VLOOKUP($Q136,武学奇术!$A:$ZZ,6,FALSE)+SUM(_xlfn.XLOOKUP(R136:AF136,增益!$A:$A,增益!$F:$F,0))&gt;0,($F$10-$I$3+VLOOKUP($Q136,武学奇术!$A:$ZZ,6,FALSE)+SUM(_xlfn.XLOOKUP(R136:AF136,增益!$A:$A,增益!$F:$F,0)))/200,($F$10-$I$3+VLOOKUP($Q136,武学奇术!$A:$ZZ,6,FALSE)+SUM(_xlfn.XLOOKUP(R136:AF136,增益!$A:$A,增益!$F:$F,0)))/100)</f>
        <v>0.1925</v>
      </c>
      <c r="AQ136" s="49" cm="1">
        <f t="array" ref="AQ136">$G$10+VLOOKUP($Q136,武学奇术!$A:$ZZ,7,FALSE)+SUM(_xlfn.XLOOKUP(R136:AF136,增益!$A:$A,增益!$G:$G,0))</f>
        <v>0</v>
      </c>
      <c r="AR136" s="41" cm="1">
        <f t="array" ref="AR136">VLOOKUP($Q136,武学奇术!$A:$ZZ,8,FALSE)+SUM(_xlfn.XLOOKUP(R136:AF136,增益!$A:$A,增益!$H:$H,0))</f>
        <v>0</v>
      </c>
      <c r="AS136">
        <f t="shared" si="26"/>
        <v>0</v>
      </c>
      <c r="AT136">
        <f t="shared" si="27"/>
        <v>0</v>
      </c>
      <c r="AU136" s="49" cm="1">
        <f t="array" ref="AU136">IF($F$11-$I$4+VLOOKUP($Q136,武学奇术!$A:$ZZ,9,FALSE)+SUM(_xlfn.XLOOKUP(R136:AF136,增益!$A:$A,增益!$I:$I,0))&gt;0,($F$11-$I$4+VLOOKUP($Q136,武学奇术!$A:$ZZ,9,FALSE)+SUM(_xlfn.XLOOKUP(R136:AF136,增益!$A:$A,增益!$I:$I,0)))/200,($F$11-$I$4+VLOOKUP($Q136,武学奇术!$A:$ZZ,9,FALSE)+SUM(_xlfn.XLOOKUP(R136:AF136,增益!$A:$A,增益!$I:$I,0)))/100)</f>
        <v>-0.3</v>
      </c>
      <c r="AV136" s="49" cm="1">
        <f t="array" ref="AV136">$G$11+VLOOKUP($Q136,武学奇术!$A:$ZZ,10,FALSE)+SUM(_xlfn.XLOOKUP(R136:AF136,增益!$A:$A,增益!$J:$J,0))</f>
        <v>0</v>
      </c>
      <c r="AW136">
        <f t="shared" si="28"/>
        <v>0</v>
      </c>
      <c r="AX136">
        <f t="shared" si="29"/>
        <v>0</v>
      </c>
      <c r="AY136" s="49" cm="1">
        <f t="array" ref="AY136">IF($F$12-$I$4+VLOOKUP($Q136,武学奇术!$A:$ZZ,11,FALSE)+SUM(_xlfn.XLOOKUP(R136:AF136,增益!$A:$A,增益!$K:$K,0))&gt;0,($F$12-$I$4+VLOOKUP($Q136,武学奇术!$A:$ZZ,11,FALSE)+SUM(_xlfn.XLOOKUP(R136:AF136,增益!$A:$A,增益!$K:$K,0)))/200,($F$12-$I$4+VLOOKUP($Q136,武学奇术!$A:$ZZ,11,FALSE)+SUM(_xlfn.XLOOKUP(R136:AF136,增益!$A:$A,增益!$K:$K,0)))/100)</f>
        <v>-0.3</v>
      </c>
      <c r="AZ136" s="49" cm="1">
        <f t="array" ref="AZ136">$G$12+VLOOKUP($Q136,武学奇术!$A:$ZZ,12,FALSE)+SUM(_xlfn.XLOOKUP(R136:AF136,增益!$A:$A,增益!$L:$L,0))</f>
        <v>0</v>
      </c>
      <c r="BA136">
        <f t="shared" si="30"/>
        <v>571.2</v>
      </c>
      <c r="BB136">
        <f t="shared" si="31"/>
        <v>1077.4</v>
      </c>
      <c r="BC136" s="49" cm="1">
        <f t="array" ref="BC136">IF($F$13-$I$4+VLOOKUP($Q136,武学奇术!$A:$ZZ,13,FALSE)+SUM(_xlfn.XLOOKUP(R136:AF136,增益!$A:$A,增益!$M:$M,0))&gt;0,($F$13-$I$4+VLOOKUP($Q136,武学奇术!$A:$ZZ,13,FALSE)+SUM(_xlfn.XLOOKUP(R136:AF136,增益!$A:$A,增益!$K:$K,0)))/200,($F$13-$I$4+VLOOKUP($Q136,武学奇术!$A:$ZZ,13,FALSE)+SUM(_xlfn.XLOOKUP(R136:AF136,增益!$A:$A,增益!$M:$M,0)))/100)</f>
        <v>0</v>
      </c>
      <c r="BD136" s="49" cm="1">
        <f t="array" ref="BD136">$G$13+VLOOKUP($Q136,武学奇术!$A:$ZZ,14,FALSE)+SUM(_xlfn.XLOOKUP(R136:AF136,增益!$A:$A,增益!$N:$N,0))</f>
        <v>0.15</v>
      </c>
      <c r="BE136">
        <f t="shared" si="32"/>
        <v>0</v>
      </c>
      <c r="BF136">
        <f t="shared" si="33"/>
        <v>0</v>
      </c>
      <c r="BG136" s="49" cm="1">
        <f t="array" ref="BG136">IF($F$14-$I$4+VLOOKUP($Q136,武学奇术!$A:$ZZ,15,FALSE)+SUM(_xlfn.XLOOKUP(R136:AF136,增益!$A:$A,增益!$O:$O,0))&gt;0,($F$14-$I$4+VLOOKUP($Q136,武学奇术!$A:$ZZ,15,FALSE)+SUM(_xlfn.XLOOKUP(R136:AF136,增益!$A:$A,增益!$O:$O,0)))/200,($F$14-$I$4+VLOOKUP($Q136,武学奇术!$A:$ZZ,15,FALSE)+SUM(_xlfn.XLOOKUP(R136:AF136,增益!$A:$A,增益!$O:$O,0)))/100)</f>
        <v>-0.3</v>
      </c>
      <c r="BH136" s="49" cm="1">
        <f t="array" ref="BH136">$G$14+VLOOKUP($Q136,武学奇术!$A:$ZZ,16,FALSE)+SUM(_xlfn.XLOOKUP(R136:AF136,增益!$A:$A,增益!$P:$P,0))</f>
        <v>0</v>
      </c>
      <c r="BI136" s="41">
        <f>MIN(IF(VLOOKUP($Q136,武学奇术!$A:$ZZ,23,FALSE)=1,100%,$B$8),100%)</f>
        <v>1</v>
      </c>
      <c r="BJ136" s="41" cm="1">
        <f t="array" ref="BJ136">IF(VLOOKUP($Q136,武学奇术!$A:$ZZ,23,FALSE)=1,100%,MIN(80%,$B$9+VLOOKUP($Q136,武学奇术!$A:$ZZ,17,FALSE)+SUM(_xlfn.XLOOKUP(R136:AF136,增益!$A:$A,增益!$Q:$Q,0)))+$B$11+SUM(_xlfn.XLOOKUP(R136:AF136,增益!$A:$A,增益!$U:$U,0)))*IF(VLOOKUP($Q136,武学奇术!$A:$ZZ,24,FALSE)=1,0,1)</f>
        <v>0.9045</v>
      </c>
      <c r="BK136" s="41" cm="1">
        <f t="array" ref="BK136">1+$B$13+VLOOKUP($Q136,武学奇术!$A:$ZZ,18,FALSE)+SUM(_xlfn.XLOOKUP(R136:AF136,增益!$A:$A,增益!$R:$R,0))</f>
        <v>1.5</v>
      </c>
      <c r="BL136" s="41" cm="1">
        <f t="array" ref="BL136">IF(VLOOKUP($Q136,武学奇术!$A:$ZZ,24,FALSE)=1,100%,MIN(40%,$B$10+VLOOKUP($Q136,武学奇术!$A:$ZZ,19,FALSE)+SUM(_xlfn.XLOOKUP(R136:AF136,增益!$A:$A,增益!$S:$S,0)))+$B$12+SUM(_xlfn.XLOOKUP(R136:AF136,增益!$A:$A,增益!$V:$V,0)))*IF(VLOOKUP($Q136,武学奇术!$A:$ZZ,23,FALSE)=1,0,1)</f>
        <v>0.0929</v>
      </c>
      <c r="BM136" s="41" cm="1">
        <f t="array" ref="BM136">1+$B$14+VLOOKUP($Q136,武学奇术!$A:$ZZ,20,FALSE)+SUM(_xlfn.XLOOKUP(R136:AF136,增益!$A:$A,增益!$T:$T,0))</f>
        <v>1.35</v>
      </c>
      <c r="BN136" s="41">
        <f t="shared" si="34"/>
        <v>0.9045</v>
      </c>
      <c r="BO136" s="41">
        <f t="shared" si="35"/>
        <v>0.00260000000000005</v>
      </c>
      <c r="BP136" s="41">
        <f>IF(VLOOKUP($Q136,武学奇术!$A:$ZZ,22,FALSE)=1,0,(1-$BI136))*(1-$BL136)</f>
        <v>0</v>
      </c>
      <c r="BQ136" s="41" cm="1">
        <f t="array" ref="BQ136">SUM(_xlfn.XLOOKUP(R136:AF136,增益!$A:$A,增益!$W:$W,0))+$I$5</f>
        <v>0.11</v>
      </c>
    </row>
  </sheetData>
  <mergeCells count="18">
    <mergeCell ref="H1:I1"/>
    <mergeCell ref="C8:G8"/>
    <mergeCell ref="C15:D15"/>
    <mergeCell ref="C21:D21"/>
    <mergeCell ref="C22:D22"/>
    <mergeCell ref="A23:A24"/>
    <mergeCell ref="E21:E22"/>
    <mergeCell ref="F21:F22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F21:F22">
      <formula1>"全蹭,不蹭,不带"</formula1>
    </dataValidation>
    <dataValidation type="list" allowBlank="1" showInputMessage="1" showErrorMessage="1" sqref="Q2:Q136">
      <formula1>武学奇术!$A:$A</formula1>
    </dataValidation>
    <dataValidation type="list" allowBlank="1" showInputMessage="1" showErrorMessage="1" sqref="R2:AF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workbookViewId="0">
      <selection activeCell="C23" sqref="C23"/>
    </sheetView>
  </sheetViews>
  <sheetFormatPr defaultColWidth="9" defaultRowHeight="14.4"/>
  <cols>
    <col min="1" max="1" width="21.5" customWidth="1"/>
    <col min="2" max="2" width="9.00925925925926" customWidth="1"/>
    <col min="17" max="17" width="9" style="41"/>
    <col min="26" max="26" width="9.66666666666667" style="41"/>
    <col min="27" max="27" width="9" style="42"/>
    <col min="28" max="28" width="9.66666666666667" style="41"/>
    <col min="29" max="29" width="9" style="42"/>
  </cols>
  <sheetData>
    <row r="1" spans="1:30">
      <c r="B1" t="s">
        <v>36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45</v>
      </c>
      <c r="J1" t="s">
        <v>46</v>
      </c>
      <c r="K1" t="s">
        <v>49</v>
      </c>
      <c r="L1" t="s">
        <v>50</v>
      </c>
      <c r="M1" t="s">
        <v>53</v>
      </c>
      <c r="N1" t="s">
        <v>54</v>
      </c>
      <c r="O1" t="s">
        <v>57</v>
      </c>
      <c r="P1" t="s">
        <v>58</v>
      </c>
      <c r="Q1" s="41" t="s">
        <v>93</v>
      </c>
      <c r="R1" t="s">
        <v>183</v>
      </c>
      <c r="S1" t="s">
        <v>97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31</v>
      </c>
      <c r="Z1" s="41" t="s">
        <v>32</v>
      </c>
      <c r="AA1" s="42" t="s">
        <v>33</v>
      </c>
      <c r="AB1" s="41" t="s">
        <v>34</v>
      </c>
      <c r="AC1" s="42" t="s">
        <v>35</v>
      </c>
      <c r="AD1" t="s">
        <v>189</v>
      </c>
    </row>
    <row r="2" customFormat="1" spans="1:30">
      <c r="A2" t="s">
        <v>176</v>
      </c>
      <c r="E2" s="44"/>
      <c r="F2">
        <v>5</v>
      </c>
      <c r="G2" s="44">
        <f>IF(期望!$G$2="烟柳",10%,0)</f>
        <v>0.1</v>
      </c>
      <c r="N2" s="44">
        <f>IF(期望!$G$2="烟柳",10%,0)</f>
        <v>0.1</v>
      </c>
      <c r="Q2" s="41"/>
      <c r="R2" s="44">
        <v>0.36</v>
      </c>
      <c r="Y2" t="s">
        <v>76</v>
      </c>
      <c r="Z2" s="45">
        <f>171.75%*1.25</f>
        <v>2.146875</v>
      </c>
      <c r="AA2" s="46">
        <f>474*1.25</f>
        <v>592.5</v>
      </c>
      <c r="AB2" s="45">
        <f>257.62%*1.25</f>
        <v>3.22025</v>
      </c>
      <c r="AC2" s="46">
        <f>258*1.25</f>
        <v>322.5</v>
      </c>
      <c r="AD2" t="s">
        <v>190</v>
      </c>
    </row>
    <row r="3" spans="1:30">
      <c r="A3" t="s">
        <v>102</v>
      </c>
      <c r="E3" s="44"/>
      <c r="F3">
        <v>5</v>
      </c>
      <c r="G3" s="44">
        <f>IF(期望!$G$2="烟柳",10%,0)</f>
        <v>0.1</v>
      </c>
      <c r="N3" s="44">
        <f>IF(期望!$G$2="烟柳",10%,0)</f>
        <v>0.1</v>
      </c>
      <c r="R3" s="44">
        <v>0.36</v>
      </c>
      <c r="Y3" t="s">
        <v>76</v>
      </c>
      <c r="Z3" s="45">
        <f>102.17%*1.15</f>
        <v>1.174955</v>
      </c>
      <c r="AA3" s="46">
        <f>282*1.15</f>
        <v>324.3</v>
      </c>
      <c r="AB3" s="45">
        <f>153.25%*1.15</f>
        <v>1.762375</v>
      </c>
      <c r="AC3" s="46">
        <f>154*1.15</f>
        <v>177.1</v>
      </c>
      <c r="AD3" t="s">
        <v>190</v>
      </c>
    </row>
    <row r="4" spans="1:30">
      <c r="A4" t="s">
        <v>84</v>
      </c>
      <c r="B4" s="44"/>
      <c r="E4" s="44"/>
      <c r="F4">
        <v>5</v>
      </c>
      <c r="G4" s="44">
        <f>IF(期望!$G$2="烟柳",10%,0)</f>
        <v>0.1</v>
      </c>
      <c r="N4" s="44">
        <f>IF(期望!$G$2="烟柳",10%,0)</f>
        <v>0.1</v>
      </c>
      <c r="R4" s="44">
        <v>0.36</v>
      </c>
      <c r="Y4" t="s">
        <v>76</v>
      </c>
      <c r="Z4" s="45">
        <v>2.3397</v>
      </c>
      <c r="AA4" s="46">
        <v>648</v>
      </c>
      <c r="AB4" s="45">
        <v>3.5095</v>
      </c>
      <c r="AC4" s="42">
        <v>353</v>
      </c>
    </row>
    <row r="5" spans="1:30">
      <c r="A5" t="s">
        <v>94</v>
      </c>
      <c r="B5" s="44"/>
      <c r="E5" s="44"/>
      <c r="G5" s="44">
        <f>IF(期望!$G$2="烟柳",10%,0)</f>
        <v>0.1</v>
      </c>
      <c r="N5" s="44">
        <f>IF(期望!$G$2="烟柳",10%,0)</f>
        <v>0.1</v>
      </c>
      <c r="R5" s="44"/>
      <c r="Y5" t="s">
        <v>76</v>
      </c>
      <c r="Z5" s="45">
        <f>53.97%+116.04%</f>
        <v>1.7001</v>
      </c>
      <c r="AA5" s="46">
        <f>149+322</f>
        <v>471</v>
      </c>
      <c r="AB5" s="45">
        <f>80.96%+174.06%</f>
        <v>2.5502</v>
      </c>
      <c r="AC5" s="42">
        <f>81+175</f>
        <v>256</v>
      </c>
    </row>
    <row r="6" spans="1:30">
      <c r="A6" t="s">
        <v>99</v>
      </c>
      <c r="B6" s="44"/>
      <c r="E6" s="44"/>
      <c r="G6" s="44">
        <f>IF(期望!$G$2="烟柳",10%,0)</f>
        <v>0.1</v>
      </c>
      <c r="N6" s="44">
        <f>IF(期望!$G$2="烟柳",10%,0)</f>
        <v>0.1</v>
      </c>
      <c r="R6" s="44"/>
      <c r="Y6" t="s">
        <v>76</v>
      </c>
      <c r="Z6" s="43">
        <v>0.54</v>
      </c>
      <c r="AA6" s="42">
        <v>148</v>
      </c>
      <c r="AB6" s="41">
        <v>0.81</v>
      </c>
      <c r="AC6" s="42">
        <v>81.5</v>
      </c>
      <c r="AD6" t="s">
        <v>190</v>
      </c>
    </row>
    <row r="7" spans="1:30">
      <c r="A7" t="s">
        <v>126</v>
      </c>
      <c r="E7" s="44"/>
      <c r="G7" s="44">
        <f>IF(期望!$G$2="烟柳",10%,0)</f>
        <v>0.1</v>
      </c>
      <c r="N7" s="44">
        <f>IF(期望!$G$2="烟柳",10%,0)</f>
        <v>0.1</v>
      </c>
      <c r="Y7" t="s">
        <v>78</v>
      </c>
      <c r="Z7" s="43">
        <f>190.44%*1.45</f>
        <v>2.76138</v>
      </c>
      <c r="AA7" s="47">
        <f>527*1.45</f>
        <v>764.15</v>
      </c>
      <c r="AB7" s="43">
        <f>285.66%*1.45</f>
        <v>4.14207</v>
      </c>
      <c r="AC7" s="42">
        <f>287*1.45</f>
        <v>416.15</v>
      </c>
    </row>
    <row r="8" spans="1:30">
      <c r="A8" t="s">
        <v>146</v>
      </c>
      <c r="B8" s="44"/>
      <c r="E8" s="44"/>
      <c r="G8" s="44"/>
      <c r="N8" s="44"/>
      <c r="R8" s="44"/>
      <c r="Y8" t="s">
        <v>78</v>
      </c>
      <c r="Z8" s="43">
        <v>0.9271</v>
      </c>
      <c r="AA8" s="47">
        <v>257</v>
      </c>
      <c r="AB8" s="43">
        <v>1.3907</v>
      </c>
      <c r="AC8" s="42">
        <v>140</v>
      </c>
    </row>
    <row r="9" spans="1:30">
      <c r="A9" t="s">
        <v>154</v>
      </c>
      <c r="B9" s="44"/>
      <c r="E9" s="44"/>
      <c r="G9" s="44"/>
      <c r="N9" s="44"/>
      <c r="R9" s="44"/>
      <c r="Y9" t="s">
        <v>78</v>
      </c>
      <c r="Z9" s="43">
        <v>1.2798</v>
      </c>
      <c r="AA9" s="47">
        <v>355</v>
      </c>
      <c r="AB9" s="43">
        <v>1.9197</v>
      </c>
      <c r="AC9" s="42">
        <v>193</v>
      </c>
    </row>
    <row r="10" spans="1:30">
      <c r="A10" t="s">
        <v>167</v>
      </c>
      <c r="B10" s="44"/>
      <c r="E10" s="44"/>
      <c r="G10" s="44">
        <f>IF(期望!$G$2="烟柳",10%,0)</f>
        <v>0.1</v>
      </c>
      <c r="N10" s="44">
        <f>IF(期望!$G$2="烟柳",10%,0)</f>
        <v>0.1</v>
      </c>
      <c r="R10" s="44">
        <v>0.36</v>
      </c>
      <c r="Y10" t="s">
        <v>78</v>
      </c>
      <c r="Z10" s="43">
        <f>124.78%*1.45</f>
        <v>1.80931</v>
      </c>
      <c r="AA10" s="47">
        <f>346*1.45</f>
        <v>501.7</v>
      </c>
      <c r="AB10" s="43">
        <f>187.16%*1.45</f>
        <v>2.71382</v>
      </c>
      <c r="AC10" s="42">
        <f>188*1.45</f>
        <v>272.6</v>
      </c>
    </row>
    <row r="11" spans="1:30">
      <c r="A11" t="s">
        <v>155</v>
      </c>
      <c r="B11" s="44"/>
      <c r="E11" s="44"/>
      <c r="G11" s="44">
        <f>IF(期望!$G$2="烟柳",10%,0)</f>
        <v>0.1</v>
      </c>
      <c r="N11" s="44">
        <f>IF(期望!$G$2="烟柳",10%,0)</f>
        <v>0.1</v>
      </c>
      <c r="R11" s="44">
        <v>0.36</v>
      </c>
      <c r="Y11" t="s">
        <v>78</v>
      </c>
      <c r="Z11" s="43">
        <f>301.85%*1.45</f>
        <v>4.376825</v>
      </c>
      <c r="AA11" s="47">
        <f>835*1.45</f>
        <v>1210.75</v>
      </c>
      <c r="AB11" s="43">
        <f>452.78%*1.45</f>
        <v>6.56531</v>
      </c>
      <c r="AC11" s="42">
        <f>455*1.45</f>
        <v>659.75</v>
      </c>
    </row>
    <row r="12" spans="1:30">
      <c r="A12" t="s">
        <v>191</v>
      </c>
      <c r="B12" s="44"/>
      <c r="E12" s="44"/>
      <c r="G12" s="44"/>
      <c r="N12" s="44"/>
      <c r="R12" s="44"/>
      <c r="Y12" t="s">
        <v>83</v>
      </c>
      <c r="Z12" s="41">
        <f>198.72%*2</f>
        <v>3.9744</v>
      </c>
      <c r="AA12" s="42">
        <f>491*2</f>
        <v>982</v>
      </c>
      <c r="AB12" s="41">
        <v>5.9613</v>
      </c>
    </row>
    <row r="13" spans="1:30">
      <c r="A13" t="s">
        <v>172</v>
      </c>
      <c r="B13" s="44"/>
      <c r="E13" s="44"/>
      <c r="G13" s="44"/>
      <c r="N13" s="44"/>
      <c r="R13" s="44"/>
      <c r="Y13" t="s">
        <v>83</v>
      </c>
      <c r="Z13" s="41">
        <f>74.52%*2</f>
        <v>1.4904</v>
      </c>
      <c r="AA13" s="42">
        <f>184*2</f>
        <v>368</v>
      </c>
      <c r="AB13" s="41">
        <v>2.2353</v>
      </c>
    </row>
    <row r="14" customFormat="1" spans="1:30">
      <c r="A14" t="s">
        <v>192</v>
      </c>
      <c r="B14" s="44"/>
      <c r="E14" s="44"/>
      <c r="F14"/>
      <c r="G14" s="44"/>
      <c r="N14" s="44"/>
      <c r="O14"/>
      <c r="R14" s="44"/>
      <c r="Y14" t="s">
        <v>83</v>
      </c>
      <c r="Z14" s="41">
        <f>254.69%*2.7*1.5</f>
        <v>10.314945</v>
      </c>
      <c r="AA14" s="42">
        <f>473*2.7*1.5</f>
        <v>1915.65</v>
      </c>
      <c r="AB14" s="41">
        <f>Z14*1.5</f>
        <v>15.4724175</v>
      </c>
      <c r="AC14" s="42"/>
    </row>
    <row r="15" spans="1:30">
      <c r="A15" t="s">
        <v>129</v>
      </c>
      <c r="B15" s="44"/>
      <c r="E15" s="44"/>
      <c r="G15" s="44"/>
      <c r="N15" s="44"/>
      <c r="R15" s="44"/>
      <c r="Y15" t="s">
        <v>81</v>
      </c>
      <c r="Z15" s="41">
        <f>319.83%+390.91%</f>
        <v>7.1074</v>
      </c>
      <c r="AA15" s="42">
        <f>594+726</f>
        <v>1320</v>
      </c>
      <c r="AB15" s="41">
        <v>10.6596</v>
      </c>
    </row>
    <row r="16" spans="1:30">
      <c r="A16" t="s">
        <v>193</v>
      </c>
      <c r="B16" s="44">
        <v>0.52</v>
      </c>
      <c r="E16" s="44"/>
      <c r="G16" s="44"/>
      <c r="N16" s="44"/>
      <c r="R16" s="44"/>
      <c r="V16">
        <v>1</v>
      </c>
      <c r="Y16" t="s">
        <v>81</v>
      </c>
      <c r="Z16" s="41">
        <f>1636.39%*2.2*0.7</f>
        <v>25.200406</v>
      </c>
      <c r="AA16" s="42">
        <f>3049*2.2*0.7</f>
        <v>4695.46</v>
      </c>
      <c r="AB16" s="41">
        <f>Z16*1.5</f>
        <v>37.800609</v>
      </c>
    </row>
    <row r="17" spans="1:29">
      <c r="A17" t="s">
        <v>194</v>
      </c>
      <c r="B17" s="44"/>
      <c r="E17" s="44"/>
      <c r="G17" s="44"/>
      <c r="N17" s="44"/>
      <c r="R17" s="44"/>
      <c r="Y17" t="s">
        <v>83</v>
      </c>
      <c r="Z17" s="41">
        <f>(416%+772.56%)*2</f>
        <v>23.7712</v>
      </c>
      <c r="AA17" s="42">
        <f>(773+1436)*2</f>
        <v>4418</v>
      </c>
      <c r="AB17" s="41">
        <f t="shared" ref="AB17:AB27" si="0">Z17*1.5</f>
        <v>35.6568</v>
      </c>
    </row>
    <row r="18" customFormat="1" spans="1:29">
      <c r="A18" t="s">
        <v>169</v>
      </c>
      <c r="B18" s="44"/>
      <c r="E18" s="44"/>
      <c r="F18"/>
      <c r="G18" s="44"/>
      <c r="N18" s="44"/>
      <c r="O18"/>
      <c r="Q18" s="41"/>
      <c r="R18" s="44"/>
      <c r="Y18" t="s">
        <v>81</v>
      </c>
      <c r="Z18" s="41">
        <f>256.96%/2</f>
        <v>1.2848</v>
      </c>
      <c r="AA18" s="42">
        <f>483/2</f>
        <v>241.5</v>
      </c>
      <c r="AB18" s="41">
        <f t="shared" si="0"/>
        <v>1.9272</v>
      </c>
      <c r="AC18" s="42"/>
    </row>
    <row r="19" customFormat="1" spans="1:29">
      <c r="A19" t="s">
        <v>147</v>
      </c>
      <c r="B19" s="44"/>
      <c r="E19" s="44"/>
      <c r="F19"/>
      <c r="G19" s="44"/>
      <c r="N19" s="44"/>
      <c r="O19"/>
      <c r="Q19" s="41"/>
      <c r="R19" s="44"/>
      <c r="Y19" t="s">
        <v>81</v>
      </c>
      <c r="Z19" s="41">
        <f>256.96%+141.59%</f>
        <v>3.9855</v>
      </c>
      <c r="AA19" s="42">
        <f>483+266</f>
        <v>749</v>
      </c>
      <c r="AB19" s="41">
        <f t="shared" si="0"/>
        <v>5.97825</v>
      </c>
      <c r="AC19" s="42"/>
    </row>
    <row r="20" customFormat="1" spans="1:29">
      <c r="A20" t="s">
        <v>148</v>
      </c>
      <c r="B20" s="44"/>
      <c r="E20" s="44"/>
      <c r="F20"/>
      <c r="G20" s="44"/>
      <c r="N20" s="44"/>
      <c r="O20"/>
      <c r="Q20" s="41"/>
      <c r="R20" s="44"/>
      <c r="Y20" t="s">
        <v>81</v>
      </c>
      <c r="Z20" s="41">
        <v>0.236</v>
      </c>
      <c r="AA20" s="42">
        <v>44</v>
      </c>
      <c r="AB20" s="41">
        <f t="shared" si="0"/>
        <v>0.354</v>
      </c>
      <c r="AC20" s="42"/>
    </row>
    <row r="21" customFormat="1" spans="1:29">
      <c r="A21" t="s">
        <v>195</v>
      </c>
      <c r="B21" s="44"/>
      <c r="E21" s="44"/>
      <c r="F21"/>
      <c r="G21" s="44"/>
      <c r="N21" s="44"/>
      <c r="O21"/>
      <c r="Q21" s="41"/>
      <c r="R21" s="44"/>
      <c r="Y21" t="s">
        <v>81</v>
      </c>
      <c r="Z21" s="41">
        <f>272.37%/2</f>
        <v>1.36185</v>
      </c>
      <c r="AA21" s="42">
        <f>508/2</f>
        <v>254</v>
      </c>
      <c r="AB21" s="41">
        <f t="shared" si="0"/>
        <v>2.042775</v>
      </c>
      <c r="AC21" s="42"/>
    </row>
    <row r="22" customFormat="1" spans="1:29">
      <c r="A22" t="s">
        <v>196</v>
      </c>
      <c r="B22" s="44"/>
      <c r="E22" s="44"/>
      <c r="F22"/>
      <c r="G22" s="44"/>
      <c r="N22" s="44"/>
      <c r="O22"/>
      <c r="Q22" s="41"/>
      <c r="R22" s="44"/>
      <c r="Y22" t="s">
        <v>81</v>
      </c>
      <c r="Z22" s="41">
        <f>272.37%+150.08%</f>
        <v>4.2245</v>
      </c>
      <c r="AA22" s="42">
        <f>508+280</f>
        <v>788</v>
      </c>
      <c r="AB22" s="41">
        <f t="shared" si="0"/>
        <v>6.33675</v>
      </c>
      <c r="AC22" s="42"/>
    </row>
    <row r="23" customFormat="1" spans="1:29">
      <c r="A23" t="s">
        <v>170</v>
      </c>
      <c r="B23" s="44"/>
      <c r="E23" s="44"/>
      <c r="F23"/>
      <c r="G23" s="44"/>
      <c r="N23" s="44"/>
      <c r="O23"/>
      <c r="Q23" s="41"/>
      <c r="R23" s="44"/>
      <c r="Y23" t="s">
        <v>81</v>
      </c>
      <c r="Z23" s="41">
        <v>0.2957</v>
      </c>
      <c r="AA23" s="42">
        <v>55</v>
      </c>
      <c r="AB23" s="41">
        <f t="shared" si="0"/>
        <v>0.44355</v>
      </c>
      <c r="AC23" s="42"/>
    </row>
    <row r="24" customFormat="1" spans="1:29">
      <c r="A24" t="s">
        <v>164</v>
      </c>
      <c r="B24" s="44"/>
      <c r="E24" s="44"/>
      <c r="F24"/>
      <c r="G24" s="44"/>
      <c r="N24" s="44"/>
      <c r="O24"/>
      <c r="Q24" s="41"/>
      <c r="R24" s="44"/>
      <c r="Y24" t="s">
        <v>81</v>
      </c>
      <c r="Z24" s="41">
        <v>1.0238</v>
      </c>
      <c r="AA24" s="42">
        <v>189</v>
      </c>
      <c r="AB24" s="41">
        <f t="shared" si="0"/>
        <v>1.5357</v>
      </c>
      <c r="AC24" s="42"/>
    </row>
    <row r="25" customFormat="1" spans="1:29">
      <c r="A25" t="s">
        <v>165</v>
      </c>
      <c r="B25" s="44">
        <v>0.8</v>
      </c>
      <c r="E25" s="44"/>
      <c r="F25"/>
      <c r="G25" s="44"/>
      <c r="N25" s="44"/>
      <c r="O25"/>
      <c r="Q25" s="41"/>
      <c r="R25" s="44"/>
      <c r="Y25" t="s">
        <v>81</v>
      </c>
      <c r="Z25" s="41">
        <v>1.7063</v>
      </c>
      <c r="AA25" s="42">
        <v>315</v>
      </c>
      <c r="AB25" s="41">
        <f t="shared" si="0"/>
        <v>2.55945</v>
      </c>
      <c r="AC25" s="42"/>
    </row>
    <row r="26" customFormat="1" spans="1:29">
      <c r="A26" t="s">
        <v>197</v>
      </c>
      <c r="B26" s="44"/>
      <c r="E26" s="44"/>
      <c r="F26"/>
      <c r="G26" s="44"/>
      <c r="N26" s="44"/>
      <c r="O26"/>
      <c r="Q26" s="41"/>
      <c r="R26" s="44"/>
      <c r="Y26" t="s">
        <v>81</v>
      </c>
      <c r="Z26" s="41">
        <v>0.702</v>
      </c>
      <c r="AA26" s="42">
        <v>129</v>
      </c>
      <c r="AB26" s="41">
        <f t="shared" si="0"/>
        <v>1.053</v>
      </c>
      <c r="AC26" s="42"/>
    </row>
    <row r="27" customFormat="1" spans="1:29">
      <c r="A27" t="s">
        <v>166</v>
      </c>
      <c r="B27" s="44"/>
      <c r="E27" s="44"/>
      <c r="F27"/>
      <c r="G27" s="44"/>
      <c r="N27" s="44"/>
      <c r="O27"/>
      <c r="Q27" s="41"/>
      <c r="R27" s="44"/>
      <c r="Y27" t="s">
        <v>81</v>
      </c>
      <c r="Z27" s="41">
        <v>1.6088</v>
      </c>
      <c r="AA27" s="42">
        <v>297</v>
      </c>
      <c r="AB27" s="41">
        <f t="shared" si="0"/>
        <v>2.4132</v>
      </c>
      <c r="AC27" s="42"/>
    </row>
    <row r="28" spans="1:29">
      <c r="A28" t="s">
        <v>171</v>
      </c>
      <c r="E28" s="44"/>
      <c r="G28" s="44"/>
      <c r="N28" s="44"/>
      <c r="R28" s="44"/>
      <c r="Y28" t="s">
        <v>198</v>
      </c>
      <c r="Z28" s="41">
        <v>1</v>
      </c>
      <c r="AB28" s="41">
        <v>1</v>
      </c>
    </row>
    <row r="29" spans="1:29">
      <c r="A29" t="s">
        <v>72</v>
      </c>
      <c r="Y29" t="s">
        <v>198</v>
      </c>
      <c r="Z29" s="41">
        <v>0</v>
      </c>
      <c r="AB29" s="41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2"/>
  <sheetViews>
    <sheetView workbookViewId="0">
      <selection activeCell="A43" sqref="A43"/>
    </sheetView>
  </sheetViews>
  <sheetFormatPr defaultColWidth="9" defaultRowHeight="14.4"/>
  <cols>
    <col min="1" max="1" width="15.8796296296296" customWidth="1"/>
    <col min="2" max="2" width="9.00925925925926" style="41" customWidth="1"/>
    <col min="18" max="18" width="9" style="41"/>
    <col min="23" max="23" width="9" style="41"/>
    <col min="24" max="24" width="9.37962962962963" style="41"/>
    <col min="25" max="25" width="9" style="42"/>
  </cols>
  <sheetData>
    <row r="1" spans="1:25">
      <c r="B1" s="41" t="s">
        <v>36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45</v>
      </c>
      <c r="J1" t="s">
        <v>46</v>
      </c>
      <c r="K1" t="s">
        <v>49</v>
      </c>
      <c r="L1" t="s">
        <v>50</v>
      </c>
      <c r="M1" t="s">
        <v>53</v>
      </c>
      <c r="N1" t="s">
        <v>54</v>
      </c>
      <c r="O1" t="s">
        <v>57</v>
      </c>
      <c r="P1" t="s">
        <v>58</v>
      </c>
      <c r="Q1" t="s">
        <v>93</v>
      </c>
      <c r="R1" s="41" t="s">
        <v>183</v>
      </c>
      <c r="S1" t="s">
        <v>97</v>
      </c>
      <c r="T1" t="s">
        <v>184</v>
      </c>
      <c r="U1" s="41" t="s">
        <v>101</v>
      </c>
      <c r="V1" s="42" t="s">
        <v>104</v>
      </c>
      <c r="W1" s="41" t="s">
        <v>67</v>
      </c>
    </row>
    <row r="2" customFormat="1" spans="1:25">
      <c r="A2" t="s">
        <v>96</v>
      </c>
      <c r="B2" s="41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R2" s="41"/>
      <c r="W2" s="43"/>
      <c r="X2" s="43"/>
      <c r="Y2" s="42"/>
    </row>
    <row r="3" customFormat="1" spans="1:25">
      <c r="A3" t="s">
        <v>150</v>
      </c>
      <c r="B3" s="41">
        <f>IF(期望!$D$20="√",25%,0)</f>
        <v>0.25</v>
      </c>
      <c r="R3" s="41"/>
      <c r="W3" s="43"/>
      <c r="X3" s="41"/>
      <c r="Y3" s="42"/>
    </row>
    <row r="4" spans="1:25">
      <c r="A4" t="s">
        <v>173</v>
      </c>
      <c r="B4" s="41">
        <v>0.02</v>
      </c>
      <c r="W4" s="43"/>
    </row>
    <row r="5" customFormat="1" spans="1:25">
      <c r="A5" t="s">
        <v>199</v>
      </c>
      <c r="B5" s="41">
        <v>0.2</v>
      </c>
      <c r="R5" s="41"/>
      <c r="W5" s="43"/>
      <c r="X5" s="41"/>
      <c r="Y5" s="42"/>
    </row>
    <row r="6" spans="1:25">
      <c r="A6" t="s">
        <v>87</v>
      </c>
      <c r="W6" s="43">
        <v>0.05</v>
      </c>
    </row>
    <row r="7" spans="1:25">
      <c r="A7" t="s">
        <v>162</v>
      </c>
      <c r="W7" s="41">
        <v>0.1</v>
      </c>
    </row>
    <row r="8" spans="1:25">
      <c r="A8" t="s">
        <v>163</v>
      </c>
      <c r="J8" s="44">
        <f>IF(期望!$D$18="√",10%,0)</f>
        <v>0.1</v>
      </c>
      <c r="W8" s="41">
        <f>IF(期望!$D$18="√",10%,0)</f>
        <v>0.1</v>
      </c>
      <c r="X8" s="43"/>
    </row>
    <row r="9" spans="1:25">
      <c r="A9" t="s">
        <v>157</v>
      </c>
      <c r="E9" s="44">
        <v>0.15</v>
      </c>
      <c r="X9" s="43"/>
    </row>
    <row r="10" spans="1:25">
      <c r="A10" t="s">
        <v>107</v>
      </c>
      <c r="E10" s="41">
        <v>0.075</v>
      </c>
      <c r="G10" s="44"/>
      <c r="J10" s="44"/>
      <c r="L10" s="44"/>
      <c r="M10" s="44"/>
      <c r="N10" s="44"/>
      <c r="P10" s="44"/>
      <c r="X10" s="43"/>
    </row>
    <row r="11" spans="1:25">
      <c r="A11" t="s">
        <v>92</v>
      </c>
      <c r="B11" s="41">
        <v>0.25</v>
      </c>
      <c r="E11" s="44"/>
      <c r="H11" s="44"/>
      <c r="S11" s="44"/>
      <c r="T11" s="44"/>
      <c r="X11" s="43"/>
    </row>
    <row r="12" customFormat="1" spans="1:25">
      <c r="A12" t="s">
        <v>160</v>
      </c>
      <c r="B12" s="41">
        <v>0.3</v>
      </c>
      <c r="E12" s="44"/>
      <c r="H12" s="44"/>
      <c r="R12" s="41"/>
      <c r="S12" s="44"/>
      <c r="T12" s="44"/>
      <c r="W12" s="41"/>
      <c r="X12" s="43"/>
      <c r="Y12" s="42"/>
    </row>
    <row r="13" spans="1:25">
      <c r="A13" t="s">
        <v>86</v>
      </c>
      <c r="B13" s="41">
        <v>0.4</v>
      </c>
      <c r="E13" s="44"/>
      <c r="H13" s="44"/>
      <c r="S13" s="44"/>
      <c r="T13" s="44"/>
      <c r="X13" s="43"/>
    </row>
    <row r="14" customFormat="1" spans="1:25">
      <c r="A14" t="s">
        <v>156</v>
      </c>
      <c r="B14" s="41">
        <v>0.1</v>
      </c>
      <c r="E14" s="44"/>
      <c r="H14" s="44"/>
      <c r="R14" s="41"/>
      <c r="S14" s="44"/>
      <c r="T14" s="44"/>
      <c r="W14" s="41"/>
      <c r="X14" s="43"/>
      <c r="Y14" s="42"/>
    </row>
    <row r="15" customFormat="1" spans="1:25">
      <c r="A15" t="s">
        <v>200</v>
      </c>
      <c r="B15" s="41"/>
      <c r="F15">
        <f>IF(期望!$F$21="不带",0,5)</f>
        <v>5</v>
      </c>
      <c r="R15" s="41">
        <f>IF(期望!$F$21="不带",0,5%)</f>
        <v>0.05</v>
      </c>
      <c r="S15" s="44"/>
      <c r="T15" s="44"/>
      <c r="W15" s="41"/>
      <c r="X15" s="43"/>
      <c r="Y15" s="42"/>
    </row>
    <row r="16" customFormat="1" spans="1:25">
      <c r="A16" t="s">
        <v>201</v>
      </c>
      <c r="B16" s="41"/>
      <c r="E16" s="44"/>
      <c r="F16">
        <f>IF(期望!$F$21="不带",0,10)</f>
        <v>10</v>
      </c>
      <c r="H16" s="44"/>
      <c r="R16" s="41">
        <f>IF(期望!$F$21="不带",0,10%)</f>
        <v>0.1</v>
      </c>
      <c r="S16" s="44"/>
      <c r="T16" s="44"/>
      <c r="W16" s="41"/>
      <c r="X16" s="43"/>
      <c r="Y16" s="42"/>
    </row>
    <row r="17" customFormat="1" spans="1:25">
      <c r="A17" t="s">
        <v>202</v>
      </c>
      <c r="B17" s="41"/>
      <c r="F17">
        <f>IF(期望!$F$21="不带",0,15)</f>
        <v>15</v>
      </c>
      <c r="R17" s="41">
        <f>IF(期望!$F$21="不带",0,15%)</f>
        <v>0.15</v>
      </c>
      <c r="S17" s="44"/>
      <c r="T17" s="44"/>
      <c r="W17" s="41"/>
      <c r="X17" s="43"/>
      <c r="Y17" s="42"/>
    </row>
    <row r="18" customFormat="1" spans="1:25">
      <c r="A18" t="s">
        <v>203</v>
      </c>
      <c r="B18" s="41"/>
      <c r="E18" s="44"/>
      <c r="F18">
        <f>IF(期望!$F$21="不带",0,20)</f>
        <v>20</v>
      </c>
      <c r="H18" s="44"/>
      <c r="R18" s="41">
        <f>IF(期望!$F$21="不带",0,20%)</f>
        <v>0.2</v>
      </c>
      <c r="S18" s="44"/>
      <c r="T18" s="44"/>
      <c r="W18" s="41"/>
      <c r="X18" s="43"/>
      <c r="Y18" s="42"/>
    </row>
    <row r="19" customFormat="1" spans="1:25">
      <c r="A19" t="s">
        <v>161</v>
      </c>
      <c r="B19" s="41"/>
      <c r="F19">
        <f>IF(期望!$F$21="不带",0,25)</f>
        <v>25</v>
      </c>
      <c r="R19" s="41">
        <f>IF(期望!$F$21="不带",0,25%)</f>
        <v>0.25</v>
      </c>
      <c r="S19" s="44"/>
      <c r="T19" s="44"/>
      <c r="W19" s="41"/>
      <c r="X19" s="43"/>
      <c r="Y19" s="42"/>
    </row>
    <row r="20" customFormat="1" spans="1:25">
      <c r="A20" t="s">
        <v>112</v>
      </c>
      <c r="B20" s="41"/>
      <c r="E20" s="44"/>
      <c r="F20">
        <f>IF(期望!$F$21="全蹭",25,0)</f>
        <v>25</v>
      </c>
      <c r="R20" s="41">
        <f>IF(期望!$F$21="全蹭",25%,0)</f>
        <v>0.25</v>
      </c>
      <c r="S20" s="44"/>
      <c r="T20" s="44"/>
      <c r="W20" s="41"/>
      <c r="X20" s="43"/>
      <c r="Y20" s="42"/>
    </row>
    <row r="21" customFormat="1" spans="1:25">
      <c r="A21" t="s">
        <v>138</v>
      </c>
      <c r="B21" s="41">
        <f>IF(期望!$H$21="N/A",0,15%)</f>
        <v>0</v>
      </c>
      <c r="E21" s="44"/>
      <c r="R21" s="41"/>
      <c r="S21" s="44"/>
      <c r="T21" s="44"/>
      <c r="W21" s="41"/>
      <c r="X21" s="43"/>
      <c r="Y21" s="42"/>
    </row>
    <row r="22" customFormat="1" spans="1:25">
      <c r="A22" t="s">
        <v>113</v>
      </c>
      <c r="B22" s="41">
        <v>0.15</v>
      </c>
      <c r="E22" s="44"/>
      <c r="R22" s="41"/>
      <c r="S22" s="44"/>
      <c r="T22" s="44"/>
      <c r="W22" s="41"/>
      <c r="X22" s="43"/>
      <c r="Y22" s="42"/>
    </row>
    <row r="23" customFormat="1" spans="1:25">
      <c r="A23" t="s">
        <v>168</v>
      </c>
      <c r="B23" s="41">
        <v>0.12</v>
      </c>
      <c r="E23" s="44"/>
      <c r="R23" s="41"/>
      <c r="S23" s="44"/>
      <c r="T23" s="44"/>
      <c r="W23" s="41"/>
      <c r="X23" s="43"/>
      <c r="Y23" s="42"/>
    </row>
    <row r="24" customFormat="1" spans="1:25">
      <c r="A24" t="s">
        <v>158</v>
      </c>
      <c r="B24" s="44">
        <v>0.2</v>
      </c>
      <c r="E24" s="44"/>
      <c r="R24" s="41"/>
      <c r="S24" s="44"/>
      <c r="T24" s="44"/>
      <c r="W24" s="41"/>
      <c r="X24" s="43"/>
      <c r="Y24" s="42"/>
    </row>
    <row r="25" customFormat="1" spans="1:25">
      <c r="A25" t="s">
        <v>159</v>
      </c>
      <c r="B25" s="41">
        <v>0.08</v>
      </c>
      <c r="Q25" s="44">
        <v>0.3</v>
      </c>
      <c r="R25" s="41"/>
      <c r="S25" s="44"/>
      <c r="T25" s="44"/>
      <c r="W25" s="41"/>
      <c r="X25" s="43"/>
      <c r="Y25" s="42"/>
    </row>
    <row r="26" spans="1:25">
      <c r="A26" t="s">
        <v>85</v>
      </c>
      <c r="R26" s="41">
        <f>IF(期望!$F$16="√",1%,0)</f>
        <v>0.01</v>
      </c>
      <c r="S26" s="44"/>
      <c r="T26" s="44"/>
      <c r="X26" s="43"/>
    </row>
    <row r="27" spans="1:25">
      <c r="A27" t="s">
        <v>100</v>
      </c>
      <c r="R27" s="41">
        <f>IF(期望!$F$16="√",2%,0)</f>
        <v>0.02</v>
      </c>
      <c r="S27" s="44"/>
      <c r="T27" s="44"/>
      <c r="X27" s="43"/>
    </row>
    <row r="28" spans="1:25">
      <c r="A28" t="s">
        <v>111</v>
      </c>
      <c r="R28" s="41">
        <f>IF(期望!$F$16="√",3%,0)</f>
        <v>0.03</v>
      </c>
      <c r="S28" s="44"/>
      <c r="T28" s="44"/>
      <c r="X28" s="43"/>
    </row>
    <row r="29" spans="1:25">
      <c r="A29" t="s">
        <v>122</v>
      </c>
      <c r="R29" s="41">
        <f>IF(期望!$F$16="√",4%,0)</f>
        <v>0.04</v>
      </c>
      <c r="S29" s="44"/>
      <c r="T29" s="44"/>
      <c r="X29" s="43"/>
    </row>
    <row r="30" spans="1:25">
      <c r="A30" t="s">
        <v>143</v>
      </c>
      <c r="R30" s="41">
        <f>IF(期望!$F$16="√",5%,0)</f>
        <v>0.05</v>
      </c>
      <c r="S30" s="44"/>
      <c r="T30" s="44"/>
      <c r="X30" s="43"/>
    </row>
    <row r="31" spans="1:25">
      <c r="A31" t="s">
        <v>145</v>
      </c>
      <c r="R31" s="41">
        <f>IF(期望!$F$16="√",6%,0)</f>
        <v>0.06</v>
      </c>
      <c r="S31" s="44"/>
      <c r="T31" s="44"/>
      <c r="X31" s="43"/>
    </row>
    <row r="32" spans="1:25">
      <c r="A32" t="s">
        <v>149</v>
      </c>
      <c r="R32" s="41">
        <f>IF(期望!$F$16="√",7%,0)</f>
        <v>0.07</v>
      </c>
      <c r="S32" s="44"/>
      <c r="T32" s="44"/>
      <c r="X32" s="43"/>
    </row>
    <row r="33" spans="1:24">
      <c r="A33" t="s">
        <v>151</v>
      </c>
      <c r="R33" s="41">
        <f>IF(期望!$F$16="√",8%,0)</f>
        <v>0.08</v>
      </c>
      <c r="S33" s="44"/>
      <c r="T33" s="44"/>
      <c r="X33" s="43"/>
    </row>
    <row r="34" spans="1:24">
      <c r="A34" t="s">
        <v>152</v>
      </c>
      <c r="R34" s="41">
        <f>IF(期望!$F$16="√",9%,0)</f>
        <v>0.09</v>
      </c>
      <c r="S34" s="44"/>
      <c r="T34" s="44"/>
      <c r="X34" s="43"/>
    </row>
    <row r="35" spans="1:24">
      <c r="A35" t="s">
        <v>153</v>
      </c>
      <c r="R35" s="41">
        <f>IF(期望!$F$16="√",10%,0)</f>
        <v>0.1</v>
      </c>
      <c r="S35" s="44"/>
      <c r="T35" s="44"/>
      <c r="X35" s="43"/>
    </row>
    <row r="36" spans="1:24">
      <c r="A36" t="s">
        <v>91</v>
      </c>
      <c r="B36" s="41">
        <f>1%*IF(期望!$C$22="易水歌",1,0)</f>
        <v>0.01</v>
      </c>
      <c r="F36">
        <f>2*IF(期望!$C$22="易水歌",1,0)</f>
        <v>2</v>
      </c>
      <c r="X36" s="43"/>
    </row>
    <row r="37" spans="1:24">
      <c r="A37" t="s">
        <v>95</v>
      </c>
      <c r="B37" s="41">
        <f>2%*IF(期望!$C$22="易水歌",1,0)</f>
        <v>0.02</v>
      </c>
      <c r="F37">
        <f>4*IF(期望!$C$22="易水歌",1,0)</f>
        <v>4</v>
      </c>
      <c r="X37" s="43"/>
    </row>
    <row r="38" spans="1:24">
      <c r="A38" t="s">
        <v>103</v>
      </c>
      <c r="B38" s="41">
        <f>3%*IF(期望!$C$22="易水歌",1,0)</f>
        <v>0.03</v>
      </c>
      <c r="F38">
        <f>6*IF(期望!$C$22="易水歌",1,0)</f>
        <v>6</v>
      </c>
      <c r="X38" s="43"/>
    </row>
    <row r="39" spans="1:24">
      <c r="A39" t="s">
        <v>110</v>
      </c>
      <c r="B39" s="41">
        <f>4%*IF(期望!$C$22="易水歌",1,0)</f>
        <v>0.04</v>
      </c>
      <c r="F39">
        <f>8*IF(期望!$C$22="易水歌",1,0)</f>
        <v>8</v>
      </c>
      <c r="X39" s="43"/>
    </row>
    <row r="40" spans="1:24">
      <c r="A40" t="s">
        <v>116</v>
      </c>
      <c r="B40" s="41">
        <f>5%*IF(期望!$C$22="易水歌",1,0)</f>
        <v>0.05</v>
      </c>
      <c r="F40">
        <f>10*IF(期望!$C$22="易水歌",1,0)</f>
        <v>10</v>
      </c>
      <c r="X40" s="43"/>
    </row>
    <row r="41" spans="1:24">
      <c r="A41" t="s">
        <v>72</v>
      </c>
      <c r="X41" s="43"/>
    </row>
    <row r="42" spans="1:24">
      <c r="X42" s="4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C36" sqref="C36"/>
    </sheetView>
  </sheetViews>
  <sheetFormatPr defaultColWidth="9" defaultRowHeight="14.4" outlineLevelCol="3"/>
  <cols>
    <col min="1" max="1" width="9" style="1"/>
    <col min="3" max="3" width="65" customWidth="1"/>
    <col min="4" max="4" width="13.75" customWidth="1"/>
  </cols>
  <sheetData>
    <row r="1" ht="15.15" spans="1:4">
      <c r="A1" s="2" t="s">
        <v>204</v>
      </c>
      <c r="B1" s="3" t="s">
        <v>205</v>
      </c>
      <c r="C1" s="4" t="s">
        <v>206</v>
      </c>
      <c r="D1" s="5" t="s">
        <v>207</v>
      </c>
    </row>
    <row r="2" spans="1:4">
      <c r="A2" s="6">
        <v>0.1</v>
      </c>
      <c r="B2" s="7">
        <v>1</v>
      </c>
      <c r="C2" s="8" t="s">
        <v>208</v>
      </c>
      <c r="D2" s="4" t="s">
        <v>209</v>
      </c>
    </row>
    <row r="3" spans="1:4">
      <c r="A3" s="9"/>
      <c r="B3" s="10">
        <v>2</v>
      </c>
      <c r="C3" s="11" t="s">
        <v>210</v>
      </c>
    </row>
    <row r="4" spans="1:4">
      <c r="A4" s="9"/>
      <c r="B4" s="10">
        <v>3</v>
      </c>
      <c r="C4" s="11" t="s">
        <v>211</v>
      </c>
    </row>
    <row r="5" spans="1:4">
      <c r="A5" s="9"/>
      <c r="B5" s="12">
        <v>4</v>
      </c>
      <c r="C5" s="11" t="s">
        <v>212</v>
      </c>
    </row>
    <row r="6" spans="1:4">
      <c r="A6" s="9"/>
      <c r="B6" s="12">
        <v>5</v>
      </c>
      <c r="C6" s="11" t="s">
        <v>213</v>
      </c>
    </row>
    <row r="7" spans="1:4">
      <c r="A7" s="9"/>
      <c r="B7" s="12">
        <v>6</v>
      </c>
      <c r="C7" s="11" t="s">
        <v>214</v>
      </c>
    </row>
    <row r="8" ht="15.15" spans="1:4">
      <c r="A8" s="13"/>
      <c r="B8" s="14">
        <v>7</v>
      </c>
      <c r="C8" s="15" t="s">
        <v>215</v>
      </c>
    </row>
    <row r="9" ht="15.15" spans="1:4">
      <c r="A9" s="16">
        <v>0.2</v>
      </c>
      <c r="B9" s="17">
        <v>1</v>
      </c>
      <c r="C9" s="18" t="s">
        <v>216</v>
      </c>
    </row>
    <row r="10" ht="15.15" spans="1:4">
      <c r="A10" s="19">
        <v>0.3</v>
      </c>
      <c r="B10" s="17">
        <v>1</v>
      </c>
      <c r="C10" s="18" t="s">
        <v>216</v>
      </c>
    </row>
    <row r="11" ht="15.15" spans="1:4">
      <c r="A11" s="16">
        <v>0.4</v>
      </c>
      <c r="B11" s="17">
        <v>1</v>
      </c>
      <c r="C11" s="18" t="s">
        <v>217</v>
      </c>
    </row>
    <row r="12" ht="15.15" spans="1:4">
      <c r="A12" s="16">
        <v>0.5</v>
      </c>
      <c r="B12" s="17">
        <v>1</v>
      </c>
      <c r="C12" s="18" t="s">
        <v>218</v>
      </c>
    </row>
    <row r="13" ht="15.15" spans="1:4">
      <c r="A13" s="20">
        <v>1</v>
      </c>
      <c r="B13" s="21">
        <v>1</v>
      </c>
      <c r="C13" s="8" t="s">
        <v>219</v>
      </c>
    </row>
    <row r="14" spans="1:4">
      <c r="A14" s="20">
        <v>1.1</v>
      </c>
      <c r="B14" s="21">
        <v>1</v>
      </c>
      <c r="C14" s="8" t="s">
        <v>220</v>
      </c>
    </row>
    <row r="15" spans="1:4">
      <c r="A15" s="22"/>
      <c r="B15" s="12">
        <v>2</v>
      </c>
      <c r="C15" s="11" t="s">
        <v>221</v>
      </c>
    </row>
    <row r="16" spans="1:4">
      <c r="A16" s="22"/>
      <c r="B16" s="12">
        <v>3</v>
      </c>
      <c r="C16" s="11" t="s">
        <v>222</v>
      </c>
    </row>
    <row r="17" spans="1:4">
      <c r="A17" s="22"/>
      <c r="B17" s="12">
        <v>4</v>
      </c>
      <c r="C17" s="11" t="s">
        <v>223</v>
      </c>
    </row>
    <row r="18" spans="1:4">
      <c r="A18" s="22"/>
      <c r="B18" s="12">
        <v>5</v>
      </c>
      <c r="C18" s="11" t="s">
        <v>224</v>
      </c>
    </row>
    <row r="19" spans="1:4">
      <c r="A19" s="22"/>
      <c r="B19" s="12">
        <v>6</v>
      </c>
      <c r="C19" s="11" t="s">
        <v>225</v>
      </c>
    </row>
    <row r="20" spans="1:4">
      <c r="A20" s="22"/>
      <c r="B20" s="12">
        <v>7</v>
      </c>
      <c r="C20" s="11" t="s">
        <v>226</v>
      </c>
    </row>
    <row r="21" spans="1:4">
      <c r="A21" s="22"/>
      <c r="B21" s="12"/>
      <c r="C21" s="11" t="s">
        <v>227</v>
      </c>
    </row>
    <row r="22" spans="1:4">
      <c r="A22" s="22"/>
      <c r="B22" s="12"/>
      <c r="C22" s="11" t="s">
        <v>228</v>
      </c>
    </row>
    <row r="23" spans="1:4">
      <c r="A23" s="22"/>
      <c r="B23" s="12">
        <v>8</v>
      </c>
      <c r="C23" s="11" t="s">
        <v>229</v>
      </c>
    </row>
    <row r="24" ht="15.15" spans="1:4">
      <c r="A24" s="23"/>
      <c r="B24" s="14"/>
      <c r="C24" s="15" t="s">
        <v>230</v>
      </c>
    </row>
    <row r="25" ht="15.15" spans="1:4">
      <c r="A25" s="16">
        <v>1.2</v>
      </c>
      <c r="B25" s="17">
        <v>1</v>
      </c>
      <c r="C25" s="18" t="s">
        <v>216</v>
      </c>
    </row>
    <row r="26" ht="15.15" spans="1:4">
      <c r="A26" s="16">
        <v>1.3</v>
      </c>
      <c r="B26" s="17">
        <v>1</v>
      </c>
      <c r="C26" s="18" t="s">
        <v>231</v>
      </c>
    </row>
    <row r="27" ht="15.15" spans="1:4">
      <c r="A27" s="16">
        <v>1.4</v>
      </c>
      <c r="B27" s="17">
        <v>1</v>
      </c>
      <c r="C27" s="18" t="s">
        <v>216</v>
      </c>
    </row>
    <row r="28" spans="1:4">
      <c r="A28" s="24">
        <v>1</v>
      </c>
      <c r="B28" s="25">
        <v>1</v>
      </c>
      <c r="C28" s="26" t="s">
        <v>232</v>
      </c>
      <c r="D28" s="5" t="s">
        <v>233</v>
      </c>
    </row>
    <row r="29" spans="1:4">
      <c r="A29" s="27"/>
      <c r="B29" s="28">
        <v>2</v>
      </c>
      <c r="C29" s="29" t="s">
        <v>234</v>
      </c>
    </row>
    <row r="30" ht="15.15" spans="1:4">
      <c r="A30" s="30"/>
      <c r="B30" s="31">
        <v>3</v>
      </c>
      <c r="C30" s="32" t="s">
        <v>235</v>
      </c>
    </row>
    <row r="31" ht="15.15" spans="1:4">
      <c r="A31" s="16">
        <v>1.1</v>
      </c>
      <c r="B31" s="17">
        <v>1</v>
      </c>
      <c r="C31" s="18" t="s">
        <v>236</v>
      </c>
    </row>
    <row r="32" spans="1:4">
      <c r="A32" s="33">
        <v>1.2</v>
      </c>
      <c r="B32" s="34">
        <v>1</v>
      </c>
      <c r="C32" s="35" t="s">
        <v>237</v>
      </c>
    </row>
    <row r="33" spans="1:3">
      <c r="A33" s="36"/>
      <c r="B33">
        <v>2</v>
      </c>
      <c r="C33" s="37" t="s">
        <v>238</v>
      </c>
    </row>
    <row r="34" spans="1:3">
      <c r="A34" s="36"/>
      <c r="B34"/>
      <c r="C34" s="37" t="s">
        <v>239</v>
      </c>
    </row>
    <row r="35" ht="15.15" spans="1:3">
      <c r="A35" s="38"/>
      <c r="B35" s="39">
        <v>3</v>
      </c>
      <c r="C35" s="40" t="s">
        <v>240</v>
      </c>
    </row>
  </sheetData>
  <mergeCells count="4">
    <mergeCell ref="A2:A8"/>
    <mergeCell ref="A14:A24"/>
    <mergeCell ref="A28:A30"/>
    <mergeCell ref="A32:A35"/>
  </mergeCells>
  <hyperlinks>
    <hyperlink ref="D1" r:id="rId1" display="BiliBili@片雲"/>
    <hyperlink ref="D28" r:id="rId2" display="dy@雪皇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R</cp:lastModifiedBy>
  <dcterms:created xsi:type="dcterms:W3CDTF">2023-05-12T11:15:00Z</dcterms:created>
  <dcterms:modified xsi:type="dcterms:W3CDTF">2026-08-12T15:12:11Z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80EB641C45F44AD0BB6D2FA7C9D40924_13</vt:lpwstr>
  </property>
  <property fmtid="{D5CDD505-2E9C-101B-9397-08002B2CF9AE}" pid="4" name="CalculationRule">
    <vt:i4>0</vt:i4>
  </property>
</Properties>
</file>