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windowWidth="17535" windowHeight="1276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<sst xmlns="http://schemas.openxmlformats.org/spreadsheetml/2006/main" count="4792" uniqueCount="244">
  <si>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</si>
  <si>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</si>
  <si>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</si>
  <si>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</si>
  <si>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</si>
  <si>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</si>
  <si>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</si>
  <si>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</si>
  <si>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</si>
  <si>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</si>
  <si>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</si>
  <si>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</si>
  <si>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</si>
  <si>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</si>
  <si>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</si>
  <si>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</si>
  <si>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</si>
  <si>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</si>
  <si>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</si>
  <si>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</si>
  <si>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</si>
  <si>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</si>
  <si>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</si>
  <si>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</si>
  <si>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</si>
  <si>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</si>
  <si>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</si>
  <si>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</si>
  <si>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</si>
  <si>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</si>
  <si>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</si>
  <si>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</si>
  <si>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</si>
  <si>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</si>
  <si>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</si>
  <si>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</si>
  <si>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</si>
  <si>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</si>
  <si>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</si>
  <si>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</si>
  <si>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</si>
  <si>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</si>
  <si>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</si>
  <si>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</si>
  <si>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</si>
  <si>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</si>
  <si>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</si>
  <si>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</si>
  <si>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</si>
  <si>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</si>
  <si>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</si>
  <si>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</si>
  <si>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</si>
  <si>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</si>
  <si>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</si>
  <si>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</si>
  <si>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</si>
  <si>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</si>
  <si>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</si>
  <si>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</si>
  <si>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</si>
  <si>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</si>
  <si>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</si>
  <si>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</si>
  <si>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</si>
  <si>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</si>
  <si>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</si>
  <si>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</si>
  <si>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</si>
  <si>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</si>
  <si>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</si>
  <si>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</si>
  <si>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</si>
  <si>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</si>
  <si>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</si>
  <si>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萧呤千浪流星</t>
  </si>
  <si>
    <t>N/a</t>
  </si>
  <si>
    <t>时雨额外</t>
  </si>
  <si>
    <t>近战笛</t>
  </si>
  <si>
    <t>裁云(拐)</t>
  </si>
  <si>
    <t>无惧</t>
  </si>
  <si>
    <t>鸣金</t>
  </si>
  <si>
    <t>外抗</t>
  </si>
  <si>
    <t>易水歌2层</t>
  </si>
  <si>
    <t>惧刃(拐)</t>
  </si>
  <si>
    <t>沧海帖1层</t>
  </si>
  <si>
    <t>扶风(拐)</t>
  </si>
  <si>
    <t>离猎(拐)</t>
  </si>
  <si>
    <t>陌刀</t>
  </si>
  <si>
    <t>属抗</t>
  </si>
  <si>
    <t>易水歌3层</t>
  </si>
  <si>
    <t>沧海帖2层</t>
  </si>
  <si>
    <t>穿喉2(普)</t>
  </si>
  <si>
    <t>烁鼓(拐)</t>
  </si>
  <si>
    <t>牵丝</t>
  </si>
  <si>
    <t>枪</t>
  </si>
  <si>
    <t>副本天赋</t>
  </si>
  <si>
    <t>易水歌4层</t>
  </si>
  <si>
    <t>沧海帖3层</t>
  </si>
  <si>
    <t>破竹</t>
  </si>
  <si>
    <t>单体奇术</t>
  </si>
  <si>
    <t>易水歌5层</t>
  </si>
  <si>
    <t>沧海帖4层</t>
  </si>
  <si>
    <t>穿喉4(普)</t>
  </si>
  <si>
    <t>无相</t>
  </si>
  <si>
    <t>群体奇术</t>
  </si>
  <si>
    <t>三蓄2战意</t>
  </si>
  <si>
    <t>易水歌1层</t>
  </si>
  <si>
    <t>破阵</t>
  </si>
  <si>
    <t>精准率</t>
  </si>
  <si>
    <t>实际属性</t>
  </si>
  <si>
    <t>战斗时间</t>
  </si>
  <si>
    <t>八强～一段</t>
  </si>
  <si>
    <t>会心率</t>
  </si>
  <si>
    <t>易伤</t>
  </si>
  <si>
    <t>会意率</t>
  </si>
  <si>
    <t>总伤</t>
  </si>
  <si>
    <t>派生2战意</t>
  </si>
  <si>
    <t>直接会心率</t>
  </si>
  <si>
    <t>直接会意率</t>
  </si>
  <si>
    <t>ADPS</t>
  </si>
  <si>
    <t>穿喉2</t>
  </si>
  <si>
    <t>会心伤害加成</t>
  </si>
  <si>
    <t>会意伤害加成</t>
  </si>
  <si>
    <t>RDPS</t>
  </si>
  <si>
    <t>沧海帖5层</t>
  </si>
  <si>
    <t>穿喉4</t>
  </si>
  <si>
    <t>全武增</t>
  </si>
  <si>
    <t>团队增益</t>
  </si>
  <si>
    <t>沧海帖6层</t>
  </si>
  <si>
    <t>首领增</t>
  </si>
  <si>
    <t>沧海帖</t>
  </si>
  <si>
    <t>√</t>
  </si>
  <si>
    <t>毕业率</t>
  </si>
  <si>
    <t>穿喉5</t>
  </si>
  <si>
    <t>陌刀增</t>
  </si>
  <si>
    <t>尘</t>
  </si>
  <si>
    <t>所恨年年</t>
  </si>
  <si>
    <t>沧海帖7层</t>
  </si>
  <si>
    <t>穿喉5(普)</t>
  </si>
  <si>
    <t>枪增</t>
  </si>
  <si>
    <t>虹</t>
  </si>
  <si>
    <t>穿喉决</t>
  </si>
  <si>
    <t>单体奇术增</t>
  </si>
  <si>
    <t>钧</t>
  </si>
  <si>
    <t>抗造大法</t>
  </si>
  <si>
    <t>沧海帖8层</t>
  </si>
  <si>
    <t>群体奇术增</t>
  </si>
  <si>
    <t>影</t>
  </si>
  <si>
    <t>沧海帖9层</t>
  </si>
  <si>
    <t>蓄力技定音</t>
  </si>
  <si>
    <t>翊</t>
  </si>
  <si>
    <t>×</t>
  </si>
  <si>
    <t>固伤加成</t>
  </si>
  <si>
    <t>樽</t>
  </si>
  <si>
    <t>沧海帖10层</t>
  </si>
  <si>
    <t>食物加成</t>
  </si>
  <si>
    <t>开盾</t>
  </si>
  <si>
    <t>盾</t>
  </si>
  <si>
    <t>笛</t>
  </si>
  <si>
    <t>气竭</t>
  </si>
  <si>
    <t>真气失衡</t>
  </si>
  <si>
    <t>蓄力前摇</t>
  </si>
  <si>
    <t>蓄3</t>
  </si>
  <si>
    <t>枪～卸</t>
  </si>
  <si>
    <t>惧</t>
  </si>
  <si>
    <t>鼓</t>
  </si>
  <si>
    <t>衍九矢9hit</t>
  </si>
  <si>
    <t>派生</t>
  </si>
  <si>
    <t>蓄力</t>
  </si>
  <si>
    <t>骑龙回马</t>
  </si>
  <si>
    <t>气</t>
  </si>
  <si>
    <t>拉矢</t>
  </si>
  <si>
    <t>机制</t>
  </si>
  <si>
    <t>等待</t>
  </si>
  <si>
    <t>猴戏</t>
  </si>
  <si>
    <t>骑龙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</si>
  <si>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</si>
  <si>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</si>
  <si>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</si>
  <si>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</si>
  <si>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</si>
  <si>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</si>
  <si>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</si>
  <si>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</si>
  <si>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</si>
  <si>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</si>
  <si>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</si>
  <si>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</si>
  <si>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</si>
  <si>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</si>
  <si>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</si>
  <si>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八枪Q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</si>
  <si>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</si>
  <si>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</si>
  <si>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</si>
  <si>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</si>
  <si>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</si>
  <si>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</si>
  <si>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</si>
  <si>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</si>
  <si>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</si>
  <si>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</si>
  <si>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</si>
  <si>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</si>
  <si>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</si>
  <si>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</si>
  <si>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</si>
  <si>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</si>
  <si>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</si>
  <si>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</si>
  <si>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</si>
  <si>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</si>
  <si>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</si>
  <si>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</si>
  <si>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</si>
  <si>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</si>
  <si>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</si>
  <si>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</si>
  <si>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</si>
  <si>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</si>
  <si>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</si>
  <si>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</si>
  <si>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</si>
  <si>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</si>
  <si>
    <t>修正了diy属性以匹配先琢版本</t>
  </si>
  <si>
    <t>将所恨年年从尘增益区划入公共增益区以观测实际RD</t>
  </si>
  <si>
    <t>修正了尘加成,重新计算了易伤提供的平均增幅</t>
  </si>
  <si>
    <t>调整了diy属性</t>
  </si>
  <si>
    <t>更新蕤宾叠奏上半数值,将铁花替换成了无惧</t>
  </si>
  <si>
    <t>轴变更为拏云蛇慢气轴</t>
  </si>
  <si>
    <t>增加了鸣金影提供的rd,约0.4%</t>
  </si>
  <si>
    <t>第一轮不吃球大约-4%</t>
  </si>
  <si>
    <t>更新蕤宾叠奏下半数值,更新虎孟极快气轴</t>
  </si>
  <si>
    <t>添加了翊的rd,默认关闭</t>
  </si>
  <si>
    <t>修正了属性错误</t>
  </si>
  <si>
    <t>修正了RD基数</t>
  </si>
  <si>
    <t>扩充了增益区</t>
  </si>
  <si>
    <t>增加了樽的rd</t>
  </si>
  <si>
    <t>按照上线内容修改了樽的rd</t>
  </si>
  <si>
    <t>更新杭州西版本蹊跷</t>
  </si>
  <si>
    <t>修正了diy错误</t>
  </si>
  <si>
    <t>3.0(流枫)</t>
  </si>
  <si>
    <t>更新南吕相和赛季数值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</si>
</sst>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17"/>
  <sheetViews>
    <sheetView workbookViewId="0">
      <selection activeCell="I18" sqref="I18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2" customWidth="1"/>
    <col min="18" max="37" width="9" style="32"/>
    <col min="39" max="39" width="9.375" style="27"/>
    <col min="40" max="40" width="9" style="28"/>
    <col min="41" max="41" width="9.375" style="27"/>
    <col min="42" max="42" width="9" style="28"/>
    <col min="43" max="44" width="9" style="27"/>
    <col min="47" max="49" width="9" style="33"/>
    <col min="52" max="53" width="9" style="33"/>
    <col min="66" max="70" width="9" style="27"/>
    <col min="71" max="72" width="9.00833333333333" style="27" customWidth="1"/>
    <col min="73" max="74" width="9" style="27"/>
  </cols>
  <sheetData>
    <row r="1" spans="1:74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s="33" t="s">
        <v>45</v>
      </c>
      <c r="AX1" t="s">
        <v>46</v>
      </c>
      <c r="AY1" t="s">
        <v>47</v>
      </c>
      <c r="AZ1" s="33" t="s">
        <v>48</v>
      </c>
      <c r="BA1" s="33" t="s">
        <v>49</v>
      </c>
      <c r="BB1" t="s">
        <v>50</v>
      </c>
      <c r="BC1" t="s">
        <v>51</v>
      </c>
      <c r="BD1" s="33" t="s">
        <v>52</v>
      </c>
      <c r="BE1" s="33" t="s">
        <v>53</v>
      </c>
      <c r="BF1" t="s">
        <v>54</v>
      </c>
      <c r="BG1" t="s">
        <v>55</v>
      </c>
      <c r="BH1" s="33" t="s">
        <v>56</v>
      </c>
      <c r="BI1" s="33" t="s">
        <v>57</v>
      </c>
      <c r="BJ1" t="s">
        <v>58</v>
      </c>
      <c r="BK1" t="s">
        <v>59</v>
      </c>
      <c r="BL1" s="33" t="s">
        <v>60</v>
      </c>
      <c r="BM1" s="33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2" t="s">
        <v>71</v>
      </c>
      <c r="B2" s="32">
        <v>2165.2</v>
      </c>
      <c r="C2" s="32">
        <v>6744.8</v>
      </c>
      <c r="D2" s="32">
        <v>58.7</v>
      </c>
      <c r="E2" s="43"/>
      <c r="F2" s="44" t="s">
        <v>72</v>
      </c>
      <c r="G2" s="45" t="s">
        <v>73</v>
      </c>
      <c r="H2" s="46" t="s">
        <v>74</v>
      </c>
      <c r="I2" s="11">
        <f>620*(1-IF(F17="√",0.06,0)-IF(D20="√",0.04,0))</f>
        <v>558</v>
      </c>
      <c r="K2" s="39">
        <f>($L2*$BS2+$M2*$BQ2+$N2*$BT2+$O2*$BU2)</f>
        <v>24450.0917038071</v>
      </c>
      <c r="L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27010.5436863521</v>
      </c>
      <c r="M2" s="39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30111.1927074528</v>
      </c>
      <c r="N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15056.0444182564</v>
      </c>
      <c r="O2" s="39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7807.50164580715</v>
      </c>
      <c r="P2" s="40">
        <v>1</v>
      </c>
      <c r="Q2" s="41" t="s">
        <v>75</v>
      </c>
      <c r="R2" s="41" t="s">
        <v>76</v>
      </c>
      <c r="S2" s="41" t="s">
        <v>76</v>
      </c>
      <c r="T2" s="41" t="s">
        <v>77</v>
      </c>
      <c r="U2" s="41" t="s">
        <v>76</v>
      </c>
      <c r="V2" s="41" t="s">
        <v>76</v>
      </c>
      <c r="W2" s="41" t="s">
        <v>78</v>
      </c>
      <c r="X2" s="41" t="s">
        <v>76</v>
      </c>
      <c r="Y2" s="41" t="s">
        <v>76</v>
      </c>
      <c r="Z2" s="41" t="s">
        <v>76</v>
      </c>
      <c r="AA2" s="41" t="s">
        <v>76</v>
      </c>
      <c r="AB2" s="41" t="s">
        <v>76</v>
      </c>
      <c r="AC2" s="41" t="s">
        <v>76</v>
      </c>
      <c r="AD2" s="41" t="s">
        <v>79</v>
      </c>
      <c r="AE2" s="41" t="s">
        <v>80</v>
      </c>
      <c r="AF2" s="41" t="s">
        <v>76</v>
      </c>
      <c r="AG2" s="41" t="s">
        <v>76</v>
      </c>
      <c r="AH2" s="41" t="s">
        <v>76</v>
      </c>
      <c r="AI2" s="41" t="s">
        <v>76</v>
      </c>
      <c r="AJ2" s="41" t="s">
        <v>76</v>
      </c>
      <c r="AK2" s="41" t="s">
        <v>76</v>
      </c>
      <c r="AL2" t="str">
        <f>VLOOKUP($Q2,武学奇术!$A:$ZZ,25,FALSE)</f>
        <v>群体奇术</v>
      </c>
      <c r="AM2" s="27">
        <f>VLOOKUP($Q2,武学奇术!$A:$ZZ,26,FALSE)</f>
        <v>1.4904</v>
      </c>
      <c r="AN2" s="28">
        <f>VLOOKUP($Q2,武学奇术!$A:$ZZ,27,FALSE)*(1+IF(OR($AL2=$F$4,$AL2=$F$5),$B$22,0))</f>
        <v>378</v>
      </c>
      <c r="AO2" s="27">
        <f>VLOOKUP($Q2,武学奇术!$A:$ZZ,28,FALSE)</f>
        <v>2.2356</v>
      </c>
      <c r="AP2" s="28">
        <f>VLOOKUP($Q2,武学奇术!$A:$ZZ,29,FALSE)*(1+IF(OR($AL2=$F$4,$AL2=$F$5),$B$22,0))</f>
        <v>0</v>
      </c>
      <c r="AQ2" s="27" cm="1">
        <f t="array" ref="AQ2">$G$3+IFERROR(VLOOKUP($AL2,$F$4:$G$7,2,FALSE),0)+VLOOKUP($Q2,武学奇术!$A:$ZZ,2,FALSE)+SUM(_xlfn.XLOOKUP($R2:$AK2,增益!$A:$A,增益!$B:$B,0))</f>
        <v>0.2242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1847.2</v>
      </c>
      <c r="AT2" cm="1">
        <f t="array" ref="AT2">$E$10*(1+$AR2)+VLOOKUP($Q2,武学奇术!$A:$ZZ,4,FALSE)+SUM(_xlfn.XLOOKUP($R2:$AK2,增益!$A:$A,增益!$D:$D,0))-$I$2</f>
        <v>6666.8</v>
      </c>
      <c r="AU2" s="33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0.2585</v>
      </c>
      <c r="AV2" s="33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3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3" cm="1">
        <f t="array" ref="BA2">$G$11+VLOOKUP($Q2,武学奇术!$A:$ZZ,10,FALSE)+SUM(_xlfn.XLOOKUP($R2:$AK2,增益!$A:$A,增益!$J:$J,0))</f>
        <v>0</v>
      </c>
      <c r="BB2">
        <f>$D$12*(1+$AW2)</f>
        <v>662.4</v>
      </c>
      <c r="BC2">
        <f>$E$12*(1+$AW2)</f>
        <v>1260</v>
      </c>
      <c r="BD2" s="33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3" cm="1">
        <f t="array" ref="BE2">$G$12+VLOOKUP($Q2,武学奇术!$A:$ZZ,12,FALSE)+SUM(_xlfn.XLOOKUP($R2:$AK2,增益!$A:$A,增益!$L:$L,0))</f>
        <v>0.15</v>
      </c>
      <c r="BF2">
        <f>$D$13*(1+$AW2)</f>
        <v>0</v>
      </c>
      <c r="BG2">
        <f>$E$13*(1+$AW2)</f>
        <v>0</v>
      </c>
      <c r="BH2" s="33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3" cm="1">
        <f t="array" ref="BI2">$G$13+VLOOKUP($Q2,武学奇术!$A:$ZZ,14,FALSE)+SUM(_xlfn.XLOOKUP($R2:$AK2,增益!$A:$A,增益!$N:$N,0))</f>
        <v>0</v>
      </c>
      <c r="BJ2">
        <f>$D$14*(1+$AW2)</f>
        <v>0</v>
      </c>
      <c r="BK2">
        <f>$E$14*(1+$AW2)</f>
        <v>0</v>
      </c>
      <c r="BL2" s="33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3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1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0.5954</v>
      </c>
      <c r="BP2" s="27" cm="1">
        <f t="array" ref="BP2">1+$B$13+VLOOKUP($Q2,武学奇术!$A:$ZZ,18,FALSE)+SUM(_xlfn.XLOOKUP($R2:$AK2,增益!$A:$A,增益!$R:$R,0))</f>
        <v>1.794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0.1512</v>
      </c>
      <c r="BR2" s="27" cm="1">
        <f t="array" ref="BR2">1+$B$14+VLOOKUP($Q2,武学奇术!$A:$ZZ,20,FALSE)+SUM(_xlfn.XLOOKUP($R2:$AK2,增益!$A:$A,增益!$T:$T,0))</f>
        <v>1.35</v>
      </c>
      <c r="BS2" s="27">
        <f>MIN((1-BQ2)*BN2,BN2*BO2)</f>
        <v>0.5954</v>
      </c>
      <c r="BT2" s="27">
        <f>1-BQ2-BS2-BU2</f>
        <v>0.2534</v>
      </c>
      <c r="BU2" s="27">
        <f>IF(VLOOKUP($Q2,武学奇术!$A:$ZZ,22,FALSE)=1,0,(1-$BN2))*(1-$BQ2)</f>
        <v>0</v>
      </c>
      <c r="BV2" s="27" cm="1">
        <f t="array" ref="BV2">SUM(_xlfn.XLOOKUP($R2:$AK2,增益!$A:$A,增益!$W:$W,0))+$I$5</f>
        <v>0.11</v>
      </c>
    </row>
    <row r="3" spans="1:74">
      <c r="A3" s="47" t="s">
        <v>81</v>
      </c>
      <c r="B3" s="48"/>
      <c r="C3" s="48"/>
      <c r="D3" s="48"/>
      <c r="E3" s="49"/>
      <c r="F3" s="46" t="s">
        <v>39</v>
      </c>
      <c r="G3" s="50">
        <f>B16+1.5%+IF($F$19="√",10%,0)</f>
        <v>0.2042</v>
      </c>
      <c r="H3" s="46" t="s">
        <v>82</v>
      </c>
      <c r="I3" s="11">
        <f>25-IF(D17="√",8,0)-IF(F17="√",10,0)</f>
        <v>7</v>
      </c>
      <c r="K3" s="39">
        <f t="shared" ref="K3:K34" si="0">($L3*$BS3+$M3*$BQ3+$N3*$BT3+$O3*$BU3)</f>
        <v>25680.800007386</v>
      </c>
      <c r="L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28432.3650981796</v>
      </c>
      <c r="M3" s="39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31470.8974681002</v>
      </c>
      <c r="N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15760.734533359</v>
      </c>
      <c r="O3" s="39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8209.69316442146</v>
      </c>
      <c r="P3" s="40">
        <v>1</v>
      </c>
      <c r="Q3" s="41" t="s">
        <v>75</v>
      </c>
      <c r="R3" s="41" t="s">
        <v>83</v>
      </c>
      <c r="S3" s="41" t="s">
        <v>76</v>
      </c>
      <c r="T3" s="41" t="s">
        <v>77</v>
      </c>
      <c r="U3" s="41" t="s">
        <v>84</v>
      </c>
      <c r="V3" s="41" t="s">
        <v>85</v>
      </c>
      <c r="W3" s="41" t="s">
        <v>78</v>
      </c>
      <c r="X3" s="41" t="s">
        <v>76</v>
      </c>
      <c r="Y3" s="41" t="s">
        <v>76</v>
      </c>
      <c r="Z3" s="41" t="s">
        <v>76</v>
      </c>
      <c r="AA3" s="41" t="s">
        <v>86</v>
      </c>
      <c r="AB3" s="41" t="s">
        <v>76</v>
      </c>
      <c r="AC3" s="41" t="s">
        <v>76</v>
      </c>
      <c r="AD3" s="41" t="s">
        <v>79</v>
      </c>
      <c r="AE3" s="41" t="s">
        <v>80</v>
      </c>
      <c r="AF3" s="41" t="s">
        <v>76</v>
      </c>
      <c r="AG3" s="41" t="s">
        <v>76</v>
      </c>
      <c r="AH3" s="41" t="s">
        <v>76</v>
      </c>
      <c r="AI3" s="41" t="s">
        <v>76</v>
      </c>
      <c r="AJ3" s="41" t="s">
        <v>76</v>
      </c>
      <c r="AK3" s="41" t="s">
        <v>87</v>
      </c>
      <c r="AL3" t="str">
        <f>VLOOKUP($Q3,武学奇术!$A:$ZZ,25,FALSE)</f>
        <v>群体奇术</v>
      </c>
      <c r="AM3" s="27">
        <f>VLOOKUP($Q3,武学奇术!$A:$ZZ,26,FALSE)</f>
        <v>1.4904</v>
      </c>
      <c r="AN3" s="28">
        <f>VLOOKUP($Q3,武学奇术!$A:$ZZ,27,FALSE)*(1+IF(OR($AL3=$F$4,$AL3=$F$5),$B$22,0))</f>
        <v>378</v>
      </c>
      <c r="AO3" s="27">
        <f>VLOOKUP($Q3,武学奇术!$A:$ZZ,28,FALSE)</f>
        <v>2.2356</v>
      </c>
      <c r="AP3" s="28">
        <f>VLOOKUP($Q3,武学奇术!$A:$ZZ,29,FALSE)*(1+IF(OR($AL3=$F$4,$AL3=$F$5),$B$22,0))</f>
        <v>0</v>
      </c>
      <c r="AQ3" s="27" cm="1">
        <f t="array" ref="AQ3">$G$3+IFERROR(VLOOKUP($AL3,$F$4:$G$7,2,FALSE),0)+VLOOKUP($Q3,武学奇术!$A:$ZZ,2,FALSE)+SUM(_xlfn.XLOOKUP($R3:$AK3,增益!$A:$A,增益!$B:$B,0))</f>
        <v>0.2442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1847.2</v>
      </c>
      <c r="AT3" cm="1">
        <f t="array" ref="AT3">$E$10*(1+$AR3)+VLOOKUP($Q3,武学奇术!$A:$ZZ,4,FALSE)+SUM(_xlfn.XLOOKUP($R3:$AK3,增益!$A:$A,增益!$D:$D,0))-$I$2</f>
        <v>6666.8</v>
      </c>
      <c r="AU3" s="33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0.2785</v>
      </c>
      <c r="AV3" s="33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3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3" cm="1">
        <f t="array" ref="BA3">$G$11+VLOOKUP($Q3,武学奇术!$A:$ZZ,10,FALSE)+SUM(_xlfn.XLOOKUP($R3:$AK3,增益!$A:$A,增益!$J:$J,0))</f>
        <v>0</v>
      </c>
      <c r="BB3">
        <f t="shared" ref="BB3:BB34" si="3">$D$12*(1+$AW3)</f>
        <v>662.4</v>
      </c>
      <c r="BC3">
        <f t="shared" ref="BC3:BC34" si="4">$E$12*(1+$AW3)</f>
        <v>1260</v>
      </c>
      <c r="BD3" s="33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0.14</v>
      </c>
      <c r="BE3" s="33" cm="1">
        <f t="array" ref="BE3">$G$12+VLOOKUP($Q3,武学奇术!$A:$ZZ,12,FALSE)+SUM(_xlfn.XLOOKUP($R3:$AK3,增益!$A:$A,增益!$L:$L,0))</f>
        <v>0.15</v>
      </c>
      <c r="BF3">
        <f t="shared" ref="BF3:BF34" si="5">$D$13*(1+$AW3)</f>
        <v>0</v>
      </c>
      <c r="BG3">
        <f t="shared" ref="BG3:BG34" si="6">$E$13*(1+$AW3)</f>
        <v>0</v>
      </c>
      <c r="BH3" s="33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3" cm="1">
        <f t="array" ref="BI3">$G$13+VLOOKUP($Q3,武学奇术!$A:$ZZ,14,FALSE)+SUM(_xlfn.XLOOKUP($R3:$AK3,增益!$A:$A,增益!$N:$N,0))</f>
        <v>0</v>
      </c>
      <c r="BJ3">
        <f t="shared" ref="BJ3:BJ34" si="7">$D$14*(1+$AW3)</f>
        <v>0</v>
      </c>
      <c r="BK3">
        <f t="shared" ref="BK3:BK34" si="8">$E$14*(1+$AW3)</f>
        <v>0</v>
      </c>
      <c r="BL3" s="33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3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1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0.5954</v>
      </c>
      <c r="BP3" s="27" cm="1">
        <f t="array" ref="BP3">1+$B$13+VLOOKUP($Q3,武学奇术!$A:$ZZ,18,FALSE)+SUM(_xlfn.XLOOKUP($R3:$AK3,增益!$A:$A,增益!$R:$R,0))</f>
        <v>1.804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0.1512</v>
      </c>
      <c r="BR3" s="27" cm="1">
        <f t="array" ref="BR3">1+$B$14+VLOOKUP($Q3,武学奇术!$A:$ZZ,20,FALSE)+SUM(_xlfn.XLOOKUP($R3:$AK3,增益!$A:$A,增益!$T:$T,0))</f>
        <v>1.35</v>
      </c>
      <c r="BS3" s="27">
        <f t="shared" ref="BS3:BS34" si="9">MIN((1-BQ3)*BN3,BN3*BO3)</f>
        <v>0.5954</v>
      </c>
      <c r="BT3" s="27">
        <f t="shared" ref="BT3:BT34" si="10">1-BQ3-BS3-BU3</f>
        <v>0.2534</v>
      </c>
      <c r="BU3" s="27">
        <f>IF(VLOOKUP($Q3,武学奇术!$A:$ZZ,22,FALSE)=1,0,(1-$BN3))*(1-$BQ3)</f>
        <v>0</v>
      </c>
      <c r="BV3" s="27" cm="1">
        <f t="array" ref="BV3">SUM(_xlfn.XLOOKUP($R3:$AK3,增益!$A:$A,增益!$W:$W,0))+$I$5</f>
        <v>0.11</v>
      </c>
    </row>
    <row r="4" ht="14.25" spans="1:74">
      <c r="A4" s="51" t="s">
        <v>5</v>
      </c>
      <c r="B4" s="52">
        <v>583.2</v>
      </c>
      <c r="C4" s="52">
        <v>1167.6</v>
      </c>
      <c r="D4" s="52">
        <v>42</v>
      </c>
      <c r="E4" s="53">
        <v>0.15</v>
      </c>
      <c r="F4" s="46" t="s">
        <v>88</v>
      </c>
      <c r="G4" s="50">
        <f>B15+B17</f>
        <v>0.1701</v>
      </c>
      <c r="H4" s="54" t="s">
        <v>89</v>
      </c>
      <c r="I4" s="14">
        <f>30</f>
        <v>30</v>
      </c>
      <c r="K4" s="39">
        <f t="shared" si="0"/>
        <v>26829.1821535527</v>
      </c>
      <c r="L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29975.8019991109</v>
      </c>
      <c r="M4" s="39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32305.3792317703</v>
      </c>
      <c r="N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16168.177993048</v>
      </c>
      <c r="O4" s="39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8406.44544404381</v>
      </c>
      <c r="P4" s="40">
        <v>1</v>
      </c>
      <c r="Q4" s="41" t="s">
        <v>75</v>
      </c>
      <c r="R4" s="41" t="s">
        <v>90</v>
      </c>
      <c r="S4" s="41" t="s">
        <v>76</v>
      </c>
      <c r="T4" s="41" t="s">
        <v>77</v>
      </c>
      <c r="U4" s="41" t="s">
        <v>84</v>
      </c>
      <c r="V4" s="41" t="s">
        <v>91</v>
      </c>
      <c r="W4" s="41" t="s">
        <v>78</v>
      </c>
      <c r="X4" s="41" t="s">
        <v>92</v>
      </c>
      <c r="Y4" s="41" t="s">
        <v>76</v>
      </c>
      <c r="Z4" s="41" t="s">
        <v>76</v>
      </c>
      <c r="AA4" s="41" t="s">
        <v>93</v>
      </c>
      <c r="AB4" s="41" t="s">
        <v>76</v>
      </c>
      <c r="AC4" s="41" t="s">
        <v>76</v>
      </c>
      <c r="AD4" s="41" t="s">
        <v>79</v>
      </c>
      <c r="AE4" s="41" t="s">
        <v>80</v>
      </c>
      <c r="AF4" s="41" t="s">
        <v>76</v>
      </c>
      <c r="AG4" s="41" t="s">
        <v>76</v>
      </c>
      <c r="AH4" s="41" t="s">
        <v>76</v>
      </c>
      <c r="AI4" s="41" t="s">
        <v>76</v>
      </c>
      <c r="AJ4" s="41" t="s">
        <v>76</v>
      </c>
      <c r="AK4" s="41" t="s">
        <v>87</v>
      </c>
      <c r="AL4" t="str">
        <f>VLOOKUP($Q4,武学奇术!$A:$ZZ,25,FALSE)</f>
        <v>群体奇术</v>
      </c>
      <c r="AM4" s="27">
        <f>VLOOKUP($Q4,武学奇术!$A:$ZZ,26,FALSE)</f>
        <v>1.4904</v>
      </c>
      <c r="AN4" s="28">
        <f>VLOOKUP($Q4,武学奇术!$A:$ZZ,27,FALSE)*(1+IF(OR($AL4=$F$4,$AL4=$F$5),$B$22,0))</f>
        <v>378</v>
      </c>
      <c r="AO4" s="27">
        <f>VLOOKUP($Q4,武学奇术!$A:$ZZ,28,FALSE)</f>
        <v>2.2356</v>
      </c>
      <c r="AP4" s="28">
        <f>VLOOKUP($Q4,武学奇术!$A:$ZZ,29,FALSE)*(1+IF(OR($AL4=$F$4,$AL4=$F$5),$B$22,0))</f>
        <v>0</v>
      </c>
      <c r="AQ4" s="27" cm="1">
        <f t="array" ref="AQ4">$G$3+IFERROR(VLOOKUP($AL4,$F$4:$G$7,2,FALSE),0)+VLOOKUP($Q4,武学奇术!$A:$ZZ,2,FALSE)+SUM(_xlfn.XLOOKUP($R4:$AK4,增益!$A:$A,增益!$B:$B,0))</f>
        <v>0.2542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1847.2</v>
      </c>
      <c r="AT4" cm="1">
        <f t="array" ref="AT4">$E$10*(1+$AR4)+VLOOKUP($Q4,武学奇术!$A:$ZZ,4,FALSE)+SUM(_xlfn.XLOOKUP($R4:$AK4,增益!$A:$A,增益!$D:$D,0))-$I$2</f>
        <v>6666.8</v>
      </c>
      <c r="AU4" s="33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0.3085</v>
      </c>
      <c r="AV4" s="33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3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3" cm="1">
        <f t="array" ref="BA4">$G$11+VLOOKUP($Q4,武学奇术!$A:$ZZ,10,FALSE)+SUM(_xlfn.XLOOKUP($R4:$AK4,增益!$A:$A,增益!$J:$J,0))</f>
        <v>0</v>
      </c>
      <c r="BB4">
        <f t="shared" si="3"/>
        <v>662.4</v>
      </c>
      <c r="BC4">
        <f t="shared" si="4"/>
        <v>1260</v>
      </c>
      <c r="BD4" s="33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0.14</v>
      </c>
      <c r="BE4" s="33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3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3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3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3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1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0.5954</v>
      </c>
      <c r="BP4" s="27" cm="1">
        <f t="array" ref="BP4">1+$B$13+VLOOKUP($Q4,武学奇术!$A:$ZZ,18,FALSE)+SUM(_xlfn.XLOOKUP($R4:$AK4,增益!$A:$A,增益!$R:$R,0))</f>
        <v>1.854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0.1512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0.5954</v>
      </c>
      <c r="BT4" s="27">
        <f t="shared" si="10"/>
        <v>0.2534</v>
      </c>
      <c r="BU4" s="27">
        <f>IF(VLOOKUP($Q4,武学奇术!$A:$ZZ,22,FALSE)=1,0,(1-$BN4))*(1-$BQ4)</f>
        <v>0</v>
      </c>
      <c r="BV4" s="27" cm="1">
        <f t="array" ref="BV4">SUM(_xlfn.XLOOKUP($R4:$AK4,增益!$A:$A,增益!$W:$W,0))+$I$5</f>
        <v>0.11</v>
      </c>
    </row>
    <row r="5" spans="1:74">
      <c r="A5" s="55" t="s">
        <v>94</v>
      </c>
      <c r="B5" s="56"/>
      <c r="C5" s="56"/>
      <c r="D5" s="56"/>
      <c r="E5" s="57"/>
      <c r="F5" s="46" t="s">
        <v>95</v>
      </c>
      <c r="G5" s="50">
        <f>B15+B18</f>
        <v>0.0847</v>
      </c>
      <c r="H5" t="s">
        <v>96</v>
      </c>
      <c r="I5" s="29">
        <v>0.06</v>
      </c>
      <c r="K5" s="39">
        <f t="shared" si="0"/>
        <v>27298.274544961</v>
      </c>
      <c r="L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30553.6188528781</v>
      </c>
      <c r="M5" s="39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32758.3493671556</v>
      </c>
      <c r="N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16391.4264232179</v>
      </c>
      <c r="O5" s="39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8517.40887076499</v>
      </c>
      <c r="P5" s="40">
        <v>1</v>
      </c>
      <c r="Q5" s="41" t="s">
        <v>75</v>
      </c>
      <c r="R5" s="41" t="s">
        <v>97</v>
      </c>
      <c r="S5" s="41" t="s">
        <v>76</v>
      </c>
      <c r="T5" s="41" t="s">
        <v>77</v>
      </c>
      <c r="U5" s="41" t="s">
        <v>84</v>
      </c>
      <c r="V5" s="41" t="s">
        <v>98</v>
      </c>
      <c r="W5" s="41" t="s">
        <v>78</v>
      </c>
      <c r="X5" s="41" t="s">
        <v>92</v>
      </c>
      <c r="Y5" s="41" t="s">
        <v>76</v>
      </c>
      <c r="Z5" s="41" t="s">
        <v>76</v>
      </c>
      <c r="AA5" s="41" t="s">
        <v>93</v>
      </c>
      <c r="AB5" s="41" t="s">
        <v>76</v>
      </c>
      <c r="AC5" s="41" t="s">
        <v>76</v>
      </c>
      <c r="AD5" s="41" t="s">
        <v>79</v>
      </c>
      <c r="AE5" s="41" t="s">
        <v>80</v>
      </c>
      <c r="AF5" s="41" t="s">
        <v>76</v>
      </c>
      <c r="AG5" s="41" t="s">
        <v>76</v>
      </c>
      <c r="AH5" s="41" t="s">
        <v>76</v>
      </c>
      <c r="AI5" s="41" t="s">
        <v>76</v>
      </c>
      <c r="AJ5" s="41" t="s">
        <v>76</v>
      </c>
      <c r="AK5" s="41" t="s">
        <v>87</v>
      </c>
      <c r="AL5" t="str">
        <f>VLOOKUP($Q5,武学奇术!$A:$ZZ,25,FALSE)</f>
        <v>群体奇术</v>
      </c>
      <c r="AM5" s="27">
        <f>VLOOKUP($Q5,武学奇术!$A:$ZZ,26,FALSE)</f>
        <v>1.4904</v>
      </c>
      <c r="AN5" s="28">
        <f>VLOOKUP($Q5,武学奇术!$A:$ZZ,27,FALSE)*(1+IF(OR($AL5=$F$4,$AL5=$F$5),$B$22,0))</f>
        <v>378</v>
      </c>
      <c r="AO5" s="27">
        <f>VLOOKUP($Q5,武学奇术!$A:$ZZ,28,FALSE)</f>
        <v>2.2356</v>
      </c>
      <c r="AP5" s="28">
        <f>VLOOKUP($Q5,武学奇术!$A:$ZZ,29,FALSE)*(1+IF(OR($AL5=$F$4,$AL5=$F$5),$B$22,0))</f>
        <v>0</v>
      </c>
      <c r="AQ5" s="27" cm="1">
        <f t="array" ref="AQ5">$G$3+IFERROR(VLOOKUP($AL5,$F$4:$G$7,2,FALSE),0)+VLOOKUP($Q5,武学奇术!$A:$ZZ,2,FALSE)+SUM(_xlfn.XLOOKUP($R5:$AK5,增益!$A:$A,增益!$B:$B,0))</f>
        <v>0.2642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1847.2</v>
      </c>
      <c r="AT5" cm="1">
        <f t="array" ref="AT5">$E$10*(1+$AR5)+VLOOKUP($Q5,武学奇术!$A:$ZZ,4,FALSE)+SUM(_xlfn.XLOOKUP($R5:$AK5,增益!$A:$A,增益!$D:$D,0))-$I$2</f>
        <v>6666.8</v>
      </c>
      <c r="AU5" s="33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0.3185</v>
      </c>
      <c r="AV5" s="33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3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3" cm="1">
        <f t="array" ref="BA5">$G$11+VLOOKUP($Q5,武学奇术!$A:$ZZ,10,FALSE)+SUM(_xlfn.XLOOKUP($R5:$AK5,增益!$A:$A,增益!$J:$J,0))</f>
        <v>0</v>
      </c>
      <c r="BB5">
        <f t="shared" si="3"/>
        <v>662.4</v>
      </c>
      <c r="BC5">
        <f t="shared" si="4"/>
        <v>1260</v>
      </c>
      <c r="BD5" s="33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0.14</v>
      </c>
      <c r="BE5" s="33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3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3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3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3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1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0.5954</v>
      </c>
      <c r="BP5" s="27" cm="1">
        <f t="array" ref="BP5">1+$B$13+VLOOKUP($Q5,武学奇术!$A:$ZZ,18,FALSE)+SUM(_xlfn.XLOOKUP($R5:$AK5,增益!$A:$A,增益!$R:$R,0))</f>
        <v>1.864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0.1512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0.5954</v>
      </c>
      <c r="BT5" s="27">
        <f t="shared" si="10"/>
        <v>0.2534</v>
      </c>
      <c r="BU5" s="27">
        <f>IF(VLOOKUP($Q5,武学奇术!$A:$ZZ,22,FALSE)=1,0,(1-$BN5))*(1-$BQ5)</f>
        <v>0</v>
      </c>
      <c r="BV5" s="27" cm="1">
        <f t="array" ref="BV5">SUM(_xlfn.XLOOKUP($R5:$AK5,增益!$A:$A,增益!$W:$W,0))+$I$5</f>
        <v>0.11</v>
      </c>
    </row>
    <row r="6" spans="1:74">
      <c r="A6" s="58" t="s">
        <v>99</v>
      </c>
      <c r="B6" s="59"/>
      <c r="C6" s="59"/>
      <c r="D6" s="59"/>
      <c r="E6" s="60"/>
      <c r="F6" s="46" t="s">
        <v>100</v>
      </c>
      <c r="G6" s="50">
        <f>B19</f>
        <v>0</v>
      </c>
      <c r="K6" s="39">
        <f t="shared" si="0"/>
        <v>28492.7195235331</v>
      </c>
      <c r="L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32167.3194581727</v>
      </c>
      <c r="M6" s="39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33608.2869576076</v>
      </c>
      <c r="N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16806.3320053149</v>
      </c>
      <c r="O6" s="39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8717.63663462414</v>
      </c>
      <c r="P6" s="40">
        <v>1</v>
      </c>
      <c r="Q6" s="41" t="s">
        <v>75</v>
      </c>
      <c r="R6" s="41" t="s">
        <v>101</v>
      </c>
      <c r="S6" s="41" t="s">
        <v>76</v>
      </c>
      <c r="T6" s="41" t="s">
        <v>77</v>
      </c>
      <c r="U6" s="41" t="s">
        <v>84</v>
      </c>
      <c r="V6" s="41" t="s">
        <v>102</v>
      </c>
      <c r="W6" s="41" t="s">
        <v>78</v>
      </c>
      <c r="X6" s="41" t="s">
        <v>103</v>
      </c>
      <c r="Y6" s="41" t="s">
        <v>76</v>
      </c>
      <c r="Z6" s="41" t="s">
        <v>76</v>
      </c>
      <c r="AA6" s="41" t="s">
        <v>86</v>
      </c>
      <c r="AB6" s="41" t="s">
        <v>76</v>
      </c>
      <c r="AC6" s="41" t="s">
        <v>76</v>
      </c>
      <c r="AD6" s="41" t="s">
        <v>79</v>
      </c>
      <c r="AE6" s="41" t="s">
        <v>80</v>
      </c>
      <c r="AF6" s="41" t="s">
        <v>76</v>
      </c>
      <c r="AG6" s="41" t="s">
        <v>76</v>
      </c>
      <c r="AH6" s="41" t="s">
        <v>76</v>
      </c>
      <c r="AI6" s="41" t="s">
        <v>76</v>
      </c>
      <c r="AJ6" s="41" t="s">
        <v>76</v>
      </c>
      <c r="AK6" s="41" t="s">
        <v>87</v>
      </c>
      <c r="AL6" t="str">
        <f>VLOOKUP($Q6,武学奇术!$A:$ZZ,25,FALSE)</f>
        <v>群体奇术</v>
      </c>
      <c r="AM6" s="27">
        <f>VLOOKUP($Q6,武学奇术!$A:$ZZ,26,FALSE)</f>
        <v>1.4904</v>
      </c>
      <c r="AN6" s="28">
        <f>VLOOKUP($Q6,武学奇术!$A:$ZZ,27,FALSE)*(1+IF(OR($AL6=$F$4,$AL6=$F$5),$B$22,0))</f>
        <v>378</v>
      </c>
      <c r="AO6" s="27">
        <f>VLOOKUP($Q6,武学奇术!$A:$ZZ,28,FALSE)</f>
        <v>2.2356</v>
      </c>
      <c r="AP6" s="28">
        <f>VLOOKUP($Q6,武学奇术!$A:$ZZ,29,FALSE)*(1+IF(OR($AL6=$F$4,$AL6=$F$5),$B$22,0))</f>
        <v>0</v>
      </c>
      <c r="AQ6" s="27" cm="1">
        <f t="array" ref="AQ6">$G$3+IFERROR(VLOOKUP($AL6,$F$4:$G$7,2,FALSE),0)+VLOOKUP($Q6,武学奇术!$A:$ZZ,2,FALSE)+SUM(_xlfn.XLOOKUP($R6:$AK6,增益!$A:$A,增益!$B:$B,0))</f>
        <v>0.2742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1847.2</v>
      </c>
      <c r="AT6" cm="1">
        <f t="array" ref="AT6">$E$10*(1+$AR6)+VLOOKUP($Q6,武学奇术!$A:$ZZ,4,FALSE)+SUM(_xlfn.XLOOKUP($R6:$AK6,增益!$A:$A,增益!$D:$D,0))-$I$2</f>
        <v>6666.8</v>
      </c>
      <c r="AU6" s="33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0.3485</v>
      </c>
      <c r="AV6" s="33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3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3" cm="1">
        <f t="array" ref="BA6">$G$11+VLOOKUP($Q6,武学奇术!$A:$ZZ,10,FALSE)+SUM(_xlfn.XLOOKUP($R6:$AK6,增益!$A:$A,增益!$J:$J,0))</f>
        <v>0</v>
      </c>
      <c r="BB6">
        <f t="shared" si="3"/>
        <v>662.4</v>
      </c>
      <c r="BC6">
        <f t="shared" si="4"/>
        <v>1260</v>
      </c>
      <c r="BD6" s="33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0.14</v>
      </c>
      <c r="BE6" s="33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3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3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3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3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1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0.5954</v>
      </c>
      <c r="BP6" s="27" cm="1">
        <f t="array" ref="BP6">1+$B$13+VLOOKUP($Q6,武学奇术!$A:$ZZ,18,FALSE)+SUM(_xlfn.XLOOKUP($R6:$AK6,增益!$A:$A,增益!$R:$R,0))</f>
        <v>1.914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0.1512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0.5954</v>
      </c>
      <c r="BT6" s="27">
        <f t="shared" si="10"/>
        <v>0.2534</v>
      </c>
      <c r="BU6" s="27">
        <f>IF(VLOOKUP($Q6,武学奇术!$A:$ZZ,22,FALSE)=1,0,(1-$BN6))*(1-$BQ6)</f>
        <v>0</v>
      </c>
      <c r="BV6" s="27" cm="1">
        <f t="array" ref="BV6">SUM(_xlfn.XLOOKUP($R6:$AK6,增益!$A:$A,增益!$W:$W,0))+$I$5</f>
        <v>0.11</v>
      </c>
    </row>
    <row r="7" spans="1:74">
      <c r="A7" s="85" t="s">
        <v>104</v>
      </c>
      <c r="B7" s="88">
        <v>79.2</v>
      </c>
      <c r="C7" s="61">
        <v>92.4</v>
      </c>
      <c r="D7" s="62"/>
      <c r="E7" s="63"/>
      <c r="F7" s="54" t="s">
        <v>105</v>
      </c>
      <c r="G7" s="64">
        <f>B20</f>
        <v>0</v>
      </c>
      <c r="K7" s="39">
        <f t="shared" si="0"/>
        <v>302365.662146062</v>
      </c>
      <c r="L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302890.256260079</v>
      </c>
      <c r="M7" s="39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312165.717191478</v>
      </c>
      <c r="N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159081.016943319</v>
      </c>
      <c r="O7" s="39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86928.1693003577</v>
      </c>
      <c r="P7" s="40">
        <v>1</v>
      </c>
      <c r="Q7" s="41" t="s">
        <v>106</v>
      </c>
      <c r="R7" s="41" t="s">
        <v>107</v>
      </c>
      <c r="S7" s="41" t="s">
        <v>76</v>
      </c>
      <c r="T7" s="41" t="s">
        <v>77</v>
      </c>
      <c r="U7" s="41" t="s">
        <v>76</v>
      </c>
      <c r="V7" s="41" t="s">
        <v>85</v>
      </c>
      <c r="W7" s="41" t="s">
        <v>78</v>
      </c>
      <c r="X7" s="41" t="s">
        <v>76</v>
      </c>
      <c r="Y7" s="41" t="s">
        <v>76</v>
      </c>
      <c r="Z7" s="41" t="s">
        <v>76</v>
      </c>
      <c r="AA7" s="41" t="s">
        <v>76</v>
      </c>
      <c r="AB7" s="41" t="s">
        <v>76</v>
      </c>
      <c r="AC7" s="41" t="s">
        <v>76</v>
      </c>
      <c r="AD7" s="41" t="s">
        <v>79</v>
      </c>
      <c r="AE7" s="41" t="s">
        <v>80</v>
      </c>
      <c r="AF7" s="41" t="s">
        <v>108</v>
      </c>
      <c r="AG7" s="41" t="s">
        <v>76</v>
      </c>
      <c r="AH7" s="41" t="s">
        <v>76</v>
      </c>
      <c r="AI7" s="41" t="s">
        <v>76</v>
      </c>
      <c r="AJ7" s="41" t="s">
        <v>76</v>
      </c>
      <c r="AK7" s="41" t="s">
        <v>87</v>
      </c>
      <c r="AL7" t="str">
        <f>VLOOKUP($Q7,武学奇术!$A:$ZZ,25,FALSE)</f>
        <v>陌刀</v>
      </c>
      <c r="AM7" s="27">
        <f>VLOOKUP($Q7,武学奇术!$A:$ZZ,26,FALSE)</f>
        <v>7.2368</v>
      </c>
      <c r="AN7" s="28">
        <f>VLOOKUP($Q7,武学奇术!$A:$ZZ,27,FALSE)*(1+IF(OR($AL7=$F$4,$AL7=$F$5),$B$22,0))</f>
        <v>3003</v>
      </c>
      <c r="AO7" s="27">
        <f>VLOOKUP($Q7,武学奇术!$A:$ZZ,28,FALSE)</f>
        <v>10.8553</v>
      </c>
      <c r="AP7" s="28">
        <f>VLOOKUP($Q7,武学奇术!$A:$ZZ,29,FALSE)*(1+IF(OR($AL7=$F$4,$AL7=$F$5),$B$22,0))</f>
        <v>1635</v>
      </c>
      <c r="AQ7" s="27" cm="1">
        <f t="array" ref="AQ7">$G$3+IFERROR(VLOOKUP($AL7,$F$4:$G$7,2,FALSE),0)+VLOOKUP($Q7,武学奇术!$A:$ZZ,2,FALSE)+SUM(_xlfn.XLOOKUP($R7:$AK7,增益!$A:$A,增益!$B:$B,0))</f>
        <v>0.8243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1847.2</v>
      </c>
      <c r="AT7" cm="1">
        <f t="array" ref="AT7">$E$10*(1+$AR7)+VLOOKUP($Q7,武学奇术!$A:$ZZ,4,FALSE)+SUM(_xlfn.XLOOKUP($R7:$AK7,增益!$A:$A,增益!$D:$D,0))-$I$2</f>
        <v>6866.8</v>
      </c>
      <c r="AU7" s="33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0.2685</v>
      </c>
      <c r="AV7" s="33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3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3" cm="1">
        <f t="array" ref="BA7">$G$11+VLOOKUP($Q7,武学奇术!$A:$ZZ,10,FALSE)+SUM(_xlfn.XLOOKUP($R7:$AK7,增益!$A:$A,增益!$J:$J,0))</f>
        <v>0</v>
      </c>
      <c r="BB7">
        <f t="shared" si="3"/>
        <v>662.4</v>
      </c>
      <c r="BC7">
        <f t="shared" si="4"/>
        <v>1260</v>
      </c>
      <c r="BD7" s="33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3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3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3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3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3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1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0.8354</v>
      </c>
      <c r="BP7" s="27" cm="1">
        <f t="array" ref="BP7">1+$B$13+VLOOKUP($Q7,武学奇术!$A:$ZZ,18,FALSE)+SUM(_xlfn.XLOOKUP($R7:$AK7,增益!$A:$A,增益!$R:$R,0))</f>
        <v>1.904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0.1512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0.8354</v>
      </c>
      <c r="BT7" s="27">
        <f t="shared" si="10"/>
        <v>0.0134</v>
      </c>
      <c r="BU7" s="27">
        <f>IF(VLOOKUP($Q7,武学奇术!$A:$ZZ,22,FALSE)=1,0,(1-$BN7))*(1-$BQ7)</f>
        <v>0</v>
      </c>
      <c r="BV7" s="27" cm="1">
        <f t="array" ref="BV7">SUM(_xlfn.XLOOKUP($R7:$AK7,增益!$A:$A,增益!$W:$W,0))+$I$5</f>
        <v>0.11</v>
      </c>
    </row>
    <row r="8" spans="1:74">
      <c r="A8" s="65" t="s">
        <v>109</v>
      </c>
      <c r="B8" s="66">
        <v>1.0096</v>
      </c>
      <c r="C8" s="37" t="s">
        <v>110</v>
      </c>
      <c r="D8" s="67"/>
      <c r="E8" s="67"/>
      <c r="F8" s="67"/>
      <c r="G8" s="38"/>
      <c r="H8" s="68" t="s">
        <v>111</v>
      </c>
      <c r="I8" s="18">
        <v>101.4</v>
      </c>
      <c r="J8" s="69"/>
      <c r="K8" s="39">
        <f t="shared" si="0"/>
        <v>9533.32409357736</v>
      </c>
      <c r="L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10624.9770634319</v>
      </c>
      <c r="M8" s="39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11395.4761782422</v>
      </c>
      <c r="N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5857.20896550822</v>
      </c>
      <c r="O8" s="39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3273.32446565185</v>
      </c>
      <c r="P8" s="40">
        <v>1</v>
      </c>
      <c r="Q8" s="41" t="s">
        <v>112</v>
      </c>
      <c r="R8" s="41" t="s">
        <v>107</v>
      </c>
      <c r="S8" s="41" t="s">
        <v>76</v>
      </c>
      <c r="T8" s="41" t="s">
        <v>77</v>
      </c>
      <c r="U8" s="41" t="s">
        <v>84</v>
      </c>
      <c r="V8" s="41" t="s">
        <v>91</v>
      </c>
      <c r="W8" s="41" t="s">
        <v>78</v>
      </c>
      <c r="X8" s="41" t="s">
        <v>76</v>
      </c>
      <c r="Y8" s="41" t="s">
        <v>76</v>
      </c>
      <c r="Z8" s="41" t="s">
        <v>76</v>
      </c>
      <c r="AA8" s="41" t="s">
        <v>86</v>
      </c>
      <c r="AB8" s="41" t="s">
        <v>76</v>
      </c>
      <c r="AC8" s="41" t="s">
        <v>76</v>
      </c>
      <c r="AD8" s="41" t="s">
        <v>79</v>
      </c>
      <c r="AE8" s="41" t="s">
        <v>80</v>
      </c>
      <c r="AF8" s="41" t="s">
        <v>76</v>
      </c>
      <c r="AG8" s="41" t="s">
        <v>76</v>
      </c>
      <c r="AH8" s="41" t="s">
        <v>76</v>
      </c>
      <c r="AI8" s="41" t="s">
        <v>76</v>
      </c>
      <c r="AJ8" s="41" t="s">
        <v>76</v>
      </c>
      <c r="AK8" s="41" t="s">
        <v>87</v>
      </c>
      <c r="AL8" t="str">
        <f>VLOOKUP($Q8,武学奇术!$A:$ZZ,25,FALSE)</f>
        <v>枪</v>
      </c>
      <c r="AM8" s="27">
        <f>VLOOKUP($Q8,武学奇术!$A:$ZZ,26,FALSE)</f>
        <v>0.4843</v>
      </c>
      <c r="AN8" s="28">
        <f>VLOOKUP($Q8,武学奇术!$A:$ZZ,27,FALSE)*(1+IF(OR($AL8=$F$4,$AL8=$F$5),$B$22,0))</f>
        <v>201</v>
      </c>
      <c r="AO8" s="27">
        <f>VLOOKUP($Q8,武学奇术!$A:$ZZ,28,FALSE)</f>
        <v>0.7264</v>
      </c>
      <c r="AP8" s="28">
        <f>VLOOKUP($Q8,武学奇术!$A:$ZZ,29,FALSE)*(1+IF(OR($AL8=$F$4,$AL8=$F$5),$B$22,0))</f>
        <v>109.5</v>
      </c>
      <c r="AQ8" s="27" cm="1">
        <f t="array" ref="AQ8">$G$3+IFERROR(VLOOKUP($AL8,$F$4:$G$7,2,FALSE),0)+VLOOKUP($Q8,武学奇术!$A:$ZZ,2,FALSE)+SUM(_xlfn.XLOOKUP($R8:$AK8,增益!$A:$A,增益!$B:$B,0))</f>
        <v>0.3189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1847.2</v>
      </c>
      <c r="AT8" cm="1">
        <f t="array" ref="AT8">$E$10*(1+$AR8)+VLOOKUP($Q8,武学奇术!$A:$ZZ,4,FALSE)+SUM(_xlfn.XLOOKUP($R8:$AK8,增益!$A:$A,增益!$D:$D,0))-$I$2</f>
        <v>6666.8</v>
      </c>
      <c r="AU8" s="33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0.2685</v>
      </c>
      <c r="AV8" s="33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3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3" cm="1">
        <f t="array" ref="BA8">$G$11+VLOOKUP($Q8,武学奇术!$A:$ZZ,10,FALSE)+SUM(_xlfn.XLOOKUP($R8:$AK8,增益!$A:$A,增益!$J:$J,0))</f>
        <v>0</v>
      </c>
      <c r="BB8">
        <f t="shared" si="3"/>
        <v>662.4</v>
      </c>
      <c r="BC8">
        <f t="shared" si="4"/>
        <v>1260</v>
      </c>
      <c r="BD8" s="33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0.14</v>
      </c>
      <c r="BE8" s="33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3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3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3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3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1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0.5954</v>
      </c>
      <c r="BP8" s="27" cm="1">
        <f t="array" ref="BP8">1+$B$13+VLOOKUP($Q8,武学奇术!$A:$ZZ,18,FALSE)+SUM(_xlfn.XLOOKUP($R8:$AK8,增益!$A:$A,增益!$R:$R,0))</f>
        <v>1.814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0.1512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0.5954</v>
      </c>
      <c r="BT8" s="27">
        <f t="shared" si="10"/>
        <v>0.2534</v>
      </c>
      <c r="BU8" s="27">
        <f>IF(VLOOKUP($Q8,武学奇术!$A:$ZZ,22,FALSE)=1,0,(1-$BN8))*(1-$BQ8)</f>
        <v>0</v>
      </c>
      <c r="BV8" s="27" cm="1">
        <f t="array" ref="BV8">SUM(_xlfn.XLOOKUP($R8:$AK8,增益!$A:$A,增益!$W:$W,0))+$I$5</f>
        <v>0.11</v>
      </c>
    </row>
    <row r="9" ht="14.25" spans="1:74">
      <c r="A9" s="42" t="s">
        <v>113</v>
      </c>
      <c r="B9" s="70">
        <v>0.5494</v>
      </c>
      <c r="C9" s="46"/>
      <c r="D9" t="s">
        <v>0</v>
      </c>
      <c r="E9" t="s">
        <v>1</v>
      </c>
      <c r="F9" s="40" t="s">
        <v>2</v>
      </c>
      <c r="G9" s="45" t="s">
        <v>3</v>
      </c>
      <c r="H9" s="71"/>
      <c r="I9" s="20"/>
      <c r="J9" s="72"/>
      <c r="K9" s="39">
        <f t="shared" si="0"/>
        <v>343820.745908734</v>
      </c>
      <c r="L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344840.545054966</v>
      </c>
      <c r="M9" s="39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352689.883726741</v>
      </c>
      <c r="N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180167.473905416</v>
      </c>
      <c r="O9" s="39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99083.1820873197</v>
      </c>
      <c r="P9" s="40">
        <v>1</v>
      </c>
      <c r="Q9" s="41" t="s">
        <v>106</v>
      </c>
      <c r="R9" s="41" t="s">
        <v>83</v>
      </c>
      <c r="S9" s="41" t="s">
        <v>114</v>
      </c>
      <c r="T9" s="41" t="s">
        <v>77</v>
      </c>
      <c r="U9" s="41" t="s">
        <v>84</v>
      </c>
      <c r="V9" s="41" t="s">
        <v>91</v>
      </c>
      <c r="W9" s="41" t="s">
        <v>78</v>
      </c>
      <c r="X9" s="41" t="s">
        <v>76</v>
      </c>
      <c r="Y9" s="41" t="s">
        <v>76</v>
      </c>
      <c r="Z9" s="41" t="s">
        <v>76</v>
      </c>
      <c r="AA9" s="41" t="s">
        <v>93</v>
      </c>
      <c r="AB9" s="41" t="s">
        <v>76</v>
      </c>
      <c r="AC9" s="41" t="s">
        <v>76</v>
      </c>
      <c r="AD9" s="41" t="s">
        <v>79</v>
      </c>
      <c r="AE9" s="41" t="s">
        <v>80</v>
      </c>
      <c r="AF9" s="41" t="s">
        <v>108</v>
      </c>
      <c r="AG9" s="41" t="s">
        <v>76</v>
      </c>
      <c r="AH9" s="41" t="s">
        <v>76</v>
      </c>
      <c r="AI9" s="41" t="s">
        <v>76</v>
      </c>
      <c r="AJ9" s="41" t="s">
        <v>76</v>
      </c>
      <c r="AK9" s="41" t="s">
        <v>87</v>
      </c>
      <c r="AL9" t="str">
        <f>VLOOKUP($Q9,武学奇术!$A:$ZZ,25,FALSE)</f>
        <v>陌刀</v>
      </c>
      <c r="AM9" s="27">
        <f>VLOOKUP($Q9,武学奇术!$A:$ZZ,26,FALSE)</f>
        <v>7.2368</v>
      </c>
      <c r="AN9" s="28">
        <f>VLOOKUP($Q9,武学奇术!$A:$ZZ,27,FALSE)*(1+IF(OR($AL9=$F$4,$AL9=$F$5),$B$22,0))</f>
        <v>3003</v>
      </c>
      <c r="AO9" s="27">
        <f>VLOOKUP($Q9,武学奇术!$A:$ZZ,28,FALSE)</f>
        <v>10.8553</v>
      </c>
      <c r="AP9" s="28">
        <f>VLOOKUP($Q9,武学奇术!$A:$ZZ,29,FALSE)*(1+IF(OR($AL9=$F$4,$AL9=$F$5),$B$22,0))</f>
        <v>1635</v>
      </c>
      <c r="AQ9" s="27" cm="1">
        <f t="array" ref="AQ9">$G$3+IFERROR(VLOOKUP($AL9,$F$4:$G$7,2,FALSE),0)+VLOOKUP($Q9,武学奇术!$A:$ZZ,2,FALSE)+SUM(_xlfn.XLOOKUP($R9:$AK9,增益!$A:$A,增益!$B:$B,0))</f>
        <v>1.0143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1847.2</v>
      </c>
      <c r="AT9" cm="1">
        <f t="array" ref="AT9">$E$10*(1+$AR9)+VLOOKUP($Q9,武学奇术!$A:$ZZ,4,FALSE)+SUM(_xlfn.XLOOKUP($R9:$AK9,增益!$A:$A,增益!$D:$D,0))-$I$2</f>
        <v>6866.8</v>
      </c>
      <c r="AU9" s="33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0.2785</v>
      </c>
      <c r="AV9" s="33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3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3" cm="1">
        <f t="array" ref="BA9">$G$11+VLOOKUP($Q9,武学奇术!$A:$ZZ,10,FALSE)+SUM(_xlfn.XLOOKUP($R9:$AK9,增益!$A:$A,增益!$J:$J,0))</f>
        <v>0</v>
      </c>
      <c r="BB9">
        <f t="shared" si="3"/>
        <v>662.4</v>
      </c>
      <c r="BC9">
        <f t="shared" si="4"/>
        <v>1260</v>
      </c>
      <c r="BD9" s="33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0.14</v>
      </c>
      <c r="BE9" s="33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3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3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3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3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1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0.8354</v>
      </c>
      <c r="BP9" s="27" cm="1">
        <f t="array" ref="BP9">1+$B$13+VLOOKUP($Q9,武学奇术!$A:$ZZ,18,FALSE)+SUM(_xlfn.XLOOKUP($R9:$AK9,增益!$A:$A,增益!$R:$R,0))</f>
        <v>1.914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0.1512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0.8354</v>
      </c>
      <c r="BT9" s="27">
        <f t="shared" si="10"/>
        <v>0.0134</v>
      </c>
      <c r="BU9" s="27">
        <f>IF(VLOOKUP($Q9,武学奇术!$A:$ZZ,22,FALSE)=1,0,(1-$BN9))*(1-$BQ9)</f>
        <v>0</v>
      </c>
      <c r="BV9" s="27" cm="1">
        <f t="array" ref="BV9">SUM(_xlfn.XLOOKUP($R9:$AK9,增益!$A:$A,增益!$W:$W,0))+$I$5</f>
        <v>0.11</v>
      </c>
    </row>
    <row r="10" spans="1:74">
      <c r="A10" s="42" t="s">
        <v>115</v>
      </c>
      <c r="B10" s="70">
        <v>0.1512</v>
      </c>
      <c r="C10" s="46" t="s">
        <v>71</v>
      </c>
      <c r="D10">
        <f>B2+B23</f>
        <v>2405.2</v>
      </c>
      <c r="E10">
        <f>MAX(B2+B23,C2+B24)</f>
        <v>7224.8</v>
      </c>
      <c r="F10">
        <f>D2</f>
        <v>58.7</v>
      </c>
      <c r="G10" s="89">
        <f>E2</f>
        <v>0</v>
      </c>
      <c r="H10" s="68" t="s">
        <v>116</v>
      </c>
      <c r="I10" s="73">
        <f>SUM(K:K)</f>
        <v>16057109.3997946</v>
      </c>
      <c r="J10" s="74"/>
      <c r="K10" s="39">
        <f t="shared" si="0"/>
        <v>205552.384529558</v>
      </c>
      <c r="L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206152.72454117</v>
      </c>
      <c r="M10" s="39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210906.838362974</v>
      </c>
      <c r="N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107707.79756592</v>
      </c>
      <c r="O10" s="39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59188.307455562</v>
      </c>
      <c r="P10" s="40">
        <v>1</v>
      </c>
      <c r="Q10" s="41" t="s">
        <v>117</v>
      </c>
      <c r="R10" s="41" t="s">
        <v>90</v>
      </c>
      <c r="S10" s="41" t="s">
        <v>114</v>
      </c>
      <c r="T10" s="41" t="s">
        <v>77</v>
      </c>
      <c r="U10" s="41" t="s">
        <v>84</v>
      </c>
      <c r="V10" s="41" t="s">
        <v>91</v>
      </c>
      <c r="W10" s="41" t="s">
        <v>78</v>
      </c>
      <c r="X10" s="41" t="s">
        <v>76</v>
      </c>
      <c r="Y10" s="41" t="s">
        <v>76</v>
      </c>
      <c r="Z10" s="41" t="s">
        <v>76</v>
      </c>
      <c r="AA10" s="41" t="s">
        <v>93</v>
      </c>
      <c r="AB10" s="41" t="s">
        <v>76</v>
      </c>
      <c r="AC10" s="41" t="s">
        <v>76</v>
      </c>
      <c r="AD10" s="41" t="s">
        <v>79</v>
      </c>
      <c r="AE10" s="41" t="s">
        <v>80</v>
      </c>
      <c r="AF10" s="41" t="s">
        <v>108</v>
      </c>
      <c r="AG10" s="41" t="s">
        <v>76</v>
      </c>
      <c r="AH10" s="41" t="s">
        <v>76</v>
      </c>
      <c r="AI10" s="41" t="s">
        <v>76</v>
      </c>
      <c r="AJ10" s="41" t="s">
        <v>76</v>
      </c>
      <c r="AK10" s="41" t="s">
        <v>87</v>
      </c>
      <c r="AL10" t="str">
        <f>VLOOKUP($Q10,武学奇术!$A:$ZZ,25,FALSE)</f>
        <v>陌刀</v>
      </c>
      <c r="AM10" s="27">
        <f>VLOOKUP($Q10,武学奇术!$A:$ZZ,26,FALSE)</f>
        <v>4.2807</v>
      </c>
      <c r="AN10" s="28">
        <f>VLOOKUP($Q10,武学奇术!$A:$ZZ,27,FALSE)*(1+IF(OR($AL10=$F$4,$AL10=$F$5),$B$22,0))</f>
        <v>1776</v>
      </c>
      <c r="AO10" s="27">
        <f>VLOOKUP($Q10,武学奇术!$A:$ZZ,28,FALSE)</f>
        <v>6.421</v>
      </c>
      <c r="AP10" s="28">
        <f>VLOOKUP($Q10,武学奇术!$A:$ZZ,29,FALSE)*(1+IF(OR($AL10=$F$4,$AL10=$F$5),$B$22,0))</f>
        <v>967.5</v>
      </c>
      <c r="AQ10" s="27" cm="1">
        <f t="array" ref="AQ10">$G$3+IFERROR(VLOOKUP($AL10,$F$4:$G$7,2,FALSE),0)+VLOOKUP($Q10,武学奇术!$A:$ZZ,2,FALSE)+SUM(_xlfn.XLOOKUP($R10:$AK10,增益!$A:$A,增益!$B:$B,0))</f>
        <v>1.0243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1847.2</v>
      </c>
      <c r="AT10" cm="1">
        <f t="array" ref="AT10">$E$10*(1+$AR10)+VLOOKUP($Q10,武学奇术!$A:$ZZ,4,FALSE)+SUM(_xlfn.XLOOKUP($R10:$AK10,增益!$A:$A,增益!$D:$D,0))-$I$2</f>
        <v>6866.8</v>
      </c>
      <c r="AU10" s="33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0.2885</v>
      </c>
      <c r="AV10" s="33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3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3" cm="1">
        <f t="array" ref="BA10">$G$11+VLOOKUP($Q10,武学奇术!$A:$ZZ,10,FALSE)+SUM(_xlfn.XLOOKUP($R10:$AK10,增益!$A:$A,增益!$J:$J,0))</f>
        <v>0</v>
      </c>
      <c r="BB10">
        <f t="shared" si="3"/>
        <v>662.4</v>
      </c>
      <c r="BC10">
        <f t="shared" si="4"/>
        <v>1260</v>
      </c>
      <c r="BD10" s="33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0.14</v>
      </c>
      <c r="BE10" s="33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3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3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3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3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0.8354</v>
      </c>
      <c r="BP10" s="27" cm="1">
        <f t="array" ref="BP10">1+$B$13+VLOOKUP($Q10,武学奇术!$A:$ZZ,18,FALSE)+SUM(_xlfn.XLOOKUP($R10:$AK10,增益!$A:$A,增益!$R:$R,0))</f>
        <v>1.914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0.1512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0.8354</v>
      </c>
      <c r="BT10" s="27">
        <f t="shared" si="10"/>
        <v>0.0134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spans="1:74">
      <c r="A11" s="42" t="s">
        <v>118</v>
      </c>
      <c r="B11" s="70">
        <f>4.6%+IF($C$21="易水歌",4.6%,0)</f>
        <v>0.046</v>
      </c>
      <c r="C11" s="46" t="s">
        <v>81</v>
      </c>
      <c r="D11">
        <f>B3+IF($G$1=$C11,$B$7,0)</f>
        <v>0</v>
      </c>
      <c r="E11">
        <f>MAX(B3,C3)+IF($G$1=$C11,$C$7,0)</f>
        <v>0</v>
      </c>
      <c r="F11">
        <f>D3</f>
        <v>0</v>
      </c>
      <c r="G11" s="89">
        <f>E3</f>
        <v>0</v>
      </c>
      <c r="H11" s="71"/>
      <c r="I11" s="75"/>
      <c r="J11" s="76"/>
      <c r="K11" s="39">
        <f t="shared" si="0"/>
        <v>362927.890014755</v>
      </c>
      <c r="L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365448.719906554</v>
      </c>
      <c r="M11" s="39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364673.558256012</v>
      </c>
      <c r="N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186073.686306799</v>
      </c>
      <c r="O11" s="39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102018.810942479</v>
      </c>
      <c r="P11" s="40">
        <v>1</v>
      </c>
      <c r="Q11" s="41" t="s">
        <v>106</v>
      </c>
      <c r="R11" s="41" t="s">
        <v>97</v>
      </c>
      <c r="S11" s="41" t="s">
        <v>114</v>
      </c>
      <c r="T11" s="41" t="s">
        <v>77</v>
      </c>
      <c r="U11" s="41" t="s">
        <v>84</v>
      </c>
      <c r="V11" s="41" t="s">
        <v>98</v>
      </c>
      <c r="W11" s="41" t="s">
        <v>78</v>
      </c>
      <c r="X11" s="41" t="s">
        <v>92</v>
      </c>
      <c r="Y11" s="41" t="s">
        <v>76</v>
      </c>
      <c r="Z11" s="41" t="s">
        <v>76</v>
      </c>
      <c r="AA11" s="41" t="s">
        <v>93</v>
      </c>
      <c r="AB11" s="41" t="s">
        <v>76</v>
      </c>
      <c r="AC11" s="41" t="s">
        <v>76</v>
      </c>
      <c r="AD11" s="41" t="s">
        <v>79</v>
      </c>
      <c r="AE11" s="41" t="s">
        <v>80</v>
      </c>
      <c r="AF11" s="41" t="s">
        <v>108</v>
      </c>
      <c r="AG11" s="41" t="s">
        <v>76</v>
      </c>
      <c r="AH11" s="41" t="s">
        <v>76</v>
      </c>
      <c r="AI11" s="41" t="s">
        <v>76</v>
      </c>
      <c r="AJ11" s="41" t="s">
        <v>76</v>
      </c>
      <c r="AK11" s="41" t="s">
        <v>87</v>
      </c>
      <c r="AL11" t="str">
        <f>VLOOKUP($Q11,武学奇术!$A:$ZZ,25,FALSE)</f>
        <v>陌刀</v>
      </c>
      <c r="AM11" s="27">
        <f>VLOOKUP($Q11,武学奇术!$A:$ZZ,26,FALSE)</f>
        <v>7.2368</v>
      </c>
      <c r="AN11" s="28">
        <f>VLOOKUP($Q11,武学奇术!$A:$ZZ,27,FALSE)*(1+IF(OR($AL11=$F$4,$AL11=$F$5),$B$22,0))</f>
        <v>3003</v>
      </c>
      <c r="AO11" s="27">
        <f>VLOOKUP($Q11,武学奇术!$A:$ZZ,28,FALSE)</f>
        <v>10.8553</v>
      </c>
      <c r="AP11" s="28">
        <f>VLOOKUP($Q11,武学奇术!$A:$ZZ,29,FALSE)*(1+IF(OR($AL11=$F$4,$AL11=$F$5),$B$22,0))</f>
        <v>1635</v>
      </c>
      <c r="AQ11" s="27" cm="1">
        <f t="array" ref="AQ11">$G$3+IFERROR(VLOOKUP($AL11,$F$4:$G$7,2,FALSE),0)+VLOOKUP($Q11,武学奇术!$A:$ZZ,2,FALSE)+SUM(_xlfn.XLOOKUP($R11:$AK11,增益!$A:$A,增益!$B:$B,0))</f>
        <v>1.0343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1847.2</v>
      </c>
      <c r="AT11" cm="1">
        <f t="array" ref="AT11">$E$10*(1+$AR11)+VLOOKUP($Q11,武学奇术!$A:$ZZ,4,FALSE)+SUM(_xlfn.XLOOKUP($R11:$AK11,增益!$A:$A,增益!$D:$D,0))-$I$2</f>
        <v>6866.8</v>
      </c>
      <c r="AU11" s="33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0.3185</v>
      </c>
      <c r="AV11" s="33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3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3" cm="1">
        <f t="array" ref="BA11">$G$11+VLOOKUP($Q11,武学奇术!$A:$ZZ,10,FALSE)+SUM(_xlfn.XLOOKUP($R11:$AK11,增益!$A:$A,增益!$J:$J,0))</f>
        <v>0</v>
      </c>
      <c r="BB11">
        <f t="shared" si="3"/>
        <v>662.4</v>
      </c>
      <c r="BC11">
        <f t="shared" si="4"/>
        <v>1260</v>
      </c>
      <c r="BD11" s="33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0.14</v>
      </c>
      <c r="BE11" s="33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3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3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3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3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0.8354</v>
      </c>
      <c r="BP11" s="27" cm="1">
        <f t="array" ref="BP11">1+$B$13+VLOOKUP($Q11,武学奇术!$A:$ZZ,18,FALSE)+SUM(_xlfn.XLOOKUP($R11:$AK11,增益!$A:$A,增益!$R:$R,0))</f>
        <v>1.964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0.1512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0.8354</v>
      </c>
      <c r="BT11" s="27">
        <f t="shared" si="10"/>
        <v>0.0134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2" t="s">
        <v>119</v>
      </c>
      <c r="B12" s="70">
        <v>0</v>
      </c>
      <c r="C12" s="46" t="s">
        <v>5</v>
      </c>
      <c r="D12">
        <f>B4+IF($G$1=$C12,$B$7,0)</f>
        <v>662.4</v>
      </c>
      <c r="E12">
        <f>MAX(B4,C4)+IF($G$1=$C12,$C$7,0)</f>
        <v>1260</v>
      </c>
      <c r="F12">
        <f>D4</f>
        <v>42</v>
      </c>
      <c r="G12" s="89">
        <f>E4</f>
        <v>0.15</v>
      </c>
      <c r="H12" s="68" t="s">
        <v>120</v>
      </c>
      <c r="I12" s="39">
        <f>I10/I8</f>
        <v>158354.136092649</v>
      </c>
      <c r="J12" s="77"/>
      <c r="K12" s="39">
        <f t="shared" si="0"/>
        <v>220942.643455444</v>
      </c>
      <c r="L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222991.424390345</v>
      </c>
      <c r="M12" s="39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219292.78678479</v>
      </c>
      <c r="N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111831.20581261</v>
      </c>
      <c r="O12" s="39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61223.310303154</v>
      </c>
      <c r="P12" s="40">
        <v>1</v>
      </c>
      <c r="Q12" s="41" t="s">
        <v>117</v>
      </c>
      <c r="R12" s="41" t="s">
        <v>101</v>
      </c>
      <c r="S12" s="41" t="s">
        <v>114</v>
      </c>
      <c r="T12" s="41" t="s">
        <v>77</v>
      </c>
      <c r="U12" s="41" t="s">
        <v>84</v>
      </c>
      <c r="V12" s="41" t="s">
        <v>102</v>
      </c>
      <c r="W12" s="41" t="s">
        <v>78</v>
      </c>
      <c r="X12" s="41" t="s">
        <v>121</v>
      </c>
      <c r="Y12" s="41" t="s">
        <v>76</v>
      </c>
      <c r="Z12" s="41" t="s">
        <v>76</v>
      </c>
      <c r="AA12" s="41" t="s">
        <v>86</v>
      </c>
      <c r="AB12" s="41" t="s">
        <v>76</v>
      </c>
      <c r="AC12" s="41" t="s">
        <v>76</v>
      </c>
      <c r="AD12" s="41" t="s">
        <v>79</v>
      </c>
      <c r="AE12" s="41" t="s">
        <v>80</v>
      </c>
      <c r="AF12" s="41" t="s">
        <v>108</v>
      </c>
      <c r="AG12" s="41" t="s">
        <v>76</v>
      </c>
      <c r="AH12" s="41" t="s">
        <v>76</v>
      </c>
      <c r="AI12" s="41" t="s">
        <v>76</v>
      </c>
      <c r="AJ12" s="41" t="s">
        <v>76</v>
      </c>
      <c r="AK12" s="41" t="s">
        <v>87</v>
      </c>
      <c r="AL12" t="str">
        <f>VLOOKUP($Q12,武学奇术!$A:$ZZ,25,FALSE)</f>
        <v>陌刀</v>
      </c>
      <c r="AM12" s="27">
        <f>VLOOKUP($Q12,武学奇术!$A:$ZZ,26,FALSE)</f>
        <v>4.2807</v>
      </c>
      <c r="AN12" s="28">
        <f>VLOOKUP($Q12,武学奇术!$A:$ZZ,27,FALSE)*(1+IF(OR($AL12=$F$4,$AL12=$F$5),$B$22,0))</f>
        <v>1776</v>
      </c>
      <c r="AO12" s="27">
        <f>VLOOKUP($Q12,武学奇术!$A:$ZZ,28,FALSE)</f>
        <v>6.421</v>
      </c>
      <c r="AP12" s="28">
        <f>VLOOKUP($Q12,武学奇术!$A:$ZZ,29,FALSE)*(1+IF(OR($AL12=$F$4,$AL12=$F$5),$B$22,0))</f>
        <v>967.5</v>
      </c>
      <c r="AQ12" s="27" cm="1">
        <f t="array" ref="AQ12">$G$3+IFERROR(VLOOKUP($AL12,$F$4:$G$7,2,FALSE),0)+VLOOKUP($Q12,武学奇术!$A:$ZZ,2,FALSE)+SUM(_xlfn.XLOOKUP($R12:$AK12,增益!$A:$A,增益!$B:$B,0))</f>
        <v>1.0443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1847.2</v>
      </c>
      <c r="AT12" cm="1">
        <f t="array" ref="AT12">$E$10*(1+$AR12)+VLOOKUP($Q12,武学奇术!$A:$ZZ,4,FALSE)+SUM(_xlfn.XLOOKUP($R12:$AK12,增益!$A:$A,增益!$D:$D,0))-$I$2</f>
        <v>6866.8</v>
      </c>
      <c r="AU12" s="33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0.3385</v>
      </c>
      <c r="AV12" s="33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3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3" cm="1">
        <f t="array" ref="BA12">$G$11+VLOOKUP($Q12,武学奇术!$A:$ZZ,10,FALSE)+SUM(_xlfn.XLOOKUP($R12:$AK12,增益!$A:$A,增益!$J:$J,0))</f>
        <v>0</v>
      </c>
      <c r="BB12">
        <f t="shared" si="3"/>
        <v>662.4</v>
      </c>
      <c r="BC12">
        <f t="shared" si="4"/>
        <v>1260</v>
      </c>
      <c r="BD12" s="33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0.14</v>
      </c>
      <c r="BE12" s="33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3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33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3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3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0.8354</v>
      </c>
      <c r="BP12" s="27" cm="1">
        <f t="array" ref="BP12">1+$B$13+VLOOKUP($Q12,武学奇术!$A:$ZZ,18,FALSE)+SUM(_xlfn.XLOOKUP($R12:$AK12,增益!$A:$A,增益!$R:$R,0))</f>
        <v>1.994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0.1512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0.8354</v>
      </c>
      <c r="BT12" s="27">
        <f t="shared" si="10"/>
        <v>0.0134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ht="14.25" spans="1:74">
      <c r="A13" s="42" t="s">
        <v>122</v>
      </c>
      <c r="B13" s="70">
        <f>54.4%+IF(G2="时雨",10%,0)</f>
        <v>0.644</v>
      </c>
      <c r="C13" s="46" t="s">
        <v>94</v>
      </c>
      <c r="D13">
        <f>B5+IF($G$1=$C13,$B$7,0)</f>
        <v>0</v>
      </c>
      <c r="E13">
        <f>MAX(B5,C5)+IF($G$1=$C13,$C$7,0)</f>
        <v>0</v>
      </c>
      <c r="F13">
        <f>D5</f>
        <v>0</v>
      </c>
      <c r="G13" s="89">
        <f>E5</f>
        <v>0</v>
      </c>
      <c r="H13" s="71"/>
      <c r="I13" s="78"/>
      <c r="J13" s="76"/>
      <c r="K13" s="39">
        <f t="shared" si="0"/>
        <v>378751.665228279</v>
      </c>
      <c r="L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382844.369084794</v>
      </c>
      <c r="M13" s="39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372858.813550107</v>
      </c>
      <c r="N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190091.543736243</v>
      </c>
      <c r="O13" s="39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103991.373731667</v>
      </c>
      <c r="P13" s="40">
        <v>1</v>
      </c>
      <c r="Q13" s="41" t="s">
        <v>106</v>
      </c>
      <c r="R13" s="41" t="s">
        <v>101</v>
      </c>
      <c r="S13" s="41" t="s">
        <v>114</v>
      </c>
      <c r="T13" s="41" t="s">
        <v>77</v>
      </c>
      <c r="U13" s="41" t="s">
        <v>84</v>
      </c>
      <c r="V13" s="41" t="s">
        <v>102</v>
      </c>
      <c r="W13" s="41" t="s">
        <v>78</v>
      </c>
      <c r="X13" s="41" t="s">
        <v>103</v>
      </c>
      <c r="Y13" s="41" t="s">
        <v>76</v>
      </c>
      <c r="Z13" s="41" t="s">
        <v>76</v>
      </c>
      <c r="AA13" s="41" t="s">
        <v>86</v>
      </c>
      <c r="AB13" s="41" t="s">
        <v>76</v>
      </c>
      <c r="AC13" s="41" t="s">
        <v>76</v>
      </c>
      <c r="AD13" s="41" t="s">
        <v>79</v>
      </c>
      <c r="AE13" s="41" t="s">
        <v>80</v>
      </c>
      <c r="AF13" s="41" t="s">
        <v>108</v>
      </c>
      <c r="AG13" s="41" t="s">
        <v>76</v>
      </c>
      <c r="AH13" s="41" t="s">
        <v>76</v>
      </c>
      <c r="AI13" s="41" t="s">
        <v>76</v>
      </c>
      <c r="AJ13" s="41" t="s">
        <v>76</v>
      </c>
      <c r="AK13" s="41" t="s">
        <v>87</v>
      </c>
      <c r="AL13" t="str">
        <f>VLOOKUP($Q13,武学奇术!$A:$ZZ,25,FALSE)</f>
        <v>陌刀</v>
      </c>
      <c r="AM13" s="27">
        <f>VLOOKUP($Q13,武学奇术!$A:$ZZ,26,FALSE)</f>
        <v>7.2368</v>
      </c>
      <c r="AN13" s="28">
        <f>VLOOKUP($Q13,武学奇术!$A:$ZZ,27,FALSE)*(1+IF(OR($AL13=$F$4,$AL13=$F$5),$B$22,0))</f>
        <v>3003</v>
      </c>
      <c r="AO13" s="27">
        <f>VLOOKUP($Q13,武学奇术!$A:$ZZ,28,FALSE)</f>
        <v>10.8553</v>
      </c>
      <c r="AP13" s="28">
        <f>VLOOKUP($Q13,武学奇术!$A:$ZZ,29,FALSE)*(1+IF(OR($AL13=$F$4,$AL13=$F$5),$B$22,0))</f>
        <v>1635</v>
      </c>
      <c r="AQ13" s="27" cm="1">
        <f t="array" ref="AQ13">$G$3+IFERROR(VLOOKUP($AL13,$F$4:$G$7,2,FALSE),0)+VLOOKUP($Q13,武学奇术!$A:$ZZ,2,FALSE)+SUM(_xlfn.XLOOKUP($R13:$AK13,增益!$A:$A,增益!$B:$B,0))</f>
        <v>1.0443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1847.2</v>
      </c>
      <c r="AT13" cm="1">
        <f t="array" ref="AT13">$E$10*(1+$AR13)+VLOOKUP($Q13,武学奇术!$A:$ZZ,4,FALSE)+SUM(_xlfn.XLOOKUP($R13:$AK13,增益!$A:$A,增益!$D:$D,0))-$I$2</f>
        <v>6866.8</v>
      </c>
      <c r="AU13" s="33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0.3485</v>
      </c>
      <c r="AV13" s="33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3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3" cm="1">
        <f t="array" ref="BA13">$G$11+VLOOKUP($Q13,武学奇术!$A:$ZZ,10,FALSE)+SUM(_xlfn.XLOOKUP($R13:$AK13,增益!$A:$A,增益!$J:$J,0))</f>
        <v>0</v>
      </c>
      <c r="BB13">
        <f t="shared" si="3"/>
        <v>662.4</v>
      </c>
      <c r="BC13">
        <f t="shared" si="4"/>
        <v>1260</v>
      </c>
      <c r="BD13" s="33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0.14</v>
      </c>
      <c r="BE13" s="33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3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33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3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3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0.8354</v>
      </c>
      <c r="BP13" s="27" cm="1">
        <f t="array" ref="BP13">1+$B$13+VLOOKUP($Q13,武学奇术!$A:$ZZ,18,FALSE)+SUM(_xlfn.XLOOKUP($R13:$AK13,增益!$A:$A,增益!$R:$R,0))</f>
        <v>2.014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0.1512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0.8354</v>
      </c>
      <c r="BT13" s="27">
        <f t="shared" si="10"/>
        <v>0.0134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spans="1:74">
      <c r="A14" s="42" t="s">
        <v>123</v>
      </c>
      <c r="B14" s="70">
        <v>0.35</v>
      </c>
      <c r="C14" s="54" t="s">
        <v>99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0">
        <f>E6</f>
        <v>0</v>
      </c>
      <c r="H14" s="37" t="s">
        <v>124</v>
      </c>
      <c r="I14" s="73">
        <f>RD!I14</f>
        <v>163525.262676668</v>
      </c>
      <c r="J14" s="74"/>
      <c r="K14" s="39">
        <f t="shared" si="0"/>
        <v>214877.067844432</v>
      </c>
      <c r="L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215429.744798271</v>
      </c>
      <c r="M14" s="39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220891.704476968</v>
      </c>
      <c r="N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112554.725599933</v>
      </c>
      <c r="O14" s="39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61485.9664021114</v>
      </c>
      <c r="P14" s="40">
        <v>1</v>
      </c>
      <c r="Q14" s="41" t="s">
        <v>117</v>
      </c>
      <c r="R14" s="41" t="s">
        <v>101</v>
      </c>
      <c r="S14" s="41" t="s">
        <v>114</v>
      </c>
      <c r="T14" s="41" t="s">
        <v>76</v>
      </c>
      <c r="U14" s="41" t="s">
        <v>84</v>
      </c>
      <c r="V14" s="41" t="s">
        <v>125</v>
      </c>
      <c r="W14" s="41" t="s">
        <v>76</v>
      </c>
      <c r="X14" s="41" t="s">
        <v>126</v>
      </c>
      <c r="Y14" s="41" t="s">
        <v>76</v>
      </c>
      <c r="Z14" s="41" t="s">
        <v>76</v>
      </c>
      <c r="AA14" s="41" t="s">
        <v>86</v>
      </c>
      <c r="AB14" s="41" t="s">
        <v>76</v>
      </c>
      <c r="AC14" s="41" t="s">
        <v>76</v>
      </c>
      <c r="AD14" s="41" t="s">
        <v>79</v>
      </c>
      <c r="AE14" s="41" t="s">
        <v>80</v>
      </c>
      <c r="AF14" s="41" t="s">
        <v>108</v>
      </c>
      <c r="AG14" s="41" t="s">
        <v>76</v>
      </c>
      <c r="AH14" s="41" t="s">
        <v>76</v>
      </c>
      <c r="AI14" s="41" t="s">
        <v>76</v>
      </c>
      <c r="AJ14" s="41" t="s">
        <v>76</v>
      </c>
      <c r="AK14" s="41" t="s">
        <v>87</v>
      </c>
      <c r="AL14" t="str">
        <f>VLOOKUP($Q14,武学奇术!$A:$ZZ,25,FALSE)</f>
        <v>陌刀</v>
      </c>
      <c r="AM14" s="27">
        <f>VLOOKUP($Q14,武学奇术!$A:$ZZ,26,FALSE)</f>
        <v>4.2807</v>
      </c>
      <c r="AN14" s="28">
        <f>VLOOKUP($Q14,武学奇术!$A:$ZZ,27,FALSE)*(1+IF(OR($AL14=$F$4,$AL14=$F$5),$B$22,0))</f>
        <v>1776</v>
      </c>
      <c r="AO14" s="27">
        <f>VLOOKUP($Q14,武学奇术!$A:$ZZ,28,FALSE)</f>
        <v>6.421</v>
      </c>
      <c r="AP14" s="28">
        <f>VLOOKUP($Q14,武学奇术!$A:$ZZ,29,FALSE)*(1+IF(OR($AL14=$F$4,$AL14=$F$5),$B$22,0))</f>
        <v>967.5</v>
      </c>
      <c r="AQ14" s="27" cm="1">
        <f t="array" ref="AQ14">$G$3+IFERROR(VLOOKUP($AL14,$F$4:$G$7,2,FALSE),0)+VLOOKUP($Q14,武学奇术!$A:$ZZ,2,FALSE)+SUM(_xlfn.XLOOKUP($R14:$AK14,增益!$A:$A,增益!$B:$B,0))</f>
        <v>1.0243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1847.2</v>
      </c>
      <c r="AT14" cm="1">
        <f t="array" ref="AT14">$E$10*(1+$AR14)+VLOOKUP($Q14,武学奇术!$A:$ZZ,4,FALSE)+SUM(_xlfn.XLOOKUP($R14:$AK14,增益!$A:$A,增益!$D:$D,0))-$I$2</f>
        <v>6866.8</v>
      </c>
      <c r="AU14" s="33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0.3685</v>
      </c>
      <c r="AV14" s="33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3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3" cm="1">
        <f t="array" ref="BA14">$G$11+VLOOKUP($Q14,武学奇术!$A:$ZZ,10,FALSE)+SUM(_xlfn.XLOOKUP($R14:$AK14,增益!$A:$A,增益!$J:$J,0))</f>
        <v>0</v>
      </c>
      <c r="BB14">
        <f t="shared" si="3"/>
        <v>662.4</v>
      </c>
      <c r="BC14">
        <f t="shared" si="4"/>
        <v>1260</v>
      </c>
      <c r="BD14" s="33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0.14</v>
      </c>
      <c r="BE14" s="33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3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3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3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3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0.8354</v>
      </c>
      <c r="BP14" s="27" cm="1">
        <f t="array" ref="BP14">1+$B$13+VLOOKUP($Q14,武学奇术!$A:$ZZ,18,FALSE)+SUM(_xlfn.XLOOKUP($R14:$AK14,增益!$A:$A,增益!$R:$R,0))</f>
        <v>1.914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0.1512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0.8354</v>
      </c>
      <c r="BT14" s="27">
        <f t="shared" si="10"/>
        <v>0.0134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ht="14.25" spans="1:74">
      <c r="A15" s="42" t="s">
        <v>127</v>
      </c>
      <c r="B15" s="70">
        <v>0.0847</v>
      </c>
      <c r="C15" s="40" t="s">
        <v>128</v>
      </c>
      <c r="D15" s="40"/>
      <c r="F15" s="79"/>
      <c r="H15" s="80"/>
      <c r="I15" s="75"/>
      <c r="J15" s="76"/>
      <c r="K15" s="39">
        <f t="shared" si="0"/>
        <v>354603.871856078</v>
      </c>
      <c r="L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354628.751054279</v>
      </c>
      <c r="M15" s="39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369211.023954156</v>
      </c>
      <c r="N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188231.821154076</v>
      </c>
      <c r="O15" s="39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102973.994934703</v>
      </c>
      <c r="P15" s="40">
        <v>1</v>
      </c>
      <c r="Q15" s="41" t="s">
        <v>106</v>
      </c>
      <c r="R15" s="41" t="s">
        <v>101</v>
      </c>
      <c r="S15" s="41" t="s">
        <v>114</v>
      </c>
      <c r="T15" s="41" t="s">
        <v>76</v>
      </c>
      <c r="U15" s="41" t="s">
        <v>84</v>
      </c>
      <c r="V15" s="41" t="s">
        <v>129</v>
      </c>
      <c r="W15" s="41" t="s">
        <v>76</v>
      </c>
      <c r="X15" s="41" t="s">
        <v>103</v>
      </c>
      <c r="Y15" s="41" t="s">
        <v>76</v>
      </c>
      <c r="Z15" s="41" t="s">
        <v>76</v>
      </c>
      <c r="AA15" s="41" t="s">
        <v>86</v>
      </c>
      <c r="AB15" s="41" t="s">
        <v>76</v>
      </c>
      <c r="AC15" s="41" t="s">
        <v>76</v>
      </c>
      <c r="AD15" s="41" t="s">
        <v>79</v>
      </c>
      <c r="AE15" s="41" t="s">
        <v>80</v>
      </c>
      <c r="AF15" s="41" t="s">
        <v>108</v>
      </c>
      <c r="AG15" s="41" t="s">
        <v>76</v>
      </c>
      <c r="AH15" s="41" t="s">
        <v>76</v>
      </c>
      <c r="AI15" s="41" t="s">
        <v>76</v>
      </c>
      <c r="AJ15" s="41" t="s">
        <v>76</v>
      </c>
      <c r="AK15" s="41" t="s">
        <v>87</v>
      </c>
      <c r="AL15" t="str">
        <f>VLOOKUP($Q15,武学奇术!$A:$ZZ,25,FALSE)</f>
        <v>陌刀</v>
      </c>
      <c r="AM15" s="27">
        <f>VLOOKUP($Q15,武学奇术!$A:$ZZ,26,FALSE)</f>
        <v>7.2368</v>
      </c>
      <c r="AN15" s="28">
        <f>VLOOKUP($Q15,武学奇术!$A:$ZZ,27,FALSE)*(1+IF(OR($AL15=$F$4,$AL15=$F$5),$B$22,0))</f>
        <v>3003</v>
      </c>
      <c r="AO15" s="27">
        <f>VLOOKUP($Q15,武学奇术!$A:$ZZ,28,FALSE)</f>
        <v>10.8553</v>
      </c>
      <c r="AP15" s="28">
        <f>VLOOKUP($Q15,武学奇术!$A:$ZZ,29,FALSE)*(1+IF(OR($AL15=$F$4,$AL15=$F$5),$B$22,0))</f>
        <v>1635</v>
      </c>
      <c r="AQ15" s="27" cm="1">
        <f t="array" ref="AQ15">$G$3+IFERROR(VLOOKUP($AL15,$F$4:$G$7,2,FALSE),0)+VLOOKUP($Q15,武学奇术!$A:$ZZ,2,FALSE)+SUM(_xlfn.XLOOKUP($R15:$AK15,增益!$A:$A,增益!$B:$B,0))</f>
        <v>1.0243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1847.2</v>
      </c>
      <c r="AT15" cm="1">
        <f t="array" ref="AT15">$E$10*(1+$AR15)+VLOOKUP($Q15,武学奇术!$A:$ZZ,4,FALSE)+SUM(_xlfn.XLOOKUP($R15:$AK15,增益!$A:$A,增益!$D:$D,0))-$I$2</f>
        <v>6866.8</v>
      </c>
      <c r="AU15" s="33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0.3485</v>
      </c>
      <c r="AV15" s="33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3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3" cm="1">
        <f t="array" ref="BA15">$G$11+VLOOKUP($Q15,武学奇术!$A:$ZZ,10,FALSE)+SUM(_xlfn.XLOOKUP($R15:$AK15,增益!$A:$A,增益!$J:$J,0))</f>
        <v>0</v>
      </c>
      <c r="BB15">
        <f t="shared" si="3"/>
        <v>662.4</v>
      </c>
      <c r="BC15">
        <f t="shared" si="4"/>
        <v>1260</v>
      </c>
      <c r="BD15" s="33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0.14</v>
      </c>
      <c r="BE15" s="33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3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3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3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3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0.8354</v>
      </c>
      <c r="BP15" s="27" cm="1">
        <f t="array" ref="BP15">1+$B$13+VLOOKUP($Q15,武学奇术!$A:$ZZ,18,FALSE)+SUM(_xlfn.XLOOKUP($R15:$AK15,增益!$A:$A,增益!$R:$R,0))</f>
        <v>1.884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0.1512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0.8354</v>
      </c>
      <c r="BT15" s="27">
        <f t="shared" si="10"/>
        <v>0.0134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2" t="s">
        <v>130</v>
      </c>
      <c r="B16" s="70">
        <v>0.0892</v>
      </c>
      <c r="C16" s="40"/>
      <c r="D16" s="40"/>
      <c r="E16" s="40" t="s">
        <v>131</v>
      </c>
      <c r="F16" s="79" t="s">
        <v>132</v>
      </c>
      <c r="H16" s="68" t="s">
        <v>133</v>
      </c>
      <c r="I16" s="81">
        <f>I12/158354.14</f>
        <v>0.999999975325239</v>
      </c>
      <c r="J16" s="82"/>
      <c r="K16" s="39">
        <f t="shared" si="0"/>
        <v>216462.050492128</v>
      </c>
      <c r="L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217643.13791989</v>
      </c>
      <c r="M16" s="39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219248.913293379</v>
      </c>
      <c r="N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111383.386857672</v>
      </c>
      <c r="O16" s="39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60360.1712758034</v>
      </c>
      <c r="P16" s="40">
        <v>1</v>
      </c>
      <c r="Q16" s="41" t="s">
        <v>117</v>
      </c>
      <c r="R16" s="41" t="s">
        <v>101</v>
      </c>
      <c r="S16" s="41" t="s">
        <v>114</v>
      </c>
      <c r="T16" s="41" t="s">
        <v>76</v>
      </c>
      <c r="U16" s="41" t="s">
        <v>76</v>
      </c>
      <c r="V16" s="41" t="s">
        <v>129</v>
      </c>
      <c r="W16" s="41" t="s">
        <v>76</v>
      </c>
      <c r="X16" s="41" t="s">
        <v>134</v>
      </c>
      <c r="Y16" s="41" t="s">
        <v>76</v>
      </c>
      <c r="Z16" s="41" t="s">
        <v>76</v>
      </c>
      <c r="AA16" s="41" t="s">
        <v>86</v>
      </c>
      <c r="AB16" s="41" t="s">
        <v>76</v>
      </c>
      <c r="AC16" s="41" t="s">
        <v>76</v>
      </c>
      <c r="AD16" s="41" t="s">
        <v>79</v>
      </c>
      <c r="AE16" s="41" t="s">
        <v>80</v>
      </c>
      <c r="AF16" s="41" t="s">
        <v>108</v>
      </c>
      <c r="AG16" s="41" t="s">
        <v>76</v>
      </c>
      <c r="AH16" s="41" t="s">
        <v>76</v>
      </c>
      <c r="AI16" s="41" t="s">
        <v>76</v>
      </c>
      <c r="AJ16" s="41" t="s">
        <v>76</v>
      </c>
      <c r="AK16" s="41" t="s">
        <v>87</v>
      </c>
      <c r="AL16" t="str">
        <f>VLOOKUP($Q16,武学奇术!$A:$ZZ,25,FALSE)</f>
        <v>陌刀</v>
      </c>
      <c r="AM16" s="27">
        <f>VLOOKUP($Q16,武学奇术!$A:$ZZ,26,FALSE)</f>
        <v>4.2807</v>
      </c>
      <c r="AN16" s="28">
        <f>VLOOKUP($Q16,武学奇术!$A:$ZZ,27,FALSE)*(1+IF(OR($AL16=$F$4,$AL16=$F$5),$B$22,0))</f>
        <v>1776</v>
      </c>
      <c r="AO16" s="27">
        <f>VLOOKUP($Q16,武学奇术!$A:$ZZ,28,FALSE)</f>
        <v>6.421</v>
      </c>
      <c r="AP16" s="28">
        <f>VLOOKUP($Q16,武学奇术!$A:$ZZ,29,FALSE)*(1+IF(OR($AL16=$F$4,$AL16=$F$5),$B$22,0))</f>
        <v>967.5</v>
      </c>
      <c r="AQ16" s="27" cm="1">
        <f t="array" ref="AQ16">$G$3+IFERROR(VLOOKUP($AL16,$F$4:$G$7,2,FALSE),0)+VLOOKUP($Q16,武学奇术!$A:$ZZ,2,FALSE)+SUM(_xlfn.XLOOKUP($R16:$AK16,增益!$A:$A,增益!$B:$B,0))</f>
        <v>1.0243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1847.2</v>
      </c>
      <c r="AT16" cm="1">
        <f t="array" ref="AT16">$E$10*(1+$AR16)+VLOOKUP($Q16,武学奇术!$A:$ZZ,4,FALSE)+SUM(_xlfn.XLOOKUP($R16:$AK16,增益!$A:$A,增益!$D:$D,0))-$I$2</f>
        <v>6866.8</v>
      </c>
      <c r="AU16" s="33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0.3835</v>
      </c>
      <c r="AV16" s="33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3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3" cm="1">
        <f t="array" ref="BA16">$G$11+VLOOKUP($Q16,武学奇术!$A:$ZZ,10,FALSE)+SUM(_xlfn.XLOOKUP($R16:$AK16,增益!$A:$A,增益!$J:$J,0))</f>
        <v>0</v>
      </c>
      <c r="BB16">
        <f t="shared" si="3"/>
        <v>662.4</v>
      </c>
      <c r="BC16">
        <f t="shared" si="4"/>
        <v>1260</v>
      </c>
      <c r="BD16" s="33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3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3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3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3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3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0.8354</v>
      </c>
      <c r="BP16" s="27" cm="1">
        <f t="array" ref="BP16">1+$B$13+VLOOKUP($Q16,武学奇术!$A:$ZZ,18,FALSE)+SUM(_xlfn.XLOOKUP($R16:$AK16,增益!$A:$A,增益!$R:$R,0))</f>
        <v>1.954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0.1512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0.8354</v>
      </c>
      <c r="BT16" s="27">
        <f t="shared" si="10"/>
        <v>0.0134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ht="14.25" spans="1:74">
      <c r="A17" s="42" t="s">
        <v>135</v>
      </c>
      <c r="B17" s="70">
        <v>0.0854</v>
      </c>
      <c r="C17" s="40" t="s">
        <v>136</v>
      </c>
      <c r="D17" s="79" t="s">
        <v>132</v>
      </c>
      <c r="E17" s="40" t="s">
        <v>137</v>
      </c>
      <c r="F17" s="79" t="s">
        <v>132</v>
      </c>
      <c r="H17" s="71"/>
      <c r="I17" s="83"/>
      <c r="J17" s="84"/>
      <c r="K17" s="39">
        <f t="shared" si="0"/>
        <v>323181.842596912</v>
      </c>
      <c r="L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323894.329994712</v>
      </c>
      <c r="M17" s="39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332889.686255234</v>
      </c>
      <c r="N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169223.787876025</v>
      </c>
      <c r="O17" s="39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91862.6229703948</v>
      </c>
      <c r="P17" s="40">
        <v>1</v>
      </c>
      <c r="Q17" s="41" t="s">
        <v>106</v>
      </c>
      <c r="R17" s="41" t="s">
        <v>101</v>
      </c>
      <c r="S17" s="41" t="s">
        <v>76</v>
      </c>
      <c r="T17" s="41" t="s">
        <v>76</v>
      </c>
      <c r="U17" s="41" t="s">
        <v>76</v>
      </c>
      <c r="V17" s="41" t="s">
        <v>138</v>
      </c>
      <c r="W17" s="41" t="s">
        <v>76</v>
      </c>
      <c r="X17" s="41" t="s">
        <v>139</v>
      </c>
      <c r="Y17" s="41" t="s">
        <v>76</v>
      </c>
      <c r="Z17" s="41" t="s">
        <v>76</v>
      </c>
      <c r="AA17" s="41" t="s">
        <v>86</v>
      </c>
      <c r="AB17" s="41" t="s">
        <v>76</v>
      </c>
      <c r="AC17" s="41" t="s">
        <v>76</v>
      </c>
      <c r="AD17" s="41" t="s">
        <v>79</v>
      </c>
      <c r="AE17" s="41" t="s">
        <v>80</v>
      </c>
      <c r="AF17" s="41" t="s">
        <v>108</v>
      </c>
      <c r="AG17" s="41" t="s">
        <v>76</v>
      </c>
      <c r="AH17" s="41" t="s">
        <v>76</v>
      </c>
      <c r="AI17" s="41" t="s">
        <v>76</v>
      </c>
      <c r="AJ17" s="41" t="s">
        <v>76</v>
      </c>
      <c r="AK17" s="41" t="s">
        <v>87</v>
      </c>
      <c r="AL17" t="str">
        <f>VLOOKUP($Q17,武学奇术!$A:$ZZ,25,FALSE)</f>
        <v>陌刀</v>
      </c>
      <c r="AM17" s="27">
        <f>VLOOKUP($Q17,武学奇术!$A:$ZZ,26,FALSE)</f>
        <v>7.2368</v>
      </c>
      <c r="AN17" s="28">
        <f>VLOOKUP($Q17,武学奇术!$A:$ZZ,27,FALSE)*(1+IF(OR($AL17=$F$4,$AL17=$F$5),$B$22,0))</f>
        <v>3003</v>
      </c>
      <c r="AO17" s="27">
        <f>VLOOKUP($Q17,武学奇术!$A:$ZZ,28,FALSE)</f>
        <v>10.8553</v>
      </c>
      <c r="AP17" s="28">
        <f>VLOOKUP($Q17,武学奇术!$A:$ZZ,29,FALSE)*(1+IF(OR($AL17=$F$4,$AL17=$F$5),$B$22,0))</f>
        <v>1635</v>
      </c>
      <c r="AQ17" s="27" cm="1">
        <f t="array" ref="AQ17">$G$3+IFERROR(VLOOKUP($AL17,$F$4:$G$7,2,FALSE),0)+VLOOKUP($Q17,武学奇术!$A:$ZZ,2,FALSE)+SUM(_xlfn.XLOOKUP($R17:$AK17,增益!$A:$A,增益!$B:$B,0))</f>
        <v>0.8443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1847.2</v>
      </c>
      <c r="AT17" cm="1">
        <f t="array" ref="AT17">$E$10*(1+$AR17)+VLOOKUP($Q17,武学奇术!$A:$ZZ,4,FALSE)+SUM(_xlfn.XLOOKUP($R17:$AK17,增益!$A:$A,增益!$D:$D,0))-$I$2</f>
        <v>6866.8</v>
      </c>
      <c r="AU17" s="33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0.3585</v>
      </c>
      <c r="AV17" s="33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3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3" cm="1">
        <f t="array" ref="BA17">$G$11+VLOOKUP($Q17,武学奇术!$A:$ZZ,10,FALSE)+SUM(_xlfn.XLOOKUP($R17:$AK17,增益!$A:$A,增益!$J:$J,0))</f>
        <v>0</v>
      </c>
      <c r="BB17">
        <f t="shared" si="3"/>
        <v>662.4</v>
      </c>
      <c r="BC17">
        <f t="shared" si="4"/>
        <v>1260</v>
      </c>
      <c r="BD17" s="33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3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3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3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3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3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0.8354</v>
      </c>
      <c r="BP17" s="27" cm="1">
        <f t="array" ref="BP17">1+$B$13+VLOOKUP($Q17,武学奇术!$A:$ZZ,18,FALSE)+SUM(_xlfn.XLOOKUP($R17:$AK17,增益!$A:$A,增益!$R:$R,0))</f>
        <v>1.914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0.1512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0.8354</v>
      </c>
      <c r="BT17" s="27">
        <f t="shared" si="10"/>
        <v>0.0134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spans="1:74">
      <c r="A18" s="42" t="s">
        <v>140</v>
      </c>
      <c r="B18" s="70">
        <v>0</v>
      </c>
      <c r="C18" s="40" t="s">
        <v>141</v>
      </c>
      <c r="D18" s="79" t="s">
        <v>132</v>
      </c>
      <c r="E18" s="40" t="s">
        <v>142</v>
      </c>
      <c r="F18" s="79" t="s">
        <v>132</v>
      </c>
      <c r="K18" s="39">
        <f t="shared" si="0"/>
        <v>198062.083187443</v>
      </c>
      <c r="L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199305.183554547</v>
      </c>
      <c r="M18" s="39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199753.381804564</v>
      </c>
      <c r="N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101479.217695798</v>
      </c>
      <c r="O18" s="39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54992.9673882153</v>
      </c>
      <c r="P18" s="40">
        <v>1</v>
      </c>
      <c r="Q18" s="41" t="s">
        <v>117</v>
      </c>
      <c r="R18" s="41" t="s">
        <v>101</v>
      </c>
      <c r="S18" s="41" t="s">
        <v>76</v>
      </c>
      <c r="T18" s="41" t="s">
        <v>76</v>
      </c>
      <c r="U18" s="41" t="s">
        <v>76</v>
      </c>
      <c r="V18" s="41" t="s">
        <v>138</v>
      </c>
      <c r="W18" s="41" t="s">
        <v>76</v>
      </c>
      <c r="X18" s="41" t="s">
        <v>134</v>
      </c>
      <c r="Y18" s="41" t="s">
        <v>76</v>
      </c>
      <c r="Z18" s="41" t="s">
        <v>76</v>
      </c>
      <c r="AA18" s="41" t="s">
        <v>86</v>
      </c>
      <c r="AB18" s="41" t="s">
        <v>76</v>
      </c>
      <c r="AC18" s="41" t="s">
        <v>76</v>
      </c>
      <c r="AD18" s="41" t="s">
        <v>79</v>
      </c>
      <c r="AE18" s="41" t="s">
        <v>80</v>
      </c>
      <c r="AF18" s="41" t="s">
        <v>108</v>
      </c>
      <c r="AG18" s="41" t="s">
        <v>76</v>
      </c>
      <c r="AH18" s="41" t="s">
        <v>76</v>
      </c>
      <c r="AI18" s="41" t="s">
        <v>76</v>
      </c>
      <c r="AJ18" s="41" t="s">
        <v>76</v>
      </c>
      <c r="AK18" s="41" t="s">
        <v>87</v>
      </c>
      <c r="AL18" t="str">
        <f>VLOOKUP($Q18,武学奇术!$A:$ZZ,25,FALSE)</f>
        <v>陌刀</v>
      </c>
      <c r="AM18" s="27">
        <f>VLOOKUP($Q18,武学奇术!$A:$ZZ,26,FALSE)</f>
        <v>4.2807</v>
      </c>
      <c r="AN18" s="28">
        <f>VLOOKUP($Q18,武学奇术!$A:$ZZ,27,FALSE)*(1+IF(OR($AL18=$F$4,$AL18=$F$5),$B$22,0))</f>
        <v>1776</v>
      </c>
      <c r="AO18" s="27">
        <f>VLOOKUP($Q18,武学奇术!$A:$ZZ,28,FALSE)</f>
        <v>6.421</v>
      </c>
      <c r="AP18" s="28">
        <f>VLOOKUP($Q18,武学奇术!$A:$ZZ,29,FALSE)*(1+IF(OR($AL18=$F$4,$AL18=$F$5),$B$22,0))</f>
        <v>967.5</v>
      </c>
      <c r="AQ18" s="27" cm="1">
        <f t="array" ref="AQ18">$G$3+IFERROR(VLOOKUP($AL18,$F$4:$G$7,2,FALSE),0)+VLOOKUP($Q18,武学奇术!$A:$ZZ,2,FALSE)+SUM(_xlfn.XLOOKUP($R18:$AK18,增益!$A:$A,增益!$B:$B,0))</f>
        <v>0.8443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1847.2</v>
      </c>
      <c r="AT18" cm="1">
        <f t="array" ref="AT18">$E$10*(1+$AR18)+VLOOKUP($Q18,武学奇术!$A:$ZZ,4,FALSE)+SUM(_xlfn.XLOOKUP($R18:$AK18,增益!$A:$A,增益!$D:$D,0))-$I$2</f>
        <v>6866.8</v>
      </c>
      <c r="AU18" s="33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0.3835</v>
      </c>
      <c r="AV18" s="33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3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3" cm="1">
        <f t="array" ref="BA18">$G$11+VLOOKUP($Q18,武学奇术!$A:$ZZ,10,FALSE)+SUM(_xlfn.XLOOKUP($R18:$AK18,增益!$A:$A,增益!$J:$J,0))</f>
        <v>0</v>
      </c>
      <c r="BB18">
        <f t="shared" si="3"/>
        <v>662.4</v>
      </c>
      <c r="BC18">
        <f t="shared" si="4"/>
        <v>1260</v>
      </c>
      <c r="BD18" s="33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3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3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3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3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3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0.8354</v>
      </c>
      <c r="BP18" s="27" cm="1">
        <f t="array" ref="BP18">1+$B$13+VLOOKUP($Q18,武学奇术!$A:$ZZ,18,FALSE)+SUM(_xlfn.XLOOKUP($R18:$AK18,增益!$A:$A,增益!$R:$R,0))</f>
        <v>1.964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0.1512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0.8354</v>
      </c>
      <c r="BT18" s="27">
        <f t="shared" si="10"/>
        <v>0.0134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2" t="s">
        <v>143</v>
      </c>
      <c r="B19" s="70">
        <v>0</v>
      </c>
      <c r="C19" s="40" t="s">
        <v>144</v>
      </c>
      <c r="D19" s="79" t="s">
        <v>132</v>
      </c>
      <c r="E19" t="s">
        <v>145</v>
      </c>
      <c r="F19" s="79" t="s">
        <v>132</v>
      </c>
      <c r="K19" s="39">
        <f t="shared" si="0"/>
        <v>10024.2208713356</v>
      </c>
      <c r="L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11182.4884434389</v>
      </c>
      <c r="M19" s="39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11988.3276488569</v>
      </c>
      <c r="N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6130.75024311343</v>
      </c>
      <c r="O19" s="39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3381.25778336987</v>
      </c>
      <c r="P19" s="40">
        <v>1</v>
      </c>
      <c r="Q19" s="41" t="s">
        <v>112</v>
      </c>
      <c r="R19" s="41" t="s">
        <v>101</v>
      </c>
      <c r="S19" s="41" t="s">
        <v>76</v>
      </c>
      <c r="T19" s="41" t="s">
        <v>76</v>
      </c>
      <c r="U19" s="41" t="s">
        <v>76</v>
      </c>
      <c r="V19" s="41" t="s">
        <v>146</v>
      </c>
      <c r="W19" s="41" t="s">
        <v>76</v>
      </c>
      <c r="X19" s="41" t="s">
        <v>139</v>
      </c>
      <c r="Y19" s="41" t="s">
        <v>76</v>
      </c>
      <c r="Z19" s="41" t="s">
        <v>76</v>
      </c>
      <c r="AA19" s="41" t="s">
        <v>86</v>
      </c>
      <c r="AB19" s="41" t="s">
        <v>76</v>
      </c>
      <c r="AC19" s="41" t="s">
        <v>76</v>
      </c>
      <c r="AD19" s="41" t="s">
        <v>79</v>
      </c>
      <c r="AE19" s="41" t="s">
        <v>80</v>
      </c>
      <c r="AF19" s="41" t="s">
        <v>76</v>
      </c>
      <c r="AG19" s="41" t="s">
        <v>76</v>
      </c>
      <c r="AH19" s="41" t="s">
        <v>76</v>
      </c>
      <c r="AI19" s="41" t="s">
        <v>76</v>
      </c>
      <c r="AJ19" s="41" t="s">
        <v>76</v>
      </c>
      <c r="AK19" s="41" t="s">
        <v>87</v>
      </c>
      <c r="AL19" t="str">
        <f>VLOOKUP($Q19,武学奇术!$A:$ZZ,25,FALSE)</f>
        <v>枪</v>
      </c>
      <c r="AM19" s="27">
        <f>VLOOKUP($Q19,武学奇术!$A:$ZZ,26,FALSE)</f>
        <v>0.4843</v>
      </c>
      <c r="AN19" s="28">
        <f>VLOOKUP($Q19,武学奇术!$A:$ZZ,27,FALSE)*(1+IF(OR($AL19=$F$4,$AL19=$F$5),$B$22,0))</f>
        <v>201</v>
      </c>
      <c r="AO19" s="27">
        <f>VLOOKUP($Q19,武学奇术!$A:$ZZ,28,FALSE)</f>
        <v>0.7264</v>
      </c>
      <c r="AP19" s="28">
        <f>VLOOKUP($Q19,武学奇术!$A:$ZZ,29,FALSE)*(1+IF(OR($AL19=$F$4,$AL19=$F$5),$B$22,0))</f>
        <v>109.5</v>
      </c>
      <c r="AQ19" s="27" cm="1">
        <f t="array" ref="AQ19">$G$3+IFERROR(VLOOKUP($AL19,$F$4:$G$7,2,FALSE),0)+VLOOKUP($Q19,武学奇术!$A:$ZZ,2,FALSE)+SUM(_xlfn.XLOOKUP($R19:$AK19,增益!$A:$A,增益!$B:$B,0))</f>
        <v>0.3389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1847.2</v>
      </c>
      <c r="AT19" cm="1">
        <f t="array" ref="AT19">$E$10*(1+$AR19)+VLOOKUP($Q19,武学奇术!$A:$ZZ,4,FALSE)+SUM(_xlfn.XLOOKUP($R19:$AK19,增益!$A:$A,增益!$D:$D,0))-$I$2</f>
        <v>6666.8</v>
      </c>
      <c r="AU19" s="33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0.3585</v>
      </c>
      <c r="AV19" s="33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3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3" cm="1">
        <f t="array" ref="BA19">$G$11+VLOOKUP($Q19,武学奇术!$A:$ZZ,10,FALSE)+SUM(_xlfn.XLOOKUP($R19:$AK19,增益!$A:$A,增益!$J:$J,0))</f>
        <v>0</v>
      </c>
      <c r="BB19">
        <f t="shared" si="3"/>
        <v>662.4</v>
      </c>
      <c r="BC19">
        <f t="shared" si="4"/>
        <v>1260</v>
      </c>
      <c r="BD19" s="33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3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3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3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3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3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0.5954</v>
      </c>
      <c r="BP19" s="27" cm="1">
        <f t="array" ref="BP19">1+$B$13+VLOOKUP($Q19,武学奇术!$A:$ZZ,18,FALSE)+SUM(_xlfn.XLOOKUP($R19:$AK19,增益!$A:$A,增益!$R:$R,0))</f>
        <v>1.824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0.1512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0.5954</v>
      </c>
      <c r="BT19" s="27">
        <f t="shared" si="10"/>
        <v>0.2534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spans="1:74">
      <c r="A20" s="42" t="s">
        <v>147</v>
      </c>
      <c r="B20" s="70">
        <v>0</v>
      </c>
      <c r="C20" s="40" t="s">
        <v>148</v>
      </c>
      <c r="D20" s="79" t="s">
        <v>132</v>
      </c>
      <c r="K20" s="39">
        <f t="shared" si="0"/>
        <v>364453.956057876</v>
      </c>
      <c r="L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366021.284475006</v>
      </c>
      <c r="M20" s="39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371321.053948469</v>
      </c>
      <c r="N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189256.093316963</v>
      </c>
      <c r="O20" s="39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103459.554079505</v>
      </c>
      <c r="P20" s="40">
        <v>1</v>
      </c>
      <c r="Q20" s="41" t="s">
        <v>106</v>
      </c>
      <c r="R20" s="41" t="s">
        <v>101</v>
      </c>
      <c r="S20" s="41" t="s">
        <v>114</v>
      </c>
      <c r="T20" s="41" t="s">
        <v>76</v>
      </c>
      <c r="U20" s="41" t="s">
        <v>84</v>
      </c>
      <c r="V20" s="41" t="s">
        <v>149</v>
      </c>
      <c r="W20" s="41" t="s">
        <v>76</v>
      </c>
      <c r="X20" s="41" t="s">
        <v>139</v>
      </c>
      <c r="Y20" s="41" t="s">
        <v>76</v>
      </c>
      <c r="Z20" s="41" t="s">
        <v>76</v>
      </c>
      <c r="AA20" s="41" t="s">
        <v>93</v>
      </c>
      <c r="AB20" s="41" t="s">
        <v>76</v>
      </c>
      <c r="AC20" s="41" t="s">
        <v>76</v>
      </c>
      <c r="AD20" s="41" t="s">
        <v>79</v>
      </c>
      <c r="AE20" s="41" t="s">
        <v>80</v>
      </c>
      <c r="AF20" s="41" t="s">
        <v>108</v>
      </c>
      <c r="AG20" s="41" t="s">
        <v>76</v>
      </c>
      <c r="AH20" s="41" t="s">
        <v>76</v>
      </c>
      <c r="AI20" s="41" t="s">
        <v>76</v>
      </c>
      <c r="AJ20" s="41" t="s">
        <v>76</v>
      </c>
      <c r="AK20" s="41" t="s">
        <v>87</v>
      </c>
      <c r="AL20" t="str">
        <f>VLOOKUP($Q20,武学奇术!$A:$ZZ,25,FALSE)</f>
        <v>陌刀</v>
      </c>
      <c r="AM20" s="27">
        <f>VLOOKUP($Q20,武学奇术!$A:$ZZ,26,FALSE)</f>
        <v>7.2368</v>
      </c>
      <c r="AN20" s="28">
        <f>VLOOKUP($Q20,武学奇术!$A:$ZZ,27,FALSE)*(1+IF(OR($AL20=$F$4,$AL20=$F$5),$B$22,0))</f>
        <v>3003</v>
      </c>
      <c r="AO20" s="27">
        <f>VLOOKUP($Q20,武学奇术!$A:$ZZ,28,FALSE)</f>
        <v>10.8553</v>
      </c>
      <c r="AP20" s="28">
        <f>VLOOKUP($Q20,武学奇术!$A:$ZZ,29,FALSE)*(1+IF(OR($AL20=$F$4,$AL20=$F$5),$B$22,0))</f>
        <v>1635</v>
      </c>
      <c r="AQ20" s="27" cm="1">
        <f t="array" ref="AQ20">$G$3+IFERROR(VLOOKUP($AL20,$F$4:$G$7,2,FALSE),0)+VLOOKUP($Q20,武学奇术!$A:$ZZ,2,FALSE)+SUM(_xlfn.XLOOKUP($R20:$AK20,增益!$A:$A,增益!$B:$B,0))</f>
        <v>1.0243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1847.2</v>
      </c>
      <c r="AT20" cm="1">
        <f t="array" ref="AT20">$E$10*(1+$AR20)+VLOOKUP($Q20,武学奇术!$A:$ZZ,4,FALSE)+SUM(_xlfn.XLOOKUP($R20:$AK20,增益!$A:$A,增益!$D:$D,0))-$I$2</f>
        <v>6866.8</v>
      </c>
      <c r="AU20" s="33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0.3585</v>
      </c>
      <c r="AV20" s="33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3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3" cm="1">
        <f t="array" ref="BA20">$G$11+VLOOKUP($Q20,武学奇术!$A:$ZZ,10,FALSE)+SUM(_xlfn.XLOOKUP($R20:$AK20,增益!$A:$A,增益!$J:$J,0))</f>
        <v>0</v>
      </c>
      <c r="BB20">
        <f t="shared" si="3"/>
        <v>662.4</v>
      </c>
      <c r="BC20">
        <f t="shared" si="4"/>
        <v>1260</v>
      </c>
      <c r="BD20" s="33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0.14</v>
      </c>
      <c r="BE20" s="33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3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3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3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3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0.8354</v>
      </c>
      <c r="BP20" s="27" cm="1">
        <f t="array" ref="BP20">1+$B$13+VLOOKUP($Q20,武学奇术!$A:$ZZ,18,FALSE)+SUM(_xlfn.XLOOKUP($R20:$AK20,增益!$A:$A,增益!$R:$R,0))</f>
        <v>1.934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0.1512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0.8354</v>
      </c>
      <c r="BT20" s="27">
        <f t="shared" si="10"/>
        <v>0.0134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ht="14.25" spans="1:74">
      <c r="A21" s="85" t="s">
        <v>150</v>
      </c>
      <c r="B21" s="91">
        <v>0.32</v>
      </c>
      <c r="C21" s="40" t="s">
        <v>151</v>
      </c>
      <c r="D21" s="79" t="s">
        <v>152</v>
      </c>
      <c r="F21" s="40"/>
      <c r="K21" s="39">
        <f t="shared" si="0"/>
        <v>223260.565957899</v>
      </c>
      <c r="L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225111.632818919</v>
      </c>
      <c r="M21" s="39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222763.866873341</v>
      </c>
      <c r="N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113463.52460631</v>
      </c>
      <c r="O21" s="39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61916.7774545894</v>
      </c>
      <c r="P21" s="40">
        <v>1</v>
      </c>
      <c r="Q21" s="41" t="s">
        <v>117</v>
      </c>
      <c r="R21" s="41" t="s">
        <v>101</v>
      </c>
      <c r="S21" s="41" t="s">
        <v>114</v>
      </c>
      <c r="T21" s="41" t="s">
        <v>76</v>
      </c>
      <c r="U21" s="41" t="s">
        <v>84</v>
      </c>
      <c r="V21" s="41" t="s">
        <v>149</v>
      </c>
      <c r="W21" s="41" t="s">
        <v>76</v>
      </c>
      <c r="X21" s="41" t="s">
        <v>134</v>
      </c>
      <c r="Y21" s="41" t="s">
        <v>76</v>
      </c>
      <c r="Z21" s="41" t="s">
        <v>76</v>
      </c>
      <c r="AA21" s="41" t="s">
        <v>93</v>
      </c>
      <c r="AB21" s="41" t="s">
        <v>76</v>
      </c>
      <c r="AC21" s="41" t="s">
        <v>76</v>
      </c>
      <c r="AD21" s="41" t="s">
        <v>79</v>
      </c>
      <c r="AE21" s="41" t="s">
        <v>80</v>
      </c>
      <c r="AF21" s="41" t="s">
        <v>108</v>
      </c>
      <c r="AG21" s="41" t="s">
        <v>76</v>
      </c>
      <c r="AH21" s="41" t="s">
        <v>76</v>
      </c>
      <c r="AI21" s="41" t="s">
        <v>76</v>
      </c>
      <c r="AJ21" s="41" t="s">
        <v>76</v>
      </c>
      <c r="AK21" s="41" t="s">
        <v>87</v>
      </c>
      <c r="AL21" t="str">
        <f>VLOOKUP($Q21,武学奇术!$A:$ZZ,25,FALSE)</f>
        <v>陌刀</v>
      </c>
      <c r="AM21" s="27">
        <f>VLOOKUP($Q21,武学奇术!$A:$ZZ,26,FALSE)</f>
        <v>4.2807</v>
      </c>
      <c r="AN21" s="28">
        <f>VLOOKUP($Q21,武学奇术!$A:$ZZ,27,FALSE)*(1+IF(OR($AL21=$F$4,$AL21=$F$5),$B$22,0))</f>
        <v>1776</v>
      </c>
      <c r="AO21" s="27">
        <f>VLOOKUP($Q21,武学奇术!$A:$ZZ,28,FALSE)</f>
        <v>6.421</v>
      </c>
      <c r="AP21" s="28">
        <f>VLOOKUP($Q21,武学奇术!$A:$ZZ,29,FALSE)*(1+IF(OR($AL21=$F$4,$AL21=$F$5),$B$22,0))</f>
        <v>967.5</v>
      </c>
      <c r="AQ21" s="27" cm="1">
        <f t="array" ref="AQ21">$G$3+IFERROR(VLOOKUP($AL21,$F$4:$G$7,2,FALSE),0)+VLOOKUP($Q21,武学奇术!$A:$ZZ,2,FALSE)+SUM(_xlfn.XLOOKUP($R21:$AK21,增益!$A:$A,增益!$B:$B,0))</f>
        <v>1.0243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1847.2</v>
      </c>
      <c r="AT21" cm="1">
        <f t="array" ref="AT21">$E$10*(1+$AR21)+VLOOKUP($Q21,武学奇术!$A:$ZZ,4,FALSE)+SUM(_xlfn.XLOOKUP($R21:$AK21,增益!$A:$A,增益!$D:$D,0))-$I$2</f>
        <v>6866.8</v>
      </c>
      <c r="AU21" s="33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0.3835</v>
      </c>
      <c r="AV21" s="33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3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3" cm="1">
        <f t="array" ref="BA21">$G$11+VLOOKUP($Q21,武学奇术!$A:$ZZ,10,FALSE)+SUM(_xlfn.XLOOKUP($R21:$AK21,增益!$A:$A,增益!$J:$J,0))</f>
        <v>0</v>
      </c>
      <c r="BB21">
        <f t="shared" si="3"/>
        <v>662.4</v>
      </c>
      <c r="BC21">
        <f t="shared" si="4"/>
        <v>1260</v>
      </c>
      <c r="BD21" s="33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0.14</v>
      </c>
      <c r="BE21" s="33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3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3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3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3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1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0.8354</v>
      </c>
      <c r="BP21" s="27" cm="1">
        <f t="array" ref="BP21">1+$B$13+VLOOKUP($Q21,武学奇术!$A:$ZZ,18,FALSE)+SUM(_xlfn.XLOOKUP($R21:$AK21,增益!$A:$A,增益!$R:$R,0))</f>
        <v>1.984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0.1512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0.8354</v>
      </c>
      <c r="BT21" s="27">
        <f t="shared" si="10"/>
        <v>0.0134</v>
      </c>
      <c r="BU21" s="27">
        <f>IF(VLOOKUP($Q21,武学奇术!$A:$ZZ,22,FALSE)=1,0,(1-$BN21))*(1-$BQ21)</f>
        <v>0</v>
      </c>
      <c r="BV21" s="27" cm="1">
        <f t="array" ref="BV21">SUM(_xlfn.XLOOKUP($R21:$AK21,增益!$A:$A,增益!$W:$W,0))+$I$5</f>
        <v>0.11</v>
      </c>
    </row>
    <row r="22" spans="1:74">
      <c r="A22" t="s">
        <v>153</v>
      </c>
      <c r="B22" s="29">
        <v>0.5</v>
      </c>
      <c r="C22" s="40" t="s">
        <v>154</v>
      </c>
      <c r="D22" s="79" t="s">
        <v>152</v>
      </c>
      <c r="K22" s="39">
        <f t="shared" si="0"/>
        <v>366035.001461446</v>
      </c>
      <c r="L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367913.845408176</v>
      </c>
      <c r="M22" s="39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371321.053948469</v>
      </c>
      <c r="N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189256.093316963</v>
      </c>
      <c r="O22" s="39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103459.554079505</v>
      </c>
      <c r="P22" s="40">
        <v>1</v>
      </c>
      <c r="Q22" s="41" t="s">
        <v>106</v>
      </c>
      <c r="R22" s="41" t="s">
        <v>101</v>
      </c>
      <c r="S22" s="41" t="s">
        <v>114</v>
      </c>
      <c r="T22" s="41" t="s">
        <v>76</v>
      </c>
      <c r="U22" s="41" t="s">
        <v>84</v>
      </c>
      <c r="V22" s="41" t="s">
        <v>155</v>
      </c>
      <c r="W22" s="41" t="s">
        <v>76</v>
      </c>
      <c r="X22" s="41" t="s">
        <v>139</v>
      </c>
      <c r="Y22" s="41" t="s">
        <v>76</v>
      </c>
      <c r="Z22" s="41" t="s">
        <v>76</v>
      </c>
      <c r="AA22" s="41" t="s">
        <v>93</v>
      </c>
      <c r="AB22" s="41" t="s">
        <v>76</v>
      </c>
      <c r="AC22" s="41" t="s">
        <v>76</v>
      </c>
      <c r="AD22" s="41" t="s">
        <v>79</v>
      </c>
      <c r="AE22" s="41" t="s">
        <v>80</v>
      </c>
      <c r="AF22" s="41" t="s">
        <v>108</v>
      </c>
      <c r="AG22" s="41" t="s">
        <v>76</v>
      </c>
      <c r="AH22" s="41" t="s">
        <v>76</v>
      </c>
      <c r="AI22" s="41" t="s">
        <v>76</v>
      </c>
      <c r="AJ22" s="41" t="s">
        <v>76</v>
      </c>
      <c r="AK22" s="41" t="s">
        <v>87</v>
      </c>
      <c r="AL22" t="str">
        <f>VLOOKUP($Q22,武学奇术!$A:$ZZ,25,FALSE)</f>
        <v>陌刀</v>
      </c>
      <c r="AM22" s="27">
        <f>VLOOKUP($Q22,武学奇术!$A:$ZZ,26,FALSE)</f>
        <v>7.2368</v>
      </c>
      <c r="AN22" s="28">
        <f>VLOOKUP($Q22,武学奇术!$A:$ZZ,27,FALSE)*(1+IF(OR($AL22=$F$4,$AL22=$F$5),$B$22,0))</f>
        <v>3003</v>
      </c>
      <c r="AO22" s="27">
        <f>VLOOKUP($Q22,武学奇术!$A:$ZZ,28,FALSE)</f>
        <v>10.8553</v>
      </c>
      <c r="AP22" s="28">
        <f>VLOOKUP($Q22,武学奇术!$A:$ZZ,29,FALSE)*(1+IF(OR($AL22=$F$4,$AL22=$F$5),$B$22,0))</f>
        <v>1635</v>
      </c>
      <c r="AQ22" s="27" cm="1">
        <f t="array" ref="AQ22">$G$3+IFERROR(VLOOKUP($AL22,$F$4:$G$7,2,FALSE),0)+VLOOKUP($Q22,武学奇术!$A:$ZZ,2,FALSE)+SUM(_xlfn.XLOOKUP($R22:$AK22,增益!$A:$A,增益!$B:$B,0))</f>
        <v>1.0243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1847.2</v>
      </c>
      <c r="AT22" cm="1">
        <f t="array" ref="AT22">$E$10*(1+$AR22)+VLOOKUP($Q22,武学奇术!$A:$ZZ,4,FALSE)+SUM(_xlfn.XLOOKUP($R22:$AK22,增益!$A:$A,增益!$D:$D,0))-$I$2</f>
        <v>6866.8</v>
      </c>
      <c r="AU22" s="33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0.3585</v>
      </c>
      <c r="AV22" s="33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3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3" cm="1">
        <f t="array" ref="BA22">$G$11+VLOOKUP($Q22,武学奇术!$A:$ZZ,10,FALSE)+SUM(_xlfn.XLOOKUP($R22:$AK22,增益!$A:$A,增益!$J:$J,0))</f>
        <v>0</v>
      </c>
      <c r="BB22">
        <f t="shared" si="3"/>
        <v>662.4</v>
      </c>
      <c r="BC22">
        <f t="shared" si="4"/>
        <v>1260</v>
      </c>
      <c r="BD22" s="33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0.14</v>
      </c>
      <c r="BE22" s="33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3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3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3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3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1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0.8354</v>
      </c>
      <c r="BP22" s="27" cm="1">
        <f t="array" ref="BP22">1+$B$13+VLOOKUP($Q22,武学奇术!$A:$ZZ,18,FALSE)+SUM(_xlfn.XLOOKUP($R22:$AK22,增益!$A:$A,增益!$R:$R,0))</f>
        <v>1.944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0.1512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0.8354</v>
      </c>
      <c r="BT22" s="27">
        <f t="shared" si="10"/>
        <v>0.0134</v>
      </c>
      <c r="BU22" s="27">
        <f>IF(VLOOKUP($Q22,武学奇术!$A:$ZZ,22,FALSE)=1,0,(1-$BN22))*(1-$BQ22)</f>
        <v>0</v>
      </c>
      <c r="BV22" s="27" cm="1">
        <f t="array" ref="BV22">SUM(_xlfn.XLOOKUP($R22:$AK22,增益!$A:$A,增益!$W:$W,0))+$I$5</f>
        <v>0.11</v>
      </c>
    </row>
    <row r="23" spans="1:74">
      <c r="A23" s="40" t="s">
        <v>156</v>
      </c>
      <c r="B23">
        <v>240</v>
      </c>
      <c r="K23" s="39">
        <f t="shared" si="0"/>
        <v>224208.44024246</v>
      </c>
      <c r="L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226246.268064982</v>
      </c>
      <c r="M23" s="39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222763.866873341</v>
      </c>
      <c r="N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113463.52460631</v>
      </c>
      <c r="O23" s="39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61916.7774545894</v>
      </c>
      <c r="P23" s="40">
        <v>1</v>
      </c>
      <c r="Q23" s="41" t="s">
        <v>117</v>
      </c>
      <c r="R23" s="41" t="s">
        <v>101</v>
      </c>
      <c r="S23" s="41" t="s">
        <v>114</v>
      </c>
      <c r="T23" s="41" t="s">
        <v>76</v>
      </c>
      <c r="U23" s="41" t="s">
        <v>84</v>
      </c>
      <c r="V23" s="41" t="s">
        <v>155</v>
      </c>
      <c r="W23" s="41" t="s">
        <v>76</v>
      </c>
      <c r="X23" s="41" t="s">
        <v>134</v>
      </c>
      <c r="Y23" s="41" t="s">
        <v>76</v>
      </c>
      <c r="Z23" s="41" t="s">
        <v>76</v>
      </c>
      <c r="AA23" s="41" t="s">
        <v>93</v>
      </c>
      <c r="AB23" s="41" t="s">
        <v>76</v>
      </c>
      <c r="AC23" s="41" t="s">
        <v>76</v>
      </c>
      <c r="AD23" s="41" t="s">
        <v>79</v>
      </c>
      <c r="AE23" s="41" t="s">
        <v>80</v>
      </c>
      <c r="AF23" s="41" t="s">
        <v>108</v>
      </c>
      <c r="AG23" s="41" t="s">
        <v>76</v>
      </c>
      <c r="AH23" s="41" t="s">
        <v>76</v>
      </c>
      <c r="AI23" s="41" t="s">
        <v>76</v>
      </c>
      <c r="AJ23" s="41" t="s">
        <v>76</v>
      </c>
      <c r="AK23" s="41" t="s">
        <v>87</v>
      </c>
      <c r="AL23" t="str">
        <f>VLOOKUP($Q23,武学奇术!$A:$ZZ,25,FALSE)</f>
        <v>陌刀</v>
      </c>
      <c r="AM23" s="27">
        <f>VLOOKUP($Q23,武学奇术!$A:$ZZ,26,FALSE)</f>
        <v>4.2807</v>
      </c>
      <c r="AN23" s="28">
        <f>VLOOKUP($Q23,武学奇术!$A:$ZZ,27,FALSE)*(1+IF(OR($AL23=$F$4,$AL23=$F$5),$B$22,0))</f>
        <v>1776</v>
      </c>
      <c r="AO23" s="27">
        <f>VLOOKUP($Q23,武学奇术!$A:$ZZ,28,FALSE)</f>
        <v>6.421</v>
      </c>
      <c r="AP23" s="28">
        <f>VLOOKUP($Q23,武学奇术!$A:$ZZ,29,FALSE)*(1+IF(OR($AL23=$F$4,$AL23=$F$5),$B$22,0))</f>
        <v>967.5</v>
      </c>
      <c r="AQ23" s="27" cm="1">
        <f t="array" ref="AQ23">$G$3+IFERROR(VLOOKUP($AL23,$F$4:$G$7,2,FALSE),0)+VLOOKUP($Q23,武学奇术!$A:$ZZ,2,FALSE)+SUM(_xlfn.XLOOKUP($R23:$AK23,增益!$A:$A,增益!$B:$B,0))</f>
        <v>1.0243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1847.2</v>
      </c>
      <c r="AT23" cm="1">
        <f t="array" ref="AT23">$E$10*(1+$AR23)+VLOOKUP($Q23,武学奇术!$A:$ZZ,4,FALSE)+SUM(_xlfn.XLOOKUP($R23:$AK23,增益!$A:$A,增益!$D:$D,0))-$I$2</f>
        <v>6866.8</v>
      </c>
      <c r="AU23" s="33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0.3835</v>
      </c>
      <c r="AV23" s="33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3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3" cm="1">
        <f t="array" ref="BA23">$G$11+VLOOKUP($Q23,武学奇术!$A:$ZZ,10,FALSE)+SUM(_xlfn.XLOOKUP($R23:$AK23,增益!$A:$A,增益!$J:$J,0))</f>
        <v>0</v>
      </c>
      <c r="BB23">
        <f t="shared" si="3"/>
        <v>662.4</v>
      </c>
      <c r="BC23">
        <f t="shared" si="4"/>
        <v>1260</v>
      </c>
      <c r="BD23" s="33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0.14</v>
      </c>
      <c r="BE23" s="33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3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3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3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3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1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0.8354</v>
      </c>
      <c r="BP23" s="27" cm="1">
        <f t="array" ref="BP23">1+$B$13+VLOOKUP($Q23,武学奇术!$A:$ZZ,18,FALSE)+SUM(_xlfn.XLOOKUP($R23:$AK23,增益!$A:$A,增益!$R:$R,0))</f>
        <v>1.994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0.1512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0.8354</v>
      </c>
      <c r="BT23" s="27">
        <f t="shared" si="10"/>
        <v>0.0134</v>
      </c>
      <c r="BU23" s="27">
        <f>IF(VLOOKUP($Q23,武学奇术!$A:$ZZ,22,FALSE)=1,0,(1-$BN23))*(1-$BQ23)</f>
        <v>0</v>
      </c>
      <c r="BV23" s="27" cm="1">
        <f t="array" ref="BV23">SUM(_xlfn.XLOOKUP($R23:$AK23,增益!$A:$A,增益!$W:$W,0))+$I$5</f>
        <v>0.11</v>
      </c>
    </row>
    <row r="24" spans="1:74">
      <c r="A24" s="40"/>
      <c r="B24">
        <v>480</v>
      </c>
      <c r="K24" s="39">
        <f t="shared" si="0"/>
        <v>366035.001461446</v>
      </c>
      <c r="L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367913.845408176</v>
      </c>
      <c r="M24" s="39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371321.053948469</v>
      </c>
      <c r="N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189256.093316963</v>
      </c>
      <c r="O24" s="39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103459.554079505</v>
      </c>
      <c r="P24" s="40">
        <v>1</v>
      </c>
      <c r="Q24" s="41" t="s">
        <v>106</v>
      </c>
      <c r="R24" s="41" t="s">
        <v>101</v>
      </c>
      <c r="S24" s="41" t="s">
        <v>114</v>
      </c>
      <c r="T24" s="41" t="s">
        <v>76</v>
      </c>
      <c r="U24" s="41" t="s">
        <v>84</v>
      </c>
      <c r="V24" s="41" t="s">
        <v>155</v>
      </c>
      <c r="W24" s="41" t="s">
        <v>76</v>
      </c>
      <c r="X24" s="41" t="s">
        <v>139</v>
      </c>
      <c r="Y24" s="41" t="s">
        <v>76</v>
      </c>
      <c r="Z24" s="41" t="s">
        <v>76</v>
      </c>
      <c r="AA24" s="41" t="s">
        <v>86</v>
      </c>
      <c r="AB24" s="41" t="s">
        <v>76</v>
      </c>
      <c r="AC24" s="41" t="s">
        <v>76</v>
      </c>
      <c r="AD24" s="41" t="s">
        <v>79</v>
      </c>
      <c r="AE24" s="41" t="s">
        <v>80</v>
      </c>
      <c r="AF24" s="41" t="s">
        <v>108</v>
      </c>
      <c r="AG24" s="41" t="s">
        <v>76</v>
      </c>
      <c r="AH24" s="41" t="s">
        <v>76</v>
      </c>
      <c r="AI24" s="41" t="s">
        <v>76</v>
      </c>
      <c r="AJ24" s="41" t="s">
        <v>76</v>
      </c>
      <c r="AK24" s="41" t="s">
        <v>87</v>
      </c>
      <c r="AL24" t="str">
        <f>VLOOKUP($Q24,武学奇术!$A:$ZZ,25,FALSE)</f>
        <v>陌刀</v>
      </c>
      <c r="AM24" s="27">
        <f>VLOOKUP($Q24,武学奇术!$A:$ZZ,26,FALSE)</f>
        <v>7.2368</v>
      </c>
      <c r="AN24" s="28">
        <f>VLOOKUP($Q24,武学奇术!$A:$ZZ,27,FALSE)*(1+IF(OR($AL24=$F$4,$AL24=$F$5),$B$22,0))</f>
        <v>3003</v>
      </c>
      <c r="AO24" s="27">
        <f>VLOOKUP($Q24,武学奇术!$A:$ZZ,28,FALSE)</f>
        <v>10.8553</v>
      </c>
      <c r="AP24" s="28">
        <f>VLOOKUP($Q24,武学奇术!$A:$ZZ,29,FALSE)*(1+IF(OR($AL24=$F$4,$AL24=$F$5),$B$22,0))</f>
        <v>1635</v>
      </c>
      <c r="AQ24" s="27" cm="1">
        <f t="array" ref="AQ24">$G$3+IFERROR(VLOOKUP($AL24,$F$4:$G$7,2,FALSE),0)+VLOOKUP($Q24,武学奇术!$A:$ZZ,2,FALSE)+SUM(_xlfn.XLOOKUP($R24:$AK24,增益!$A:$A,增益!$B:$B,0))</f>
        <v>1.0243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1847.2</v>
      </c>
      <c r="AT24" cm="1">
        <f t="array" ref="AT24">$E$10*(1+$AR24)+VLOOKUP($Q24,武学奇术!$A:$ZZ,4,FALSE)+SUM(_xlfn.XLOOKUP($R24:$AK24,增益!$A:$A,增益!$D:$D,0))-$I$2</f>
        <v>6866.8</v>
      </c>
      <c r="AU24" s="33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0.3585</v>
      </c>
      <c r="AV24" s="33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3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3" cm="1">
        <f t="array" ref="BA24">$G$11+VLOOKUP($Q24,武学奇术!$A:$ZZ,10,FALSE)+SUM(_xlfn.XLOOKUP($R24:$AK24,增益!$A:$A,增益!$J:$J,0))</f>
        <v>0</v>
      </c>
      <c r="BB24">
        <f t="shared" si="3"/>
        <v>662.4</v>
      </c>
      <c r="BC24">
        <f t="shared" si="4"/>
        <v>1260</v>
      </c>
      <c r="BD24" s="33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0.14</v>
      </c>
      <c r="BE24" s="33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3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3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3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3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1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0.8354</v>
      </c>
      <c r="BP24" s="27" cm="1">
        <f t="array" ref="BP24">1+$B$13+VLOOKUP($Q24,武学奇术!$A:$ZZ,18,FALSE)+SUM(_xlfn.XLOOKUP($R24:$AK24,增益!$A:$A,增益!$R:$R,0))</f>
        <v>1.944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0.1512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0.8354</v>
      </c>
      <c r="BT24" s="27">
        <f t="shared" si="10"/>
        <v>0.0134</v>
      </c>
      <c r="BU24" s="27">
        <f>IF(VLOOKUP($Q24,武学奇术!$A:$ZZ,22,FALSE)=1,0,(1-$BN24))*(1-$BQ24)</f>
        <v>0</v>
      </c>
      <c r="BV24" s="27" cm="1">
        <f t="array" ref="BV24">SUM(_xlfn.XLOOKUP($R24:$AK24,增益!$A:$A,增益!$W:$W,0))+$I$5</f>
        <v>0.11</v>
      </c>
    </row>
    <row r="25" spans="1:74">
      <c r="K25" s="39">
        <f t="shared" si="0"/>
        <v>224208.44024246</v>
      </c>
      <c r="L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226246.268064982</v>
      </c>
      <c r="M25" s="39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222763.866873341</v>
      </c>
      <c r="N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113463.52460631</v>
      </c>
      <c r="O25" s="39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61916.7774545894</v>
      </c>
      <c r="P25" s="40">
        <v>1</v>
      </c>
      <c r="Q25" s="41" t="s">
        <v>117</v>
      </c>
      <c r="R25" s="41" t="s">
        <v>101</v>
      </c>
      <c r="S25" s="41" t="s">
        <v>114</v>
      </c>
      <c r="T25" s="41" t="s">
        <v>76</v>
      </c>
      <c r="U25" s="41" t="s">
        <v>84</v>
      </c>
      <c r="V25" s="41" t="s">
        <v>155</v>
      </c>
      <c r="W25" s="41" t="s">
        <v>76</v>
      </c>
      <c r="X25" s="41" t="s">
        <v>134</v>
      </c>
      <c r="Y25" s="41" t="s">
        <v>76</v>
      </c>
      <c r="Z25" s="41" t="s">
        <v>76</v>
      </c>
      <c r="AA25" s="41" t="s">
        <v>86</v>
      </c>
      <c r="AB25" s="41" t="s">
        <v>76</v>
      </c>
      <c r="AC25" s="41" t="s">
        <v>76</v>
      </c>
      <c r="AD25" s="41" t="s">
        <v>79</v>
      </c>
      <c r="AE25" s="41" t="s">
        <v>80</v>
      </c>
      <c r="AF25" s="41" t="s">
        <v>108</v>
      </c>
      <c r="AG25" s="41" t="s">
        <v>76</v>
      </c>
      <c r="AH25" s="41" t="s">
        <v>76</v>
      </c>
      <c r="AI25" s="41" t="s">
        <v>76</v>
      </c>
      <c r="AJ25" s="41" t="s">
        <v>76</v>
      </c>
      <c r="AK25" s="41" t="s">
        <v>87</v>
      </c>
      <c r="AL25" t="str">
        <f>VLOOKUP($Q25,武学奇术!$A:$ZZ,25,FALSE)</f>
        <v>陌刀</v>
      </c>
      <c r="AM25" s="27">
        <f>VLOOKUP($Q25,武学奇术!$A:$ZZ,26,FALSE)</f>
        <v>4.2807</v>
      </c>
      <c r="AN25" s="28">
        <f>VLOOKUP($Q25,武学奇术!$A:$ZZ,27,FALSE)*(1+IF(OR($AL25=$F$4,$AL25=$F$5),$B$22,0))</f>
        <v>1776</v>
      </c>
      <c r="AO25" s="27">
        <f>VLOOKUP($Q25,武学奇术!$A:$ZZ,28,FALSE)</f>
        <v>6.421</v>
      </c>
      <c r="AP25" s="28">
        <f>VLOOKUP($Q25,武学奇术!$A:$ZZ,29,FALSE)*(1+IF(OR($AL25=$F$4,$AL25=$F$5),$B$22,0))</f>
        <v>967.5</v>
      </c>
      <c r="AQ25" s="27" cm="1">
        <f t="array" ref="AQ25">$G$3+IFERROR(VLOOKUP($AL25,$F$4:$G$7,2,FALSE),0)+VLOOKUP($Q25,武学奇术!$A:$ZZ,2,FALSE)+SUM(_xlfn.XLOOKUP($R25:$AK25,增益!$A:$A,增益!$B:$B,0))</f>
        <v>1.0243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1847.2</v>
      </c>
      <c r="AT25" cm="1">
        <f t="array" ref="AT25">$E$10*(1+$AR25)+VLOOKUP($Q25,武学奇术!$A:$ZZ,4,FALSE)+SUM(_xlfn.XLOOKUP($R25:$AK25,增益!$A:$A,增益!$D:$D,0))-$I$2</f>
        <v>6866.8</v>
      </c>
      <c r="AU25" s="33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0.3835</v>
      </c>
      <c r="AV25" s="33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3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-0.14</v>
      </c>
      <c r="BA25" s="33" cm="1">
        <f t="array" ref="BA25">$G$11+VLOOKUP($Q25,武学奇术!$A:$ZZ,10,FALSE)+SUM(_xlfn.XLOOKUP($R25:$AK25,增益!$A:$A,增益!$J:$J,0))</f>
        <v>0</v>
      </c>
      <c r="BB25">
        <f t="shared" si="3"/>
        <v>662.4</v>
      </c>
      <c r="BC25">
        <f t="shared" si="4"/>
        <v>1260</v>
      </c>
      <c r="BD25" s="33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0.14</v>
      </c>
      <c r="BE25" s="33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3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-0.14</v>
      </c>
      <c r="BI25" s="33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3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-0.14</v>
      </c>
      <c r="BM25" s="33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1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0.8354</v>
      </c>
      <c r="BP25" s="27" cm="1">
        <f t="array" ref="BP25">1+$B$13+VLOOKUP($Q25,武学奇术!$A:$ZZ,18,FALSE)+SUM(_xlfn.XLOOKUP($R25:$AK25,增益!$A:$A,增益!$R:$R,0))</f>
        <v>1.994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0.1512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0.8354</v>
      </c>
      <c r="BT25" s="27">
        <f t="shared" si="10"/>
        <v>0.0134</v>
      </c>
      <c r="BU25" s="27">
        <f>IF(VLOOKUP($Q25,武学奇术!$A:$ZZ,22,FALSE)=1,0,(1-$BN25))*(1-$BQ25)</f>
        <v>0</v>
      </c>
      <c r="BV25" s="27" cm="1">
        <f t="array" ref="BV25">SUM(_xlfn.XLOOKUP($R25:$AK25,增益!$A:$A,增益!$W:$W,0))+$I$5</f>
        <v>0.11</v>
      </c>
    </row>
    <row r="26" spans="1:74">
      <c r="K26" s="39">
        <f t="shared" si="0"/>
        <v>389750.682514995</v>
      </c>
      <c r="L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396302.259405721</v>
      </c>
      <c r="M26" s="39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371321.053948469</v>
      </c>
      <c r="N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189256.093316963</v>
      </c>
      <c r="O26" s="39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103459.554079505</v>
      </c>
      <c r="P26" s="40">
        <v>1</v>
      </c>
      <c r="Q26" s="41" t="s">
        <v>106</v>
      </c>
      <c r="R26" s="41" t="s">
        <v>101</v>
      </c>
      <c r="S26" s="41" t="s">
        <v>114</v>
      </c>
      <c r="T26" s="41" t="s">
        <v>77</v>
      </c>
      <c r="U26" s="41" t="s">
        <v>84</v>
      </c>
      <c r="V26" s="41" t="s">
        <v>155</v>
      </c>
      <c r="W26" s="41" t="s">
        <v>76</v>
      </c>
      <c r="X26" s="41" t="s">
        <v>139</v>
      </c>
      <c r="Y26" s="41" t="s">
        <v>76</v>
      </c>
      <c r="Z26" s="41" t="s">
        <v>76</v>
      </c>
      <c r="AA26" s="41" t="s">
        <v>86</v>
      </c>
      <c r="AB26" s="41" t="s">
        <v>76</v>
      </c>
      <c r="AC26" s="41" t="s">
        <v>76</v>
      </c>
      <c r="AD26" s="41" t="s">
        <v>79</v>
      </c>
      <c r="AE26" s="41" t="s">
        <v>80</v>
      </c>
      <c r="AF26" s="41" t="s">
        <v>108</v>
      </c>
      <c r="AG26" s="41" t="s">
        <v>76</v>
      </c>
      <c r="AH26" s="41" t="s">
        <v>76</v>
      </c>
      <c r="AI26" s="41" t="s">
        <v>76</v>
      </c>
      <c r="AJ26" s="41" t="s">
        <v>76</v>
      </c>
      <c r="AK26" s="41" t="s">
        <v>87</v>
      </c>
      <c r="AL26" t="str">
        <f>VLOOKUP($Q26,武学奇术!$A:$ZZ,25,FALSE)</f>
        <v>陌刀</v>
      </c>
      <c r="AM26" s="27">
        <f>VLOOKUP($Q26,武学奇术!$A:$ZZ,26,FALSE)</f>
        <v>7.2368</v>
      </c>
      <c r="AN26" s="28">
        <f>VLOOKUP($Q26,武学奇术!$A:$ZZ,27,FALSE)*(1+IF(OR($AL26=$F$4,$AL26=$F$5),$B$22,0))</f>
        <v>3003</v>
      </c>
      <c r="AO26" s="27">
        <f>VLOOKUP($Q26,武学奇术!$A:$ZZ,28,FALSE)</f>
        <v>10.8553</v>
      </c>
      <c r="AP26" s="28">
        <f>VLOOKUP($Q26,武学奇术!$A:$ZZ,29,FALSE)*(1+IF(OR($AL26=$F$4,$AL26=$F$5),$B$22,0))</f>
        <v>1635</v>
      </c>
      <c r="AQ26" s="27" cm="1">
        <f t="array" ref="AQ26">$G$3+IFERROR(VLOOKUP($AL26,$F$4:$G$7,2,FALSE),0)+VLOOKUP($Q26,武学奇术!$A:$ZZ,2,FALSE)+SUM(_xlfn.XLOOKUP($R26:$AK26,增益!$A:$A,增益!$B:$B,0))</f>
        <v>1.0243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1847.2</v>
      </c>
      <c r="AT26" cm="1">
        <f t="array" ref="AT26">$E$10*(1+$AR26)+VLOOKUP($Q26,武学奇术!$A:$ZZ,4,FALSE)+SUM(_xlfn.XLOOKUP($R26:$AK26,增益!$A:$A,增益!$D:$D,0))-$I$2</f>
        <v>6866.8</v>
      </c>
      <c r="AU26" s="33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0.3585</v>
      </c>
      <c r="AV26" s="33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3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-0.14</v>
      </c>
      <c r="BA26" s="33" cm="1">
        <f t="array" ref="BA26">$G$11+VLOOKUP($Q26,武学奇术!$A:$ZZ,10,FALSE)+SUM(_xlfn.XLOOKUP($R26:$AK26,增益!$A:$A,增益!$J:$J,0))</f>
        <v>0</v>
      </c>
      <c r="BB26">
        <f t="shared" si="3"/>
        <v>662.4</v>
      </c>
      <c r="BC26">
        <f t="shared" si="4"/>
        <v>1260</v>
      </c>
      <c r="BD26" s="33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0.14</v>
      </c>
      <c r="BE26" s="33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3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-0.14</v>
      </c>
      <c r="BI26" s="33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3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-0.14</v>
      </c>
      <c r="BM26" s="33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1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0.8354</v>
      </c>
      <c r="BP26" s="27" cm="1">
        <f t="array" ref="BP26">1+$B$13+VLOOKUP($Q26,武学奇术!$A:$ZZ,18,FALSE)+SUM(_xlfn.XLOOKUP($R26:$AK26,增益!$A:$A,增益!$R:$R,0))</f>
        <v>2.094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0.1512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0.8354</v>
      </c>
      <c r="BT26" s="27">
        <f t="shared" si="10"/>
        <v>0.0134</v>
      </c>
      <c r="BU26" s="27">
        <f>IF(VLOOKUP($Q26,武学奇术!$A:$ZZ,22,FALSE)=1,0,(1-$BN26))*(1-$BQ26)</f>
        <v>0</v>
      </c>
      <c r="BV26" s="27" cm="1">
        <f t="array" ref="BV26">SUM(_xlfn.XLOOKUP($R26:$AK26,增益!$A:$A,增益!$W:$W,0))+$I$5</f>
        <v>0.11</v>
      </c>
    </row>
    <row r="27" spans="1:74">
      <c r="K27" s="39">
        <f t="shared" si="0"/>
        <v>234141.489954499</v>
      </c>
      <c r="L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238805.981422848</v>
      </c>
      <c r="M27" s="39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219248.913293379</v>
      </c>
      <c r="N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111383.386857672</v>
      </c>
      <c r="O27" s="39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60360.1712758034</v>
      </c>
      <c r="P27" s="40">
        <v>1</v>
      </c>
      <c r="Q27" s="41" t="s">
        <v>117</v>
      </c>
      <c r="R27" s="41" t="s">
        <v>101</v>
      </c>
      <c r="S27" s="41" t="s">
        <v>114</v>
      </c>
      <c r="T27" s="41" t="s">
        <v>77</v>
      </c>
      <c r="U27" s="41" t="s">
        <v>76</v>
      </c>
      <c r="V27" s="41" t="s">
        <v>155</v>
      </c>
      <c r="W27" s="41" t="s">
        <v>76</v>
      </c>
      <c r="X27" s="41" t="s">
        <v>134</v>
      </c>
      <c r="Y27" s="41" t="s">
        <v>76</v>
      </c>
      <c r="Z27" s="41" t="s">
        <v>76</v>
      </c>
      <c r="AA27" s="41" t="s">
        <v>86</v>
      </c>
      <c r="AB27" s="41" t="s">
        <v>76</v>
      </c>
      <c r="AC27" s="41" t="s">
        <v>76</v>
      </c>
      <c r="AD27" s="41" t="s">
        <v>79</v>
      </c>
      <c r="AE27" s="41" t="s">
        <v>80</v>
      </c>
      <c r="AF27" s="41" t="s">
        <v>108</v>
      </c>
      <c r="AG27" s="41" t="s">
        <v>76</v>
      </c>
      <c r="AH27" s="41" t="s">
        <v>76</v>
      </c>
      <c r="AI27" s="41" t="s">
        <v>76</v>
      </c>
      <c r="AJ27" s="41" t="s">
        <v>76</v>
      </c>
      <c r="AK27" s="41" t="s">
        <v>87</v>
      </c>
      <c r="AL27" t="str">
        <f>VLOOKUP($Q27,武学奇术!$A:$ZZ,25,FALSE)</f>
        <v>陌刀</v>
      </c>
      <c r="AM27" s="27">
        <f>VLOOKUP($Q27,武学奇术!$A:$ZZ,26,FALSE)</f>
        <v>4.2807</v>
      </c>
      <c r="AN27" s="28">
        <f>VLOOKUP($Q27,武学奇术!$A:$ZZ,27,FALSE)*(1+IF(OR($AL27=$F$4,$AL27=$F$5),$B$22,0))</f>
        <v>1776</v>
      </c>
      <c r="AO27" s="27">
        <f>VLOOKUP($Q27,武学奇术!$A:$ZZ,28,FALSE)</f>
        <v>6.421</v>
      </c>
      <c r="AP27" s="28">
        <f>VLOOKUP($Q27,武学奇术!$A:$ZZ,29,FALSE)*(1+IF(OR($AL27=$F$4,$AL27=$F$5),$B$22,0))</f>
        <v>967.5</v>
      </c>
      <c r="AQ27" s="27" cm="1">
        <f t="array" ref="AQ27">$G$3+IFERROR(VLOOKUP($AL27,$F$4:$G$7,2,FALSE),0)+VLOOKUP($Q27,武学奇术!$A:$ZZ,2,FALSE)+SUM(_xlfn.XLOOKUP($R27:$AK27,增益!$A:$A,增益!$B:$B,0))</f>
        <v>1.0243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1847.2</v>
      </c>
      <c r="AT27" cm="1">
        <f t="array" ref="AT27">$E$10*(1+$AR27)+VLOOKUP($Q27,武学奇术!$A:$ZZ,4,FALSE)+SUM(_xlfn.XLOOKUP($R27:$AK27,增益!$A:$A,增益!$D:$D,0))-$I$2</f>
        <v>6866.8</v>
      </c>
      <c r="AU27" s="33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0.3835</v>
      </c>
      <c r="AV27" s="33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3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3" cm="1">
        <f t="array" ref="BA27">$G$11+VLOOKUP($Q27,武学奇术!$A:$ZZ,10,FALSE)+SUM(_xlfn.XLOOKUP($R27:$AK27,增益!$A:$A,增益!$J:$J,0))</f>
        <v>0</v>
      </c>
      <c r="BB27">
        <f t="shared" si="3"/>
        <v>662.4</v>
      </c>
      <c r="BC27">
        <f t="shared" si="4"/>
        <v>1260</v>
      </c>
      <c r="BD27" s="33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3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3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3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3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3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1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0.8354</v>
      </c>
      <c r="BP27" s="27" cm="1">
        <f t="array" ref="BP27">1+$B$13+VLOOKUP($Q27,武学奇术!$A:$ZZ,18,FALSE)+SUM(_xlfn.XLOOKUP($R27:$AK27,增益!$A:$A,增益!$R:$R,0))</f>
        <v>2.144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0.1512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0.8354</v>
      </c>
      <c r="BT27" s="27">
        <f t="shared" si="10"/>
        <v>0.0134</v>
      </c>
      <c r="BU27" s="27">
        <f>IF(VLOOKUP($Q27,武学奇术!$A:$ZZ,22,FALSE)=1,0,(1-$BN27))*(1-$BQ27)</f>
        <v>0</v>
      </c>
      <c r="BV27" s="27" cm="1">
        <f t="array" ref="BV27">SUM(_xlfn.XLOOKUP($R27:$AK27,增益!$A:$A,增益!$W:$W,0))+$I$5</f>
        <v>0.11</v>
      </c>
    </row>
    <row r="28" spans="1:74">
      <c r="K28" s="39">
        <f t="shared" si="0"/>
        <v>10644.7631494431</v>
      </c>
      <c r="L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12224.7159847682</v>
      </c>
      <c r="M28" s="39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11988.3276488569</v>
      </c>
      <c r="N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6130.75024311343</v>
      </c>
      <c r="O28" s="39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3381.25778336987</v>
      </c>
      <c r="P28" s="40">
        <v>1</v>
      </c>
      <c r="Q28" s="41" t="s">
        <v>112</v>
      </c>
      <c r="R28" s="41" t="s">
        <v>101</v>
      </c>
      <c r="S28" s="41" t="s">
        <v>76</v>
      </c>
      <c r="T28" s="41" t="s">
        <v>77</v>
      </c>
      <c r="U28" s="41" t="s">
        <v>76</v>
      </c>
      <c r="V28" s="41" t="s">
        <v>155</v>
      </c>
      <c r="W28" s="41" t="s">
        <v>76</v>
      </c>
      <c r="X28" s="41" t="s">
        <v>139</v>
      </c>
      <c r="Y28" s="41" t="s">
        <v>76</v>
      </c>
      <c r="Z28" s="41" t="s">
        <v>76</v>
      </c>
      <c r="AA28" s="41" t="s">
        <v>86</v>
      </c>
      <c r="AB28" s="41" t="s">
        <v>76</v>
      </c>
      <c r="AC28" s="41" t="s">
        <v>76</v>
      </c>
      <c r="AD28" s="41" t="s">
        <v>79</v>
      </c>
      <c r="AE28" s="41" t="s">
        <v>80</v>
      </c>
      <c r="AF28" s="41" t="s">
        <v>76</v>
      </c>
      <c r="AG28" s="41" t="s">
        <v>76</v>
      </c>
      <c r="AH28" s="41" t="s">
        <v>76</v>
      </c>
      <c r="AI28" s="41" t="s">
        <v>76</v>
      </c>
      <c r="AJ28" s="41" t="s">
        <v>76</v>
      </c>
      <c r="AK28" s="41" t="s">
        <v>87</v>
      </c>
      <c r="AL28" t="str">
        <f>VLOOKUP($Q28,武学奇术!$A:$ZZ,25,FALSE)</f>
        <v>枪</v>
      </c>
      <c r="AM28" s="27">
        <f>VLOOKUP($Q28,武学奇术!$A:$ZZ,26,FALSE)</f>
        <v>0.4843</v>
      </c>
      <c r="AN28" s="28">
        <f>VLOOKUP($Q28,武学奇术!$A:$ZZ,27,FALSE)*(1+IF(OR($AL28=$F$4,$AL28=$F$5),$B$22,0))</f>
        <v>201</v>
      </c>
      <c r="AO28" s="27">
        <f>VLOOKUP($Q28,武学奇术!$A:$ZZ,28,FALSE)</f>
        <v>0.7264</v>
      </c>
      <c r="AP28" s="28">
        <f>VLOOKUP($Q28,武学奇术!$A:$ZZ,29,FALSE)*(1+IF(OR($AL28=$F$4,$AL28=$F$5),$B$22,0))</f>
        <v>109.5</v>
      </c>
      <c r="AQ28" s="27" cm="1">
        <f t="array" ref="AQ28">$G$3+IFERROR(VLOOKUP($AL28,$F$4:$G$7,2,FALSE),0)+VLOOKUP($Q28,武学奇术!$A:$ZZ,2,FALSE)+SUM(_xlfn.XLOOKUP($R28:$AK28,增益!$A:$A,增益!$B:$B,0))</f>
        <v>0.3389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1847.2</v>
      </c>
      <c r="AT28" cm="1">
        <f t="array" ref="AT28">$E$10*(1+$AR28)+VLOOKUP($Q28,武学奇术!$A:$ZZ,4,FALSE)+SUM(_xlfn.XLOOKUP($R28:$AK28,增益!$A:$A,增益!$D:$D,0))-$I$2</f>
        <v>6666.8</v>
      </c>
      <c r="AU28" s="33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0.3585</v>
      </c>
      <c r="AV28" s="33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3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3" cm="1">
        <f t="array" ref="BA28">$G$11+VLOOKUP($Q28,武学奇术!$A:$ZZ,10,FALSE)+SUM(_xlfn.XLOOKUP($R28:$AK28,增益!$A:$A,增益!$J:$J,0))</f>
        <v>0</v>
      </c>
      <c r="BB28">
        <f t="shared" si="3"/>
        <v>662.4</v>
      </c>
      <c r="BC28">
        <f t="shared" si="4"/>
        <v>1260</v>
      </c>
      <c r="BD28" s="33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3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3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3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3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3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1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0.5954</v>
      </c>
      <c r="BP28" s="27" cm="1">
        <f t="array" ref="BP28">1+$B$13+VLOOKUP($Q28,武学奇术!$A:$ZZ,18,FALSE)+SUM(_xlfn.XLOOKUP($R28:$AK28,增益!$A:$A,增益!$R:$R,0))</f>
        <v>1.994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0.1512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0.5954</v>
      </c>
      <c r="BT28" s="27">
        <f t="shared" si="10"/>
        <v>0.2534</v>
      </c>
      <c r="BU28" s="27">
        <f>IF(VLOOKUP($Q28,武学奇术!$A:$ZZ,22,FALSE)=1,0,(1-$BN28))*(1-$BQ28)</f>
        <v>0</v>
      </c>
      <c r="BV28" s="27" cm="1">
        <f t="array" ref="BV28">SUM(_xlfn.XLOOKUP($R28:$AK28,增益!$A:$A,增益!$W:$W,0))+$I$5</f>
        <v>0.11</v>
      </c>
    </row>
    <row r="29" spans="1:74">
      <c r="A29" s="4" t="s">
        <v>157</v>
      </c>
      <c r="B29" s="4">
        <v>1.2</v>
      </c>
      <c r="C29" s="40" t="s">
        <v>158</v>
      </c>
      <c r="I29">
        <v>1</v>
      </c>
      <c r="K29" s="39">
        <f t="shared" si="0"/>
        <v>359378.753736442</v>
      </c>
      <c r="L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361077.961081287</v>
      </c>
      <c r="M29" s="39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365379.055406642</v>
      </c>
      <c r="N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185739.691914242</v>
      </c>
      <c r="O29" s="39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100828.231675416</v>
      </c>
      <c r="P29" s="40">
        <v>1</v>
      </c>
      <c r="Q29" s="41" t="s">
        <v>106</v>
      </c>
      <c r="R29" s="41" t="s">
        <v>101</v>
      </c>
      <c r="S29" s="41" t="s">
        <v>114</v>
      </c>
      <c r="T29" s="41" t="s">
        <v>76</v>
      </c>
      <c r="U29" s="41" t="s">
        <v>76</v>
      </c>
      <c r="V29" s="41" t="s">
        <v>155</v>
      </c>
      <c r="W29" s="41" t="s">
        <v>76</v>
      </c>
      <c r="X29" s="41" t="s">
        <v>139</v>
      </c>
      <c r="Y29" s="41" t="s">
        <v>76</v>
      </c>
      <c r="Z29" s="41" t="s">
        <v>76</v>
      </c>
      <c r="AA29" s="41" t="s">
        <v>86</v>
      </c>
      <c r="AB29" s="41" t="s">
        <v>76</v>
      </c>
      <c r="AC29" s="41" t="s">
        <v>76</v>
      </c>
      <c r="AD29" s="41" t="s">
        <v>79</v>
      </c>
      <c r="AE29" s="41" t="s">
        <v>80</v>
      </c>
      <c r="AF29" s="41" t="s">
        <v>108</v>
      </c>
      <c r="AG29" s="41" t="s">
        <v>76</v>
      </c>
      <c r="AH29" s="41" t="s">
        <v>76</v>
      </c>
      <c r="AI29" s="41" t="s">
        <v>76</v>
      </c>
      <c r="AJ29" s="41" t="s">
        <v>76</v>
      </c>
      <c r="AK29" s="41" t="s">
        <v>87</v>
      </c>
      <c r="AL29" t="str">
        <f>VLOOKUP($Q29,武学奇术!$A:$ZZ,25,FALSE)</f>
        <v>陌刀</v>
      </c>
      <c r="AM29" s="27">
        <f>VLOOKUP($Q29,武学奇术!$A:$ZZ,26,FALSE)</f>
        <v>7.2368</v>
      </c>
      <c r="AN29" s="28">
        <f>VLOOKUP($Q29,武学奇术!$A:$ZZ,27,FALSE)*(1+IF(OR($AL29=$F$4,$AL29=$F$5),$B$22,0))</f>
        <v>3003</v>
      </c>
      <c r="AO29" s="27">
        <f>VLOOKUP($Q29,武学奇术!$A:$ZZ,28,FALSE)</f>
        <v>10.8553</v>
      </c>
      <c r="AP29" s="28">
        <f>VLOOKUP($Q29,武学奇术!$A:$ZZ,29,FALSE)*(1+IF(OR($AL29=$F$4,$AL29=$F$5),$B$22,0))</f>
        <v>1635</v>
      </c>
      <c r="AQ29" s="27" cm="1">
        <f t="array" ref="AQ29">$G$3+IFERROR(VLOOKUP($AL29,$F$4:$G$7,2,FALSE),0)+VLOOKUP($Q29,武学奇术!$A:$ZZ,2,FALSE)+SUM(_xlfn.XLOOKUP($R29:$AK29,增益!$A:$A,增益!$B:$B,0))</f>
        <v>1.0243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1847.2</v>
      </c>
      <c r="AT29" cm="1">
        <f t="array" ref="AT29">$E$10*(1+$AR29)+VLOOKUP($Q29,武学奇术!$A:$ZZ,4,FALSE)+SUM(_xlfn.XLOOKUP($R29:$AK29,增益!$A:$A,增益!$D:$D,0))-$I$2</f>
        <v>6866.8</v>
      </c>
      <c r="AU29" s="33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0.3585</v>
      </c>
      <c r="AV29" s="33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3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3" cm="1">
        <f t="array" ref="BA29">$G$11+VLOOKUP($Q29,武学奇术!$A:$ZZ,10,FALSE)+SUM(_xlfn.XLOOKUP($R29:$AK29,增益!$A:$A,增益!$J:$J,0))</f>
        <v>0</v>
      </c>
      <c r="BB29">
        <f t="shared" si="3"/>
        <v>662.4</v>
      </c>
      <c r="BC29">
        <f t="shared" si="4"/>
        <v>1260</v>
      </c>
      <c r="BD29" s="33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3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3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3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3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3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1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0.8354</v>
      </c>
      <c r="BP29" s="27" cm="1">
        <f t="array" ref="BP29">1+$B$13+VLOOKUP($Q29,武学奇术!$A:$ZZ,18,FALSE)+SUM(_xlfn.XLOOKUP($R29:$AK29,增益!$A:$A,增益!$R:$R,0))</f>
        <v>1.944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0.1512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0.8354</v>
      </c>
      <c r="BT29" s="27">
        <f t="shared" si="10"/>
        <v>0.0134</v>
      </c>
      <c r="BU29" s="27">
        <f>IF(VLOOKUP($Q29,武学奇术!$A:$ZZ,22,FALSE)=1,0,(1-$BN29))*(1-$BQ29)</f>
        <v>0</v>
      </c>
      <c r="BV29" s="27" cm="1">
        <f t="array" ref="BV29">SUM(_xlfn.XLOOKUP($R29:$AK29,增益!$A:$A,增益!$W:$W,0))+$I$5</f>
        <v>0.11</v>
      </c>
    </row>
    <row r="30" spans="1:74">
      <c r="A30" s="4" t="s">
        <v>159</v>
      </c>
      <c r="B30" s="4">
        <v>1.3</v>
      </c>
      <c r="C30" s="40"/>
      <c r="I30">
        <v>21</v>
      </c>
      <c r="K30" s="39">
        <f t="shared" si="0"/>
        <v>264606.357403263</v>
      </c>
      <c r="L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267011.361410024</v>
      </c>
      <c r="M30" s="39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262901.500544214</v>
      </c>
      <c r="N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133907.402913753</v>
      </c>
      <c r="O30" s="39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73072.9535725334</v>
      </c>
      <c r="P30" s="40">
        <v>1</v>
      </c>
      <c r="Q30" s="41" t="s">
        <v>117</v>
      </c>
      <c r="R30" s="41" t="s">
        <v>101</v>
      </c>
      <c r="S30" s="41" t="s">
        <v>114</v>
      </c>
      <c r="T30" s="41" t="s">
        <v>76</v>
      </c>
      <c r="U30" s="41" t="s">
        <v>84</v>
      </c>
      <c r="V30" s="41" t="s">
        <v>155</v>
      </c>
      <c r="W30" s="41" t="s">
        <v>76</v>
      </c>
      <c r="X30" s="41" t="s">
        <v>134</v>
      </c>
      <c r="Y30" s="41" t="s">
        <v>160</v>
      </c>
      <c r="Z30" s="41" t="s">
        <v>161</v>
      </c>
      <c r="AA30" s="41" t="s">
        <v>86</v>
      </c>
      <c r="AB30" s="41" t="s">
        <v>76</v>
      </c>
      <c r="AC30" s="41" t="s">
        <v>76</v>
      </c>
      <c r="AD30" s="41" t="s">
        <v>79</v>
      </c>
      <c r="AE30" s="41" t="s">
        <v>80</v>
      </c>
      <c r="AF30" s="41" t="s">
        <v>108</v>
      </c>
      <c r="AG30" s="41" t="s">
        <v>76</v>
      </c>
      <c r="AH30" s="41" t="s">
        <v>76</v>
      </c>
      <c r="AI30" s="41" t="s">
        <v>76</v>
      </c>
      <c r="AJ30" s="41" t="s">
        <v>76</v>
      </c>
      <c r="AK30" s="41" t="s">
        <v>87</v>
      </c>
      <c r="AL30" t="str">
        <f>VLOOKUP($Q30,武学奇术!$A:$ZZ,25,FALSE)</f>
        <v>陌刀</v>
      </c>
      <c r="AM30" s="27">
        <f>VLOOKUP($Q30,武学奇术!$A:$ZZ,26,FALSE)</f>
        <v>4.2807</v>
      </c>
      <c r="AN30" s="28">
        <f>VLOOKUP($Q30,武学奇术!$A:$ZZ,27,FALSE)*(1+IF(OR($AL30=$F$4,$AL30=$F$5),$B$22,0))</f>
        <v>1776</v>
      </c>
      <c r="AO30" s="27">
        <f>VLOOKUP($Q30,武学奇术!$A:$ZZ,28,FALSE)</f>
        <v>6.421</v>
      </c>
      <c r="AP30" s="28">
        <f>VLOOKUP($Q30,武学奇术!$A:$ZZ,29,FALSE)*(1+IF(OR($AL30=$F$4,$AL30=$F$5),$B$22,0))</f>
        <v>967.5</v>
      </c>
      <c r="AQ30" s="27" cm="1">
        <f t="array" ref="AQ30">$G$3+IFERROR(VLOOKUP($AL30,$F$4:$G$7,2,FALSE),0)+VLOOKUP($Q30,武学奇术!$A:$ZZ,2,FALSE)+SUM(_xlfn.XLOOKUP($R30:$AK30,增益!$A:$A,增益!$B:$B,0))</f>
        <v>1.0243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1847.2</v>
      </c>
      <c r="AT30" cm="1">
        <f t="array" ref="AT30">$E$10*(1+$AR30)+VLOOKUP($Q30,武学奇术!$A:$ZZ,4,FALSE)+SUM(_xlfn.XLOOKUP($R30:$AK30,增益!$A:$A,增益!$D:$D,0))-$I$2</f>
        <v>6866.8</v>
      </c>
      <c r="AU30" s="33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0.3835</v>
      </c>
      <c r="AV30" s="33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3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3" cm="1">
        <f t="array" ref="BA30">$G$11+VLOOKUP($Q30,武学奇术!$A:$ZZ,10,FALSE)+SUM(_xlfn.XLOOKUP($R30:$AK30,增益!$A:$A,增益!$J:$J,0))</f>
        <v>0.1</v>
      </c>
      <c r="BB30">
        <f t="shared" si="3"/>
        <v>662.4</v>
      </c>
      <c r="BC30">
        <f t="shared" si="4"/>
        <v>1260</v>
      </c>
      <c r="BD30" s="33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0.14</v>
      </c>
      <c r="BE30" s="33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3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3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3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3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1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0.8354</v>
      </c>
      <c r="BP30" s="27" cm="1">
        <f t="array" ref="BP30">1+$B$13+VLOOKUP($Q30,武学奇术!$A:$ZZ,18,FALSE)+SUM(_xlfn.XLOOKUP($R30:$AK30,增益!$A:$A,增益!$R:$R,0))</f>
        <v>1.994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0.1512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0.8354</v>
      </c>
      <c r="BT30" s="27">
        <f t="shared" si="10"/>
        <v>0.0134</v>
      </c>
      <c r="BU30" s="27">
        <f>IF(VLOOKUP($Q30,武学奇术!$A:$ZZ,22,FALSE)=1,0,(1-$BN30))*(1-$BQ30)</f>
        <v>0</v>
      </c>
      <c r="BV30" s="27" cm="1">
        <f t="array" ref="BV30">SUM(_xlfn.XLOOKUP($R30:$AK30,增益!$A:$A,增益!$W:$W,0))+$I$5</f>
        <v>0.31</v>
      </c>
    </row>
    <row r="31" spans="1:74">
      <c r="A31" s="4" t="s">
        <v>162</v>
      </c>
      <c r="B31" s="4">
        <v>2.4</v>
      </c>
      <c r="C31" s="40"/>
      <c r="I31">
        <v>41</v>
      </c>
      <c r="K31" s="39">
        <f t="shared" si="0"/>
        <v>264606.357403263</v>
      </c>
      <c r="L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267011.361410024</v>
      </c>
      <c r="M31" s="39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262901.500544214</v>
      </c>
      <c r="N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133907.402913753</v>
      </c>
      <c r="O31" s="39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73072.9535725334</v>
      </c>
      <c r="P31" s="40">
        <v>1</v>
      </c>
      <c r="Q31" s="41" t="s">
        <v>117</v>
      </c>
      <c r="R31" s="41" t="s">
        <v>101</v>
      </c>
      <c r="S31" s="41" t="s">
        <v>114</v>
      </c>
      <c r="T31" s="41" t="s">
        <v>76</v>
      </c>
      <c r="U31" s="41" t="s">
        <v>84</v>
      </c>
      <c r="V31" s="41" t="s">
        <v>155</v>
      </c>
      <c r="W31" s="41" t="s">
        <v>76</v>
      </c>
      <c r="X31" s="41" t="s">
        <v>134</v>
      </c>
      <c r="Y31" s="41" t="s">
        <v>160</v>
      </c>
      <c r="Z31" s="41" t="s">
        <v>161</v>
      </c>
      <c r="AA31" s="41" t="s">
        <v>86</v>
      </c>
      <c r="AB31" s="41" t="s">
        <v>76</v>
      </c>
      <c r="AC31" s="41" t="s">
        <v>76</v>
      </c>
      <c r="AD31" s="41" t="s">
        <v>79</v>
      </c>
      <c r="AE31" s="41" t="s">
        <v>80</v>
      </c>
      <c r="AF31" s="41" t="s">
        <v>108</v>
      </c>
      <c r="AG31" s="41" t="s">
        <v>76</v>
      </c>
      <c r="AH31" s="41" t="s">
        <v>76</v>
      </c>
      <c r="AI31" s="41" t="s">
        <v>76</v>
      </c>
      <c r="AJ31" s="41" t="s">
        <v>76</v>
      </c>
      <c r="AK31" s="41" t="s">
        <v>87</v>
      </c>
      <c r="AL31" t="str">
        <f>VLOOKUP($Q31,武学奇术!$A:$ZZ,25,FALSE)</f>
        <v>陌刀</v>
      </c>
      <c r="AM31" s="27">
        <f>VLOOKUP($Q31,武学奇术!$A:$ZZ,26,FALSE)</f>
        <v>4.2807</v>
      </c>
      <c r="AN31" s="28">
        <f>VLOOKUP($Q31,武学奇术!$A:$ZZ,27,FALSE)*(1+IF(OR($AL31=$F$4,$AL31=$F$5),$B$22,0))</f>
        <v>1776</v>
      </c>
      <c r="AO31" s="27">
        <f>VLOOKUP($Q31,武学奇术!$A:$ZZ,28,FALSE)</f>
        <v>6.421</v>
      </c>
      <c r="AP31" s="28">
        <f>VLOOKUP($Q31,武学奇术!$A:$ZZ,29,FALSE)*(1+IF(OR($AL31=$F$4,$AL31=$F$5),$B$22,0))</f>
        <v>967.5</v>
      </c>
      <c r="AQ31" s="27" cm="1">
        <f t="array" ref="AQ31">$G$3+IFERROR(VLOOKUP($AL31,$F$4:$G$7,2,FALSE),0)+VLOOKUP($Q31,武学奇术!$A:$ZZ,2,FALSE)+SUM(_xlfn.XLOOKUP($R31:$AK31,增益!$A:$A,增益!$B:$B,0))</f>
        <v>1.0243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1847.2</v>
      </c>
      <c r="AT31" cm="1">
        <f t="array" ref="AT31">$E$10*(1+$AR31)+VLOOKUP($Q31,武学奇术!$A:$ZZ,4,FALSE)+SUM(_xlfn.XLOOKUP($R31:$AK31,增益!$A:$A,增益!$D:$D,0))-$I$2</f>
        <v>6866.8</v>
      </c>
      <c r="AU31" s="33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0.3835</v>
      </c>
      <c r="AV31" s="33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3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3" cm="1">
        <f t="array" ref="BA31">$G$11+VLOOKUP($Q31,武学奇术!$A:$ZZ,10,FALSE)+SUM(_xlfn.XLOOKUP($R31:$AK31,增益!$A:$A,增益!$J:$J,0))</f>
        <v>0.1</v>
      </c>
      <c r="BB31">
        <f t="shared" si="3"/>
        <v>662.4</v>
      </c>
      <c r="BC31">
        <f t="shared" si="4"/>
        <v>1260</v>
      </c>
      <c r="BD31" s="33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0.14</v>
      </c>
      <c r="BE31" s="33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3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3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3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3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1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0.8354</v>
      </c>
      <c r="BP31" s="27" cm="1">
        <f t="array" ref="BP31">1+$B$13+VLOOKUP($Q31,武学奇术!$A:$ZZ,18,FALSE)+SUM(_xlfn.XLOOKUP($R31:$AK31,增益!$A:$A,增益!$R:$R,0))</f>
        <v>1.994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0.1512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0.8354</v>
      </c>
      <c r="BT31" s="27">
        <f t="shared" si="10"/>
        <v>0.0134</v>
      </c>
      <c r="BU31" s="27">
        <f>IF(VLOOKUP($Q31,武学奇术!$A:$ZZ,22,FALSE)=1,0,(1-$BN31))*(1-$BQ31)</f>
        <v>0</v>
      </c>
      <c r="BV31" s="27" cm="1">
        <f t="array" ref="BV31">SUM(_xlfn.XLOOKUP($R31:$AK31,增益!$A:$A,增益!$W:$W,0))+$I$5</f>
        <v>0.31</v>
      </c>
    </row>
    <row r="32" spans="1:74">
      <c r="A32" s="4" t="s">
        <v>163</v>
      </c>
      <c r="B32" s="4">
        <v>1.26</v>
      </c>
      <c r="C32" s="40"/>
      <c r="D32" s="40" t="s">
        <v>159</v>
      </c>
      <c r="I32">
        <v>73</v>
      </c>
      <c r="K32" s="39">
        <f t="shared" si="0"/>
        <v>264606.357403263</v>
      </c>
      <c r="L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267011.361410024</v>
      </c>
      <c r="M32" s="39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262901.500544214</v>
      </c>
      <c r="N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133907.402913753</v>
      </c>
      <c r="O32" s="39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73072.9535725334</v>
      </c>
      <c r="P32" s="40">
        <v>1</v>
      </c>
      <c r="Q32" s="41" t="s">
        <v>117</v>
      </c>
      <c r="R32" s="41" t="s">
        <v>101</v>
      </c>
      <c r="S32" s="41" t="s">
        <v>114</v>
      </c>
      <c r="T32" s="41" t="s">
        <v>76</v>
      </c>
      <c r="U32" s="41" t="s">
        <v>84</v>
      </c>
      <c r="V32" s="41" t="s">
        <v>155</v>
      </c>
      <c r="W32" s="41" t="s">
        <v>76</v>
      </c>
      <c r="X32" s="41" t="s">
        <v>134</v>
      </c>
      <c r="Y32" s="41" t="s">
        <v>160</v>
      </c>
      <c r="Z32" s="41" t="s">
        <v>161</v>
      </c>
      <c r="AA32" s="41" t="s">
        <v>93</v>
      </c>
      <c r="AB32" s="41" t="s">
        <v>76</v>
      </c>
      <c r="AC32" s="41" t="s">
        <v>76</v>
      </c>
      <c r="AD32" s="41" t="s">
        <v>79</v>
      </c>
      <c r="AE32" s="41" t="s">
        <v>80</v>
      </c>
      <c r="AF32" s="41" t="s">
        <v>108</v>
      </c>
      <c r="AG32" s="41" t="s">
        <v>76</v>
      </c>
      <c r="AH32" s="41" t="s">
        <v>76</v>
      </c>
      <c r="AI32" s="41" t="s">
        <v>76</v>
      </c>
      <c r="AJ32" s="41" t="s">
        <v>76</v>
      </c>
      <c r="AK32" s="41" t="s">
        <v>87</v>
      </c>
      <c r="AL32" t="str">
        <f>VLOOKUP($Q32,武学奇术!$A:$ZZ,25,FALSE)</f>
        <v>陌刀</v>
      </c>
      <c r="AM32" s="27">
        <f>VLOOKUP($Q32,武学奇术!$A:$ZZ,26,FALSE)</f>
        <v>4.2807</v>
      </c>
      <c r="AN32" s="28">
        <f>VLOOKUP($Q32,武学奇术!$A:$ZZ,27,FALSE)*(1+IF(OR($AL32=$F$4,$AL32=$F$5),$B$22,0))</f>
        <v>1776</v>
      </c>
      <c r="AO32" s="27">
        <f>VLOOKUP($Q32,武学奇术!$A:$ZZ,28,FALSE)</f>
        <v>6.421</v>
      </c>
      <c r="AP32" s="28">
        <f>VLOOKUP($Q32,武学奇术!$A:$ZZ,29,FALSE)*(1+IF(OR($AL32=$F$4,$AL32=$F$5),$B$22,0))</f>
        <v>967.5</v>
      </c>
      <c r="AQ32" s="27" cm="1">
        <f t="array" ref="AQ32">$G$3+IFERROR(VLOOKUP($AL32,$F$4:$G$7,2,FALSE),0)+VLOOKUP($Q32,武学奇术!$A:$ZZ,2,FALSE)+SUM(_xlfn.XLOOKUP($R32:$AK32,增益!$A:$A,增益!$B:$B,0))</f>
        <v>1.0243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1847.2</v>
      </c>
      <c r="AT32" cm="1">
        <f t="array" ref="AT32">$E$10*(1+$AR32)+VLOOKUP($Q32,武学奇术!$A:$ZZ,4,FALSE)+SUM(_xlfn.XLOOKUP($R32:$AK32,增益!$A:$A,增益!$D:$D,0))-$I$2</f>
        <v>6866.8</v>
      </c>
      <c r="AU32" s="33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0.3835</v>
      </c>
      <c r="AV32" s="33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3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3" cm="1">
        <f t="array" ref="BA32">$G$11+VLOOKUP($Q32,武学奇术!$A:$ZZ,10,FALSE)+SUM(_xlfn.XLOOKUP($R32:$AK32,增益!$A:$A,增益!$J:$J,0))</f>
        <v>0.1</v>
      </c>
      <c r="BB32">
        <f t="shared" si="3"/>
        <v>662.4</v>
      </c>
      <c r="BC32">
        <f t="shared" si="4"/>
        <v>1260</v>
      </c>
      <c r="BD32" s="33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0.14</v>
      </c>
      <c r="BE32" s="33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3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3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3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3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0.8354</v>
      </c>
      <c r="BP32" s="27" cm="1">
        <f t="array" ref="BP32">1+$B$13+VLOOKUP($Q32,武学奇术!$A:$ZZ,18,FALSE)+SUM(_xlfn.XLOOKUP($R32:$AK32,增益!$A:$A,增益!$R:$R,0))</f>
        <v>1.994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0.1512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0.8354</v>
      </c>
      <c r="BT32" s="27">
        <f t="shared" si="10"/>
        <v>0.0134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0.31</v>
      </c>
    </row>
    <row r="33" spans="1:74">
      <c r="A33" s="4" t="s">
        <v>164</v>
      </c>
      <c r="B33" s="4">
        <v>1</v>
      </c>
      <c r="C33" s="40"/>
      <c r="D33" s="40"/>
      <c r="E33" s="40" t="s">
        <v>165</v>
      </c>
      <c r="I33">
        <v>121</v>
      </c>
      <c r="K33" s="39">
        <f t="shared" si="0"/>
        <v>431987.253977022</v>
      </c>
      <c r="L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434204.628364604</v>
      </c>
      <c r="M33" s="39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438225.748353598</v>
      </c>
      <c r="N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223356.29031101</v>
      </c>
      <c r="O33" s="39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122100.915174911</v>
      </c>
      <c r="P33" s="40">
        <v>1</v>
      </c>
      <c r="Q33" s="41" t="s">
        <v>106</v>
      </c>
      <c r="R33" s="41" t="s">
        <v>101</v>
      </c>
      <c r="S33" s="41" t="s">
        <v>114</v>
      </c>
      <c r="T33" s="41" t="s">
        <v>76</v>
      </c>
      <c r="U33" s="41" t="s">
        <v>84</v>
      </c>
      <c r="V33" s="41" t="s">
        <v>155</v>
      </c>
      <c r="W33" s="41" t="s">
        <v>76</v>
      </c>
      <c r="X33" s="41" t="s">
        <v>139</v>
      </c>
      <c r="Y33" s="41" t="s">
        <v>160</v>
      </c>
      <c r="Z33" s="41" t="s">
        <v>161</v>
      </c>
      <c r="AA33" s="41" t="s">
        <v>93</v>
      </c>
      <c r="AB33" s="41" t="s">
        <v>76</v>
      </c>
      <c r="AC33" s="41" t="s">
        <v>76</v>
      </c>
      <c r="AD33" s="41" t="s">
        <v>79</v>
      </c>
      <c r="AE33" s="41" t="s">
        <v>80</v>
      </c>
      <c r="AF33" s="41" t="s">
        <v>108</v>
      </c>
      <c r="AG33" s="41" t="s">
        <v>76</v>
      </c>
      <c r="AH33" s="41" t="s">
        <v>76</v>
      </c>
      <c r="AI33" s="41" t="s">
        <v>76</v>
      </c>
      <c r="AJ33" s="41" t="s">
        <v>76</v>
      </c>
      <c r="AK33" s="41" t="s">
        <v>87</v>
      </c>
      <c r="AL33" t="str">
        <f>VLOOKUP($Q33,武学奇术!$A:$ZZ,25,FALSE)</f>
        <v>陌刀</v>
      </c>
      <c r="AM33" s="27">
        <f>VLOOKUP($Q33,武学奇术!$A:$ZZ,26,FALSE)</f>
        <v>7.2368</v>
      </c>
      <c r="AN33" s="28">
        <f>VLOOKUP($Q33,武学奇术!$A:$ZZ,27,FALSE)*(1+IF(OR($AL33=$F$4,$AL33=$F$5),$B$22,0))</f>
        <v>3003</v>
      </c>
      <c r="AO33" s="27">
        <f>VLOOKUP($Q33,武学奇术!$A:$ZZ,28,FALSE)</f>
        <v>10.8553</v>
      </c>
      <c r="AP33" s="28">
        <f>VLOOKUP($Q33,武学奇术!$A:$ZZ,29,FALSE)*(1+IF(OR($AL33=$F$4,$AL33=$F$5),$B$22,0))</f>
        <v>1635</v>
      </c>
      <c r="AQ33" s="27" cm="1">
        <f t="array" ref="AQ33">$G$3+IFERROR(VLOOKUP($AL33,$F$4:$G$7,2,FALSE),0)+VLOOKUP($Q33,武学奇术!$A:$ZZ,2,FALSE)+SUM(_xlfn.XLOOKUP($R33:$AK33,增益!$A:$A,增益!$B:$B,0))</f>
        <v>1.0243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1847.2</v>
      </c>
      <c r="AT33" cm="1">
        <f t="array" ref="AT33">$E$10*(1+$AR33)+VLOOKUP($Q33,武学奇术!$A:$ZZ,4,FALSE)+SUM(_xlfn.XLOOKUP($R33:$AK33,增益!$A:$A,增益!$D:$D,0))-$I$2</f>
        <v>6866.8</v>
      </c>
      <c r="AU33" s="33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0.3585</v>
      </c>
      <c r="AV33" s="33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3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3" cm="1">
        <f t="array" ref="BA33">$G$11+VLOOKUP($Q33,武学奇术!$A:$ZZ,10,FALSE)+SUM(_xlfn.XLOOKUP($R33:$AK33,增益!$A:$A,增益!$J:$J,0))</f>
        <v>0.1</v>
      </c>
      <c r="BB33">
        <f t="shared" si="3"/>
        <v>662.4</v>
      </c>
      <c r="BC33">
        <f t="shared" si="4"/>
        <v>1260</v>
      </c>
      <c r="BD33" s="33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0.14</v>
      </c>
      <c r="BE33" s="33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3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3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3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3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0.8354</v>
      </c>
      <c r="BP33" s="27" cm="1">
        <f t="array" ref="BP33">1+$B$13+VLOOKUP($Q33,武学奇术!$A:$ZZ,18,FALSE)+SUM(_xlfn.XLOOKUP($R33:$AK33,增益!$A:$A,增益!$R:$R,0))</f>
        <v>1.944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0.1512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0.8354</v>
      </c>
      <c r="BT33" s="27">
        <f t="shared" si="10"/>
        <v>0.0134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0.31</v>
      </c>
    </row>
    <row r="34" spans="1:74">
      <c r="A34" s="4" t="s">
        <v>74</v>
      </c>
      <c r="B34" s="4">
        <v>0.4</v>
      </c>
      <c r="C34" s="40"/>
      <c r="D34" s="40"/>
      <c r="E34" s="40"/>
      <c r="I34">
        <v>141</v>
      </c>
      <c r="K34" s="39">
        <f t="shared" si="0"/>
        <v>264606.357403263</v>
      </c>
      <c r="L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267011.361410024</v>
      </c>
      <c r="M34" s="39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262901.500544214</v>
      </c>
      <c r="N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133907.402913753</v>
      </c>
      <c r="O34" s="39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73072.9535725334</v>
      </c>
      <c r="P34" s="40">
        <v>1</v>
      </c>
      <c r="Q34" s="41" t="s">
        <v>117</v>
      </c>
      <c r="R34" s="41" t="s">
        <v>101</v>
      </c>
      <c r="S34" s="41" t="s">
        <v>114</v>
      </c>
      <c r="T34" s="41" t="s">
        <v>76</v>
      </c>
      <c r="U34" s="41" t="s">
        <v>84</v>
      </c>
      <c r="V34" s="41" t="s">
        <v>155</v>
      </c>
      <c r="W34" s="41" t="s">
        <v>76</v>
      </c>
      <c r="X34" s="41" t="s">
        <v>134</v>
      </c>
      <c r="Y34" s="41" t="s">
        <v>160</v>
      </c>
      <c r="Z34" s="41" t="s">
        <v>161</v>
      </c>
      <c r="AA34" s="41" t="s">
        <v>93</v>
      </c>
      <c r="AB34" s="41" t="s">
        <v>76</v>
      </c>
      <c r="AC34" s="41" t="s">
        <v>76</v>
      </c>
      <c r="AD34" s="41" t="s">
        <v>79</v>
      </c>
      <c r="AE34" s="41" t="s">
        <v>80</v>
      </c>
      <c r="AF34" s="41" t="s">
        <v>108</v>
      </c>
      <c r="AG34" s="41" t="s">
        <v>76</v>
      </c>
      <c r="AH34" s="41" t="s">
        <v>76</v>
      </c>
      <c r="AI34" s="41" t="s">
        <v>76</v>
      </c>
      <c r="AJ34" s="41" t="s">
        <v>76</v>
      </c>
      <c r="AK34" s="41" t="s">
        <v>87</v>
      </c>
      <c r="AL34" t="str">
        <f>VLOOKUP($Q34,武学奇术!$A:$ZZ,25,FALSE)</f>
        <v>陌刀</v>
      </c>
      <c r="AM34" s="27">
        <f>VLOOKUP($Q34,武学奇术!$A:$ZZ,26,FALSE)</f>
        <v>4.2807</v>
      </c>
      <c r="AN34" s="28">
        <f>VLOOKUP($Q34,武学奇术!$A:$ZZ,27,FALSE)*(1+IF(OR($AL34=$F$4,$AL34=$F$5),$B$22,0))</f>
        <v>1776</v>
      </c>
      <c r="AO34" s="27">
        <f>VLOOKUP($Q34,武学奇术!$A:$ZZ,28,FALSE)</f>
        <v>6.421</v>
      </c>
      <c r="AP34" s="28">
        <f>VLOOKUP($Q34,武学奇术!$A:$ZZ,29,FALSE)*(1+IF(OR($AL34=$F$4,$AL34=$F$5),$B$22,0))</f>
        <v>967.5</v>
      </c>
      <c r="AQ34" s="27" cm="1">
        <f t="array" ref="AQ34">$G$3+IFERROR(VLOOKUP($AL34,$F$4:$G$7,2,FALSE),0)+VLOOKUP($Q34,武学奇术!$A:$ZZ,2,FALSE)+SUM(_xlfn.XLOOKUP($R34:$AK34,增益!$A:$A,增益!$B:$B,0))</f>
        <v>1.0243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1847.2</v>
      </c>
      <c r="AT34" cm="1">
        <f t="array" ref="AT34">$E$10*(1+$AR34)+VLOOKUP($Q34,武学奇术!$A:$ZZ,4,FALSE)+SUM(_xlfn.XLOOKUP($R34:$AK34,增益!$A:$A,增益!$D:$D,0))-$I$2</f>
        <v>6866.8</v>
      </c>
      <c r="AU34" s="33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0.3835</v>
      </c>
      <c r="AV34" s="33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3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3" cm="1">
        <f t="array" ref="BA34">$G$11+VLOOKUP($Q34,武学奇术!$A:$ZZ,10,FALSE)+SUM(_xlfn.XLOOKUP($R34:$AK34,增益!$A:$A,增益!$J:$J,0))</f>
        <v>0.1</v>
      </c>
      <c r="BB34">
        <f t="shared" si="3"/>
        <v>662.4</v>
      </c>
      <c r="BC34">
        <f t="shared" si="4"/>
        <v>1260</v>
      </c>
      <c r="BD34" s="33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0.14</v>
      </c>
      <c r="BE34" s="33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3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3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3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3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0.8354</v>
      </c>
      <c r="BP34" s="27" cm="1">
        <f t="array" ref="BP34">1+$B$13+VLOOKUP($Q34,武学奇术!$A:$ZZ,18,FALSE)+SUM(_xlfn.XLOOKUP($R34:$AK34,增益!$A:$A,增益!$R:$R,0))</f>
        <v>1.994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0.1512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0.8354</v>
      </c>
      <c r="BT34" s="27">
        <f t="shared" si="10"/>
        <v>0.0134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0.31</v>
      </c>
    </row>
    <row r="35" spans="1:74">
      <c r="A35" s="4" t="s">
        <v>163</v>
      </c>
      <c r="B35" s="4">
        <v>1.66</v>
      </c>
      <c r="C35" s="40"/>
      <c r="D35" s="40"/>
      <c r="E35" s="40"/>
      <c r="F35" s="40" t="s">
        <v>166</v>
      </c>
      <c r="K35" s="39">
        <f t="shared" ref="K35:K60" si="11">($L35*$BS35+$M35*$BQ35+$N35*$BT35+$O35*$BU35)</f>
        <v>254509.348716041</v>
      </c>
      <c r="L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283615.89150408</v>
      </c>
      <c r="M35" s="39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308666.220500726</v>
      </c>
      <c r="N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153804.713397007</v>
      </c>
      <c r="O35" s="39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78967.781978661</v>
      </c>
      <c r="P35" s="40">
        <v>1</v>
      </c>
      <c r="Q35" s="41" t="s">
        <v>167</v>
      </c>
      <c r="R35" s="41" t="s">
        <v>101</v>
      </c>
      <c r="S35" s="41" t="s">
        <v>114</v>
      </c>
      <c r="T35" s="41" t="s">
        <v>76</v>
      </c>
      <c r="U35" s="41" t="s">
        <v>84</v>
      </c>
      <c r="V35" s="41" t="s">
        <v>155</v>
      </c>
      <c r="W35" s="41" t="s">
        <v>76</v>
      </c>
      <c r="X35" s="41" t="s">
        <v>139</v>
      </c>
      <c r="Y35" s="41" t="s">
        <v>160</v>
      </c>
      <c r="Z35" s="41" t="s">
        <v>161</v>
      </c>
      <c r="AA35" s="41" t="s">
        <v>93</v>
      </c>
      <c r="AB35" s="41" t="s">
        <v>76</v>
      </c>
      <c r="AC35" s="41" t="s">
        <v>76</v>
      </c>
      <c r="AD35" s="41" t="s">
        <v>79</v>
      </c>
      <c r="AE35" s="41" t="s">
        <v>80</v>
      </c>
      <c r="AF35" s="41" t="s">
        <v>76</v>
      </c>
      <c r="AG35" s="41" t="s">
        <v>76</v>
      </c>
      <c r="AH35" s="41" t="s">
        <v>76</v>
      </c>
      <c r="AI35" s="41" t="s">
        <v>76</v>
      </c>
      <c r="AJ35" s="41" t="s">
        <v>76</v>
      </c>
      <c r="AK35" s="41" t="s">
        <v>87</v>
      </c>
      <c r="AL35" t="str">
        <f>VLOOKUP($Q35,武学奇术!$A:$ZZ,25,FALSE)</f>
        <v>群体奇术</v>
      </c>
      <c r="AM35" s="27">
        <f>VLOOKUP($Q35,武学奇术!$A:$ZZ,26,FALSE)</f>
        <v>10.315755</v>
      </c>
      <c r="AN35" s="28">
        <f>VLOOKUP($Q35,武学奇术!$A:$ZZ,27,FALSE)*(1+IF(OR($AL35=$F$4,$AL35=$F$5),$B$22,0))</f>
        <v>1992.6</v>
      </c>
      <c r="AO35" s="27">
        <f>VLOOKUP($Q35,武学奇术!$A:$ZZ,28,FALSE)</f>
        <v>15.4736325</v>
      </c>
      <c r="AP35" s="28">
        <f>VLOOKUP($Q35,武学奇术!$A:$ZZ,29,FALSE)*(1+IF(OR($AL35=$F$4,$AL35=$F$5),$B$22,0))</f>
        <v>0</v>
      </c>
      <c r="AQ35" s="27" cm="1">
        <f t="array" ref="AQ35">$G$3+IFERROR(VLOOKUP($AL35,$F$4:$G$7,2,FALSE),0)+VLOOKUP($Q35,武学奇术!$A:$ZZ,2,FALSE)+SUM(_xlfn.XLOOKUP($R35:$AK35,增益!$A:$A,增益!$B:$B,0))</f>
        <v>0.4342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1847.2</v>
      </c>
      <c r="AT35" cm="1">
        <f t="array" ref="AT35">$E$10*(1+$AR35)+VLOOKUP($Q35,武学奇术!$A:$ZZ,4,FALSE)+SUM(_xlfn.XLOOKUP($R35:$AK35,增益!$A:$A,增益!$D:$D,0))-$I$2</f>
        <v>6666.8</v>
      </c>
      <c r="AU35" s="33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0.3585</v>
      </c>
      <c r="AV35" s="33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3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3" cm="1">
        <f t="array" ref="BA35">$G$11+VLOOKUP($Q35,武学奇术!$A:$ZZ,10,FALSE)+SUM(_xlfn.XLOOKUP($R35:$AK35,增益!$A:$A,增益!$J:$J,0))</f>
        <v>0.1</v>
      </c>
      <c r="BB35">
        <f t="shared" ref="BB35:BB66" si="14">$D$12*(1+$AW35)</f>
        <v>662.4</v>
      </c>
      <c r="BC35">
        <f t="shared" ref="BC35:BC66" si="15">$E$12*(1+$AW35)</f>
        <v>1260</v>
      </c>
      <c r="BD35" s="33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0.14</v>
      </c>
      <c r="BE35" s="33" cm="1">
        <f t="array" ref="BE35">$G$12+VLOOKUP($Q35,武学奇术!$A:$ZZ,12,FALSE)+SUM(_xlfn.XLOOKUP($R35:$AK35,增益!$A:$A,增益!$L:$L,0))</f>
        <v>0.15</v>
      </c>
      <c r="BF35">
        <f t="shared" ref="BF35:BF66" si="16">$D$13*(1+$AW35)</f>
        <v>0</v>
      </c>
      <c r="BG35">
        <f t="shared" ref="BG35:BG66" si="17">$E$13*(1+$AW35)</f>
        <v>0</v>
      </c>
      <c r="BH35" s="33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3" cm="1">
        <f t="array" ref="BI35">$G$13+VLOOKUP($Q35,武学奇术!$A:$ZZ,14,FALSE)+SUM(_xlfn.XLOOKUP($R35:$AK35,增益!$A:$A,增益!$N:$N,0))</f>
        <v>0</v>
      </c>
      <c r="BJ35">
        <f t="shared" ref="BJ35:BJ66" si="18">$D$14*(1+$AW35)</f>
        <v>0</v>
      </c>
      <c r="BK35">
        <f t="shared" ref="BK35:BK66" si="19">$E$14*(1+$AW35)</f>
        <v>0</v>
      </c>
      <c r="BL35" s="33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3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0.5954</v>
      </c>
      <c r="BP35" s="27" cm="1">
        <f t="array" ref="BP35">1+$B$13+VLOOKUP($Q35,武学奇术!$A:$ZZ,18,FALSE)+SUM(_xlfn.XLOOKUP($R35:$AK35,增益!$A:$A,增益!$R:$R,0))</f>
        <v>1.844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0.1512</v>
      </c>
      <c r="BR35" s="27" cm="1">
        <f t="array" ref="BR35">1+$B$14+VLOOKUP($Q35,武学奇术!$A:$ZZ,20,FALSE)+SUM(_xlfn.XLOOKUP($R35:$AK35,增益!$A:$A,增益!$T:$T,0))</f>
        <v>1.35</v>
      </c>
      <c r="BS35" s="27">
        <f t="shared" ref="BS35:BS66" si="20">MIN((1-BQ35)*BN35,BN35*BO35)</f>
        <v>0.5954</v>
      </c>
      <c r="BT35" s="27">
        <f t="shared" ref="BT35:BT66" si="21">1-BQ35-BS35-BU35</f>
        <v>0.2534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0.31</v>
      </c>
    </row>
    <row r="36" spans="1:74">
      <c r="A36" s="4" t="s">
        <v>168</v>
      </c>
      <c r="B36" s="4">
        <v>1.33</v>
      </c>
      <c r="C36" s="40"/>
      <c r="D36" s="40"/>
      <c r="E36" s="40"/>
      <c r="F36" s="40"/>
      <c r="K36" s="39">
        <f t="shared" si="11"/>
        <v>431987.253977022</v>
      </c>
      <c r="L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434204.628364604</v>
      </c>
      <c r="M36" s="39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438225.748353598</v>
      </c>
      <c r="N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223356.29031101</v>
      </c>
      <c r="O36" s="39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122100.915174911</v>
      </c>
      <c r="P36" s="40">
        <v>1</v>
      </c>
      <c r="Q36" s="41" t="s">
        <v>106</v>
      </c>
      <c r="R36" s="41" t="s">
        <v>101</v>
      </c>
      <c r="S36" s="41" t="s">
        <v>114</v>
      </c>
      <c r="T36" s="41" t="s">
        <v>76</v>
      </c>
      <c r="U36" s="41" t="s">
        <v>84</v>
      </c>
      <c r="V36" s="41" t="s">
        <v>155</v>
      </c>
      <c r="W36" s="41" t="s">
        <v>76</v>
      </c>
      <c r="X36" s="41" t="s">
        <v>139</v>
      </c>
      <c r="Y36" s="41" t="s">
        <v>160</v>
      </c>
      <c r="Z36" s="41" t="s">
        <v>161</v>
      </c>
      <c r="AA36" s="41" t="s">
        <v>86</v>
      </c>
      <c r="AB36" s="41" t="s">
        <v>76</v>
      </c>
      <c r="AC36" s="41" t="s">
        <v>76</v>
      </c>
      <c r="AD36" s="41" t="s">
        <v>79</v>
      </c>
      <c r="AE36" s="41" t="s">
        <v>80</v>
      </c>
      <c r="AF36" s="41" t="s">
        <v>108</v>
      </c>
      <c r="AG36" s="41" t="s">
        <v>76</v>
      </c>
      <c r="AH36" s="41" t="s">
        <v>76</v>
      </c>
      <c r="AI36" s="41" t="s">
        <v>76</v>
      </c>
      <c r="AJ36" s="41" t="s">
        <v>76</v>
      </c>
      <c r="AK36" s="41" t="s">
        <v>87</v>
      </c>
      <c r="AL36" t="str">
        <f>VLOOKUP($Q36,武学奇术!$A:$ZZ,25,FALSE)</f>
        <v>陌刀</v>
      </c>
      <c r="AM36" s="27">
        <f>VLOOKUP($Q36,武学奇术!$A:$ZZ,26,FALSE)</f>
        <v>7.2368</v>
      </c>
      <c r="AN36" s="28">
        <f>VLOOKUP($Q36,武学奇术!$A:$ZZ,27,FALSE)*(1+IF(OR($AL36=$F$4,$AL36=$F$5),$B$22,0))</f>
        <v>3003</v>
      </c>
      <c r="AO36" s="27">
        <f>VLOOKUP($Q36,武学奇术!$A:$ZZ,28,FALSE)</f>
        <v>10.8553</v>
      </c>
      <c r="AP36" s="28">
        <f>VLOOKUP($Q36,武学奇术!$A:$ZZ,29,FALSE)*(1+IF(OR($AL36=$F$4,$AL36=$F$5),$B$22,0))</f>
        <v>1635</v>
      </c>
      <c r="AQ36" s="27" cm="1">
        <f t="array" ref="AQ36">$G$3+IFERROR(VLOOKUP($AL36,$F$4:$G$7,2,FALSE),0)+VLOOKUP($Q36,武学奇术!$A:$ZZ,2,FALSE)+SUM(_xlfn.XLOOKUP($R36:$AK36,增益!$A:$A,增益!$B:$B,0))</f>
        <v>1.0243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1847.2</v>
      </c>
      <c r="AT36" cm="1">
        <f t="array" ref="AT36">$E$10*(1+$AR36)+VLOOKUP($Q36,武学奇术!$A:$ZZ,4,FALSE)+SUM(_xlfn.XLOOKUP($R36:$AK36,增益!$A:$A,增益!$D:$D,0))-$I$2</f>
        <v>6866.8</v>
      </c>
      <c r="AU36" s="33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0.3585</v>
      </c>
      <c r="AV36" s="33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3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3" cm="1">
        <f t="array" ref="BA36">$G$11+VLOOKUP($Q36,武学奇术!$A:$ZZ,10,FALSE)+SUM(_xlfn.XLOOKUP($R36:$AK36,增益!$A:$A,增益!$J:$J,0))</f>
        <v>0.1</v>
      </c>
      <c r="BB36">
        <f t="shared" si="14"/>
        <v>662.4</v>
      </c>
      <c r="BC36">
        <f t="shared" si="15"/>
        <v>1260</v>
      </c>
      <c r="BD36" s="33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0.14</v>
      </c>
      <c r="BE36" s="33" cm="1">
        <f t="array" ref="BE36">$G$12+VLOOKUP($Q36,武学奇术!$A:$ZZ,12,FALSE)+SUM(_xlfn.XLOOKUP($R36:$AK36,增益!$A:$A,增益!$L:$L,0))</f>
        <v>0.15</v>
      </c>
      <c r="BF36">
        <f t="shared" si="16"/>
        <v>0</v>
      </c>
      <c r="BG36">
        <f t="shared" si="17"/>
        <v>0</v>
      </c>
      <c r="BH36" s="33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33" cm="1">
        <f t="array" ref="BI36">$G$13+VLOOKUP($Q36,武学奇术!$A:$ZZ,14,FALSE)+SUM(_xlfn.XLOOKUP($R36:$AK36,增益!$A:$A,增益!$N:$N,0))</f>
        <v>0</v>
      </c>
      <c r="BJ36">
        <f t="shared" si="18"/>
        <v>0</v>
      </c>
      <c r="BK36">
        <f t="shared" si="19"/>
        <v>0</v>
      </c>
      <c r="BL36" s="33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3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0.8354</v>
      </c>
      <c r="BP36" s="27" cm="1">
        <f t="array" ref="BP36">1+$B$13+VLOOKUP($Q36,武学奇术!$A:$ZZ,18,FALSE)+SUM(_xlfn.XLOOKUP($R36:$AK36,增益!$A:$A,增益!$R:$R,0))</f>
        <v>1.944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0.1512</v>
      </c>
      <c r="BR36" s="27" cm="1">
        <f t="array" ref="BR36">1+$B$14+VLOOKUP($Q36,武学奇术!$A:$ZZ,20,FALSE)+SUM(_xlfn.XLOOKUP($R36:$AK36,增益!$A:$A,增益!$T:$T,0))</f>
        <v>1.35</v>
      </c>
      <c r="BS36" s="27">
        <f t="shared" si="20"/>
        <v>0.8354</v>
      </c>
      <c r="BT36" s="27">
        <f t="shared" si="21"/>
        <v>0.0134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0.31</v>
      </c>
    </row>
    <row r="37" spans="1:74">
      <c r="A37" s="4" t="s">
        <v>169</v>
      </c>
      <c r="B37" s="4">
        <v>2</v>
      </c>
      <c r="C37" s="40"/>
      <c r="D37" s="40"/>
      <c r="E37" s="40"/>
      <c r="F37" s="40"/>
      <c r="K37" s="39">
        <f t="shared" si="11"/>
        <v>224208.44024246</v>
      </c>
      <c r="L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226246.268064982</v>
      </c>
      <c r="M37" s="39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222763.866873341</v>
      </c>
      <c r="N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113463.52460631</v>
      </c>
      <c r="O37" s="39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61916.7774545894</v>
      </c>
      <c r="P37" s="40">
        <v>1</v>
      </c>
      <c r="Q37" s="41" t="s">
        <v>117</v>
      </c>
      <c r="R37" s="41" t="s">
        <v>101</v>
      </c>
      <c r="S37" s="41" t="s">
        <v>114</v>
      </c>
      <c r="T37" s="41" t="s">
        <v>76</v>
      </c>
      <c r="U37" s="41" t="s">
        <v>84</v>
      </c>
      <c r="V37" s="41" t="s">
        <v>155</v>
      </c>
      <c r="W37" s="41" t="s">
        <v>76</v>
      </c>
      <c r="X37" s="41" t="s">
        <v>134</v>
      </c>
      <c r="Y37" s="41" t="s">
        <v>76</v>
      </c>
      <c r="Z37" s="41" t="s">
        <v>76</v>
      </c>
      <c r="AA37" s="41" t="s">
        <v>86</v>
      </c>
      <c r="AB37" s="41" t="s">
        <v>76</v>
      </c>
      <c r="AC37" s="41" t="s">
        <v>76</v>
      </c>
      <c r="AD37" s="41" t="s">
        <v>79</v>
      </c>
      <c r="AE37" s="41" t="s">
        <v>80</v>
      </c>
      <c r="AF37" s="41" t="s">
        <v>108</v>
      </c>
      <c r="AG37" s="41" t="s">
        <v>76</v>
      </c>
      <c r="AH37" s="41" t="s">
        <v>76</v>
      </c>
      <c r="AI37" s="41" t="s">
        <v>76</v>
      </c>
      <c r="AJ37" s="41" t="s">
        <v>76</v>
      </c>
      <c r="AK37" s="41" t="s">
        <v>87</v>
      </c>
      <c r="AL37" t="str">
        <f>VLOOKUP($Q37,武学奇术!$A:$ZZ,25,FALSE)</f>
        <v>陌刀</v>
      </c>
      <c r="AM37" s="27">
        <f>VLOOKUP($Q37,武学奇术!$A:$ZZ,26,FALSE)</f>
        <v>4.2807</v>
      </c>
      <c r="AN37" s="28">
        <f>VLOOKUP($Q37,武学奇术!$A:$ZZ,27,FALSE)*(1+IF(OR($AL37=$F$4,$AL37=$F$5),$B$22,0))</f>
        <v>1776</v>
      </c>
      <c r="AO37" s="27">
        <f>VLOOKUP($Q37,武学奇术!$A:$ZZ,28,FALSE)</f>
        <v>6.421</v>
      </c>
      <c r="AP37" s="28">
        <f>VLOOKUP($Q37,武学奇术!$A:$ZZ,29,FALSE)*(1+IF(OR($AL37=$F$4,$AL37=$F$5),$B$22,0))</f>
        <v>967.5</v>
      </c>
      <c r="AQ37" s="27" cm="1">
        <f t="array" ref="AQ37">$G$3+IFERROR(VLOOKUP($AL37,$F$4:$G$7,2,FALSE),0)+VLOOKUP($Q37,武学奇术!$A:$ZZ,2,FALSE)+SUM(_xlfn.XLOOKUP($R37:$AK37,增益!$A:$A,增益!$B:$B,0))</f>
        <v>1.0243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1847.2</v>
      </c>
      <c r="AT37" cm="1">
        <f t="array" ref="AT37">$E$10*(1+$AR37)+VLOOKUP($Q37,武学奇术!$A:$ZZ,4,FALSE)+SUM(_xlfn.XLOOKUP($R37:$AK37,增益!$A:$A,增益!$D:$D,0))-$I$2</f>
        <v>6866.8</v>
      </c>
      <c r="AU37" s="33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0.3835</v>
      </c>
      <c r="AV37" s="33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3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3" cm="1">
        <f t="array" ref="BA37">$G$11+VLOOKUP($Q37,武学奇术!$A:$ZZ,10,FALSE)+SUM(_xlfn.XLOOKUP($R37:$AK37,增益!$A:$A,增益!$J:$J,0))</f>
        <v>0</v>
      </c>
      <c r="BB37">
        <f t="shared" si="14"/>
        <v>662.4</v>
      </c>
      <c r="BC37">
        <f t="shared" si="15"/>
        <v>1260</v>
      </c>
      <c r="BD37" s="33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0.14</v>
      </c>
      <c r="BE37" s="33" cm="1">
        <f t="array" ref="BE37">$G$12+VLOOKUP($Q37,武学奇术!$A:$ZZ,12,FALSE)+SUM(_xlfn.XLOOKUP($R37:$AK37,增益!$A:$A,增益!$L:$L,0))</f>
        <v>0.15</v>
      </c>
      <c r="BF37">
        <f t="shared" si="16"/>
        <v>0</v>
      </c>
      <c r="BG37">
        <f t="shared" si="17"/>
        <v>0</v>
      </c>
      <c r="BH37" s="33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33" cm="1">
        <f t="array" ref="BI37">$G$13+VLOOKUP($Q37,武学奇术!$A:$ZZ,14,FALSE)+SUM(_xlfn.XLOOKUP($R37:$AK37,增益!$A:$A,增益!$N:$N,0))</f>
        <v>0</v>
      </c>
      <c r="BJ37">
        <f t="shared" si="18"/>
        <v>0</v>
      </c>
      <c r="BK37">
        <f t="shared" si="19"/>
        <v>0</v>
      </c>
      <c r="BL37" s="33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3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0.8354</v>
      </c>
      <c r="BP37" s="27" cm="1">
        <f t="array" ref="BP37">1+$B$13+VLOOKUP($Q37,武学奇术!$A:$ZZ,18,FALSE)+SUM(_xlfn.XLOOKUP($R37:$AK37,增益!$A:$A,增益!$R:$R,0))</f>
        <v>1.994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0.1512</v>
      </c>
      <c r="BR37" s="27" cm="1">
        <f t="array" ref="BR37">1+$B$14+VLOOKUP($Q37,武学奇术!$A:$ZZ,20,FALSE)+SUM(_xlfn.XLOOKUP($R37:$AK37,增益!$A:$A,增益!$T:$T,0))</f>
        <v>1.35</v>
      </c>
      <c r="BS37" s="27">
        <f t="shared" si="20"/>
        <v>0.8354</v>
      </c>
      <c r="BT37" s="27">
        <f t="shared" si="21"/>
        <v>0.0134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1:74">
      <c r="A38" s="4" t="s">
        <v>163</v>
      </c>
      <c r="B38" s="4">
        <v>1.66</v>
      </c>
      <c r="C38" s="40"/>
      <c r="D38" s="40"/>
      <c r="E38" s="40"/>
      <c r="F38" s="40"/>
      <c r="K38" s="39">
        <f t="shared" si="11"/>
        <v>0</v>
      </c>
      <c r="L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39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39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0">
        <v>1</v>
      </c>
      <c r="Q38" s="41" t="s">
        <v>76</v>
      </c>
      <c r="R38" s="41" t="s">
        <v>76</v>
      </c>
      <c r="S38" s="41" t="s">
        <v>76</v>
      </c>
      <c r="T38" s="41" t="s">
        <v>76</v>
      </c>
      <c r="U38" s="41" t="s">
        <v>76</v>
      </c>
      <c r="V38" s="41" t="s">
        <v>76</v>
      </c>
      <c r="W38" s="41" t="s">
        <v>76</v>
      </c>
      <c r="X38" s="41" t="s">
        <v>76</v>
      </c>
      <c r="Y38" s="41" t="s">
        <v>76</v>
      </c>
      <c r="Z38" s="41" t="s">
        <v>76</v>
      </c>
      <c r="AA38" s="41" t="s">
        <v>76</v>
      </c>
      <c r="AB38" s="41" t="s">
        <v>76</v>
      </c>
      <c r="AC38" s="41" t="s">
        <v>76</v>
      </c>
      <c r="AD38" s="41" t="s">
        <v>79</v>
      </c>
      <c r="AE38" s="41" t="s">
        <v>80</v>
      </c>
      <c r="AF38" s="41" t="s">
        <v>76</v>
      </c>
      <c r="AG38" s="41" t="s">
        <v>76</v>
      </c>
      <c r="AH38" s="41" t="s">
        <v>76</v>
      </c>
      <c r="AI38" s="41" t="s">
        <v>76</v>
      </c>
      <c r="AJ38" s="41" t="s">
        <v>76</v>
      </c>
      <c r="AK38" s="41" t="s">
        <v>87</v>
      </c>
      <c r="AL38" t="str">
        <f>VLOOKUP($Q38,武学奇术!$A:$ZZ,25,FALSE)</f>
        <v>心法</v>
      </c>
      <c r="AM38" s="27">
        <f>VLOOKUP($Q38,武学奇术!$A:$ZZ,26,FALSE)</f>
        <v>0</v>
      </c>
      <c r="AN38" s="28">
        <f>VLOOKUP($Q38,武学奇术!$A:$ZZ,27,FALSE)*(1+IF(OR($AL38=$F$4,$AL38=$F$5),$B$22,0))</f>
        <v>0</v>
      </c>
      <c r="AO38" s="27">
        <f>VLOOKUP($Q38,武学奇术!$A:$ZZ,28,FALSE)</f>
        <v>0</v>
      </c>
      <c r="AP38" s="28">
        <f>VLOOKUP($Q38,武学奇术!$A:$ZZ,29,FALSE)*(1+IF(OR($AL38=$F$4,$AL38=$F$5),$B$22,0))</f>
        <v>0</v>
      </c>
      <c r="AQ38" s="27" cm="1">
        <f t="array" ref="AQ38">$G$3+IFERROR(VLOOKUP($AL38,$F$4:$G$7,2,FALSE),0)+VLOOKUP($Q38,武学奇术!$A:$ZZ,2,FALSE)+SUM(_xlfn.XLOOKUP($R38:$AK38,增益!$A:$A,增益!$B:$B,0))</f>
        <v>0.2042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1847.2</v>
      </c>
      <c r="AT38" cm="1">
        <f t="array" ref="AT38">$E$10*(1+$AR38)+VLOOKUP($Q38,武学奇术!$A:$ZZ,4,FALSE)+SUM(_xlfn.XLOOKUP($R38:$AK38,增益!$A:$A,增益!$D:$D,0))-$I$2</f>
        <v>6666.8</v>
      </c>
      <c r="AU38" s="33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0.2585</v>
      </c>
      <c r="AV38" s="33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3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3" cm="1">
        <f t="array" ref="BA38">$G$11+VLOOKUP($Q38,武学奇术!$A:$ZZ,10,FALSE)+SUM(_xlfn.XLOOKUP($R38:$AK38,增益!$A:$A,增益!$J:$J,0))</f>
        <v>0</v>
      </c>
      <c r="BB38">
        <f t="shared" si="14"/>
        <v>662.4</v>
      </c>
      <c r="BC38">
        <f t="shared" si="15"/>
        <v>1260</v>
      </c>
      <c r="BD38" s="33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3" cm="1">
        <f t="array" ref="BE38">$G$12+VLOOKUP($Q38,武学奇术!$A:$ZZ,12,FALSE)+SUM(_xlfn.XLOOKUP($R38:$AK38,增益!$A:$A,增益!$L:$L,0))</f>
        <v>0.15</v>
      </c>
      <c r="BF38">
        <f t="shared" si="16"/>
        <v>0</v>
      </c>
      <c r="BG38">
        <f t="shared" si="17"/>
        <v>0</v>
      </c>
      <c r="BH38" s="33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3" cm="1">
        <f t="array" ref="BI38">$G$13+VLOOKUP($Q38,武学奇术!$A:$ZZ,14,FALSE)+SUM(_xlfn.XLOOKUP($R38:$AK38,增益!$A:$A,增益!$N:$N,0))</f>
        <v>0</v>
      </c>
      <c r="BJ38">
        <f t="shared" si="18"/>
        <v>0</v>
      </c>
      <c r="BK38">
        <f t="shared" si="19"/>
        <v>0</v>
      </c>
      <c r="BL38" s="33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3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0.5954</v>
      </c>
      <c r="BP38" s="27" cm="1">
        <f t="array" ref="BP38">1+$B$13+VLOOKUP($Q38,武学奇术!$A:$ZZ,18,FALSE)+SUM(_xlfn.XLOOKUP($R38:$AK38,增益!$A:$A,增益!$R:$R,0))</f>
        <v>1.644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0.1512</v>
      </c>
      <c r="BR38" s="27" cm="1">
        <f t="array" ref="BR38">1+$B$14+VLOOKUP($Q38,武学奇术!$A:$ZZ,20,FALSE)+SUM(_xlfn.XLOOKUP($R38:$AK38,增益!$A:$A,增益!$T:$T,0))</f>
        <v>1.35</v>
      </c>
      <c r="BS38" s="27">
        <f t="shared" si="20"/>
        <v>0.5954</v>
      </c>
      <c r="BT38" s="27">
        <f t="shared" si="21"/>
        <v>0.2534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1:74">
      <c r="A39" s="4" t="s">
        <v>168</v>
      </c>
      <c r="B39" s="4">
        <v>1.33</v>
      </c>
      <c r="C39" s="40"/>
      <c r="D39" s="40"/>
      <c r="E39" s="40"/>
      <c r="K39" s="39">
        <f t="shared" si="11"/>
        <v>382653.794530216</v>
      </c>
      <c r="L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388938.914868423</v>
      </c>
      <c r="M39" s="39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365379.055406642</v>
      </c>
      <c r="N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185739.691914242</v>
      </c>
      <c r="O39" s="39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100828.231675416</v>
      </c>
      <c r="P39" s="40">
        <v>1</v>
      </c>
      <c r="Q39" s="41" t="s">
        <v>106</v>
      </c>
      <c r="R39" s="41" t="s">
        <v>101</v>
      </c>
      <c r="S39" s="41" t="s">
        <v>114</v>
      </c>
      <c r="T39" s="41" t="s">
        <v>77</v>
      </c>
      <c r="U39" s="41" t="s">
        <v>76</v>
      </c>
      <c r="V39" s="41" t="s">
        <v>155</v>
      </c>
      <c r="W39" s="41" t="s">
        <v>76</v>
      </c>
      <c r="X39" s="41" t="s">
        <v>139</v>
      </c>
      <c r="Y39" s="41" t="s">
        <v>76</v>
      </c>
      <c r="Z39" s="41" t="s">
        <v>76</v>
      </c>
      <c r="AA39" s="41" t="s">
        <v>86</v>
      </c>
      <c r="AB39" s="41" t="s">
        <v>76</v>
      </c>
      <c r="AC39" s="41" t="s">
        <v>76</v>
      </c>
      <c r="AD39" s="41" t="s">
        <v>79</v>
      </c>
      <c r="AE39" s="41" t="s">
        <v>80</v>
      </c>
      <c r="AF39" s="41" t="s">
        <v>108</v>
      </c>
      <c r="AG39" s="41" t="s">
        <v>76</v>
      </c>
      <c r="AH39" s="41" t="s">
        <v>76</v>
      </c>
      <c r="AI39" s="41" t="s">
        <v>76</v>
      </c>
      <c r="AJ39" s="41" t="s">
        <v>76</v>
      </c>
      <c r="AK39" s="41" t="s">
        <v>87</v>
      </c>
      <c r="AL39" t="str">
        <f>VLOOKUP($Q39,武学奇术!$A:$ZZ,25,FALSE)</f>
        <v>陌刀</v>
      </c>
      <c r="AM39" s="27">
        <f>VLOOKUP($Q39,武学奇术!$A:$ZZ,26,FALSE)</f>
        <v>7.2368</v>
      </c>
      <c r="AN39" s="28">
        <f>VLOOKUP($Q39,武学奇术!$A:$ZZ,27,FALSE)*(1+IF(OR($AL39=$F$4,$AL39=$F$5),$B$22,0))</f>
        <v>3003</v>
      </c>
      <c r="AO39" s="27">
        <f>VLOOKUP($Q39,武学奇术!$A:$ZZ,28,FALSE)</f>
        <v>10.8553</v>
      </c>
      <c r="AP39" s="28">
        <f>VLOOKUP($Q39,武学奇术!$A:$ZZ,29,FALSE)*(1+IF(OR($AL39=$F$4,$AL39=$F$5),$B$22,0))</f>
        <v>1635</v>
      </c>
      <c r="AQ39" s="27" cm="1">
        <f t="array" ref="AQ39">$G$3+IFERROR(VLOOKUP($AL39,$F$4:$G$7,2,FALSE),0)+VLOOKUP($Q39,武学奇术!$A:$ZZ,2,FALSE)+SUM(_xlfn.XLOOKUP($R39:$AK39,增益!$A:$A,增益!$B:$B,0))</f>
        <v>1.0243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1847.2</v>
      </c>
      <c r="AT39" cm="1">
        <f t="array" ref="AT39">$E$10*(1+$AR39)+VLOOKUP($Q39,武学奇术!$A:$ZZ,4,FALSE)+SUM(_xlfn.XLOOKUP($R39:$AK39,增益!$A:$A,增益!$D:$D,0))-$I$2</f>
        <v>6866.8</v>
      </c>
      <c r="AU39" s="33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0.3585</v>
      </c>
      <c r="AV39" s="33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3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3" cm="1">
        <f t="array" ref="BA39">$G$11+VLOOKUP($Q39,武学奇术!$A:$ZZ,10,FALSE)+SUM(_xlfn.XLOOKUP($R39:$AK39,增益!$A:$A,增益!$J:$J,0))</f>
        <v>0</v>
      </c>
      <c r="BB39">
        <f t="shared" si="14"/>
        <v>662.4</v>
      </c>
      <c r="BC39">
        <f t="shared" si="15"/>
        <v>1260</v>
      </c>
      <c r="BD39" s="33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3" cm="1">
        <f t="array" ref="BE39">$G$12+VLOOKUP($Q39,武学奇术!$A:$ZZ,12,FALSE)+SUM(_xlfn.XLOOKUP($R39:$AK39,增益!$A:$A,增益!$L:$L,0))</f>
        <v>0.15</v>
      </c>
      <c r="BF39">
        <f t="shared" si="16"/>
        <v>0</v>
      </c>
      <c r="BG39">
        <f t="shared" si="17"/>
        <v>0</v>
      </c>
      <c r="BH39" s="33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3" cm="1">
        <f t="array" ref="BI39">$G$13+VLOOKUP($Q39,武学奇术!$A:$ZZ,14,FALSE)+SUM(_xlfn.XLOOKUP($R39:$AK39,增益!$A:$A,增益!$N:$N,0))</f>
        <v>0</v>
      </c>
      <c r="BJ39">
        <f t="shared" si="18"/>
        <v>0</v>
      </c>
      <c r="BK39">
        <f t="shared" si="19"/>
        <v>0</v>
      </c>
      <c r="BL39" s="33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3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0.8354</v>
      </c>
      <c r="BP39" s="27" cm="1">
        <f t="array" ref="BP39">1+$B$13+VLOOKUP($Q39,武学奇术!$A:$ZZ,18,FALSE)+SUM(_xlfn.XLOOKUP($R39:$AK39,增益!$A:$A,增益!$R:$R,0))</f>
        <v>2.094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0.1512</v>
      </c>
      <c r="BR39" s="27" cm="1">
        <f t="array" ref="BR39">1+$B$14+VLOOKUP($Q39,武学奇术!$A:$ZZ,20,FALSE)+SUM(_xlfn.XLOOKUP($R39:$AK39,增益!$A:$A,增益!$T:$T,0))</f>
        <v>1.35</v>
      </c>
      <c r="BS39" s="27">
        <f t="shared" si="20"/>
        <v>0.8354</v>
      </c>
      <c r="BT39" s="27">
        <f t="shared" si="21"/>
        <v>0.0134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1:74">
      <c r="A40" s="4" t="s">
        <v>163</v>
      </c>
      <c r="B40" s="4">
        <v>1.66</v>
      </c>
      <c r="C40" s="40"/>
      <c r="D40" s="40"/>
      <c r="E40" s="40"/>
      <c r="K40" s="39">
        <f t="shared" si="11"/>
        <v>238426.554510877</v>
      </c>
      <c r="L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243265.796755929</v>
      </c>
      <c r="M40" s="39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222763.866873341</v>
      </c>
      <c r="N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113463.52460631</v>
      </c>
      <c r="O40" s="39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61916.7774545894</v>
      </c>
      <c r="P40" s="40">
        <v>1</v>
      </c>
      <c r="Q40" s="41" t="s">
        <v>117</v>
      </c>
      <c r="R40" s="41" t="s">
        <v>101</v>
      </c>
      <c r="S40" s="41" t="s">
        <v>114</v>
      </c>
      <c r="T40" s="41" t="s">
        <v>77</v>
      </c>
      <c r="U40" s="41" t="s">
        <v>84</v>
      </c>
      <c r="V40" s="41" t="s">
        <v>155</v>
      </c>
      <c r="W40" s="41" t="s">
        <v>76</v>
      </c>
      <c r="X40" s="41" t="s">
        <v>134</v>
      </c>
      <c r="Y40" s="41" t="s">
        <v>76</v>
      </c>
      <c r="Z40" s="41" t="s">
        <v>76</v>
      </c>
      <c r="AA40" s="41" t="s">
        <v>86</v>
      </c>
      <c r="AB40" s="41" t="s">
        <v>76</v>
      </c>
      <c r="AC40" s="41" t="s">
        <v>76</v>
      </c>
      <c r="AD40" s="41" t="s">
        <v>79</v>
      </c>
      <c r="AE40" s="41" t="s">
        <v>80</v>
      </c>
      <c r="AF40" s="41" t="s">
        <v>108</v>
      </c>
      <c r="AG40" s="41" t="s">
        <v>76</v>
      </c>
      <c r="AH40" s="41" t="s">
        <v>76</v>
      </c>
      <c r="AI40" s="41" t="s">
        <v>76</v>
      </c>
      <c r="AJ40" s="41" t="s">
        <v>76</v>
      </c>
      <c r="AK40" s="41" t="s">
        <v>87</v>
      </c>
      <c r="AL40" t="str">
        <f>VLOOKUP($Q40,武学奇术!$A:$ZZ,25,FALSE)</f>
        <v>陌刀</v>
      </c>
      <c r="AM40" s="27">
        <f>VLOOKUP($Q40,武学奇术!$A:$ZZ,26,FALSE)</f>
        <v>4.2807</v>
      </c>
      <c r="AN40" s="28">
        <f>VLOOKUP($Q40,武学奇术!$A:$ZZ,27,FALSE)*(1+IF(OR($AL40=$F$4,$AL40=$F$5),$B$22,0))</f>
        <v>1776</v>
      </c>
      <c r="AO40" s="27">
        <f>VLOOKUP($Q40,武学奇术!$A:$ZZ,28,FALSE)</f>
        <v>6.421</v>
      </c>
      <c r="AP40" s="28">
        <f>VLOOKUP($Q40,武学奇术!$A:$ZZ,29,FALSE)*(1+IF(OR($AL40=$F$4,$AL40=$F$5),$B$22,0))</f>
        <v>967.5</v>
      </c>
      <c r="AQ40" s="27" cm="1">
        <f t="array" ref="AQ40">$G$3+IFERROR(VLOOKUP($AL40,$F$4:$G$7,2,FALSE),0)+VLOOKUP($Q40,武学奇术!$A:$ZZ,2,FALSE)+SUM(_xlfn.XLOOKUP($R40:$AK40,增益!$A:$A,增益!$B:$B,0))</f>
        <v>1.0243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1847.2</v>
      </c>
      <c r="AT40" cm="1">
        <f t="array" ref="AT40">$E$10*(1+$AR40)+VLOOKUP($Q40,武学奇术!$A:$ZZ,4,FALSE)+SUM(_xlfn.XLOOKUP($R40:$AK40,增益!$A:$A,增益!$D:$D,0))-$I$2</f>
        <v>6866.8</v>
      </c>
      <c r="AU40" s="33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0.3835</v>
      </c>
      <c r="AV40" s="33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3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3" cm="1">
        <f t="array" ref="BA40">$G$11+VLOOKUP($Q40,武学奇术!$A:$ZZ,10,FALSE)+SUM(_xlfn.XLOOKUP($R40:$AK40,增益!$A:$A,增益!$J:$J,0))</f>
        <v>0</v>
      </c>
      <c r="BB40">
        <f t="shared" si="14"/>
        <v>662.4</v>
      </c>
      <c r="BC40">
        <f t="shared" si="15"/>
        <v>1260</v>
      </c>
      <c r="BD40" s="33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0.14</v>
      </c>
      <c r="BE40" s="33" cm="1">
        <f t="array" ref="BE40">$G$12+VLOOKUP($Q40,武学奇术!$A:$ZZ,12,FALSE)+SUM(_xlfn.XLOOKUP($R40:$AK40,增益!$A:$A,增益!$L:$L,0))</f>
        <v>0.15</v>
      </c>
      <c r="BF40">
        <f t="shared" si="16"/>
        <v>0</v>
      </c>
      <c r="BG40">
        <f t="shared" si="17"/>
        <v>0</v>
      </c>
      <c r="BH40" s="33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3" cm="1">
        <f t="array" ref="BI40">$G$13+VLOOKUP($Q40,武学奇术!$A:$ZZ,14,FALSE)+SUM(_xlfn.XLOOKUP($R40:$AK40,增益!$A:$A,增益!$N:$N,0))</f>
        <v>0</v>
      </c>
      <c r="BJ40">
        <f t="shared" si="18"/>
        <v>0</v>
      </c>
      <c r="BK40">
        <f t="shared" si="19"/>
        <v>0</v>
      </c>
      <c r="BL40" s="33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3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1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0.8354</v>
      </c>
      <c r="BP40" s="27" cm="1">
        <f t="array" ref="BP40">1+$B$13+VLOOKUP($Q40,武学奇术!$A:$ZZ,18,FALSE)+SUM(_xlfn.XLOOKUP($R40:$AK40,增益!$A:$A,增益!$R:$R,0))</f>
        <v>2.144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0.1512</v>
      </c>
      <c r="BR40" s="27" cm="1">
        <f t="array" ref="BR40">1+$B$14+VLOOKUP($Q40,武学奇术!$A:$ZZ,20,FALSE)+SUM(_xlfn.XLOOKUP($R40:$AK40,增益!$A:$A,增益!$T:$T,0))</f>
        <v>1.35</v>
      </c>
      <c r="BS40" s="27">
        <f t="shared" si="20"/>
        <v>0.8354</v>
      </c>
      <c r="BT40" s="27">
        <f t="shared" si="21"/>
        <v>0.0134</v>
      </c>
      <c r="BU40" s="27">
        <f>IF(VLOOKUP($Q40,武学奇术!$A:$ZZ,22,FALSE)=1,0,(1-$BN40))*(1-$BQ40)</f>
        <v>0</v>
      </c>
      <c r="BV40" s="27" cm="1">
        <f t="array" ref="BV40">SUM(_xlfn.XLOOKUP($R40:$AK40,增益!$A:$A,增益!$W:$W,0))+$I$5</f>
        <v>0.11</v>
      </c>
    </row>
    <row r="41" spans="1:74">
      <c r="A41" s="4" t="s">
        <v>168</v>
      </c>
      <c r="B41" s="4">
        <v>1.33</v>
      </c>
      <c r="E41" s="40"/>
      <c r="K41" s="39">
        <f t="shared" si="11"/>
        <v>227292.11367418</v>
      </c>
      <c r="L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259864.217061169</v>
      </c>
      <c r="M41" s="39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261541.606683821</v>
      </c>
      <c r="N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130323.077763876</v>
      </c>
      <c r="O41" s="39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66911.6320582547</v>
      </c>
      <c r="P41" s="40">
        <v>1</v>
      </c>
      <c r="Q41" s="41" t="s">
        <v>167</v>
      </c>
      <c r="R41" s="41" t="s">
        <v>101</v>
      </c>
      <c r="S41" s="41" t="s">
        <v>114</v>
      </c>
      <c r="T41" s="41" t="s">
        <v>77</v>
      </c>
      <c r="U41" s="41" t="s">
        <v>84</v>
      </c>
      <c r="V41" s="41" t="s">
        <v>155</v>
      </c>
      <c r="W41" s="41" t="s">
        <v>76</v>
      </c>
      <c r="X41" s="41" t="s">
        <v>139</v>
      </c>
      <c r="Y41" s="41" t="s">
        <v>76</v>
      </c>
      <c r="Z41" s="41" t="s">
        <v>76</v>
      </c>
      <c r="AA41" s="41" t="s">
        <v>93</v>
      </c>
      <c r="AB41" s="41" t="s">
        <v>76</v>
      </c>
      <c r="AC41" s="41" t="s">
        <v>76</v>
      </c>
      <c r="AD41" s="41" t="s">
        <v>79</v>
      </c>
      <c r="AE41" s="41" t="s">
        <v>80</v>
      </c>
      <c r="AF41" s="41" t="s">
        <v>76</v>
      </c>
      <c r="AG41" s="41" t="s">
        <v>76</v>
      </c>
      <c r="AH41" s="41" t="s">
        <v>76</v>
      </c>
      <c r="AI41" s="41" t="s">
        <v>76</v>
      </c>
      <c r="AJ41" s="41" t="s">
        <v>76</v>
      </c>
      <c r="AK41" s="41" t="s">
        <v>87</v>
      </c>
      <c r="AL41" t="str">
        <f>VLOOKUP($Q41,武学奇术!$A:$ZZ,25,FALSE)</f>
        <v>群体奇术</v>
      </c>
      <c r="AM41" s="27">
        <f>VLOOKUP($Q41,武学奇术!$A:$ZZ,26,FALSE)</f>
        <v>10.315755</v>
      </c>
      <c r="AN41" s="28">
        <f>VLOOKUP($Q41,武学奇术!$A:$ZZ,27,FALSE)*(1+IF(OR($AL41=$F$4,$AL41=$F$5),$B$22,0))</f>
        <v>1992.6</v>
      </c>
      <c r="AO41" s="27">
        <f>VLOOKUP($Q41,武学奇术!$A:$ZZ,28,FALSE)</f>
        <v>15.4736325</v>
      </c>
      <c r="AP41" s="28">
        <f>VLOOKUP($Q41,武学奇术!$A:$ZZ,29,FALSE)*(1+IF(OR($AL41=$F$4,$AL41=$F$5),$B$22,0))</f>
        <v>0</v>
      </c>
      <c r="AQ41" s="27" cm="1">
        <f t="array" ref="AQ41">$G$3+IFERROR(VLOOKUP($AL41,$F$4:$G$7,2,FALSE),0)+VLOOKUP($Q41,武学奇术!$A:$ZZ,2,FALSE)+SUM(_xlfn.XLOOKUP($R41:$AK41,增益!$A:$A,增益!$B:$B,0))</f>
        <v>0.4342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1847.2</v>
      </c>
      <c r="AT41" cm="1">
        <f t="array" ref="AT41">$E$10*(1+$AR41)+VLOOKUP($Q41,武学奇术!$A:$ZZ,4,FALSE)+SUM(_xlfn.XLOOKUP($R41:$AK41,增益!$A:$A,增益!$D:$D,0))-$I$2</f>
        <v>6666.8</v>
      </c>
      <c r="AU41" s="33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0.3585</v>
      </c>
      <c r="AV41" s="33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3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3" cm="1">
        <f t="array" ref="BA41">$G$11+VLOOKUP($Q41,武学奇术!$A:$ZZ,10,FALSE)+SUM(_xlfn.XLOOKUP($R41:$AK41,增益!$A:$A,增益!$J:$J,0))</f>
        <v>0</v>
      </c>
      <c r="BB41">
        <f t="shared" si="14"/>
        <v>662.4</v>
      </c>
      <c r="BC41">
        <f t="shared" si="15"/>
        <v>1260</v>
      </c>
      <c r="BD41" s="33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0.14</v>
      </c>
      <c r="BE41" s="33" cm="1">
        <f t="array" ref="BE41">$G$12+VLOOKUP($Q41,武学奇术!$A:$ZZ,12,FALSE)+SUM(_xlfn.XLOOKUP($R41:$AK41,增益!$A:$A,增益!$L:$L,0))</f>
        <v>0.15</v>
      </c>
      <c r="BF41">
        <f t="shared" si="16"/>
        <v>0</v>
      </c>
      <c r="BG41">
        <f t="shared" si="17"/>
        <v>0</v>
      </c>
      <c r="BH41" s="33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3" cm="1">
        <f t="array" ref="BI41">$G$13+VLOOKUP($Q41,武学奇术!$A:$ZZ,14,FALSE)+SUM(_xlfn.XLOOKUP($R41:$AK41,增益!$A:$A,增益!$N:$N,0))</f>
        <v>0</v>
      </c>
      <c r="BJ41">
        <f t="shared" si="18"/>
        <v>0</v>
      </c>
      <c r="BK41">
        <f t="shared" si="19"/>
        <v>0</v>
      </c>
      <c r="BL41" s="33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3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1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0.5954</v>
      </c>
      <c r="BP41" s="27" cm="1">
        <f t="array" ref="BP41">1+$B$13+VLOOKUP($Q41,武学奇术!$A:$ZZ,18,FALSE)+SUM(_xlfn.XLOOKUP($R41:$AK41,增益!$A:$A,增益!$R:$R,0))</f>
        <v>1.994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0.1512</v>
      </c>
      <c r="BR41" s="27" cm="1">
        <f t="array" ref="BR41">1+$B$14+VLOOKUP($Q41,武学奇术!$A:$ZZ,20,FALSE)+SUM(_xlfn.XLOOKUP($R41:$AK41,增益!$A:$A,增益!$T:$T,0))</f>
        <v>1.35</v>
      </c>
      <c r="BS41" s="27">
        <f t="shared" si="20"/>
        <v>0.5954</v>
      </c>
      <c r="BT41" s="27">
        <f t="shared" si="21"/>
        <v>0.2534</v>
      </c>
      <c r="BU41" s="27">
        <f>IF(VLOOKUP($Q41,武学奇术!$A:$ZZ,22,FALSE)=1,0,(1-$BN41))*(1-$BQ41)</f>
        <v>0</v>
      </c>
      <c r="BV41" s="27" cm="1">
        <f t="array" ref="BV41">SUM(_xlfn.XLOOKUP($R41:$AK41,增益!$A:$A,增益!$W:$W,0))+$I$5</f>
        <v>0.11</v>
      </c>
    </row>
    <row r="42" spans="1:74">
      <c r="A42" s="4" t="s">
        <v>74</v>
      </c>
      <c r="B42" s="4">
        <v>0.2</v>
      </c>
      <c r="E42" s="40"/>
      <c r="K42" s="39">
        <f t="shared" si="11"/>
        <v>389750.682514995</v>
      </c>
      <c r="L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396302.259405721</v>
      </c>
      <c r="M42" s="39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371321.053948469</v>
      </c>
      <c r="N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189256.093316963</v>
      </c>
      <c r="O42" s="39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103459.554079505</v>
      </c>
      <c r="P42" s="40">
        <v>1</v>
      </c>
      <c r="Q42" s="41" t="s">
        <v>106</v>
      </c>
      <c r="R42" s="41" t="s">
        <v>101</v>
      </c>
      <c r="S42" s="41" t="s">
        <v>114</v>
      </c>
      <c r="T42" s="41" t="s">
        <v>77</v>
      </c>
      <c r="U42" s="41" t="s">
        <v>84</v>
      </c>
      <c r="V42" s="41" t="s">
        <v>155</v>
      </c>
      <c r="W42" s="41" t="s">
        <v>76</v>
      </c>
      <c r="X42" s="41" t="s">
        <v>139</v>
      </c>
      <c r="Y42" s="41" t="s">
        <v>76</v>
      </c>
      <c r="Z42" s="41" t="s">
        <v>76</v>
      </c>
      <c r="AA42" s="41" t="s">
        <v>93</v>
      </c>
      <c r="AB42" s="41" t="s">
        <v>76</v>
      </c>
      <c r="AC42" s="41" t="s">
        <v>76</v>
      </c>
      <c r="AD42" s="41" t="s">
        <v>79</v>
      </c>
      <c r="AE42" s="41" t="s">
        <v>80</v>
      </c>
      <c r="AF42" s="41" t="s">
        <v>108</v>
      </c>
      <c r="AG42" s="41" t="s">
        <v>76</v>
      </c>
      <c r="AH42" s="41" t="s">
        <v>76</v>
      </c>
      <c r="AI42" s="41" t="s">
        <v>76</v>
      </c>
      <c r="AJ42" s="41" t="s">
        <v>76</v>
      </c>
      <c r="AK42" s="41" t="s">
        <v>87</v>
      </c>
      <c r="AL42" t="str">
        <f>VLOOKUP($Q42,武学奇术!$A:$ZZ,25,FALSE)</f>
        <v>陌刀</v>
      </c>
      <c r="AM42" s="27">
        <f>VLOOKUP($Q42,武学奇术!$A:$ZZ,26,FALSE)</f>
        <v>7.2368</v>
      </c>
      <c r="AN42" s="28">
        <f>VLOOKUP($Q42,武学奇术!$A:$ZZ,27,FALSE)*(1+IF(OR($AL42=$F$4,$AL42=$F$5),$B$22,0))</f>
        <v>3003</v>
      </c>
      <c r="AO42" s="27">
        <f>VLOOKUP($Q42,武学奇术!$A:$ZZ,28,FALSE)</f>
        <v>10.8553</v>
      </c>
      <c r="AP42" s="28">
        <f>VLOOKUP($Q42,武学奇术!$A:$ZZ,29,FALSE)*(1+IF(OR($AL42=$F$4,$AL42=$F$5),$B$22,0))</f>
        <v>1635</v>
      </c>
      <c r="AQ42" s="27" cm="1">
        <f t="array" ref="AQ42">$G$3+IFERROR(VLOOKUP($AL42,$F$4:$G$7,2,FALSE),0)+VLOOKUP($Q42,武学奇术!$A:$ZZ,2,FALSE)+SUM(_xlfn.XLOOKUP($R42:$AK42,增益!$A:$A,增益!$B:$B,0))</f>
        <v>1.0243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1847.2</v>
      </c>
      <c r="AT42" cm="1">
        <f t="array" ref="AT42">$E$10*(1+$AR42)+VLOOKUP($Q42,武学奇术!$A:$ZZ,4,FALSE)+SUM(_xlfn.XLOOKUP($R42:$AK42,增益!$A:$A,增益!$D:$D,0))-$I$2</f>
        <v>6866.8</v>
      </c>
      <c r="AU42" s="33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0.3585</v>
      </c>
      <c r="AV42" s="33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3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-0.14</v>
      </c>
      <c r="BA42" s="33" cm="1">
        <f t="array" ref="BA42">$G$11+VLOOKUP($Q42,武学奇术!$A:$ZZ,10,FALSE)+SUM(_xlfn.XLOOKUP($R42:$AK42,增益!$A:$A,增益!$J:$J,0))</f>
        <v>0</v>
      </c>
      <c r="BB42">
        <f t="shared" si="14"/>
        <v>662.4</v>
      </c>
      <c r="BC42">
        <f t="shared" si="15"/>
        <v>1260</v>
      </c>
      <c r="BD42" s="33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0.14</v>
      </c>
      <c r="BE42" s="33" cm="1">
        <f t="array" ref="BE42">$G$12+VLOOKUP($Q42,武学奇术!$A:$ZZ,12,FALSE)+SUM(_xlfn.XLOOKUP($R42:$AK42,增益!$A:$A,增益!$L:$L,0))</f>
        <v>0.15</v>
      </c>
      <c r="BF42">
        <f t="shared" si="16"/>
        <v>0</v>
      </c>
      <c r="BG42">
        <f t="shared" si="17"/>
        <v>0</v>
      </c>
      <c r="BH42" s="33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-0.14</v>
      </c>
      <c r="BI42" s="33" cm="1">
        <f t="array" ref="BI42">$G$13+VLOOKUP($Q42,武学奇术!$A:$ZZ,14,FALSE)+SUM(_xlfn.XLOOKUP($R42:$AK42,增益!$A:$A,增益!$N:$N,0))</f>
        <v>0</v>
      </c>
      <c r="BJ42">
        <f t="shared" si="18"/>
        <v>0</v>
      </c>
      <c r="BK42">
        <f t="shared" si="19"/>
        <v>0</v>
      </c>
      <c r="BL42" s="33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-0.14</v>
      </c>
      <c r="BM42" s="33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1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0.8354</v>
      </c>
      <c r="BP42" s="27" cm="1">
        <f t="array" ref="BP42">1+$B$13+VLOOKUP($Q42,武学奇术!$A:$ZZ,18,FALSE)+SUM(_xlfn.XLOOKUP($R42:$AK42,增益!$A:$A,增益!$R:$R,0))</f>
        <v>2.094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0.1512</v>
      </c>
      <c r="BR42" s="27" cm="1">
        <f t="array" ref="BR42">1+$B$14+VLOOKUP($Q42,武学奇术!$A:$ZZ,20,FALSE)+SUM(_xlfn.XLOOKUP($R42:$AK42,增益!$A:$A,增益!$T:$T,0))</f>
        <v>1.35</v>
      </c>
      <c r="BS42" s="27">
        <f t="shared" si="20"/>
        <v>0.8354</v>
      </c>
      <c r="BT42" s="27">
        <f t="shared" si="21"/>
        <v>0.0134</v>
      </c>
      <c r="BU42" s="27">
        <f>IF(VLOOKUP($Q42,武学奇术!$A:$ZZ,22,FALSE)=1,0,(1-$BN42))*(1-$BQ42)</f>
        <v>0</v>
      </c>
      <c r="BV42" s="27" cm="1">
        <f t="array" ref="BV42">SUM(_xlfn.XLOOKUP($R42:$AK42,增益!$A:$A,增益!$W:$W,0))+$I$5</f>
        <v>0.11</v>
      </c>
    </row>
    <row r="43" spans="1:74">
      <c r="A43" s="4" t="s">
        <v>157</v>
      </c>
      <c r="B43" s="4">
        <v>1.2</v>
      </c>
      <c r="C43" s="40" t="s">
        <v>158</v>
      </c>
      <c r="E43" s="40"/>
      <c r="K43" s="39">
        <f t="shared" si="11"/>
        <v>238426.554510877</v>
      </c>
      <c r="L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243265.796755929</v>
      </c>
      <c r="M43" s="39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222763.866873341</v>
      </c>
      <c r="N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113463.52460631</v>
      </c>
      <c r="O43" s="39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61916.7774545894</v>
      </c>
      <c r="P43" s="40">
        <v>1</v>
      </c>
      <c r="Q43" s="41" t="s">
        <v>117</v>
      </c>
      <c r="R43" s="41" t="s">
        <v>101</v>
      </c>
      <c r="S43" s="41" t="s">
        <v>114</v>
      </c>
      <c r="T43" s="41" t="s">
        <v>77</v>
      </c>
      <c r="U43" s="41" t="s">
        <v>84</v>
      </c>
      <c r="V43" s="41" t="s">
        <v>155</v>
      </c>
      <c r="W43" s="41" t="s">
        <v>76</v>
      </c>
      <c r="X43" s="41" t="s">
        <v>134</v>
      </c>
      <c r="Y43" s="41" t="s">
        <v>76</v>
      </c>
      <c r="Z43" s="41" t="s">
        <v>76</v>
      </c>
      <c r="AA43" s="41" t="s">
        <v>93</v>
      </c>
      <c r="AB43" s="41" t="s">
        <v>76</v>
      </c>
      <c r="AC43" s="41" t="s">
        <v>76</v>
      </c>
      <c r="AD43" s="41" t="s">
        <v>79</v>
      </c>
      <c r="AE43" s="41" t="s">
        <v>80</v>
      </c>
      <c r="AF43" s="41" t="s">
        <v>108</v>
      </c>
      <c r="AG43" s="41" t="s">
        <v>76</v>
      </c>
      <c r="AH43" s="41" t="s">
        <v>76</v>
      </c>
      <c r="AI43" s="41" t="s">
        <v>76</v>
      </c>
      <c r="AJ43" s="41" t="s">
        <v>76</v>
      </c>
      <c r="AK43" s="41" t="s">
        <v>87</v>
      </c>
      <c r="AL43" t="str">
        <f>VLOOKUP($Q43,武学奇术!$A:$ZZ,25,FALSE)</f>
        <v>陌刀</v>
      </c>
      <c r="AM43" s="27">
        <f>VLOOKUP($Q43,武学奇术!$A:$ZZ,26,FALSE)</f>
        <v>4.2807</v>
      </c>
      <c r="AN43" s="28">
        <f>VLOOKUP($Q43,武学奇术!$A:$ZZ,27,FALSE)*(1+IF(OR($AL43=$F$4,$AL43=$F$5),$B$22,0))</f>
        <v>1776</v>
      </c>
      <c r="AO43" s="27">
        <f>VLOOKUP($Q43,武学奇术!$A:$ZZ,28,FALSE)</f>
        <v>6.421</v>
      </c>
      <c r="AP43" s="28">
        <f>VLOOKUP($Q43,武学奇术!$A:$ZZ,29,FALSE)*(1+IF(OR($AL43=$F$4,$AL43=$F$5),$B$22,0))</f>
        <v>967.5</v>
      </c>
      <c r="AQ43" s="27" cm="1">
        <f t="array" ref="AQ43">$G$3+IFERROR(VLOOKUP($AL43,$F$4:$G$7,2,FALSE),0)+VLOOKUP($Q43,武学奇术!$A:$ZZ,2,FALSE)+SUM(_xlfn.XLOOKUP($R43:$AK43,增益!$A:$A,增益!$B:$B,0))</f>
        <v>1.0243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1847.2</v>
      </c>
      <c r="AT43" cm="1">
        <f t="array" ref="AT43">$E$10*(1+$AR43)+VLOOKUP($Q43,武学奇术!$A:$ZZ,4,FALSE)+SUM(_xlfn.XLOOKUP($R43:$AK43,增益!$A:$A,增益!$D:$D,0))-$I$2</f>
        <v>6866.8</v>
      </c>
      <c r="AU43" s="33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0.3835</v>
      </c>
      <c r="AV43" s="33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3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-0.14</v>
      </c>
      <c r="BA43" s="33" cm="1">
        <f t="array" ref="BA43">$G$11+VLOOKUP($Q43,武学奇术!$A:$ZZ,10,FALSE)+SUM(_xlfn.XLOOKUP($R43:$AK43,增益!$A:$A,增益!$J:$J,0))</f>
        <v>0</v>
      </c>
      <c r="BB43">
        <f t="shared" si="14"/>
        <v>662.4</v>
      </c>
      <c r="BC43">
        <f t="shared" si="15"/>
        <v>1260</v>
      </c>
      <c r="BD43" s="33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0.14</v>
      </c>
      <c r="BE43" s="33" cm="1">
        <f t="array" ref="BE43">$G$12+VLOOKUP($Q43,武学奇术!$A:$ZZ,12,FALSE)+SUM(_xlfn.XLOOKUP($R43:$AK43,增益!$A:$A,增益!$L:$L,0))</f>
        <v>0.15</v>
      </c>
      <c r="BF43">
        <f t="shared" si="16"/>
        <v>0</v>
      </c>
      <c r="BG43">
        <f t="shared" si="17"/>
        <v>0</v>
      </c>
      <c r="BH43" s="33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-0.14</v>
      </c>
      <c r="BI43" s="33" cm="1">
        <f t="array" ref="BI43">$G$13+VLOOKUP($Q43,武学奇术!$A:$ZZ,14,FALSE)+SUM(_xlfn.XLOOKUP($R43:$AK43,增益!$A:$A,增益!$N:$N,0))</f>
        <v>0</v>
      </c>
      <c r="BJ43">
        <f t="shared" si="18"/>
        <v>0</v>
      </c>
      <c r="BK43">
        <f t="shared" si="19"/>
        <v>0</v>
      </c>
      <c r="BL43" s="33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-0.14</v>
      </c>
      <c r="BM43" s="33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1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0.8354</v>
      </c>
      <c r="BP43" s="27" cm="1">
        <f t="array" ref="BP43">1+$B$13+VLOOKUP($Q43,武学奇术!$A:$ZZ,18,FALSE)+SUM(_xlfn.XLOOKUP($R43:$AK43,增益!$A:$A,增益!$R:$R,0))</f>
        <v>2.144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0.1512</v>
      </c>
      <c r="BR43" s="27" cm="1">
        <f t="array" ref="BR43">1+$B$14+VLOOKUP($Q43,武学奇术!$A:$ZZ,20,FALSE)+SUM(_xlfn.XLOOKUP($R43:$AK43,增益!$A:$A,增益!$T:$T,0))</f>
        <v>1.35</v>
      </c>
      <c r="BS43" s="27">
        <f t="shared" si="20"/>
        <v>0.8354</v>
      </c>
      <c r="BT43" s="27">
        <f t="shared" si="21"/>
        <v>0.0134</v>
      </c>
      <c r="BU43" s="27">
        <f>IF(VLOOKUP($Q43,武学奇术!$A:$ZZ,22,FALSE)=1,0,(1-$BN43))*(1-$BQ43)</f>
        <v>0</v>
      </c>
      <c r="BV43" s="27" cm="1">
        <f t="array" ref="BV43">SUM(_xlfn.XLOOKUP($R43:$AK43,增益!$A:$A,增益!$W:$W,0))+$I$5</f>
        <v>0.11</v>
      </c>
    </row>
    <row r="44" spans="1:74">
      <c r="A44" s="4" t="s">
        <v>163</v>
      </c>
      <c r="B44" s="4">
        <v>1.66</v>
      </c>
      <c r="C44" s="40"/>
      <c r="E44" s="40"/>
      <c r="K44" s="39">
        <f t="shared" si="11"/>
        <v>366035.001461446</v>
      </c>
      <c r="L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367913.845408176</v>
      </c>
      <c r="M44" s="39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371321.053948469</v>
      </c>
      <c r="N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189256.093316963</v>
      </c>
      <c r="O44" s="39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103459.554079505</v>
      </c>
      <c r="P44" s="40">
        <v>1</v>
      </c>
      <c r="Q44" s="41" t="s">
        <v>106</v>
      </c>
      <c r="R44" s="41" t="s">
        <v>101</v>
      </c>
      <c r="S44" s="41" t="s">
        <v>114</v>
      </c>
      <c r="T44" s="41" t="s">
        <v>76</v>
      </c>
      <c r="U44" s="41" t="s">
        <v>84</v>
      </c>
      <c r="V44" s="41" t="s">
        <v>155</v>
      </c>
      <c r="W44" s="41" t="s">
        <v>76</v>
      </c>
      <c r="X44" s="41" t="s">
        <v>139</v>
      </c>
      <c r="Y44" s="41" t="s">
        <v>76</v>
      </c>
      <c r="Z44" s="41" t="s">
        <v>76</v>
      </c>
      <c r="AA44" s="41" t="s">
        <v>93</v>
      </c>
      <c r="AB44" s="41" t="s">
        <v>76</v>
      </c>
      <c r="AC44" s="41" t="s">
        <v>76</v>
      </c>
      <c r="AD44" s="41" t="s">
        <v>79</v>
      </c>
      <c r="AE44" s="41" t="s">
        <v>80</v>
      </c>
      <c r="AF44" s="41" t="s">
        <v>108</v>
      </c>
      <c r="AG44" s="41" t="s">
        <v>76</v>
      </c>
      <c r="AH44" s="41" t="s">
        <v>76</v>
      </c>
      <c r="AI44" s="41" t="s">
        <v>76</v>
      </c>
      <c r="AJ44" s="41" t="s">
        <v>76</v>
      </c>
      <c r="AK44" s="41" t="s">
        <v>87</v>
      </c>
      <c r="AL44" t="str">
        <f>VLOOKUP($Q44,武学奇术!$A:$ZZ,25,FALSE)</f>
        <v>陌刀</v>
      </c>
      <c r="AM44" s="27">
        <f>VLOOKUP($Q44,武学奇术!$A:$ZZ,26,FALSE)</f>
        <v>7.2368</v>
      </c>
      <c r="AN44" s="28">
        <f>VLOOKUP($Q44,武学奇术!$A:$ZZ,27,FALSE)*(1+IF(OR($AL44=$F$4,$AL44=$F$5),$B$22,0))</f>
        <v>3003</v>
      </c>
      <c r="AO44" s="27">
        <f>VLOOKUP($Q44,武学奇术!$A:$ZZ,28,FALSE)</f>
        <v>10.8553</v>
      </c>
      <c r="AP44" s="28">
        <f>VLOOKUP($Q44,武学奇术!$A:$ZZ,29,FALSE)*(1+IF(OR($AL44=$F$4,$AL44=$F$5),$B$22,0))</f>
        <v>1635</v>
      </c>
      <c r="AQ44" s="27" cm="1">
        <f t="array" ref="AQ44">$G$3+IFERROR(VLOOKUP($AL44,$F$4:$G$7,2,FALSE),0)+VLOOKUP($Q44,武学奇术!$A:$ZZ,2,FALSE)+SUM(_xlfn.XLOOKUP($R44:$AK44,增益!$A:$A,增益!$B:$B,0))</f>
        <v>1.0243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1847.2</v>
      </c>
      <c r="AT44" cm="1">
        <f t="array" ref="AT44">$E$10*(1+$AR44)+VLOOKUP($Q44,武学奇术!$A:$ZZ,4,FALSE)+SUM(_xlfn.XLOOKUP($R44:$AK44,增益!$A:$A,增益!$D:$D,0))-$I$2</f>
        <v>6866.8</v>
      </c>
      <c r="AU44" s="33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0.3585</v>
      </c>
      <c r="AV44" s="33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3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-0.14</v>
      </c>
      <c r="BA44" s="33" cm="1">
        <f t="array" ref="BA44">$G$11+VLOOKUP($Q44,武学奇术!$A:$ZZ,10,FALSE)+SUM(_xlfn.XLOOKUP($R44:$AK44,增益!$A:$A,增益!$J:$J,0))</f>
        <v>0</v>
      </c>
      <c r="BB44">
        <f t="shared" si="14"/>
        <v>662.4</v>
      </c>
      <c r="BC44">
        <f t="shared" si="15"/>
        <v>1260</v>
      </c>
      <c r="BD44" s="33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0.14</v>
      </c>
      <c r="BE44" s="33" cm="1">
        <f t="array" ref="BE44">$G$12+VLOOKUP($Q44,武学奇术!$A:$ZZ,12,FALSE)+SUM(_xlfn.XLOOKUP($R44:$AK44,增益!$A:$A,增益!$L:$L,0))</f>
        <v>0.15</v>
      </c>
      <c r="BF44">
        <f t="shared" si="16"/>
        <v>0</v>
      </c>
      <c r="BG44">
        <f t="shared" si="17"/>
        <v>0</v>
      </c>
      <c r="BH44" s="33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-0.14</v>
      </c>
      <c r="BI44" s="33" cm="1">
        <f t="array" ref="BI44">$G$13+VLOOKUP($Q44,武学奇术!$A:$ZZ,14,FALSE)+SUM(_xlfn.XLOOKUP($R44:$AK44,增益!$A:$A,增益!$N:$N,0))</f>
        <v>0</v>
      </c>
      <c r="BJ44">
        <f t="shared" si="18"/>
        <v>0</v>
      </c>
      <c r="BK44">
        <f t="shared" si="19"/>
        <v>0</v>
      </c>
      <c r="BL44" s="33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-0.14</v>
      </c>
      <c r="BM44" s="33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1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0.8354</v>
      </c>
      <c r="BP44" s="27" cm="1">
        <f t="array" ref="BP44">1+$B$13+VLOOKUP($Q44,武学奇术!$A:$ZZ,18,FALSE)+SUM(_xlfn.XLOOKUP($R44:$AK44,增益!$A:$A,增益!$R:$R,0))</f>
        <v>1.944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0.1512</v>
      </c>
      <c r="BR44" s="27" cm="1">
        <f t="array" ref="BR44">1+$B$14+VLOOKUP($Q44,武学奇术!$A:$ZZ,20,FALSE)+SUM(_xlfn.XLOOKUP($R44:$AK44,增益!$A:$A,增益!$T:$T,0))</f>
        <v>1.35</v>
      </c>
      <c r="BS44" s="27">
        <f t="shared" si="20"/>
        <v>0.8354</v>
      </c>
      <c r="BT44" s="27">
        <f t="shared" si="21"/>
        <v>0.0134</v>
      </c>
      <c r="BU44" s="27">
        <f>IF(VLOOKUP($Q44,武学奇术!$A:$ZZ,22,FALSE)=1,0,(1-$BN44))*(1-$BQ44)</f>
        <v>0</v>
      </c>
      <c r="BV44" s="27" cm="1">
        <f t="array" ref="BV44">SUM(_xlfn.XLOOKUP($R44:$AK44,增益!$A:$A,增益!$W:$W,0))+$I$5</f>
        <v>0.11</v>
      </c>
    </row>
    <row r="45" spans="1:74">
      <c r="A45" s="4" t="s">
        <v>168</v>
      </c>
      <c r="B45" s="4">
        <v>1.33</v>
      </c>
      <c r="C45" s="40"/>
      <c r="K45" s="39">
        <f t="shared" si="11"/>
        <v>224208.44024246</v>
      </c>
      <c r="L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226246.268064982</v>
      </c>
      <c r="M45" s="39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222763.866873341</v>
      </c>
      <c r="N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113463.52460631</v>
      </c>
      <c r="O45" s="39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61916.7774545894</v>
      </c>
      <c r="P45" s="40">
        <v>1</v>
      </c>
      <c r="Q45" s="41" t="s">
        <v>117</v>
      </c>
      <c r="R45" s="41" t="s">
        <v>101</v>
      </c>
      <c r="S45" s="41" t="s">
        <v>114</v>
      </c>
      <c r="T45" s="41" t="s">
        <v>76</v>
      </c>
      <c r="U45" s="41" t="s">
        <v>84</v>
      </c>
      <c r="V45" s="41" t="s">
        <v>155</v>
      </c>
      <c r="W45" s="41" t="s">
        <v>76</v>
      </c>
      <c r="X45" s="41" t="s">
        <v>134</v>
      </c>
      <c r="Y45" s="41" t="s">
        <v>76</v>
      </c>
      <c r="Z45" s="41" t="s">
        <v>76</v>
      </c>
      <c r="AA45" s="41" t="s">
        <v>86</v>
      </c>
      <c r="AB45" s="41" t="s">
        <v>76</v>
      </c>
      <c r="AC45" s="41" t="s">
        <v>76</v>
      </c>
      <c r="AD45" s="41" t="s">
        <v>79</v>
      </c>
      <c r="AE45" s="41" t="s">
        <v>80</v>
      </c>
      <c r="AF45" s="41" t="s">
        <v>108</v>
      </c>
      <c r="AG45" s="41" t="s">
        <v>76</v>
      </c>
      <c r="AH45" s="41" t="s">
        <v>76</v>
      </c>
      <c r="AI45" s="41" t="s">
        <v>76</v>
      </c>
      <c r="AJ45" s="41" t="s">
        <v>76</v>
      </c>
      <c r="AK45" s="41" t="s">
        <v>87</v>
      </c>
      <c r="AL45" t="str">
        <f>VLOOKUP($Q45,武学奇术!$A:$ZZ,25,FALSE)</f>
        <v>陌刀</v>
      </c>
      <c r="AM45" s="27">
        <f>VLOOKUP($Q45,武学奇术!$A:$ZZ,26,FALSE)</f>
        <v>4.2807</v>
      </c>
      <c r="AN45" s="28">
        <f>VLOOKUP($Q45,武学奇术!$A:$ZZ,27,FALSE)*(1+IF(OR($AL45=$F$4,$AL45=$F$5),$B$22,0))</f>
        <v>1776</v>
      </c>
      <c r="AO45" s="27">
        <f>VLOOKUP($Q45,武学奇术!$A:$ZZ,28,FALSE)</f>
        <v>6.421</v>
      </c>
      <c r="AP45" s="28">
        <f>VLOOKUP($Q45,武学奇术!$A:$ZZ,29,FALSE)*(1+IF(OR($AL45=$F$4,$AL45=$F$5),$B$22,0))</f>
        <v>967.5</v>
      </c>
      <c r="AQ45" s="27" cm="1">
        <f t="array" ref="AQ45">$G$3+IFERROR(VLOOKUP($AL45,$F$4:$G$7,2,FALSE),0)+VLOOKUP($Q45,武学奇术!$A:$ZZ,2,FALSE)+SUM(_xlfn.XLOOKUP($R45:$AK45,增益!$A:$A,增益!$B:$B,0))</f>
        <v>1.0243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1847.2</v>
      </c>
      <c r="AT45" cm="1">
        <f t="array" ref="AT45">$E$10*(1+$AR45)+VLOOKUP($Q45,武学奇术!$A:$ZZ,4,FALSE)+SUM(_xlfn.XLOOKUP($R45:$AK45,增益!$A:$A,增益!$D:$D,0))-$I$2</f>
        <v>6866.8</v>
      </c>
      <c r="AU45" s="33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0.3835</v>
      </c>
      <c r="AV45" s="33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3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-0.14</v>
      </c>
      <c r="BA45" s="33" cm="1">
        <f t="array" ref="BA45">$G$11+VLOOKUP($Q45,武学奇术!$A:$ZZ,10,FALSE)+SUM(_xlfn.XLOOKUP($R45:$AK45,增益!$A:$A,增益!$J:$J,0))</f>
        <v>0</v>
      </c>
      <c r="BB45">
        <f t="shared" si="14"/>
        <v>662.4</v>
      </c>
      <c r="BC45">
        <f t="shared" si="15"/>
        <v>1260</v>
      </c>
      <c r="BD45" s="33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0.14</v>
      </c>
      <c r="BE45" s="33" cm="1">
        <f t="array" ref="BE45">$G$12+VLOOKUP($Q45,武学奇术!$A:$ZZ,12,FALSE)+SUM(_xlfn.XLOOKUP($R45:$AK45,增益!$A:$A,增益!$L:$L,0))</f>
        <v>0.15</v>
      </c>
      <c r="BF45">
        <f t="shared" si="16"/>
        <v>0</v>
      </c>
      <c r="BG45">
        <f t="shared" si="17"/>
        <v>0</v>
      </c>
      <c r="BH45" s="33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-0.14</v>
      </c>
      <c r="BI45" s="33" cm="1">
        <f t="array" ref="BI45">$G$13+VLOOKUP($Q45,武学奇术!$A:$ZZ,14,FALSE)+SUM(_xlfn.XLOOKUP($R45:$AK45,增益!$A:$A,增益!$N:$N,0))</f>
        <v>0</v>
      </c>
      <c r="BJ45">
        <f t="shared" si="18"/>
        <v>0</v>
      </c>
      <c r="BK45">
        <f t="shared" si="19"/>
        <v>0</v>
      </c>
      <c r="BL45" s="33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-0.14</v>
      </c>
      <c r="BM45" s="33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1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0.8354</v>
      </c>
      <c r="BP45" s="27" cm="1">
        <f t="array" ref="BP45">1+$B$13+VLOOKUP($Q45,武学奇术!$A:$ZZ,18,FALSE)+SUM(_xlfn.XLOOKUP($R45:$AK45,增益!$A:$A,增益!$R:$R,0))</f>
        <v>1.994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0.1512</v>
      </c>
      <c r="BR45" s="27" cm="1">
        <f t="array" ref="BR45">1+$B$14+VLOOKUP($Q45,武学奇术!$A:$ZZ,20,FALSE)+SUM(_xlfn.XLOOKUP($R45:$AK45,增益!$A:$A,增益!$T:$T,0))</f>
        <v>1.35</v>
      </c>
      <c r="BS45" s="27">
        <f t="shared" si="20"/>
        <v>0.8354</v>
      </c>
      <c r="BT45" s="27">
        <f t="shared" si="21"/>
        <v>0.0134</v>
      </c>
      <c r="BU45" s="27">
        <f>IF(VLOOKUP($Q45,武学奇术!$A:$ZZ,22,FALSE)=1,0,(1-$BN45))*(1-$BQ45)</f>
        <v>0</v>
      </c>
      <c r="BV45" s="27" cm="1">
        <f t="array" ref="BV45">SUM(_xlfn.XLOOKUP($R45:$AK45,增益!$A:$A,增益!$W:$W,0))+$I$5</f>
        <v>0.11</v>
      </c>
    </row>
    <row r="46" spans="1:74">
      <c r="A46" s="4" t="s">
        <v>74</v>
      </c>
      <c r="B46" s="4">
        <v>0.4</v>
      </c>
      <c r="C46" s="40"/>
      <c r="K46" s="39">
        <f t="shared" si="11"/>
        <v>389750.682514995</v>
      </c>
      <c r="L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396302.259405721</v>
      </c>
      <c r="M46" s="39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371321.053948469</v>
      </c>
      <c r="N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189256.093316963</v>
      </c>
      <c r="O46" s="39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103459.554079505</v>
      </c>
      <c r="P46" s="40">
        <v>1</v>
      </c>
      <c r="Q46" s="41" t="s">
        <v>106</v>
      </c>
      <c r="R46" s="41" t="s">
        <v>101</v>
      </c>
      <c r="S46" s="41" t="s">
        <v>114</v>
      </c>
      <c r="T46" s="41" t="s">
        <v>77</v>
      </c>
      <c r="U46" s="41" t="s">
        <v>84</v>
      </c>
      <c r="V46" s="41" t="s">
        <v>155</v>
      </c>
      <c r="W46" s="41" t="s">
        <v>76</v>
      </c>
      <c r="X46" s="41" t="s">
        <v>139</v>
      </c>
      <c r="Y46" s="41" t="s">
        <v>76</v>
      </c>
      <c r="Z46" s="41" t="s">
        <v>76</v>
      </c>
      <c r="AA46" s="41" t="s">
        <v>86</v>
      </c>
      <c r="AB46" s="41" t="s">
        <v>76</v>
      </c>
      <c r="AC46" s="41" t="s">
        <v>76</v>
      </c>
      <c r="AD46" s="41" t="s">
        <v>79</v>
      </c>
      <c r="AE46" s="41" t="s">
        <v>80</v>
      </c>
      <c r="AF46" s="41" t="s">
        <v>108</v>
      </c>
      <c r="AG46" s="41" t="s">
        <v>76</v>
      </c>
      <c r="AH46" s="41" t="s">
        <v>76</v>
      </c>
      <c r="AI46" s="41" t="s">
        <v>76</v>
      </c>
      <c r="AJ46" s="41" t="s">
        <v>76</v>
      </c>
      <c r="AK46" s="41" t="s">
        <v>87</v>
      </c>
      <c r="AL46" t="str">
        <f>VLOOKUP($Q46,武学奇术!$A:$ZZ,25,FALSE)</f>
        <v>陌刀</v>
      </c>
      <c r="AM46" s="27">
        <f>VLOOKUP($Q46,武学奇术!$A:$ZZ,26,FALSE)</f>
        <v>7.2368</v>
      </c>
      <c r="AN46" s="28">
        <f>VLOOKUP($Q46,武学奇术!$A:$ZZ,27,FALSE)*(1+IF(OR($AL46=$F$4,$AL46=$F$5),$B$22,0))</f>
        <v>3003</v>
      </c>
      <c r="AO46" s="27">
        <f>VLOOKUP($Q46,武学奇术!$A:$ZZ,28,FALSE)</f>
        <v>10.8553</v>
      </c>
      <c r="AP46" s="28">
        <f>VLOOKUP($Q46,武学奇术!$A:$ZZ,29,FALSE)*(1+IF(OR($AL46=$F$4,$AL46=$F$5),$B$22,0))</f>
        <v>1635</v>
      </c>
      <c r="AQ46" s="27" cm="1">
        <f t="array" ref="AQ46">$G$3+IFERROR(VLOOKUP($AL46,$F$4:$G$7,2,FALSE),0)+VLOOKUP($Q46,武学奇术!$A:$ZZ,2,FALSE)+SUM(_xlfn.XLOOKUP($R46:$AK46,增益!$A:$A,增益!$B:$B,0))</f>
        <v>1.0243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1847.2</v>
      </c>
      <c r="AT46" cm="1">
        <f t="array" ref="AT46">$E$10*(1+$AR46)+VLOOKUP($Q46,武学奇术!$A:$ZZ,4,FALSE)+SUM(_xlfn.XLOOKUP($R46:$AK46,增益!$A:$A,增益!$D:$D,0))-$I$2</f>
        <v>6866.8</v>
      </c>
      <c r="AU46" s="33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0.3585</v>
      </c>
      <c r="AV46" s="33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3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-0.14</v>
      </c>
      <c r="BA46" s="33" cm="1">
        <f t="array" ref="BA46">$G$11+VLOOKUP($Q46,武学奇术!$A:$ZZ,10,FALSE)+SUM(_xlfn.XLOOKUP($R46:$AK46,增益!$A:$A,增益!$J:$J,0))</f>
        <v>0</v>
      </c>
      <c r="BB46">
        <f t="shared" si="14"/>
        <v>662.4</v>
      </c>
      <c r="BC46">
        <f t="shared" si="15"/>
        <v>1260</v>
      </c>
      <c r="BD46" s="33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0.14</v>
      </c>
      <c r="BE46" s="33" cm="1">
        <f t="array" ref="BE46">$G$12+VLOOKUP($Q46,武学奇术!$A:$ZZ,12,FALSE)+SUM(_xlfn.XLOOKUP($R46:$AK46,增益!$A:$A,增益!$L:$L,0))</f>
        <v>0.15</v>
      </c>
      <c r="BF46">
        <f t="shared" si="16"/>
        <v>0</v>
      </c>
      <c r="BG46">
        <f t="shared" si="17"/>
        <v>0</v>
      </c>
      <c r="BH46" s="33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-0.14</v>
      </c>
      <c r="BI46" s="33" cm="1">
        <f t="array" ref="BI46">$G$13+VLOOKUP($Q46,武学奇术!$A:$ZZ,14,FALSE)+SUM(_xlfn.XLOOKUP($R46:$AK46,增益!$A:$A,增益!$N:$N,0))</f>
        <v>0</v>
      </c>
      <c r="BJ46">
        <f t="shared" si="18"/>
        <v>0</v>
      </c>
      <c r="BK46">
        <f t="shared" si="19"/>
        <v>0</v>
      </c>
      <c r="BL46" s="33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-0.14</v>
      </c>
      <c r="BM46" s="33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1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0.8354</v>
      </c>
      <c r="BP46" s="27" cm="1">
        <f t="array" ref="BP46">1+$B$13+VLOOKUP($Q46,武学奇术!$A:$ZZ,18,FALSE)+SUM(_xlfn.XLOOKUP($R46:$AK46,增益!$A:$A,增益!$R:$R,0))</f>
        <v>2.094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0.1512</v>
      </c>
      <c r="BR46" s="27" cm="1">
        <f t="array" ref="BR46">1+$B$14+VLOOKUP($Q46,武学奇术!$A:$ZZ,20,FALSE)+SUM(_xlfn.XLOOKUP($R46:$AK46,增益!$A:$A,增益!$T:$T,0))</f>
        <v>1.35</v>
      </c>
      <c r="BS46" s="27">
        <f t="shared" si="20"/>
        <v>0.8354</v>
      </c>
      <c r="BT46" s="27">
        <f t="shared" si="21"/>
        <v>0.0134</v>
      </c>
      <c r="BU46" s="27">
        <f>IF(VLOOKUP($Q46,武学奇术!$A:$ZZ,22,FALSE)=1,0,(1-$BN46))*(1-$BQ46)</f>
        <v>0</v>
      </c>
      <c r="BV46" s="27" cm="1">
        <f t="array" ref="BV46">SUM(_xlfn.XLOOKUP($R46:$AK46,增益!$A:$A,增益!$W:$W,0))+$I$5</f>
        <v>0.11</v>
      </c>
    </row>
    <row r="47" spans="1:74">
      <c r="A47" s="4" t="s">
        <v>163</v>
      </c>
      <c r="B47" s="4">
        <v>1.66</v>
      </c>
      <c r="K47" s="39">
        <f t="shared" si="11"/>
        <v>238426.554510877</v>
      </c>
      <c r="L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243265.796755929</v>
      </c>
      <c r="M47" s="39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222763.866873341</v>
      </c>
      <c r="N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113463.52460631</v>
      </c>
      <c r="O47" s="39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61916.7774545894</v>
      </c>
      <c r="P47" s="40">
        <v>1</v>
      </c>
      <c r="Q47" s="41" t="s">
        <v>117</v>
      </c>
      <c r="R47" s="41" t="s">
        <v>101</v>
      </c>
      <c r="S47" s="41" t="s">
        <v>114</v>
      </c>
      <c r="T47" s="41" t="s">
        <v>77</v>
      </c>
      <c r="U47" s="41" t="s">
        <v>84</v>
      </c>
      <c r="V47" s="41" t="s">
        <v>155</v>
      </c>
      <c r="W47" s="41" t="s">
        <v>76</v>
      </c>
      <c r="X47" s="41" t="s">
        <v>134</v>
      </c>
      <c r="Y47" s="41" t="s">
        <v>76</v>
      </c>
      <c r="Z47" s="41" t="s">
        <v>76</v>
      </c>
      <c r="AA47" s="41" t="s">
        <v>86</v>
      </c>
      <c r="AB47" s="41" t="s">
        <v>76</v>
      </c>
      <c r="AC47" s="41" t="s">
        <v>76</v>
      </c>
      <c r="AD47" s="41" t="s">
        <v>79</v>
      </c>
      <c r="AE47" s="41" t="s">
        <v>80</v>
      </c>
      <c r="AF47" s="41" t="s">
        <v>108</v>
      </c>
      <c r="AG47" s="41" t="s">
        <v>76</v>
      </c>
      <c r="AH47" s="41" t="s">
        <v>76</v>
      </c>
      <c r="AI47" s="41" t="s">
        <v>76</v>
      </c>
      <c r="AJ47" s="41" t="s">
        <v>76</v>
      </c>
      <c r="AK47" s="41" t="s">
        <v>87</v>
      </c>
      <c r="AL47" t="str">
        <f>VLOOKUP($Q47,武学奇术!$A:$ZZ,25,FALSE)</f>
        <v>陌刀</v>
      </c>
      <c r="AM47" s="27">
        <f>VLOOKUP($Q47,武学奇术!$A:$ZZ,26,FALSE)</f>
        <v>4.2807</v>
      </c>
      <c r="AN47" s="28">
        <f>VLOOKUP($Q47,武学奇术!$A:$ZZ,27,FALSE)*(1+IF(OR($AL47=$F$4,$AL47=$F$5),$B$22,0))</f>
        <v>1776</v>
      </c>
      <c r="AO47" s="27">
        <f>VLOOKUP($Q47,武学奇术!$A:$ZZ,28,FALSE)</f>
        <v>6.421</v>
      </c>
      <c r="AP47" s="28">
        <f>VLOOKUP($Q47,武学奇术!$A:$ZZ,29,FALSE)*(1+IF(OR($AL47=$F$4,$AL47=$F$5),$B$22,0))</f>
        <v>967.5</v>
      </c>
      <c r="AQ47" s="27" cm="1">
        <f t="array" ref="AQ47">$G$3+IFERROR(VLOOKUP($AL47,$F$4:$G$7,2,FALSE),0)+VLOOKUP($Q47,武学奇术!$A:$ZZ,2,FALSE)+SUM(_xlfn.XLOOKUP($R47:$AK47,增益!$A:$A,增益!$B:$B,0))</f>
        <v>1.0243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1847.2</v>
      </c>
      <c r="AT47" cm="1">
        <f t="array" ref="AT47">$E$10*(1+$AR47)+VLOOKUP($Q47,武学奇术!$A:$ZZ,4,FALSE)+SUM(_xlfn.XLOOKUP($R47:$AK47,增益!$A:$A,增益!$D:$D,0))-$I$2</f>
        <v>6866.8</v>
      </c>
      <c r="AU47" s="33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0.3835</v>
      </c>
      <c r="AV47" s="33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3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-0.14</v>
      </c>
      <c r="BA47" s="33" cm="1">
        <f t="array" ref="BA47">$G$11+VLOOKUP($Q47,武学奇术!$A:$ZZ,10,FALSE)+SUM(_xlfn.XLOOKUP($R47:$AK47,增益!$A:$A,增益!$J:$J,0))</f>
        <v>0</v>
      </c>
      <c r="BB47">
        <f t="shared" si="14"/>
        <v>662.4</v>
      </c>
      <c r="BC47">
        <f t="shared" si="15"/>
        <v>1260</v>
      </c>
      <c r="BD47" s="33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0.14</v>
      </c>
      <c r="BE47" s="33" cm="1">
        <f t="array" ref="BE47">$G$12+VLOOKUP($Q47,武学奇术!$A:$ZZ,12,FALSE)+SUM(_xlfn.XLOOKUP($R47:$AK47,增益!$A:$A,增益!$L:$L,0))</f>
        <v>0.15</v>
      </c>
      <c r="BF47">
        <f t="shared" si="16"/>
        <v>0</v>
      </c>
      <c r="BG47">
        <f t="shared" si="17"/>
        <v>0</v>
      </c>
      <c r="BH47" s="33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-0.14</v>
      </c>
      <c r="BI47" s="33" cm="1">
        <f t="array" ref="BI47">$G$13+VLOOKUP($Q47,武学奇术!$A:$ZZ,14,FALSE)+SUM(_xlfn.XLOOKUP($R47:$AK47,增益!$A:$A,增益!$N:$N,0))</f>
        <v>0</v>
      </c>
      <c r="BJ47">
        <f t="shared" si="18"/>
        <v>0</v>
      </c>
      <c r="BK47">
        <f t="shared" si="19"/>
        <v>0</v>
      </c>
      <c r="BL47" s="33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-0.14</v>
      </c>
      <c r="BM47" s="33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1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0.8354</v>
      </c>
      <c r="BP47" s="27" cm="1">
        <f t="array" ref="BP47">1+$B$13+VLOOKUP($Q47,武学奇术!$A:$ZZ,18,FALSE)+SUM(_xlfn.XLOOKUP($R47:$AK47,增益!$A:$A,增益!$R:$R,0))</f>
        <v>2.144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0.1512</v>
      </c>
      <c r="BR47" s="27" cm="1">
        <f t="array" ref="BR47">1+$B$14+VLOOKUP($Q47,武学奇术!$A:$ZZ,20,FALSE)+SUM(_xlfn.XLOOKUP($R47:$AK47,增益!$A:$A,增益!$T:$T,0))</f>
        <v>1.35</v>
      </c>
      <c r="BS47" s="27">
        <f t="shared" si="20"/>
        <v>0.8354</v>
      </c>
      <c r="BT47" s="27">
        <f t="shared" si="21"/>
        <v>0.0134</v>
      </c>
      <c r="BU47" s="27">
        <f>IF(VLOOKUP($Q47,武学奇术!$A:$ZZ,22,FALSE)=1,0,(1-$BN47))*(1-$BQ47)</f>
        <v>0</v>
      </c>
      <c r="BV47" s="27" cm="1">
        <f t="array" ref="BV47">SUM(_xlfn.XLOOKUP($R47:$AK47,增益!$A:$A,增益!$W:$W,0))+$I$5</f>
        <v>0.11</v>
      </c>
    </row>
    <row r="48" spans="1:74">
      <c r="A48" s="4" t="s">
        <v>168</v>
      </c>
      <c r="B48" s="4">
        <v>1.33</v>
      </c>
      <c r="K48" s="39">
        <f t="shared" si="11"/>
        <v>0</v>
      </c>
      <c r="L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39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39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0">
        <v>1</v>
      </c>
      <c r="Q48" s="41" t="s">
        <v>76</v>
      </c>
      <c r="R48" s="41" t="s">
        <v>76</v>
      </c>
      <c r="S48" s="41" t="s">
        <v>76</v>
      </c>
      <c r="T48" s="41" t="s">
        <v>76</v>
      </c>
      <c r="U48" s="41" t="s">
        <v>76</v>
      </c>
      <c r="V48" s="41" t="s">
        <v>76</v>
      </c>
      <c r="W48" s="41" t="s">
        <v>76</v>
      </c>
      <c r="X48" s="41" t="s">
        <v>76</v>
      </c>
      <c r="Y48" s="41" t="s">
        <v>76</v>
      </c>
      <c r="Z48" s="41" t="s">
        <v>76</v>
      </c>
      <c r="AA48" s="41" t="s">
        <v>76</v>
      </c>
      <c r="AB48" s="41" t="s">
        <v>76</v>
      </c>
      <c r="AC48" s="41" t="s">
        <v>76</v>
      </c>
      <c r="AD48" s="41" t="s">
        <v>79</v>
      </c>
      <c r="AE48" s="41" t="s">
        <v>80</v>
      </c>
      <c r="AF48" s="41" t="s">
        <v>76</v>
      </c>
      <c r="AG48" s="41" t="s">
        <v>76</v>
      </c>
      <c r="AH48" s="41" t="s">
        <v>76</v>
      </c>
      <c r="AI48" s="41" t="s">
        <v>76</v>
      </c>
      <c r="AJ48" s="41" t="s">
        <v>76</v>
      </c>
      <c r="AK48" s="41" t="s">
        <v>87</v>
      </c>
      <c r="AL48" t="str">
        <f>VLOOKUP($Q48,武学奇术!$A:$ZZ,25,FALSE)</f>
        <v>心法</v>
      </c>
      <c r="AM48" s="27">
        <f>VLOOKUP($Q48,武学奇术!$A:$ZZ,26,FALSE)</f>
        <v>0</v>
      </c>
      <c r="AN48" s="28">
        <f>VLOOKUP($Q48,武学奇术!$A:$ZZ,27,FALSE)*(1+IF(OR($AL48=$F$4,$AL48=$F$5),$B$22,0))</f>
        <v>0</v>
      </c>
      <c r="AO48" s="27">
        <f>VLOOKUP($Q48,武学奇术!$A:$ZZ,28,FALSE)</f>
        <v>0</v>
      </c>
      <c r="AP48" s="28">
        <f>VLOOKUP($Q48,武学奇术!$A:$ZZ,29,FALSE)*(1+IF(OR($AL48=$F$4,$AL48=$F$5),$B$22,0))</f>
        <v>0</v>
      </c>
      <c r="AQ48" s="27" cm="1">
        <f t="array" ref="AQ48">$G$3+IFERROR(VLOOKUP($AL48,$F$4:$G$7,2,FALSE),0)+VLOOKUP($Q48,武学奇术!$A:$ZZ,2,FALSE)+SUM(_xlfn.XLOOKUP($R48:$AK48,增益!$A:$A,增益!$B:$B,0))</f>
        <v>0.2042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1847.2</v>
      </c>
      <c r="AT48" cm="1">
        <f t="array" ref="AT48">$E$10*(1+$AR48)+VLOOKUP($Q48,武学奇术!$A:$ZZ,4,FALSE)+SUM(_xlfn.XLOOKUP($R48:$AK48,增益!$A:$A,增益!$D:$D,0))-$I$2</f>
        <v>6666.8</v>
      </c>
      <c r="AU48" s="33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0.2585</v>
      </c>
      <c r="AV48" s="33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3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3" cm="1">
        <f t="array" ref="BA48">$G$11+VLOOKUP($Q48,武学奇术!$A:$ZZ,10,FALSE)+SUM(_xlfn.XLOOKUP($R48:$AK48,增益!$A:$A,增益!$J:$J,0))</f>
        <v>0</v>
      </c>
      <c r="BB48">
        <f t="shared" si="14"/>
        <v>662.4</v>
      </c>
      <c r="BC48">
        <f t="shared" si="15"/>
        <v>1260</v>
      </c>
      <c r="BD48" s="33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3" cm="1">
        <f t="array" ref="BE48">$G$12+VLOOKUP($Q48,武学奇术!$A:$ZZ,12,FALSE)+SUM(_xlfn.XLOOKUP($R48:$AK48,增益!$A:$A,增益!$L:$L,0))</f>
        <v>0.15</v>
      </c>
      <c r="BF48">
        <f t="shared" si="16"/>
        <v>0</v>
      </c>
      <c r="BG48">
        <f t="shared" si="17"/>
        <v>0</v>
      </c>
      <c r="BH48" s="33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3" cm="1">
        <f t="array" ref="BI48">$G$13+VLOOKUP($Q48,武学奇术!$A:$ZZ,14,FALSE)+SUM(_xlfn.XLOOKUP($R48:$AK48,增益!$A:$A,增益!$N:$N,0))</f>
        <v>0</v>
      </c>
      <c r="BJ48">
        <f t="shared" si="18"/>
        <v>0</v>
      </c>
      <c r="BK48">
        <f t="shared" si="19"/>
        <v>0</v>
      </c>
      <c r="BL48" s="33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3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1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0.5954</v>
      </c>
      <c r="BP48" s="27" cm="1">
        <f t="array" ref="BP48">1+$B$13+VLOOKUP($Q48,武学奇术!$A:$ZZ,18,FALSE)+SUM(_xlfn.XLOOKUP($R48:$AK48,增益!$A:$A,增益!$R:$R,0))</f>
        <v>1.644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0.1512</v>
      </c>
      <c r="BR48" s="27" cm="1">
        <f t="array" ref="BR48">1+$B$14+VLOOKUP($Q48,武学奇术!$A:$ZZ,20,FALSE)+SUM(_xlfn.XLOOKUP($R48:$AK48,增益!$A:$A,增益!$T:$T,0))</f>
        <v>1.35</v>
      </c>
      <c r="BS48" s="27">
        <f t="shared" si="20"/>
        <v>0.5954</v>
      </c>
      <c r="BT48" s="27">
        <f t="shared" si="21"/>
        <v>0.2534</v>
      </c>
      <c r="BU48" s="27">
        <f>IF(VLOOKUP($Q48,武学奇术!$A:$ZZ,22,FALSE)=1,0,(1-$BN48))*(1-$BQ48)</f>
        <v>0</v>
      </c>
      <c r="BV48" s="27" cm="1">
        <f t="array" ref="BV48">SUM(_xlfn.XLOOKUP($R48:$AK48,增益!$A:$A,增益!$W:$W,0))+$I$5</f>
        <v>0.11</v>
      </c>
    </row>
    <row r="49" spans="1:74">
      <c r="A49" s="4" t="s">
        <v>164</v>
      </c>
      <c r="B49" s="4">
        <v>1</v>
      </c>
      <c r="E49" s="40" t="s">
        <v>165</v>
      </c>
      <c r="K49" s="39">
        <f t="shared" si="11"/>
        <v>8850.43483733347</v>
      </c>
      <c r="L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9728.18585502975</v>
      </c>
      <c r="M49" s="39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10878.2104788045</v>
      </c>
      <c r="N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5578.08821962715</v>
      </c>
      <c r="O49" s="39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3098.24275125099</v>
      </c>
      <c r="P49" s="40">
        <v>1</v>
      </c>
      <c r="Q49" s="41" t="s">
        <v>112</v>
      </c>
      <c r="R49" s="41" t="s">
        <v>76</v>
      </c>
      <c r="S49" s="41" t="s">
        <v>76</v>
      </c>
      <c r="T49" s="41" t="s">
        <v>76</v>
      </c>
      <c r="U49" s="41" t="s">
        <v>76</v>
      </c>
      <c r="V49" s="41" t="s">
        <v>155</v>
      </c>
      <c r="W49" s="41" t="s">
        <v>76</v>
      </c>
      <c r="X49" s="41" t="s">
        <v>76</v>
      </c>
      <c r="Y49" s="41" t="s">
        <v>76</v>
      </c>
      <c r="Z49" s="41" t="s">
        <v>76</v>
      </c>
      <c r="AA49" s="41" t="s">
        <v>86</v>
      </c>
      <c r="AB49" s="41" t="s">
        <v>76</v>
      </c>
      <c r="AC49" s="41" t="s">
        <v>76</v>
      </c>
      <c r="AD49" s="41" t="s">
        <v>79</v>
      </c>
      <c r="AE49" s="41" t="s">
        <v>80</v>
      </c>
      <c r="AF49" s="41" t="s">
        <v>76</v>
      </c>
      <c r="AG49" s="41" t="s">
        <v>76</v>
      </c>
      <c r="AH49" s="41" t="s">
        <v>76</v>
      </c>
      <c r="AI49" s="41" t="s">
        <v>76</v>
      </c>
      <c r="AJ49" s="41" t="s">
        <v>76</v>
      </c>
      <c r="AK49" s="41" t="s">
        <v>87</v>
      </c>
      <c r="AL49" t="str">
        <f>VLOOKUP($Q49,武学奇术!$A:$ZZ,25,FALSE)</f>
        <v>枪</v>
      </c>
      <c r="AM49" s="27">
        <f>VLOOKUP($Q49,武学奇术!$A:$ZZ,26,FALSE)</f>
        <v>0.4843</v>
      </c>
      <c r="AN49" s="28">
        <f>VLOOKUP($Q49,武学奇术!$A:$ZZ,27,FALSE)*(1+IF(OR($AL49=$F$4,$AL49=$F$5),$B$22,0))</f>
        <v>201</v>
      </c>
      <c r="AO49" s="27">
        <f>VLOOKUP($Q49,武学奇术!$A:$ZZ,28,FALSE)</f>
        <v>0.7264</v>
      </c>
      <c r="AP49" s="28">
        <f>VLOOKUP($Q49,武学奇术!$A:$ZZ,29,FALSE)*(1+IF(OR($AL49=$F$4,$AL49=$F$5),$B$22,0))</f>
        <v>109.5</v>
      </c>
      <c r="AQ49" s="27" cm="1">
        <f t="array" ref="AQ49">$G$3+IFERROR(VLOOKUP($AL49,$F$4:$G$7,2,FALSE),0)+VLOOKUP($Q49,武学奇术!$A:$ZZ,2,FALSE)+SUM(_xlfn.XLOOKUP($R49:$AK49,增益!$A:$A,增益!$B:$B,0))</f>
        <v>0.2889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1847.2</v>
      </c>
      <c r="AT49" cm="1">
        <f t="array" ref="AT49">$E$10*(1+$AR49)+VLOOKUP($Q49,武学奇术!$A:$ZZ,4,FALSE)+SUM(_xlfn.XLOOKUP($R49:$AK49,增益!$A:$A,增益!$D:$D,0))-$I$2</f>
        <v>6666.8</v>
      </c>
      <c r="AU49" s="33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0.2585</v>
      </c>
      <c r="AV49" s="33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3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3" cm="1">
        <f t="array" ref="BA49">$G$11+VLOOKUP($Q49,武学奇术!$A:$ZZ,10,FALSE)+SUM(_xlfn.XLOOKUP($R49:$AK49,增益!$A:$A,增益!$J:$J,0))</f>
        <v>0</v>
      </c>
      <c r="BB49">
        <f t="shared" si="14"/>
        <v>662.4</v>
      </c>
      <c r="BC49">
        <f t="shared" si="15"/>
        <v>1260</v>
      </c>
      <c r="BD49" s="33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3" cm="1">
        <f t="array" ref="BE49">$G$12+VLOOKUP($Q49,武学奇术!$A:$ZZ,12,FALSE)+SUM(_xlfn.XLOOKUP($R49:$AK49,增益!$A:$A,增益!$L:$L,0))</f>
        <v>0.15</v>
      </c>
      <c r="BF49">
        <f t="shared" si="16"/>
        <v>0</v>
      </c>
      <c r="BG49">
        <f t="shared" si="17"/>
        <v>0</v>
      </c>
      <c r="BH49" s="33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3" cm="1">
        <f t="array" ref="BI49">$G$13+VLOOKUP($Q49,武学奇术!$A:$ZZ,14,FALSE)+SUM(_xlfn.XLOOKUP($R49:$AK49,增益!$A:$A,增益!$N:$N,0))</f>
        <v>0</v>
      </c>
      <c r="BJ49">
        <f t="shared" si="18"/>
        <v>0</v>
      </c>
      <c r="BK49">
        <f t="shared" si="19"/>
        <v>0</v>
      </c>
      <c r="BL49" s="33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3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1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0.5954</v>
      </c>
      <c r="BP49" s="27" cm="1">
        <f t="array" ref="BP49">1+$B$13+VLOOKUP($Q49,武学奇术!$A:$ZZ,18,FALSE)+SUM(_xlfn.XLOOKUP($R49:$AK49,增益!$A:$A,增益!$R:$R,0))</f>
        <v>1.744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0.1512</v>
      </c>
      <c r="BR49" s="27" cm="1">
        <f t="array" ref="BR49">1+$B$14+VLOOKUP($Q49,武学奇术!$A:$ZZ,20,FALSE)+SUM(_xlfn.XLOOKUP($R49:$AK49,增益!$A:$A,增益!$T:$T,0))</f>
        <v>1.35</v>
      </c>
      <c r="BS49" s="27">
        <f t="shared" si="20"/>
        <v>0.5954</v>
      </c>
      <c r="BT49" s="27">
        <f t="shared" si="21"/>
        <v>0.2534</v>
      </c>
      <c r="BU49" s="27">
        <f>IF(VLOOKUP($Q49,武学奇术!$A:$ZZ,22,FALSE)=1,0,(1-$BN49))*(1-$BQ49)</f>
        <v>0</v>
      </c>
      <c r="BV49" s="27" cm="1">
        <f t="array" ref="BV49">SUM(_xlfn.XLOOKUP($R49:$AK49,增益!$A:$A,增益!$W:$W,0))+$I$5</f>
        <v>0.11</v>
      </c>
    </row>
    <row r="50" spans="1:74">
      <c r="A50" s="4" t="s">
        <v>169</v>
      </c>
      <c r="B50" s="4">
        <v>2</v>
      </c>
      <c r="E50" s="40"/>
      <c r="K50" s="39">
        <f t="shared" si="11"/>
        <v>121553.175234288</v>
      </c>
      <c r="L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136716.10585638</v>
      </c>
      <c r="M50" s="39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144583.5476526</v>
      </c>
      <c r="N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72183.7940107602</v>
      </c>
      <c r="O50" s="39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37268.6638344095</v>
      </c>
      <c r="P50" s="40">
        <v>1</v>
      </c>
      <c r="Q50" s="41" t="s">
        <v>170</v>
      </c>
      <c r="R50" s="41" t="s">
        <v>107</v>
      </c>
      <c r="S50" s="41" t="s">
        <v>76</v>
      </c>
      <c r="T50" s="41" t="s">
        <v>77</v>
      </c>
      <c r="U50" s="41" t="s">
        <v>84</v>
      </c>
      <c r="V50" s="41" t="s">
        <v>155</v>
      </c>
      <c r="W50" s="41" t="s">
        <v>76</v>
      </c>
      <c r="X50" s="41" t="s">
        <v>76</v>
      </c>
      <c r="Y50" s="41" t="s">
        <v>76</v>
      </c>
      <c r="Z50" s="41" t="s">
        <v>76</v>
      </c>
      <c r="AA50" s="41" t="s">
        <v>86</v>
      </c>
      <c r="AB50" s="41" t="s">
        <v>76</v>
      </c>
      <c r="AC50" s="41" t="s">
        <v>76</v>
      </c>
      <c r="AD50" s="41" t="s">
        <v>79</v>
      </c>
      <c r="AE50" s="41" t="s">
        <v>80</v>
      </c>
      <c r="AF50" s="41" t="s">
        <v>76</v>
      </c>
      <c r="AG50" s="41" t="s">
        <v>76</v>
      </c>
      <c r="AH50" s="41" t="s">
        <v>76</v>
      </c>
      <c r="AI50" s="41" t="s">
        <v>76</v>
      </c>
      <c r="AJ50" s="41" t="s">
        <v>76</v>
      </c>
      <c r="AK50" s="41" t="s">
        <v>87</v>
      </c>
      <c r="AL50" t="str">
        <f>VLOOKUP($Q50,武学奇术!$A:$ZZ,25,FALSE)</f>
        <v>单体奇术</v>
      </c>
      <c r="AM50" s="27">
        <f>VLOOKUP($Q50,武学奇术!$A:$ZZ,26,FALSE)</f>
        <v>7.1084</v>
      </c>
      <c r="AN50" s="28">
        <f>VLOOKUP($Q50,武学奇术!$A:$ZZ,27,FALSE)*(1+IF(OR($AL50=$F$4,$AL50=$F$5),$B$22,0))</f>
        <v>1369</v>
      </c>
      <c r="AO50" s="27">
        <f>VLOOKUP($Q50,武学奇术!$A:$ZZ,28,FALSE)</f>
        <v>10.6626</v>
      </c>
      <c r="AP50" s="28">
        <f>VLOOKUP($Q50,武学奇术!$A:$ZZ,29,FALSE)*(1+IF(OR($AL50=$F$4,$AL50=$F$5),$B$22,0))</f>
        <v>0</v>
      </c>
      <c r="AQ50" s="27" cm="1">
        <f t="array" ref="AQ50">$G$3+IFERROR(VLOOKUP($AL50,$F$4:$G$7,2,FALSE),0)+VLOOKUP($Q50,武学奇术!$A:$ZZ,2,FALSE)+SUM(_xlfn.XLOOKUP($R50:$AK50,增益!$A:$A,增益!$B:$B,0))</f>
        <v>0.2142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1847.2</v>
      </c>
      <c r="AT50" cm="1">
        <f t="array" ref="AT50">$E$10*(1+$AR50)+VLOOKUP($Q50,武学奇术!$A:$ZZ,4,FALSE)+SUM(_xlfn.XLOOKUP($R50:$AK50,增益!$A:$A,增益!$D:$D,0))-$I$2</f>
        <v>6666.8</v>
      </c>
      <c r="AU50" s="33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0.2685</v>
      </c>
      <c r="AV50" s="33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3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3" cm="1">
        <f t="array" ref="BA50">$G$11+VLOOKUP($Q50,武学奇术!$A:$ZZ,10,FALSE)+SUM(_xlfn.XLOOKUP($R50:$AK50,增益!$A:$A,增益!$J:$J,0))</f>
        <v>0</v>
      </c>
      <c r="BB50">
        <f t="shared" si="14"/>
        <v>662.4</v>
      </c>
      <c r="BC50">
        <f t="shared" si="15"/>
        <v>1260</v>
      </c>
      <c r="BD50" s="33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0.14</v>
      </c>
      <c r="BE50" s="33" cm="1">
        <f t="array" ref="BE50">$G$12+VLOOKUP($Q50,武学奇术!$A:$ZZ,12,FALSE)+SUM(_xlfn.XLOOKUP($R50:$AK50,增益!$A:$A,增益!$L:$L,0))</f>
        <v>0.15</v>
      </c>
      <c r="BF50">
        <f t="shared" si="16"/>
        <v>0</v>
      </c>
      <c r="BG50">
        <f t="shared" si="17"/>
        <v>0</v>
      </c>
      <c r="BH50" s="33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3" cm="1">
        <f t="array" ref="BI50">$G$13+VLOOKUP($Q50,武学奇术!$A:$ZZ,14,FALSE)+SUM(_xlfn.XLOOKUP($R50:$AK50,增益!$A:$A,增益!$N:$N,0))</f>
        <v>0</v>
      </c>
      <c r="BJ50">
        <f t="shared" si="18"/>
        <v>0</v>
      </c>
      <c r="BK50">
        <f t="shared" si="19"/>
        <v>0</v>
      </c>
      <c r="BL50" s="33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3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1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0.5954</v>
      </c>
      <c r="BP50" s="27" cm="1">
        <f t="array" ref="BP50">1+$B$13+VLOOKUP($Q50,武学奇术!$A:$ZZ,18,FALSE)+SUM(_xlfn.XLOOKUP($R50:$AK50,增益!$A:$A,增益!$R:$R,0))</f>
        <v>1.894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0.1512</v>
      </c>
      <c r="BR50" s="27" cm="1">
        <f t="array" ref="BR50">1+$B$14+VLOOKUP($Q50,武学奇术!$A:$ZZ,20,FALSE)+SUM(_xlfn.XLOOKUP($R50:$AK50,增益!$A:$A,增益!$T:$T,0))</f>
        <v>1.35</v>
      </c>
      <c r="BS50" s="27">
        <f t="shared" si="20"/>
        <v>0.5954</v>
      </c>
      <c r="BT50" s="27">
        <f t="shared" si="21"/>
        <v>0.2534</v>
      </c>
      <c r="BU50" s="27">
        <f>IF(VLOOKUP($Q50,武学奇术!$A:$ZZ,22,FALSE)=1,0,(1-$BN50))*(1-$BQ50)</f>
        <v>0</v>
      </c>
      <c r="BV50" s="27" cm="1">
        <f t="array" ref="BV50">SUM(_xlfn.XLOOKUP($R50:$AK50,增益!$A:$A,增益!$W:$W,0))+$I$5</f>
        <v>0.11</v>
      </c>
    </row>
    <row r="51" spans="1:74">
      <c r="A51" s="4" t="s">
        <v>163</v>
      </c>
      <c r="B51" s="4">
        <v>1.66</v>
      </c>
      <c r="E51" s="40"/>
      <c r="F51" s="40" t="s">
        <v>166</v>
      </c>
      <c r="K51" s="39">
        <f t="shared" si="11"/>
        <v>352328.345017113</v>
      </c>
      <c r="L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355686.907838894</v>
      </c>
      <c r="M51" s="39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349188.023192295</v>
      </c>
      <c r="N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178378.589688512</v>
      </c>
      <c r="O51" s="39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98099.3844197695</v>
      </c>
      <c r="P51" s="40">
        <v>1</v>
      </c>
      <c r="Q51" s="41" t="s">
        <v>106</v>
      </c>
      <c r="R51" s="41" t="s">
        <v>83</v>
      </c>
      <c r="S51" s="41" t="s">
        <v>114</v>
      </c>
      <c r="T51" s="41" t="s">
        <v>77</v>
      </c>
      <c r="U51" s="41" t="s">
        <v>84</v>
      </c>
      <c r="V51" s="41" t="s">
        <v>155</v>
      </c>
      <c r="W51" s="41" t="s">
        <v>76</v>
      </c>
      <c r="X51" s="41" t="s">
        <v>76</v>
      </c>
      <c r="Y51" s="41" t="s">
        <v>76</v>
      </c>
      <c r="Z51" s="41" t="s">
        <v>76</v>
      </c>
      <c r="AA51" s="41" t="s">
        <v>93</v>
      </c>
      <c r="AB51" s="41" t="s">
        <v>76</v>
      </c>
      <c r="AC51" s="41" t="s">
        <v>76</v>
      </c>
      <c r="AD51" s="41" t="s">
        <v>79</v>
      </c>
      <c r="AE51" s="41" t="s">
        <v>80</v>
      </c>
      <c r="AF51" s="41" t="s">
        <v>108</v>
      </c>
      <c r="AG51" s="41" t="s">
        <v>76</v>
      </c>
      <c r="AH51" s="41" t="s">
        <v>76</v>
      </c>
      <c r="AI51" s="41" t="s">
        <v>76</v>
      </c>
      <c r="AJ51" s="41" t="s">
        <v>76</v>
      </c>
      <c r="AK51" s="41" t="s">
        <v>87</v>
      </c>
      <c r="AL51" t="str">
        <f>VLOOKUP($Q51,武学奇术!$A:$ZZ,25,FALSE)</f>
        <v>陌刀</v>
      </c>
      <c r="AM51" s="27">
        <f>VLOOKUP($Q51,武学奇术!$A:$ZZ,26,FALSE)</f>
        <v>7.2368</v>
      </c>
      <c r="AN51" s="28">
        <f>VLOOKUP($Q51,武学奇术!$A:$ZZ,27,FALSE)*(1+IF(OR($AL51=$F$4,$AL51=$F$5),$B$22,0))</f>
        <v>3003</v>
      </c>
      <c r="AO51" s="27">
        <f>VLOOKUP($Q51,武学奇术!$A:$ZZ,28,FALSE)</f>
        <v>10.8553</v>
      </c>
      <c r="AP51" s="28">
        <f>VLOOKUP($Q51,武学奇术!$A:$ZZ,29,FALSE)*(1+IF(OR($AL51=$F$4,$AL51=$F$5),$B$22,0))</f>
        <v>1635</v>
      </c>
      <c r="AQ51" s="27" cm="1">
        <f t="array" ref="AQ51">$G$3+IFERROR(VLOOKUP($AL51,$F$4:$G$7,2,FALSE),0)+VLOOKUP($Q51,武学奇术!$A:$ZZ,2,FALSE)+SUM(_xlfn.XLOOKUP($R51:$AK51,增益!$A:$A,增益!$B:$B,0))</f>
        <v>0.9943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1847.2</v>
      </c>
      <c r="AT51" cm="1">
        <f t="array" ref="AT51">$E$10*(1+$AR51)+VLOOKUP($Q51,武学奇术!$A:$ZZ,4,FALSE)+SUM(_xlfn.XLOOKUP($R51:$AK51,增益!$A:$A,增益!$D:$D,0))-$I$2</f>
        <v>6866.8</v>
      </c>
      <c r="AU51" s="33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0.2785</v>
      </c>
      <c r="AV51" s="33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3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3" cm="1">
        <f t="array" ref="BA51">$G$11+VLOOKUP($Q51,武学奇术!$A:$ZZ,10,FALSE)+SUM(_xlfn.XLOOKUP($R51:$AK51,增益!$A:$A,增益!$J:$J,0))</f>
        <v>0</v>
      </c>
      <c r="BB51">
        <f t="shared" si="14"/>
        <v>662.4</v>
      </c>
      <c r="BC51">
        <f t="shared" si="15"/>
        <v>1260</v>
      </c>
      <c r="BD51" s="33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0.14</v>
      </c>
      <c r="BE51" s="33" cm="1">
        <f t="array" ref="BE51">$G$12+VLOOKUP($Q51,武学奇术!$A:$ZZ,12,FALSE)+SUM(_xlfn.XLOOKUP($R51:$AK51,增益!$A:$A,增益!$L:$L,0))</f>
        <v>0.15</v>
      </c>
      <c r="BF51">
        <f t="shared" si="16"/>
        <v>0</v>
      </c>
      <c r="BG51">
        <f t="shared" si="17"/>
        <v>0</v>
      </c>
      <c r="BH51" s="33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3" cm="1">
        <f t="array" ref="BI51">$G$13+VLOOKUP($Q51,武学奇术!$A:$ZZ,14,FALSE)+SUM(_xlfn.XLOOKUP($R51:$AK51,增益!$A:$A,增益!$N:$N,0))</f>
        <v>0</v>
      </c>
      <c r="BJ51">
        <f t="shared" si="18"/>
        <v>0</v>
      </c>
      <c r="BK51">
        <f t="shared" si="19"/>
        <v>0</v>
      </c>
      <c r="BL51" s="33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3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1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0.8354</v>
      </c>
      <c r="BP51" s="27" cm="1">
        <f t="array" ref="BP51">1+$B$13+VLOOKUP($Q51,武学奇术!$A:$ZZ,18,FALSE)+SUM(_xlfn.XLOOKUP($R51:$AK51,增益!$A:$A,增益!$R:$R,0))</f>
        <v>1.994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0.1512</v>
      </c>
      <c r="BR51" s="27" cm="1">
        <f t="array" ref="BR51">1+$B$14+VLOOKUP($Q51,武学奇术!$A:$ZZ,20,FALSE)+SUM(_xlfn.XLOOKUP($R51:$AK51,增益!$A:$A,增益!$T:$T,0))</f>
        <v>1.35</v>
      </c>
      <c r="BS51" s="27">
        <f t="shared" si="20"/>
        <v>0.8354</v>
      </c>
      <c r="BT51" s="27">
        <f t="shared" si="21"/>
        <v>0.0134</v>
      </c>
      <c r="BU51" s="27">
        <f>IF(VLOOKUP($Q51,武学奇术!$A:$ZZ,22,FALSE)=1,0,(1-$BN51))*(1-$BQ51)</f>
        <v>0</v>
      </c>
      <c r="BV51" s="27" cm="1">
        <f t="array" ref="BV51">SUM(_xlfn.XLOOKUP($R51:$AK51,增益!$A:$A,增益!$W:$W,0))+$I$5</f>
        <v>0.11</v>
      </c>
    </row>
    <row r="52" spans="1:74">
      <c r="A52" s="4" t="s">
        <v>168</v>
      </c>
      <c r="B52" s="4">
        <v>1.33</v>
      </c>
      <c r="E52" s="40"/>
      <c r="F52" s="40"/>
      <c r="K52" s="39">
        <f t="shared" si="11"/>
        <v>197285.22819402</v>
      </c>
      <c r="L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196650.888747503</v>
      </c>
      <c r="M52" s="39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208823.087551701</v>
      </c>
      <c r="N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106643.648995392</v>
      </c>
      <c r="O52" s="39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58603.5294339687</v>
      </c>
      <c r="P52" s="40">
        <v>1</v>
      </c>
      <c r="Q52" s="41" t="s">
        <v>117</v>
      </c>
      <c r="R52" s="41" t="s">
        <v>90</v>
      </c>
      <c r="S52" s="41" t="s">
        <v>114</v>
      </c>
      <c r="T52" s="41" t="s">
        <v>76</v>
      </c>
      <c r="U52" s="41" t="s">
        <v>84</v>
      </c>
      <c r="V52" s="41" t="s">
        <v>155</v>
      </c>
      <c r="W52" s="41" t="s">
        <v>76</v>
      </c>
      <c r="X52" s="41" t="s">
        <v>76</v>
      </c>
      <c r="Y52" s="41" t="s">
        <v>76</v>
      </c>
      <c r="Z52" s="41" t="s">
        <v>76</v>
      </c>
      <c r="AA52" s="41" t="s">
        <v>93</v>
      </c>
      <c r="AB52" s="41" t="s">
        <v>76</v>
      </c>
      <c r="AC52" s="41" t="s">
        <v>76</v>
      </c>
      <c r="AD52" s="41" t="s">
        <v>79</v>
      </c>
      <c r="AE52" s="41" t="s">
        <v>80</v>
      </c>
      <c r="AF52" s="41" t="s">
        <v>108</v>
      </c>
      <c r="AG52" s="41" t="s">
        <v>76</v>
      </c>
      <c r="AH52" s="41" t="s">
        <v>76</v>
      </c>
      <c r="AI52" s="41" t="s">
        <v>76</v>
      </c>
      <c r="AJ52" s="41" t="s">
        <v>76</v>
      </c>
      <c r="AK52" s="41" t="s">
        <v>87</v>
      </c>
      <c r="AL52" t="str">
        <f>VLOOKUP($Q52,武学奇术!$A:$ZZ,25,FALSE)</f>
        <v>陌刀</v>
      </c>
      <c r="AM52" s="27">
        <f>VLOOKUP($Q52,武学奇术!$A:$ZZ,26,FALSE)</f>
        <v>4.2807</v>
      </c>
      <c r="AN52" s="28">
        <f>VLOOKUP($Q52,武学奇术!$A:$ZZ,27,FALSE)*(1+IF(OR($AL52=$F$4,$AL52=$F$5),$B$22,0))</f>
        <v>1776</v>
      </c>
      <c r="AO52" s="27">
        <f>VLOOKUP($Q52,武学奇术!$A:$ZZ,28,FALSE)</f>
        <v>6.421</v>
      </c>
      <c r="AP52" s="28">
        <f>VLOOKUP($Q52,武学奇术!$A:$ZZ,29,FALSE)*(1+IF(OR($AL52=$F$4,$AL52=$F$5),$B$22,0))</f>
        <v>967.5</v>
      </c>
      <c r="AQ52" s="27" cm="1">
        <f t="array" ref="AQ52">$G$3+IFERROR(VLOOKUP($AL52,$F$4:$G$7,2,FALSE),0)+VLOOKUP($Q52,武学奇术!$A:$ZZ,2,FALSE)+SUM(_xlfn.XLOOKUP($R52:$AK52,增益!$A:$A,增益!$B:$B,0))</f>
        <v>1.0043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1847.2</v>
      </c>
      <c r="AT52" cm="1">
        <f t="array" ref="AT52">$E$10*(1+$AR52)+VLOOKUP($Q52,武学奇术!$A:$ZZ,4,FALSE)+SUM(_xlfn.XLOOKUP($R52:$AK52,增益!$A:$A,增益!$D:$D,0))-$I$2</f>
        <v>6866.8</v>
      </c>
      <c r="AU52" s="33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0.2885</v>
      </c>
      <c r="AV52" s="33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3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3" cm="1">
        <f t="array" ref="BA52">$G$11+VLOOKUP($Q52,武学奇术!$A:$ZZ,10,FALSE)+SUM(_xlfn.XLOOKUP($R52:$AK52,增益!$A:$A,增益!$J:$J,0))</f>
        <v>0</v>
      </c>
      <c r="BB52">
        <f t="shared" si="14"/>
        <v>662.4</v>
      </c>
      <c r="BC52">
        <f t="shared" si="15"/>
        <v>1260</v>
      </c>
      <c r="BD52" s="33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0.14</v>
      </c>
      <c r="BE52" s="33" cm="1">
        <f t="array" ref="BE52">$G$12+VLOOKUP($Q52,武学奇术!$A:$ZZ,12,FALSE)+SUM(_xlfn.XLOOKUP($R52:$AK52,增益!$A:$A,增益!$L:$L,0))</f>
        <v>0.15</v>
      </c>
      <c r="BF52">
        <f t="shared" si="16"/>
        <v>0</v>
      </c>
      <c r="BG52">
        <f t="shared" si="17"/>
        <v>0</v>
      </c>
      <c r="BH52" s="33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3" cm="1">
        <f t="array" ref="BI52">$G$13+VLOOKUP($Q52,武学奇术!$A:$ZZ,14,FALSE)+SUM(_xlfn.XLOOKUP($R52:$AK52,增益!$A:$A,增益!$N:$N,0))</f>
        <v>0</v>
      </c>
      <c r="BJ52">
        <f t="shared" si="18"/>
        <v>0</v>
      </c>
      <c r="BK52">
        <f t="shared" si="19"/>
        <v>0</v>
      </c>
      <c r="BL52" s="33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3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0.8354</v>
      </c>
      <c r="BP52" s="27" cm="1">
        <f t="array" ref="BP52">1+$B$13+VLOOKUP($Q52,武学奇术!$A:$ZZ,18,FALSE)+SUM(_xlfn.XLOOKUP($R52:$AK52,增益!$A:$A,增益!$R:$R,0))</f>
        <v>1.844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0.1512</v>
      </c>
      <c r="BR52" s="27" cm="1">
        <f t="array" ref="BR52">1+$B$14+VLOOKUP($Q52,武学奇术!$A:$ZZ,20,FALSE)+SUM(_xlfn.XLOOKUP($R52:$AK52,增益!$A:$A,增益!$T:$T,0))</f>
        <v>1.35</v>
      </c>
      <c r="BS52" s="27">
        <f t="shared" si="20"/>
        <v>0.8354</v>
      </c>
      <c r="BT52" s="27">
        <f t="shared" si="21"/>
        <v>0.0134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0.11</v>
      </c>
    </row>
    <row r="53" spans="1:74">
      <c r="A53" s="4" t="s">
        <v>163</v>
      </c>
      <c r="B53" s="4">
        <v>1.66</v>
      </c>
      <c r="E53" s="40"/>
      <c r="F53" s="40"/>
      <c r="K53" s="39">
        <f t="shared" si="11"/>
        <v>347046.387196964</v>
      </c>
      <c r="L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347116.304577274</v>
      </c>
      <c r="M53" s="39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361088.309686421</v>
      </c>
      <c r="N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184244.323024031</v>
      </c>
      <c r="O53" s="39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101015.824058121</v>
      </c>
      <c r="P53" s="40">
        <v>1</v>
      </c>
      <c r="Q53" s="41" t="s">
        <v>106</v>
      </c>
      <c r="R53" s="41" t="s">
        <v>97</v>
      </c>
      <c r="S53" s="41" t="s">
        <v>114</v>
      </c>
      <c r="T53" s="41" t="s">
        <v>76</v>
      </c>
      <c r="U53" s="41" t="s">
        <v>84</v>
      </c>
      <c r="V53" s="41" t="s">
        <v>155</v>
      </c>
      <c r="W53" s="41" t="s">
        <v>76</v>
      </c>
      <c r="X53" s="41" t="s">
        <v>92</v>
      </c>
      <c r="Y53" s="41" t="s">
        <v>76</v>
      </c>
      <c r="Z53" s="41" t="s">
        <v>76</v>
      </c>
      <c r="AA53" s="41" t="s">
        <v>93</v>
      </c>
      <c r="AB53" s="41" t="s">
        <v>76</v>
      </c>
      <c r="AC53" s="41" t="s">
        <v>76</v>
      </c>
      <c r="AD53" s="41" t="s">
        <v>79</v>
      </c>
      <c r="AE53" s="41" t="s">
        <v>80</v>
      </c>
      <c r="AF53" s="41" t="s">
        <v>108</v>
      </c>
      <c r="AG53" s="41" t="s">
        <v>76</v>
      </c>
      <c r="AH53" s="41" t="s">
        <v>76</v>
      </c>
      <c r="AI53" s="41" t="s">
        <v>76</v>
      </c>
      <c r="AJ53" s="41" t="s">
        <v>76</v>
      </c>
      <c r="AK53" s="41" t="s">
        <v>87</v>
      </c>
      <c r="AL53" t="str">
        <f>VLOOKUP($Q53,武学奇术!$A:$ZZ,25,FALSE)</f>
        <v>陌刀</v>
      </c>
      <c r="AM53" s="27">
        <f>VLOOKUP($Q53,武学奇术!$A:$ZZ,26,FALSE)</f>
        <v>7.2368</v>
      </c>
      <c r="AN53" s="28">
        <f>VLOOKUP($Q53,武学奇术!$A:$ZZ,27,FALSE)*(1+IF(OR($AL53=$F$4,$AL53=$F$5),$B$22,0))</f>
        <v>3003</v>
      </c>
      <c r="AO53" s="27">
        <f>VLOOKUP($Q53,武学奇术!$A:$ZZ,28,FALSE)</f>
        <v>10.8553</v>
      </c>
      <c r="AP53" s="28">
        <f>VLOOKUP($Q53,武学奇术!$A:$ZZ,29,FALSE)*(1+IF(OR($AL53=$F$4,$AL53=$F$5),$B$22,0))</f>
        <v>1635</v>
      </c>
      <c r="AQ53" s="27" cm="1">
        <f t="array" ref="AQ53">$G$3+IFERROR(VLOOKUP($AL53,$F$4:$G$7,2,FALSE),0)+VLOOKUP($Q53,武学奇术!$A:$ZZ,2,FALSE)+SUM(_xlfn.XLOOKUP($R53:$AK53,增益!$A:$A,增益!$B:$B,0))</f>
        <v>1.0143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1847.2</v>
      </c>
      <c r="AT53" cm="1">
        <f t="array" ref="AT53">$E$10*(1+$AR53)+VLOOKUP($Q53,武学奇术!$A:$ZZ,4,FALSE)+SUM(_xlfn.XLOOKUP($R53:$AK53,增益!$A:$A,增益!$D:$D,0))-$I$2</f>
        <v>6866.8</v>
      </c>
      <c r="AU53" s="33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0.3185</v>
      </c>
      <c r="AV53" s="33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3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3" cm="1">
        <f t="array" ref="BA53">$G$11+VLOOKUP($Q53,武学奇术!$A:$ZZ,10,FALSE)+SUM(_xlfn.XLOOKUP($R53:$AK53,增益!$A:$A,增益!$J:$J,0))</f>
        <v>0</v>
      </c>
      <c r="BB53">
        <f t="shared" si="14"/>
        <v>662.4</v>
      </c>
      <c r="BC53">
        <f t="shared" si="15"/>
        <v>1260</v>
      </c>
      <c r="BD53" s="33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0.14</v>
      </c>
      <c r="BE53" s="33" cm="1">
        <f t="array" ref="BE53">$G$12+VLOOKUP($Q53,武学奇术!$A:$ZZ,12,FALSE)+SUM(_xlfn.XLOOKUP($R53:$AK53,增益!$A:$A,增益!$L:$L,0))</f>
        <v>0.15</v>
      </c>
      <c r="BF53">
        <f t="shared" si="16"/>
        <v>0</v>
      </c>
      <c r="BG53">
        <f t="shared" si="17"/>
        <v>0</v>
      </c>
      <c r="BH53" s="33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3" cm="1">
        <f t="array" ref="BI53">$G$13+VLOOKUP($Q53,武学奇术!$A:$ZZ,14,FALSE)+SUM(_xlfn.XLOOKUP($R53:$AK53,增益!$A:$A,增益!$N:$N,0))</f>
        <v>0</v>
      </c>
      <c r="BJ53">
        <f t="shared" si="18"/>
        <v>0</v>
      </c>
      <c r="BK53">
        <f t="shared" si="19"/>
        <v>0</v>
      </c>
      <c r="BL53" s="33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3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0.8354</v>
      </c>
      <c r="BP53" s="27" cm="1">
        <f t="array" ref="BP53">1+$B$13+VLOOKUP($Q53,武学奇术!$A:$ZZ,18,FALSE)+SUM(_xlfn.XLOOKUP($R53:$AK53,增益!$A:$A,增益!$R:$R,0))</f>
        <v>1.884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0.1512</v>
      </c>
      <c r="BR53" s="27" cm="1">
        <f t="array" ref="BR53">1+$B$14+VLOOKUP($Q53,武学奇术!$A:$ZZ,20,FALSE)+SUM(_xlfn.XLOOKUP($R53:$AK53,增益!$A:$A,增益!$T:$T,0))</f>
        <v>1.35</v>
      </c>
      <c r="BS53" s="27">
        <f t="shared" si="20"/>
        <v>0.8354</v>
      </c>
      <c r="BT53" s="27">
        <f t="shared" si="21"/>
        <v>0.0134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0.11</v>
      </c>
    </row>
    <row r="54" spans="1:74">
      <c r="A54" s="4" t="s">
        <v>168</v>
      </c>
      <c r="B54" s="4">
        <v>1.33</v>
      </c>
      <c r="E54" s="40"/>
      <c r="F54" s="40"/>
      <c r="K54" s="39">
        <f t="shared" si="11"/>
        <v>210455.213637491</v>
      </c>
      <c r="L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210843.490925986</v>
      </c>
      <c r="M54" s="39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217147.37968422</v>
      </c>
      <c r="N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110737.127587178</v>
      </c>
      <c r="O54" s="39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60624.3442971554</v>
      </c>
      <c r="P54" s="40">
        <v>1</v>
      </c>
      <c r="Q54" s="41" t="s">
        <v>117</v>
      </c>
      <c r="R54" s="41" t="s">
        <v>101</v>
      </c>
      <c r="S54" s="41" t="s">
        <v>114</v>
      </c>
      <c r="T54" s="41" t="s">
        <v>76</v>
      </c>
      <c r="U54" s="41" t="s">
        <v>84</v>
      </c>
      <c r="V54" s="41" t="s">
        <v>155</v>
      </c>
      <c r="W54" s="41" t="s">
        <v>76</v>
      </c>
      <c r="X54" s="41" t="s">
        <v>121</v>
      </c>
      <c r="Y54" s="41" t="s">
        <v>76</v>
      </c>
      <c r="Z54" s="41" t="s">
        <v>76</v>
      </c>
      <c r="AA54" s="41" t="s">
        <v>86</v>
      </c>
      <c r="AB54" s="41" t="s">
        <v>76</v>
      </c>
      <c r="AC54" s="41" t="s">
        <v>76</v>
      </c>
      <c r="AD54" s="41" t="s">
        <v>79</v>
      </c>
      <c r="AE54" s="41" t="s">
        <v>80</v>
      </c>
      <c r="AF54" s="41" t="s">
        <v>108</v>
      </c>
      <c r="AG54" s="41" t="s">
        <v>76</v>
      </c>
      <c r="AH54" s="41" t="s">
        <v>76</v>
      </c>
      <c r="AI54" s="41" t="s">
        <v>76</v>
      </c>
      <c r="AJ54" s="41" t="s">
        <v>76</v>
      </c>
      <c r="AK54" s="41" t="s">
        <v>87</v>
      </c>
      <c r="AL54" t="str">
        <f>VLOOKUP($Q54,武学奇术!$A:$ZZ,25,FALSE)</f>
        <v>陌刀</v>
      </c>
      <c r="AM54" s="27">
        <f>VLOOKUP($Q54,武学奇术!$A:$ZZ,26,FALSE)</f>
        <v>4.2807</v>
      </c>
      <c r="AN54" s="28">
        <f>VLOOKUP($Q54,武学奇术!$A:$ZZ,27,FALSE)*(1+IF(OR($AL54=$F$4,$AL54=$F$5),$B$22,0))</f>
        <v>1776</v>
      </c>
      <c r="AO54" s="27">
        <f>VLOOKUP($Q54,武学奇术!$A:$ZZ,28,FALSE)</f>
        <v>6.421</v>
      </c>
      <c r="AP54" s="28">
        <f>VLOOKUP($Q54,武学奇术!$A:$ZZ,29,FALSE)*(1+IF(OR($AL54=$F$4,$AL54=$F$5),$B$22,0))</f>
        <v>967.5</v>
      </c>
      <c r="AQ54" s="27" cm="1">
        <f t="array" ref="AQ54">$G$3+IFERROR(VLOOKUP($AL54,$F$4:$G$7,2,FALSE),0)+VLOOKUP($Q54,武学奇术!$A:$ZZ,2,FALSE)+SUM(_xlfn.XLOOKUP($R54:$AK54,增益!$A:$A,增益!$B:$B,0))</f>
        <v>1.0243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1847.2</v>
      </c>
      <c r="AT54" cm="1">
        <f t="array" ref="AT54">$E$10*(1+$AR54)+VLOOKUP($Q54,武学奇术!$A:$ZZ,4,FALSE)+SUM(_xlfn.XLOOKUP($R54:$AK54,增益!$A:$A,增益!$D:$D,0))-$I$2</f>
        <v>6866.8</v>
      </c>
      <c r="AU54" s="33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0.3385</v>
      </c>
      <c r="AV54" s="33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3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3" cm="1">
        <f t="array" ref="BA54">$G$11+VLOOKUP($Q54,武学奇术!$A:$ZZ,10,FALSE)+SUM(_xlfn.XLOOKUP($R54:$AK54,增益!$A:$A,增益!$J:$J,0))</f>
        <v>0</v>
      </c>
      <c r="BB54">
        <f t="shared" si="14"/>
        <v>662.4</v>
      </c>
      <c r="BC54">
        <f t="shared" si="15"/>
        <v>1260</v>
      </c>
      <c r="BD54" s="33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0.14</v>
      </c>
      <c r="BE54" s="33" cm="1">
        <f t="array" ref="BE54">$G$12+VLOOKUP($Q54,武学奇术!$A:$ZZ,12,FALSE)+SUM(_xlfn.XLOOKUP($R54:$AK54,增益!$A:$A,增益!$L:$L,0))</f>
        <v>0.15</v>
      </c>
      <c r="BF54">
        <f t="shared" si="16"/>
        <v>0</v>
      </c>
      <c r="BG54">
        <f t="shared" si="17"/>
        <v>0</v>
      </c>
      <c r="BH54" s="33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3" cm="1">
        <f t="array" ref="BI54">$G$13+VLOOKUP($Q54,武学奇术!$A:$ZZ,14,FALSE)+SUM(_xlfn.XLOOKUP($R54:$AK54,增益!$A:$A,增益!$N:$N,0))</f>
        <v>0</v>
      </c>
      <c r="BJ54">
        <f t="shared" si="18"/>
        <v>0</v>
      </c>
      <c r="BK54">
        <f t="shared" si="19"/>
        <v>0</v>
      </c>
      <c r="BL54" s="33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3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0.8354</v>
      </c>
      <c r="BP54" s="27" cm="1">
        <f t="array" ref="BP54">1+$B$13+VLOOKUP($Q54,武学奇术!$A:$ZZ,18,FALSE)+SUM(_xlfn.XLOOKUP($R54:$AK54,增益!$A:$A,增益!$R:$R,0))</f>
        <v>1.904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0.1512</v>
      </c>
      <c r="BR54" s="27" cm="1">
        <f t="array" ref="BR54">1+$B$14+VLOOKUP($Q54,武学奇术!$A:$ZZ,20,FALSE)+SUM(_xlfn.XLOOKUP($R54:$AK54,增益!$A:$A,增益!$T:$T,0))</f>
        <v>1.35</v>
      </c>
      <c r="BS54" s="27">
        <f t="shared" si="20"/>
        <v>0.8354</v>
      </c>
      <c r="BT54" s="27">
        <f t="shared" si="21"/>
        <v>0.0134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0.11</v>
      </c>
    </row>
    <row r="55" spans="1:74">
      <c r="A55" s="4" t="s">
        <v>163</v>
      </c>
      <c r="B55" s="4">
        <v>1.66</v>
      </c>
      <c r="E55" s="40"/>
      <c r="K55" s="39">
        <f t="shared" si="11"/>
        <v>360893.826391763</v>
      </c>
      <c r="L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362158.023900442</v>
      </c>
      <c r="M55" s="39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369211.023954156</v>
      </c>
      <c r="N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188231.821154076</v>
      </c>
      <c r="O55" s="39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102973.994934703</v>
      </c>
      <c r="P55" s="40">
        <v>1</v>
      </c>
      <c r="Q55" s="41" t="s">
        <v>106</v>
      </c>
      <c r="R55" s="41" t="s">
        <v>101</v>
      </c>
      <c r="S55" s="41" t="s">
        <v>114</v>
      </c>
      <c r="T55" s="41" t="s">
        <v>76</v>
      </c>
      <c r="U55" s="41" t="s">
        <v>84</v>
      </c>
      <c r="V55" s="41" t="s">
        <v>155</v>
      </c>
      <c r="W55" s="41" t="s">
        <v>76</v>
      </c>
      <c r="X55" s="41" t="s">
        <v>103</v>
      </c>
      <c r="Y55" s="41" t="s">
        <v>76</v>
      </c>
      <c r="Z55" s="41" t="s">
        <v>76</v>
      </c>
      <c r="AA55" s="41" t="s">
        <v>86</v>
      </c>
      <c r="AB55" s="41" t="s">
        <v>76</v>
      </c>
      <c r="AC55" s="41" t="s">
        <v>76</v>
      </c>
      <c r="AD55" s="41" t="s">
        <v>79</v>
      </c>
      <c r="AE55" s="41" t="s">
        <v>80</v>
      </c>
      <c r="AF55" s="41" t="s">
        <v>108</v>
      </c>
      <c r="AG55" s="41" t="s">
        <v>76</v>
      </c>
      <c r="AH55" s="41" t="s">
        <v>76</v>
      </c>
      <c r="AI55" s="41" t="s">
        <v>76</v>
      </c>
      <c r="AJ55" s="41" t="s">
        <v>76</v>
      </c>
      <c r="AK55" s="41" t="s">
        <v>87</v>
      </c>
      <c r="AL55" t="str">
        <f>VLOOKUP($Q55,武学奇术!$A:$ZZ,25,FALSE)</f>
        <v>陌刀</v>
      </c>
      <c r="AM55" s="27">
        <f>VLOOKUP($Q55,武学奇术!$A:$ZZ,26,FALSE)</f>
        <v>7.2368</v>
      </c>
      <c r="AN55" s="28">
        <f>VLOOKUP($Q55,武学奇术!$A:$ZZ,27,FALSE)*(1+IF(OR($AL55=$F$4,$AL55=$F$5),$B$22,0))</f>
        <v>3003</v>
      </c>
      <c r="AO55" s="27">
        <f>VLOOKUP($Q55,武学奇术!$A:$ZZ,28,FALSE)</f>
        <v>10.8553</v>
      </c>
      <c r="AP55" s="28">
        <f>VLOOKUP($Q55,武学奇术!$A:$ZZ,29,FALSE)*(1+IF(OR($AL55=$F$4,$AL55=$F$5),$B$22,0))</f>
        <v>1635</v>
      </c>
      <c r="AQ55" s="27" cm="1">
        <f t="array" ref="AQ55">$G$3+IFERROR(VLOOKUP($AL55,$F$4:$G$7,2,FALSE),0)+VLOOKUP($Q55,武学奇术!$A:$ZZ,2,FALSE)+SUM(_xlfn.XLOOKUP($R55:$AK55,增益!$A:$A,增益!$B:$B,0))</f>
        <v>1.0243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1847.2</v>
      </c>
      <c r="AT55" cm="1">
        <f t="array" ref="AT55">$E$10*(1+$AR55)+VLOOKUP($Q55,武学奇术!$A:$ZZ,4,FALSE)+SUM(_xlfn.XLOOKUP($R55:$AK55,增益!$A:$A,增益!$D:$D,0))-$I$2</f>
        <v>6866.8</v>
      </c>
      <c r="AU55" s="33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0.3485</v>
      </c>
      <c r="AV55" s="33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3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3" cm="1">
        <f t="array" ref="BA55">$G$11+VLOOKUP($Q55,武学奇术!$A:$ZZ,10,FALSE)+SUM(_xlfn.XLOOKUP($R55:$AK55,增益!$A:$A,增益!$J:$J,0))</f>
        <v>0</v>
      </c>
      <c r="BB55">
        <f t="shared" si="14"/>
        <v>662.4</v>
      </c>
      <c r="BC55">
        <f t="shared" si="15"/>
        <v>1260</v>
      </c>
      <c r="BD55" s="33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0.14</v>
      </c>
      <c r="BE55" s="33" cm="1">
        <f t="array" ref="BE55">$G$12+VLOOKUP($Q55,武学奇术!$A:$ZZ,12,FALSE)+SUM(_xlfn.XLOOKUP($R55:$AK55,增益!$A:$A,增益!$L:$L,0))</f>
        <v>0.15</v>
      </c>
      <c r="BF55">
        <f t="shared" si="16"/>
        <v>0</v>
      </c>
      <c r="BG55">
        <f t="shared" si="17"/>
        <v>0</v>
      </c>
      <c r="BH55" s="33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3" cm="1">
        <f t="array" ref="BI55">$G$13+VLOOKUP($Q55,武学奇术!$A:$ZZ,14,FALSE)+SUM(_xlfn.XLOOKUP($R55:$AK55,增益!$A:$A,增益!$N:$N,0))</f>
        <v>0</v>
      </c>
      <c r="BJ55">
        <f t="shared" si="18"/>
        <v>0</v>
      </c>
      <c r="BK55">
        <f t="shared" si="19"/>
        <v>0</v>
      </c>
      <c r="BL55" s="33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3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0.8354</v>
      </c>
      <c r="BP55" s="27" cm="1">
        <f t="array" ref="BP55">1+$B$13+VLOOKUP($Q55,武学奇术!$A:$ZZ,18,FALSE)+SUM(_xlfn.XLOOKUP($R55:$AK55,增益!$A:$A,增益!$R:$R,0))</f>
        <v>1.924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0.1512</v>
      </c>
      <c r="BR55" s="27" cm="1">
        <f t="array" ref="BR55">1+$B$14+VLOOKUP($Q55,武学奇术!$A:$ZZ,20,FALSE)+SUM(_xlfn.XLOOKUP($R55:$AK55,增益!$A:$A,增益!$T:$T,0))</f>
        <v>1.35</v>
      </c>
      <c r="BS55" s="27">
        <f t="shared" si="20"/>
        <v>0.8354</v>
      </c>
      <c r="BT55" s="27">
        <f t="shared" si="21"/>
        <v>0.0134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0.11</v>
      </c>
    </row>
    <row r="56" spans="1:74">
      <c r="A56" s="4" t="s">
        <v>168</v>
      </c>
      <c r="B56" s="4">
        <v>1.33</v>
      </c>
      <c r="E56" s="40"/>
      <c r="K56" s="39">
        <f t="shared" si="11"/>
        <v>219578.478732741</v>
      </c>
      <c r="L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221057.481078268</v>
      </c>
      <c r="M56" s="39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220891.704476968</v>
      </c>
      <c r="N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112554.725599933</v>
      </c>
      <c r="O56" s="39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61485.9664021114</v>
      </c>
      <c r="P56" s="40">
        <v>1</v>
      </c>
      <c r="Q56" s="41" t="s">
        <v>117</v>
      </c>
      <c r="R56" s="41" t="s">
        <v>101</v>
      </c>
      <c r="S56" s="41" t="s">
        <v>114</v>
      </c>
      <c r="T56" s="41" t="s">
        <v>76</v>
      </c>
      <c r="U56" s="41" t="s">
        <v>84</v>
      </c>
      <c r="V56" s="41" t="s">
        <v>155</v>
      </c>
      <c r="W56" s="41" t="s">
        <v>76</v>
      </c>
      <c r="X56" s="41" t="s">
        <v>126</v>
      </c>
      <c r="Y56" s="41" t="s">
        <v>76</v>
      </c>
      <c r="Z56" s="41" t="s">
        <v>76</v>
      </c>
      <c r="AA56" s="41" t="s">
        <v>86</v>
      </c>
      <c r="AB56" s="41" t="s">
        <v>76</v>
      </c>
      <c r="AC56" s="41" t="s">
        <v>76</v>
      </c>
      <c r="AD56" s="41" t="s">
        <v>79</v>
      </c>
      <c r="AE56" s="41" t="s">
        <v>80</v>
      </c>
      <c r="AF56" s="41" t="s">
        <v>108</v>
      </c>
      <c r="AG56" s="41" t="s">
        <v>76</v>
      </c>
      <c r="AH56" s="41" t="s">
        <v>76</v>
      </c>
      <c r="AI56" s="41" t="s">
        <v>76</v>
      </c>
      <c r="AJ56" s="41" t="s">
        <v>76</v>
      </c>
      <c r="AK56" s="41" t="s">
        <v>87</v>
      </c>
      <c r="AL56" t="str">
        <f>VLOOKUP($Q56,武学奇术!$A:$ZZ,25,FALSE)</f>
        <v>陌刀</v>
      </c>
      <c r="AM56" s="27">
        <f>VLOOKUP($Q56,武学奇术!$A:$ZZ,26,FALSE)</f>
        <v>4.2807</v>
      </c>
      <c r="AN56" s="28">
        <f>VLOOKUP($Q56,武学奇术!$A:$ZZ,27,FALSE)*(1+IF(OR($AL56=$F$4,$AL56=$F$5),$B$22,0))</f>
        <v>1776</v>
      </c>
      <c r="AO56" s="27">
        <f>VLOOKUP($Q56,武学奇术!$A:$ZZ,28,FALSE)</f>
        <v>6.421</v>
      </c>
      <c r="AP56" s="28">
        <f>VLOOKUP($Q56,武学奇术!$A:$ZZ,29,FALSE)*(1+IF(OR($AL56=$F$4,$AL56=$F$5),$B$22,0))</f>
        <v>967.5</v>
      </c>
      <c r="AQ56" s="27" cm="1">
        <f t="array" ref="AQ56">$G$3+IFERROR(VLOOKUP($AL56,$F$4:$G$7,2,FALSE),0)+VLOOKUP($Q56,武学奇术!$A:$ZZ,2,FALSE)+SUM(_xlfn.XLOOKUP($R56:$AK56,增益!$A:$A,增益!$B:$B,0))</f>
        <v>1.0243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1847.2</v>
      </c>
      <c r="AT56" cm="1">
        <f t="array" ref="AT56">$E$10*(1+$AR56)+VLOOKUP($Q56,武学奇术!$A:$ZZ,4,FALSE)+SUM(_xlfn.XLOOKUP($R56:$AK56,增益!$A:$A,增益!$D:$D,0))-$I$2</f>
        <v>6866.8</v>
      </c>
      <c r="AU56" s="33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0.3685</v>
      </c>
      <c r="AV56" s="33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3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3" cm="1">
        <f t="array" ref="BA56">$G$11+VLOOKUP($Q56,武学奇术!$A:$ZZ,10,FALSE)+SUM(_xlfn.XLOOKUP($R56:$AK56,增益!$A:$A,增益!$J:$J,0))</f>
        <v>0</v>
      </c>
      <c r="BB56">
        <f t="shared" si="14"/>
        <v>662.4</v>
      </c>
      <c r="BC56">
        <f t="shared" si="15"/>
        <v>1260</v>
      </c>
      <c r="BD56" s="33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0.14</v>
      </c>
      <c r="BE56" s="33" cm="1">
        <f t="array" ref="BE56">$G$12+VLOOKUP($Q56,武学奇术!$A:$ZZ,12,FALSE)+SUM(_xlfn.XLOOKUP($R56:$AK56,增益!$A:$A,增益!$L:$L,0))</f>
        <v>0.15</v>
      </c>
      <c r="BF56">
        <f t="shared" si="16"/>
        <v>0</v>
      </c>
      <c r="BG56">
        <f t="shared" si="17"/>
        <v>0</v>
      </c>
      <c r="BH56" s="33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3" cm="1">
        <f t="array" ref="BI56">$G$13+VLOOKUP($Q56,武学奇术!$A:$ZZ,14,FALSE)+SUM(_xlfn.XLOOKUP($R56:$AK56,增益!$A:$A,增益!$N:$N,0))</f>
        <v>0</v>
      </c>
      <c r="BJ56">
        <f t="shared" si="18"/>
        <v>0</v>
      </c>
      <c r="BK56">
        <f t="shared" si="19"/>
        <v>0</v>
      </c>
      <c r="BL56" s="33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3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0.8354</v>
      </c>
      <c r="BP56" s="27" cm="1">
        <f t="array" ref="BP56">1+$B$13+VLOOKUP($Q56,武学奇术!$A:$ZZ,18,FALSE)+SUM(_xlfn.XLOOKUP($R56:$AK56,增益!$A:$A,增益!$R:$R,0))</f>
        <v>1.964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0.1512</v>
      </c>
      <c r="BR56" s="27" cm="1">
        <f t="array" ref="BR56">1+$B$14+VLOOKUP($Q56,武学奇术!$A:$ZZ,20,FALSE)+SUM(_xlfn.XLOOKUP($R56:$AK56,增益!$A:$A,增益!$T:$T,0))</f>
        <v>1.35</v>
      </c>
      <c r="BS56" s="27">
        <f t="shared" si="20"/>
        <v>0.8354</v>
      </c>
      <c r="BT56" s="27">
        <f t="shared" si="21"/>
        <v>0.0134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0.11</v>
      </c>
    </row>
    <row r="57" spans="1:74">
      <c r="A57" s="4" t="s">
        <v>74</v>
      </c>
      <c r="B57" s="4">
        <v>0.2</v>
      </c>
      <c r="E57" s="40"/>
      <c r="K57" s="39">
        <f t="shared" si="11"/>
        <v>10286.7062687027</v>
      </c>
      <c r="L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11522.554587223</v>
      </c>
      <c r="M57" s="39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12187.5880476531</v>
      </c>
      <c r="N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6248.6738542424</v>
      </c>
      <c r="O57" s="39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3469.50471022328</v>
      </c>
      <c r="P57" s="40">
        <v>1</v>
      </c>
      <c r="Q57" s="41" t="s">
        <v>112</v>
      </c>
      <c r="R57" s="41" t="s">
        <v>101</v>
      </c>
      <c r="S57" s="41" t="s">
        <v>76</v>
      </c>
      <c r="T57" s="41" t="s">
        <v>76</v>
      </c>
      <c r="U57" s="41" t="s">
        <v>84</v>
      </c>
      <c r="V57" s="41" t="s">
        <v>155</v>
      </c>
      <c r="W57" s="41" t="s">
        <v>76</v>
      </c>
      <c r="X57" s="41" t="s">
        <v>139</v>
      </c>
      <c r="Y57" s="41" t="s">
        <v>76</v>
      </c>
      <c r="Z57" s="41" t="s">
        <v>76</v>
      </c>
      <c r="AA57" s="41" t="s">
        <v>86</v>
      </c>
      <c r="AB57" s="41" t="s">
        <v>76</v>
      </c>
      <c r="AC57" s="41" t="s">
        <v>76</v>
      </c>
      <c r="AD57" s="41" t="s">
        <v>79</v>
      </c>
      <c r="AE57" s="41" t="s">
        <v>80</v>
      </c>
      <c r="AF57" s="41" t="s">
        <v>76</v>
      </c>
      <c r="AG57" s="41" t="s">
        <v>76</v>
      </c>
      <c r="AH57" s="41" t="s">
        <v>76</v>
      </c>
      <c r="AI57" s="41" t="s">
        <v>76</v>
      </c>
      <c r="AJ57" s="41" t="s">
        <v>76</v>
      </c>
      <c r="AK57" s="41" t="s">
        <v>87</v>
      </c>
      <c r="AL57" t="str">
        <f>VLOOKUP($Q57,武学奇术!$A:$ZZ,25,FALSE)</f>
        <v>枪</v>
      </c>
      <c r="AM57" s="27">
        <f>VLOOKUP($Q57,武学奇术!$A:$ZZ,26,FALSE)</f>
        <v>0.4843</v>
      </c>
      <c r="AN57" s="28">
        <f>VLOOKUP($Q57,武学奇术!$A:$ZZ,27,FALSE)*(1+IF(OR($AL57=$F$4,$AL57=$F$5),$B$22,0))</f>
        <v>201</v>
      </c>
      <c r="AO57" s="27">
        <f>VLOOKUP($Q57,武学奇术!$A:$ZZ,28,FALSE)</f>
        <v>0.7264</v>
      </c>
      <c r="AP57" s="28">
        <f>VLOOKUP($Q57,武学奇术!$A:$ZZ,29,FALSE)*(1+IF(OR($AL57=$F$4,$AL57=$F$5),$B$22,0))</f>
        <v>109.5</v>
      </c>
      <c r="AQ57" s="27" cm="1">
        <f t="array" ref="AQ57">$G$3+IFERROR(VLOOKUP($AL57,$F$4:$G$7,2,FALSE),0)+VLOOKUP($Q57,武学奇术!$A:$ZZ,2,FALSE)+SUM(_xlfn.XLOOKUP($R57:$AK57,增益!$A:$A,增益!$B:$B,0))</f>
        <v>0.3389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1847.2</v>
      </c>
      <c r="AT57" cm="1">
        <f t="array" ref="AT57">$E$10*(1+$AR57)+VLOOKUP($Q57,武学奇术!$A:$ZZ,4,FALSE)+SUM(_xlfn.XLOOKUP($R57:$AK57,增益!$A:$A,增益!$D:$D,0))-$I$2</f>
        <v>6666.8</v>
      </c>
      <c r="AU57" s="33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0.3585</v>
      </c>
      <c r="AV57" s="33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3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3" cm="1">
        <f t="array" ref="BA57">$G$11+VLOOKUP($Q57,武学奇术!$A:$ZZ,10,FALSE)+SUM(_xlfn.XLOOKUP($R57:$AK57,增益!$A:$A,增益!$J:$J,0))</f>
        <v>0</v>
      </c>
      <c r="BB57">
        <f t="shared" si="14"/>
        <v>662.4</v>
      </c>
      <c r="BC57">
        <f t="shared" si="15"/>
        <v>1260</v>
      </c>
      <c r="BD57" s="33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0.14</v>
      </c>
      <c r="BE57" s="33" cm="1">
        <f t="array" ref="BE57">$G$12+VLOOKUP($Q57,武学奇术!$A:$ZZ,12,FALSE)+SUM(_xlfn.XLOOKUP($R57:$AK57,增益!$A:$A,增益!$L:$L,0))</f>
        <v>0.15</v>
      </c>
      <c r="BF57">
        <f t="shared" si="16"/>
        <v>0</v>
      </c>
      <c r="BG57">
        <f t="shared" si="17"/>
        <v>0</v>
      </c>
      <c r="BH57" s="33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3" cm="1">
        <f t="array" ref="BI57">$G$13+VLOOKUP($Q57,武学奇术!$A:$ZZ,14,FALSE)+SUM(_xlfn.XLOOKUP($R57:$AK57,增益!$A:$A,增益!$N:$N,0))</f>
        <v>0</v>
      </c>
      <c r="BJ57">
        <f t="shared" si="18"/>
        <v>0</v>
      </c>
      <c r="BK57">
        <f t="shared" si="19"/>
        <v>0</v>
      </c>
      <c r="BL57" s="33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3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1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0.5954</v>
      </c>
      <c r="BP57" s="27" cm="1">
        <f t="array" ref="BP57">1+$B$13+VLOOKUP($Q57,武学奇术!$A:$ZZ,18,FALSE)+SUM(_xlfn.XLOOKUP($R57:$AK57,增益!$A:$A,增益!$R:$R,0))</f>
        <v>1.844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0.1512</v>
      </c>
      <c r="BR57" s="27" cm="1">
        <f t="array" ref="BR57">1+$B$14+VLOOKUP($Q57,武学奇术!$A:$ZZ,20,FALSE)+SUM(_xlfn.XLOOKUP($R57:$AK57,增益!$A:$A,增益!$T:$T,0))</f>
        <v>1.35</v>
      </c>
      <c r="BS57" s="27">
        <f t="shared" si="20"/>
        <v>0.5954</v>
      </c>
      <c r="BT57" s="27">
        <f t="shared" si="21"/>
        <v>0.2534</v>
      </c>
      <c r="BU57" s="27">
        <f>IF(VLOOKUP($Q57,武学奇术!$A:$ZZ,22,FALSE)=1,0,(1-$BN57))*(1-$BQ57)</f>
        <v>0</v>
      </c>
      <c r="BV57" s="27" cm="1">
        <f t="array" ref="BV57">SUM(_xlfn.XLOOKUP($R57:$AK57,增益!$A:$A,增益!$W:$W,0))+$I$5</f>
        <v>0.11</v>
      </c>
    </row>
    <row r="58" spans="1:74">
      <c r="A58" s="4" t="s">
        <v>157</v>
      </c>
      <c r="B58" s="4">
        <v>1.2</v>
      </c>
      <c r="C58" s="40" t="s">
        <v>158</v>
      </c>
      <c r="E58" s="40"/>
      <c r="K58" s="39">
        <f t="shared" si="11"/>
        <v>359378.753736442</v>
      </c>
      <c r="L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361077.961081287</v>
      </c>
      <c r="M58" s="39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365379.055406642</v>
      </c>
      <c r="N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185739.691914242</v>
      </c>
      <c r="O58" s="39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100828.231675416</v>
      </c>
      <c r="P58" s="40">
        <v>1</v>
      </c>
      <c r="Q58" s="41" t="s">
        <v>106</v>
      </c>
      <c r="R58" s="41" t="s">
        <v>101</v>
      </c>
      <c r="S58" s="41" t="s">
        <v>114</v>
      </c>
      <c r="T58" s="41" t="s">
        <v>76</v>
      </c>
      <c r="U58" s="41" t="s">
        <v>76</v>
      </c>
      <c r="V58" s="41" t="s">
        <v>155</v>
      </c>
      <c r="W58" s="41" t="s">
        <v>76</v>
      </c>
      <c r="X58" s="41" t="s">
        <v>139</v>
      </c>
      <c r="Y58" s="41" t="s">
        <v>76</v>
      </c>
      <c r="Z58" s="41" t="s">
        <v>76</v>
      </c>
      <c r="AA58" s="41" t="s">
        <v>86</v>
      </c>
      <c r="AB58" s="41" t="s">
        <v>76</v>
      </c>
      <c r="AC58" s="41" t="s">
        <v>76</v>
      </c>
      <c r="AD58" s="41" t="s">
        <v>79</v>
      </c>
      <c r="AE58" s="41" t="s">
        <v>80</v>
      </c>
      <c r="AF58" s="41" t="s">
        <v>108</v>
      </c>
      <c r="AG58" s="41" t="s">
        <v>76</v>
      </c>
      <c r="AH58" s="41" t="s">
        <v>76</v>
      </c>
      <c r="AI58" s="41" t="s">
        <v>76</v>
      </c>
      <c r="AJ58" s="41" t="s">
        <v>76</v>
      </c>
      <c r="AK58" s="41" t="s">
        <v>87</v>
      </c>
      <c r="AL58" t="str">
        <f>VLOOKUP($Q58,武学奇术!$A:$ZZ,25,FALSE)</f>
        <v>陌刀</v>
      </c>
      <c r="AM58" s="27">
        <f>VLOOKUP($Q58,武学奇术!$A:$ZZ,26,FALSE)</f>
        <v>7.2368</v>
      </c>
      <c r="AN58" s="28">
        <f>VLOOKUP($Q58,武学奇术!$A:$ZZ,27,FALSE)*(1+IF(OR($AL58=$F$4,$AL58=$F$5),$B$22,0))</f>
        <v>3003</v>
      </c>
      <c r="AO58" s="27">
        <f>VLOOKUP($Q58,武学奇术!$A:$ZZ,28,FALSE)</f>
        <v>10.8553</v>
      </c>
      <c r="AP58" s="28">
        <f>VLOOKUP($Q58,武学奇术!$A:$ZZ,29,FALSE)*(1+IF(OR($AL58=$F$4,$AL58=$F$5),$B$22,0))</f>
        <v>1635</v>
      </c>
      <c r="AQ58" s="27" cm="1">
        <f t="array" ref="AQ58">$G$3+IFERROR(VLOOKUP($AL58,$F$4:$G$7,2,FALSE),0)+VLOOKUP($Q58,武学奇术!$A:$ZZ,2,FALSE)+SUM(_xlfn.XLOOKUP($R58:$AK58,增益!$A:$A,增益!$B:$B,0))</f>
        <v>1.0243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1847.2</v>
      </c>
      <c r="AT58" cm="1">
        <f t="array" ref="AT58">$E$10*(1+$AR58)+VLOOKUP($Q58,武学奇术!$A:$ZZ,4,FALSE)+SUM(_xlfn.XLOOKUP($R58:$AK58,增益!$A:$A,增益!$D:$D,0))-$I$2</f>
        <v>6866.8</v>
      </c>
      <c r="AU58" s="33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0.3585</v>
      </c>
      <c r="AV58" s="33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3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3" cm="1">
        <f t="array" ref="BA58">$G$11+VLOOKUP($Q58,武学奇术!$A:$ZZ,10,FALSE)+SUM(_xlfn.XLOOKUP($R58:$AK58,增益!$A:$A,增益!$J:$J,0))</f>
        <v>0</v>
      </c>
      <c r="BB58">
        <f t="shared" si="14"/>
        <v>662.4</v>
      </c>
      <c r="BC58">
        <f t="shared" si="15"/>
        <v>1260</v>
      </c>
      <c r="BD58" s="33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3" cm="1">
        <f t="array" ref="BE58">$G$12+VLOOKUP($Q58,武学奇术!$A:$ZZ,12,FALSE)+SUM(_xlfn.XLOOKUP($R58:$AK58,增益!$A:$A,增益!$L:$L,0))</f>
        <v>0.15</v>
      </c>
      <c r="BF58">
        <f t="shared" si="16"/>
        <v>0</v>
      </c>
      <c r="BG58">
        <f t="shared" si="17"/>
        <v>0</v>
      </c>
      <c r="BH58" s="33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3" cm="1">
        <f t="array" ref="BI58">$G$13+VLOOKUP($Q58,武学奇术!$A:$ZZ,14,FALSE)+SUM(_xlfn.XLOOKUP($R58:$AK58,增益!$A:$A,增益!$N:$N,0))</f>
        <v>0</v>
      </c>
      <c r="BJ58">
        <f t="shared" si="18"/>
        <v>0</v>
      </c>
      <c r="BK58">
        <f t="shared" si="19"/>
        <v>0</v>
      </c>
      <c r="BL58" s="33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3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1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0.8354</v>
      </c>
      <c r="BP58" s="27" cm="1">
        <f t="array" ref="BP58">1+$B$13+VLOOKUP($Q58,武学奇术!$A:$ZZ,18,FALSE)+SUM(_xlfn.XLOOKUP($R58:$AK58,增益!$A:$A,增益!$R:$R,0))</f>
        <v>1.944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0.1512</v>
      </c>
      <c r="BR58" s="27" cm="1">
        <f t="array" ref="BR58">1+$B$14+VLOOKUP($Q58,武学奇术!$A:$ZZ,20,FALSE)+SUM(_xlfn.XLOOKUP($R58:$AK58,增益!$A:$A,增益!$T:$T,0))</f>
        <v>1.35</v>
      </c>
      <c r="BS58" s="27">
        <f t="shared" si="20"/>
        <v>0.8354</v>
      </c>
      <c r="BT58" s="27">
        <f t="shared" si="21"/>
        <v>0.0134</v>
      </c>
      <c r="BU58" s="27">
        <f>IF(VLOOKUP($Q58,武学奇术!$A:$ZZ,22,FALSE)=1,0,(1-$BN58))*(1-$BQ58)</f>
        <v>0</v>
      </c>
      <c r="BV58" s="27" cm="1">
        <f t="array" ref="BV58">SUM(_xlfn.XLOOKUP($R58:$AK58,增益!$A:$A,增益!$W:$W,0))+$I$5</f>
        <v>0.11</v>
      </c>
    </row>
    <row r="59" spans="1:74">
      <c r="A59" s="4" t="s">
        <v>163</v>
      </c>
      <c r="B59" s="4">
        <v>1.66</v>
      </c>
      <c r="C59" s="40"/>
      <c r="E59" s="40"/>
      <c r="K59" s="39">
        <f t="shared" si="11"/>
        <v>220184.037747364</v>
      </c>
      <c r="L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222098.473394197</v>
      </c>
      <c r="M59" s="39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219248.913293379</v>
      </c>
      <c r="N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111383.386857672</v>
      </c>
      <c r="O59" s="39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60360.1712758034</v>
      </c>
      <c r="P59" s="40">
        <v>1</v>
      </c>
      <c r="Q59" s="41" t="s">
        <v>117</v>
      </c>
      <c r="R59" s="41" t="s">
        <v>101</v>
      </c>
      <c r="S59" s="41" t="s">
        <v>114</v>
      </c>
      <c r="T59" s="41" t="s">
        <v>76</v>
      </c>
      <c r="U59" s="41" t="s">
        <v>76</v>
      </c>
      <c r="V59" s="41" t="s">
        <v>155</v>
      </c>
      <c r="W59" s="41" t="s">
        <v>76</v>
      </c>
      <c r="X59" s="41" t="s">
        <v>134</v>
      </c>
      <c r="Y59" s="41" t="s">
        <v>76</v>
      </c>
      <c r="Z59" s="41" t="s">
        <v>76</v>
      </c>
      <c r="AA59" s="41" t="s">
        <v>86</v>
      </c>
      <c r="AB59" s="41" t="s">
        <v>76</v>
      </c>
      <c r="AC59" s="41" t="s">
        <v>76</v>
      </c>
      <c r="AD59" s="41" t="s">
        <v>79</v>
      </c>
      <c r="AE59" s="41" t="s">
        <v>80</v>
      </c>
      <c r="AF59" s="41" t="s">
        <v>108</v>
      </c>
      <c r="AG59" s="41" t="s">
        <v>76</v>
      </c>
      <c r="AH59" s="41" t="s">
        <v>76</v>
      </c>
      <c r="AI59" s="41" t="s">
        <v>76</v>
      </c>
      <c r="AJ59" s="41" t="s">
        <v>76</v>
      </c>
      <c r="AK59" s="41" t="s">
        <v>87</v>
      </c>
      <c r="AL59" t="str">
        <f>VLOOKUP($Q59,武学奇术!$A:$ZZ,25,FALSE)</f>
        <v>陌刀</v>
      </c>
      <c r="AM59" s="27">
        <f>VLOOKUP($Q59,武学奇术!$A:$ZZ,26,FALSE)</f>
        <v>4.2807</v>
      </c>
      <c r="AN59" s="28">
        <f>VLOOKUP($Q59,武学奇术!$A:$ZZ,27,FALSE)*(1+IF(OR($AL59=$F$4,$AL59=$F$5),$B$22,0))</f>
        <v>1776</v>
      </c>
      <c r="AO59" s="27">
        <f>VLOOKUP($Q59,武学奇术!$A:$ZZ,28,FALSE)</f>
        <v>6.421</v>
      </c>
      <c r="AP59" s="28">
        <f>VLOOKUP($Q59,武学奇术!$A:$ZZ,29,FALSE)*(1+IF(OR($AL59=$F$4,$AL59=$F$5),$B$22,0))</f>
        <v>967.5</v>
      </c>
      <c r="AQ59" s="27" cm="1">
        <f t="array" ref="AQ59">$G$3+IFERROR(VLOOKUP($AL59,$F$4:$G$7,2,FALSE),0)+VLOOKUP($Q59,武学奇术!$A:$ZZ,2,FALSE)+SUM(_xlfn.XLOOKUP($R59:$AK59,增益!$A:$A,增益!$B:$B,0))</f>
        <v>1.0243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1847.2</v>
      </c>
      <c r="AT59" cm="1">
        <f t="array" ref="AT59">$E$10*(1+$AR59)+VLOOKUP($Q59,武学奇术!$A:$ZZ,4,FALSE)+SUM(_xlfn.XLOOKUP($R59:$AK59,增益!$A:$A,增益!$D:$D,0))-$I$2</f>
        <v>6866.8</v>
      </c>
      <c r="AU59" s="33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0.3835</v>
      </c>
      <c r="AV59" s="33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3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3" cm="1">
        <f t="array" ref="BA59">$G$11+VLOOKUP($Q59,武学奇术!$A:$ZZ,10,FALSE)+SUM(_xlfn.XLOOKUP($R59:$AK59,增益!$A:$A,增益!$J:$J,0))</f>
        <v>0</v>
      </c>
      <c r="BB59">
        <f t="shared" si="14"/>
        <v>662.4</v>
      </c>
      <c r="BC59">
        <f t="shared" si="15"/>
        <v>1260</v>
      </c>
      <c r="BD59" s="33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3" cm="1">
        <f t="array" ref="BE59">$G$12+VLOOKUP($Q59,武学奇术!$A:$ZZ,12,FALSE)+SUM(_xlfn.XLOOKUP($R59:$AK59,增益!$A:$A,增益!$L:$L,0))</f>
        <v>0.15</v>
      </c>
      <c r="BF59">
        <f t="shared" si="16"/>
        <v>0</v>
      </c>
      <c r="BG59">
        <f t="shared" si="17"/>
        <v>0</v>
      </c>
      <c r="BH59" s="33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3" cm="1">
        <f t="array" ref="BI59">$G$13+VLOOKUP($Q59,武学奇术!$A:$ZZ,14,FALSE)+SUM(_xlfn.XLOOKUP($R59:$AK59,增益!$A:$A,增益!$N:$N,0))</f>
        <v>0</v>
      </c>
      <c r="BJ59">
        <f t="shared" si="18"/>
        <v>0</v>
      </c>
      <c r="BK59">
        <f t="shared" si="19"/>
        <v>0</v>
      </c>
      <c r="BL59" s="33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3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1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0.8354</v>
      </c>
      <c r="BP59" s="27" cm="1">
        <f t="array" ref="BP59">1+$B$13+VLOOKUP($Q59,武学奇术!$A:$ZZ,18,FALSE)+SUM(_xlfn.XLOOKUP($R59:$AK59,增益!$A:$A,增益!$R:$R,0))</f>
        <v>1.994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0.1512</v>
      </c>
      <c r="BR59" s="27" cm="1">
        <f t="array" ref="BR59">1+$B$14+VLOOKUP($Q59,武学奇术!$A:$ZZ,20,FALSE)+SUM(_xlfn.XLOOKUP($R59:$AK59,增益!$A:$A,增益!$T:$T,0))</f>
        <v>1.35</v>
      </c>
      <c r="BS59" s="27">
        <f t="shared" si="20"/>
        <v>0.8354</v>
      </c>
      <c r="BT59" s="27">
        <f t="shared" si="21"/>
        <v>0.0134</v>
      </c>
      <c r="BU59" s="27">
        <f>IF(VLOOKUP($Q59,武学奇术!$A:$ZZ,22,FALSE)=1,0,(1-$BN59))*(1-$BQ59)</f>
        <v>0</v>
      </c>
      <c r="BV59" s="27" cm="1">
        <f t="array" ref="BV59">SUM(_xlfn.XLOOKUP($R59:$AK59,增益!$A:$A,增益!$W:$W,0))+$I$5</f>
        <v>0.11</v>
      </c>
    </row>
    <row r="60" spans="1:74">
      <c r="A60" s="4" t="s">
        <v>168</v>
      </c>
      <c r="B60" s="4">
        <v>1.33</v>
      </c>
      <c r="C60" s="40"/>
      <c r="K60" s="39">
        <f t="shared" si="11"/>
        <v>389750.682514995</v>
      </c>
      <c r="L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396302.259405721</v>
      </c>
      <c r="M60" s="39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371321.053948469</v>
      </c>
      <c r="N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189256.093316963</v>
      </c>
      <c r="O60" s="39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103459.554079505</v>
      </c>
      <c r="P60" s="40">
        <v>1</v>
      </c>
      <c r="Q60" s="41" t="s">
        <v>106</v>
      </c>
      <c r="R60" s="41" t="s">
        <v>101</v>
      </c>
      <c r="S60" s="41" t="s">
        <v>114</v>
      </c>
      <c r="T60" s="41" t="s">
        <v>77</v>
      </c>
      <c r="U60" s="41" t="s">
        <v>84</v>
      </c>
      <c r="V60" s="41" t="s">
        <v>155</v>
      </c>
      <c r="W60" s="41" t="s">
        <v>76</v>
      </c>
      <c r="X60" s="41" t="s">
        <v>139</v>
      </c>
      <c r="Y60" s="41" t="s">
        <v>76</v>
      </c>
      <c r="Z60" s="41" t="s">
        <v>76</v>
      </c>
      <c r="AA60" s="41" t="s">
        <v>93</v>
      </c>
      <c r="AB60" s="41" t="s">
        <v>76</v>
      </c>
      <c r="AC60" s="41" t="s">
        <v>76</v>
      </c>
      <c r="AD60" s="41" t="s">
        <v>79</v>
      </c>
      <c r="AE60" s="41" t="s">
        <v>80</v>
      </c>
      <c r="AF60" s="41" t="s">
        <v>108</v>
      </c>
      <c r="AG60" s="41" t="s">
        <v>76</v>
      </c>
      <c r="AH60" s="41" t="s">
        <v>76</v>
      </c>
      <c r="AI60" s="41" t="s">
        <v>76</v>
      </c>
      <c r="AJ60" s="41" t="s">
        <v>76</v>
      </c>
      <c r="AK60" s="41" t="s">
        <v>87</v>
      </c>
      <c r="AL60" t="str">
        <f>VLOOKUP($Q60,武学奇术!$A:$ZZ,25,FALSE)</f>
        <v>陌刀</v>
      </c>
      <c r="AM60" s="27">
        <f>VLOOKUP($Q60,武学奇术!$A:$ZZ,26,FALSE)</f>
        <v>7.2368</v>
      </c>
      <c r="AN60" s="28">
        <f>VLOOKUP($Q60,武学奇术!$A:$ZZ,27,FALSE)*(1+IF(OR($AL60=$F$4,$AL60=$F$5),$B$22,0))</f>
        <v>3003</v>
      </c>
      <c r="AO60" s="27">
        <f>VLOOKUP($Q60,武学奇术!$A:$ZZ,28,FALSE)</f>
        <v>10.8553</v>
      </c>
      <c r="AP60" s="28">
        <f>VLOOKUP($Q60,武学奇术!$A:$ZZ,29,FALSE)*(1+IF(OR($AL60=$F$4,$AL60=$F$5),$B$22,0))</f>
        <v>1635</v>
      </c>
      <c r="AQ60" s="27" cm="1">
        <f t="array" ref="AQ60">$G$3+IFERROR(VLOOKUP($AL60,$F$4:$G$7,2,FALSE),0)+VLOOKUP($Q60,武学奇术!$A:$ZZ,2,FALSE)+SUM(_xlfn.XLOOKUP($R60:$AK60,增益!$A:$A,增益!$B:$B,0))</f>
        <v>1.0243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1847.2</v>
      </c>
      <c r="AT60" cm="1">
        <f t="array" ref="AT60">$E$10*(1+$AR60)+VLOOKUP($Q60,武学奇术!$A:$ZZ,4,FALSE)+SUM(_xlfn.XLOOKUP($R60:$AK60,增益!$A:$A,增益!$D:$D,0))-$I$2</f>
        <v>6866.8</v>
      </c>
      <c r="AU60" s="33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0.3585</v>
      </c>
      <c r="AV60" s="33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3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-0.14</v>
      </c>
      <c r="BA60" s="33" cm="1">
        <f t="array" ref="BA60">$G$11+VLOOKUP($Q60,武学奇术!$A:$ZZ,10,FALSE)+SUM(_xlfn.XLOOKUP($R60:$AK60,增益!$A:$A,增益!$J:$J,0))</f>
        <v>0</v>
      </c>
      <c r="BB60">
        <f t="shared" si="14"/>
        <v>662.4</v>
      </c>
      <c r="BC60">
        <f t="shared" si="15"/>
        <v>1260</v>
      </c>
      <c r="BD60" s="33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0.14</v>
      </c>
      <c r="BE60" s="33" cm="1">
        <f t="array" ref="BE60">$G$12+VLOOKUP($Q60,武学奇术!$A:$ZZ,12,FALSE)+SUM(_xlfn.XLOOKUP($R60:$AK60,增益!$A:$A,增益!$L:$L,0))</f>
        <v>0.15</v>
      </c>
      <c r="BF60">
        <f t="shared" si="16"/>
        <v>0</v>
      </c>
      <c r="BG60">
        <f t="shared" si="17"/>
        <v>0</v>
      </c>
      <c r="BH60" s="33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-0.14</v>
      </c>
      <c r="BI60" s="33" cm="1">
        <f t="array" ref="BI60">$G$13+VLOOKUP($Q60,武学奇术!$A:$ZZ,14,FALSE)+SUM(_xlfn.XLOOKUP($R60:$AK60,增益!$A:$A,增益!$N:$N,0))</f>
        <v>0</v>
      </c>
      <c r="BJ60">
        <f t="shared" si="18"/>
        <v>0</v>
      </c>
      <c r="BK60">
        <f t="shared" si="19"/>
        <v>0</v>
      </c>
      <c r="BL60" s="33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-0.14</v>
      </c>
      <c r="BM60" s="33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1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0.8354</v>
      </c>
      <c r="BP60" s="27" cm="1">
        <f t="array" ref="BP60">1+$B$13+VLOOKUP($Q60,武学奇术!$A:$ZZ,18,FALSE)+SUM(_xlfn.XLOOKUP($R60:$AK60,增益!$A:$A,增益!$R:$R,0))</f>
        <v>2.094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0.1512</v>
      </c>
      <c r="BR60" s="27" cm="1">
        <f t="array" ref="BR60">1+$B$14+VLOOKUP($Q60,武学奇术!$A:$ZZ,20,FALSE)+SUM(_xlfn.XLOOKUP($R60:$AK60,增益!$A:$A,增益!$T:$T,0))</f>
        <v>1.35</v>
      </c>
      <c r="BS60" s="27">
        <f t="shared" si="20"/>
        <v>0.8354</v>
      </c>
      <c r="BT60" s="27">
        <f t="shared" si="21"/>
        <v>0.0134</v>
      </c>
      <c r="BU60" s="27">
        <f>IF(VLOOKUP($Q60,武学奇术!$A:$ZZ,22,FALSE)=1,0,(1-$BN60))*(1-$BQ60)</f>
        <v>0</v>
      </c>
      <c r="BV60" s="27" cm="1">
        <f t="array" ref="BV60">SUM(_xlfn.XLOOKUP($R60:$AK60,增益!$A:$A,增益!$W:$W,0))+$I$5</f>
        <v>0.11</v>
      </c>
    </row>
    <row r="61" spans="1:74">
      <c r="A61" s="4" t="s">
        <v>164</v>
      </c>
      <c r="B61" s="4">
        <v>1</v>
      </c>
      <c r="C61" s="40"/>
      <c r="K61" s="39">
        <f t="shared" ref="K61:K73" si="22">($L61*$BS61+$M61*$BQ61+$N61*$BT61+$O61*$BU61)</f>
        <v>238426.554510877</v>
      </c>
      <c r="L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243265.796755929</v>
      </c>
      <c r="M61" s="39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222763.866873341</v>
      </c>
      <c r="N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113463.52460631</v>
      </c>
      <c r="O61" s="39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61916.7774545894</v>
      </c>
      <c r="P61" s="40">
        <v>1</v>
      </c>
      <c r="Q61" s="41" t="s">
        <v>117</v>
      </c>
      <c r="R61" s="41" t="s">
        <v>101</v>
      </c>
      <c r="S61" s="41" t="s">
        <v>114</v>
      </c>
      <c r="T61" s="41" t="s">
        <v>77</v>
      </c>
      <c r="U61" s="41" t="s">
        <v>84</v>
      </c>
      <c r="V61" s="41" t="s">
        <v>155</v>
      </c>
      <c r="W61" s="41" t="s">
        <v>76</v>
      </c>
      <c r="X61" s="41" t="s">
        <v>134</v>
      </c>
      <c r="Y61" s="41" t="s">
        <v>76</v>
      </c>
      <c r="Z61" s="41" t="s">
        <v>76</v>
      </c>
      <c r="AA61" s="41" t="s">
        <v>93</v>
      </c>
      <c r="AB61" s="41" t="s">
        <v>76</v>
      </c>
      <c r="AC61" s="41" t="s">
        <v>76</v>
      </c>
      <c r="AD61" s="41" t="s">
        <v>79</v>
      </c>
      <c r="AE61" s="41" t="s">
        <v>80</v>
      </c>
      <c r="AF61" s="41" t="s">
        <v>108</v>
      </c>
      <c r="AG61" s="41" t="s">
        <v>76</v>
      </c>
      <c r="AH61" s="41" t="s">
        <v>76</v>
      </c>
      <c r="AI61" s="41" t="s">
        <v>76</v>
      </c>
      <c r="AJ61" s="41" t="s">
        <v>76</v>
      </c>
      <c r="AK61" s="41" t="s">
        <v>87</v>
      </c>
      <c r="AL61" t="str">
        <f>VLOOKUP($Q61,武学奇术!$A:$ZZ,25,FALSE)</f>
        <v>陌刀</v>
      </c>
      <c r="AM61" s="27">
        <f>VLOOKUP($Q61,武学奇术!$A:$ZZ,26,FALSE)</f>
        <v>4.2807</v>
      </c>
      <c r="AN61" s="28">
        <f>VLOOKUP($Q61,武学奇术!$A:$ZZ,27,FALSE)*(1+IF(OR($AL61=$F$4,$AL61=$F$5),$B$22,0))</f>
        <v>1776</v>
      </c>
      <c r="AO61" s="27">
        <f>VLOOKUP($Q61,武学奇术!$A:$ZZ,28,FALSE)</f>
        <v>6.421</v>
      </c>
      <c r="AP61" s="28">
        <f>VLOOKUP($Q61,武学奇术!$A:$ZZ,29,FALSE)*(1+IF(OR($AL61=$F$4,$AL61=$F$5),$B$22,0))</f>
        <v>967.5</v>
      </c>
      <c r="AQ61" s="27" cm="1">
        <f t="array" ref="AQ61">$G$3+IFERROR(VLOOKUP($AL61,$F$4:$G$7,2,FALSE),0)+VLOOKUP($Q61,武学奇术!$A:$ZZ,2,FALSE)+SUM(_xlfn.XLOOKUP($R61:$AK61,增益!$A:$A,增益!$B:$B,0))</f>
        <v>1.0243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1847.2</v>
      </c>
      <c r="AT61" cm="1">
        <f t="array" ref="AT61">$E$10*(1+$AR61)+VLOOKUP($Q61,武学奇术!$A:$ZZ,4,FALSE)+SUM(_xlfn.XLOOKUP($R61:$AK61,增益!$A:$A,增益!$D:$D,0))-$I$2</f>
        <v>6866.8</v>
      </c>
      <c r="AU61" s="33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0.3835</v>
      </c>
      <c r="AV61" s="33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3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3" cm="1">
        <f t="array" ref="BA61">$G$11+VLOOKUP($Q61,武学奇术!$A:$ZZ,10,FALSE)+SUM(_xlfn.XLOOKUP($R61:$AK61,增益!$A:$A,增益!$J:$J,0))</f>
        <v>0</v>
      </c>
      <c r="BB61">
        <f t="shared" si="14"/>
        <v>662.4</v>
      </c>
      <c r="BC61">
        <f t="shared" si="15"/>
        <v>1260</v>
      </c>
      <c r="BD61" s="33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0.14</v>
      </c>
      <c r="BE61" s="33" cm="1">
        <f t="array" ref="BE61">$G$12+VLOOKUP($Q61,武学奇术!$A:$ZZ,12,FALSE)+SUM(_xlfn.XLOOKUP($R61:$AK61,增益!$A:$A,增益!$L:$L,0))</f>
        <v>0.15</v>
      </c>
      <c r="BF61">
        <f t="shared" si="16"/>
        <v>0</v>
      </c>
      <c r="BG61">
        <f t="shared" si="17"/>
        <v>0</v>
      </c>
      <c r="BH61" s="33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3" cm="1">
        <f t="array" ref="BI61">$G$13+VLOOKUP($Q61,武学奇术!$A:$ZZ,14,FALSE)+SUM(_xlfn.XLOOKUP($R61:$AK61,增益!$A:$A,增益!$N:$N,0))</f>
        <v>0</v>
      </c>
      <c r="BJ61">
        <f t="shared" si="18"/>
        <v>0</v>
      </c>
      <c r="BK61">
        <f t="shared" si="19"/>
        <v>0</v>
      </c>
      <c r="BL61" s="33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3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1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0.8354</v>
      </c>
      <c r="BP61" s="27" cm="1">
        <f t="array" ref="BP61">1+$B$13+VLOOKUP($Q61,武学奇术!$A:$ZZ,18,FALSE)+SUM(_xlfn.XLOOKUP($R61:$AK61,增益!$A:$A,增益!$R:$R,0))</f>
        <v>2.144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0.1512</v>
      </c>
      <c r="BR61" s="27" cm="1">
        <f t="array" ref="BR61">1+$B$14+VLOOKUP($Q61,武学奇术!$A:$ZZ,20,FALSE)+SUM(_xlfn.XLOOKUP($R61:$AK61,增益!$A:$A,增益!$T:$T,0))</f>
        <v>1.35</v>
      </c>
      <c r="BS61" s="27">
        <f t="shared" si="20"/>
        <v>0.8354</v>
      </c>
      <c r="BT61" s="27">
        <f t="shared" si="21"/>
        <v>0.0134</v>
      </c>
      <c r="BU61" s="27">
        <f>IF(VLOOKUP($Q61,武学奇术!$A:$ZZ,22,FALSE)=1,0,(1-$BN61))*(1-$BQ61)</f>
        <v>0</v>
      </c>
      <c r="BV61" s="27" cm="1">
        <f t="array" ref="BV61">SUM(_xlfn.XLOOKUP($R61:$AK61,增益!$A:$A,增益!$W:$W,0))+$I$5</f>
        <v>0.11</v>
      </c>
    </row>
    <row r="62" spans="1:74">
      <c r="A62" s="4" t="s">
        <v>74</v>
      </c>
      <c r="B62" s="4">
        <v>0.4</v>
      </c>
      <c r="K62" s="39">
        <f t="shared" si="22"/>
        <v>389750.682514995</v>
      </c>
      <c r="L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396302.259405721</v>
      </c>
      <c r="M62" s="39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371321.053948469</v>
      </c>
      <c r="N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189256.093316963</v>
      </c>
      <c r="O62" s="39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103459.554079505</v>
      </c>
      <c r="P62" s="40">
        <v>1</v>
      </c>
      <c r="Q62" s="41" t="s">
        <v>106</v>
      </c>
      <c r="R62" s="41" t="s">
        <v>101</v>
      </c>
      <c r="S62" s="41" t="s">
        <v>114</v>
      </c>
      <c r="T62" s="41" t="s">
        <v>77</v>
      </c>
      <c r="U62" s="41" t="s">
        <v>84</v>
      </c>
      <c r="V62" s="41" t="s">
        <v>155</v>
      </c>
      <c r="W62" s="41" t="s">
        <v>76</v>
      </c>
      <c r="X62" s="41" t="s">
        <v>139</v>
      </c>
      <c r="Y62" s="41" t="s">
        <v>76</v>
      </c>
      <c r="Z62" s="41" t="s">
        <v>76</v>
      </c>
      <c r="AA62" s="41" t="s">
        <v>93</v>
      </c>
      <c r="AB62" s="41" t="s">
        <v>76</v>
      </c>
      <c r="AC62" s="41" t="s">
        <v>76</v>
      </c>
      <c r="AD62" s="41" t="s">
        <v>79</v>
      </c>
      <c r="AE62" s="41" t="s">
        <v>80</v>
      </c>
      <c r="AF62" s="41" t="s">
        <v>108</v>
      </c>
      <c r="AG62" s="41" t="s">
        <v>76</v>
      </c>
      <c r="AH62" s="41" t="s">
        <v>76</v>
      </c>
      <c r="AI62" s="41" t="s">
        <v>76</v>
      </c>
      <c r="AJ62" s="41" t="s">
        <v>76</v>
      </c>
      <c r="AK62" s="41" t="s">
        <v>87</v>
      </c>
      <c r="AL62" t="str">
        <f>VLOOKUP($Q62,武学奇术!$A:$ZZ,25,FALSE)</f>
        <v>陌刀</v>
      </c>
      <c r="AM62" s="27">
        <f>VLOOKUP($Q62,武学奇术!$A:$ZZ,26,FALSE)</f>
        <v>7.2368</v>
      </c>
      <c r="AN62" s="28">
        <f>VLOOKUP($Q62,武学奇术!$A:$ZZ,27,FALSE)*(1+IF(OR($AL62=$F$4,$AL62=$F$5),$B$22,0))</f>
        <v>3003</v>
      </c>
      <c r="AO62" s="27">
        <f>VLOOKUP($Q62,武学奇术!$A:$ZZ,28,FALSE)</f>
        <v>10.8553</v>
      </c>
      <c r="AP62" s="28">
        <f>VLOOKUP($Q62,武学奇术!$A:$ZZ,29,FALSE)*(1+IF(OR($AL62=$F$4,$AL62=$F$5),$B$22,0))</f>
        <v>1635</v>
      </c>
      <c r="AQ62" s="27" cm="1">
        <f t="array" ref="AQ62">$G$3+IFERROR(VLOOKUP($AL62,$F$4:$G$7,2,FALSE),0)+VLOOKUP($Q62,武学奇术!$A:$ZZ,2,FALSE)+SUM(_xlfn.XLOOKUP($R62:$AK62,增益!$A:$A,增益!$B:$B,0))</f>
        <v>1.0243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1847.2</v>
      </c>
      <c r="AT62" cm="1">
        <f t="array" ref="AT62">$E$10*(1+$AR62)+VLOOKUP($Q62,武学奇术!$A:$ZZ,4,FALSE)+SUM(_xlfn.XLOOKUP($R62:$AK62,增益!$A:$A,增益!$D:$D,0))-$I$2</f>
        <v>6866.8</v>
      </c>
      <c r="AU62" s="33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0.3585</v>
      </c>
      <c r="AV62" s="33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3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3" cm="1">
        <f t="array" ref="BA62">$G$11+VLOOKUP($Q62,武学奇术!$A:$ZZ,10,FALSE)+SUM(_xlfn.XLOOKUP($R62:$AK62,增益!$A:$A,增益!$J:$J,0))</f>
        <v>0</v>
      </c>
      <c r="BB62">
        <f t="shared" si="14"/>
        <v>662.4</v>
      </c>
      <c r="BC62">
        <f t="shared" si="15"/>
        <v>1260</v>
      </c>
      <c r="BD62" s="33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0.14</v>
      </c>
      <c r="BE62" s="33" cm="1">
        <f t="array" ref="BE62">$G$12+VLOOKUP($Q62,武学奇术!$A:$ZZ,12,FALSE)+SUM(_xlfn.XLOOKUP($R62:$AK62,增益!$A:$A,增益!$L:$L,0))</f>
        <v>0.15</v>
      </c>
      <c r="BF62">
        <f t="shared" si="16"/>
        <v>0</v>
      </c>
      <c r="BG62">
        <f t="shared" si="17"/>
        <v>0</v>
      </c>
      <c r="BH62" s="33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3" cm="1">
        <f t="array" ref="BI62">$G$13+VLOOKUP($Q62,武学奇术!$A:$ZZ,14,FALSE)+SUM(_xlfn.XLOOKUP($R62:$AK62,增益!$A:$A,增益!$N:$N,0))</f>
        <v>0</v>
      </c>
      <c r="BJ62">
        <f t="shared" si="18"/>
        <v>0</v>
      </c>
      <c r="BK62">
        <f t="shared" si="19"/>
        <v>0</v>
      </c>
      <c r="BL62" s="33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3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1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0.8354</v>
      </c>
      <c r="BP62" s="27" cm="1">
        <f t="array" ref="BP62">1+$B$13+VLOOKUP($Q62,武学奇术!$A:$ZZ,18,FALSE)+SUM(_xlfn.XLOOKUP($R62:$AK62,增益!$A:$A,增益!$R:$R,0))</f>
        <v>2.094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0.1512</v>
      </c>
      <c r="BR62" s="27" cm="1">
        <f t="array" ref="BR62">1+$B$14+VLOOKUP($Q62,武学奇术!$A:$ZZ,20,FALSE)+SUM(_xlfn.XLOOKUP($R62:$AK62,增益!$A:$A,增益!$T:$T,0))</f>
        <v>1.35</v>
      </c>
      <c r="BS62" s="27">
        <f t="shared" si="20"/>
        <v>0.8354</v>
      </c>
      <c r="BT62" s="27">
        <f t="shared" si="21"/>
        <v>0.0134</v>
      </c>
      <c r="BU62" s="27">
        <f>IF(VLOOKUP($Q62,武学奇术!$A:$ZZ,22,FALSE)=1,0,(1-$BN62))*(1-$BQ62)</f>
        <v>0</v>
      </c>
      <c r="BV62" s="27" cm="1">
        <f t="array" ref="BV62">SUM(_xlfn.XLOOKUP($R62:$AK62,增益!$A:$A,增益!$W:$W,0))+$I$5</f>
        <v>0.11</v>
      </c>
    </row>
    <row r="63" spans="1:74">
      <c r="A63" s="4" t="s">
        <v>163</v>
      </c>
      <c r="B63" s="4">
        <v>1.66</v>
      </c>
      <c r="K63" s="39">
        <f t="shared" si="22"/>
        <v>281386.294062386</v>
      </c>
      <c r="L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287097.471847087</v>
      </c>
      <c r="M63" s="39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262901.500544214</v>
      </c>
      <c r="N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133907.402913753</v>
      </c>
      <c r="O63" s="39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73072.9535725334</v>
      </c>
      <c r="P63" s="40">
        <v>1</v>
      </c>
      <c r="Q63" s="41" t="s">
        <v>117</v>
      </c>
      <c r="R63" s="41" t="s">
        <v>101</v>
      </c>
      <c r="S63" s="41" t="s">
        <v>114</v>
      </c>
      <c r="T63" s="41" t="s">
        <v>77</v>
      </c>
      <c r="U63" s="41" t="s">
        <v>84</v>
      </c>
      <c r="V63" s="41" t="s">
        <v>155</v>
      </c>
      <c r="W63" s="41" t="s">
        <v>76</v>
      </c>
      <c r="X63" s="41" t="s">
        <v>134</v>
      </c>
      <c r="Y63" s="41" t="s">
        <v>160</v>
      </c>
      <c r="Z63" s="41" t="s">
        <v>161</v>
      </c>
      <c r="AA63" s="41" t="s">
        <v>93</v>
      </c>
      <c r="AB63" s="41" t="s">
        <v>76</v>
      </c>
      <c r="AC63" s="41" t="s">
        <v>76</v>
      </c>
      <c r="AD63" s="41" t="s">
        <v>79</v>
      </c>
      <c r="AE63" s="41" t="s">
        <v>80</v>
      </c>
      <c r="AF63" s="41" t="s">
        <v>108</v>
      </c>
      <c r="AG63" s="41" t="s">
        <v>76</v>
      </c>
      <c r="AH63" s="41" t="s">
        <v>76</v>
      </c>
      <c r="AI63" s="41" t="s">
        <v>76</v>
      </c>
      <c r="AJ63" s="41" t="s">
        <v>76</v>
      </c>
      <c r="AK63" s="41" t="s">
        <v>87</v>
      </c>
      <c r="AL63" t="str">
        <f>VLOOKUP($Q63,武学奇术!$A:$ZZ,25,FALSE)</f>
        <v>陌刀</v>
      </c>
      <c r="AM63" s="27">
        <f>VLOOKUP($Q63,武学奇术!$A:$ZZ,26,FALSE)</f>
        <v>4.2807</v>
      </c>
      <c r="AN63" s="28">
        <f>VLOOKUP($Q63,武学奇术!$A:$ZZ,27,FALSE)*(1+IF(OR($AL63=$F$4,$AL63=$F$5),$B$22,0))</f>
        <v>1776</v>
      </c>
      <c r="AO63" s="27">
        <f>VLOOKUP($Q63,武学奇术!$A:$ZZ,28,FALSE)</f>
        <v>6.421</v>
      </c>
      <c r="AP63" s="28">
        <f>VLOOKUP($Q63,武学奇术!$A:$ZZ,29,FALSE)*(1+IF(OR($AL63=$F$4,$AL63=$F$5),$B$22,0))</f>
        <v>967.5</v>
      </c>
      <c r="AQ63" s="27" cm="1">
        <f t="array" ref="AQ63">$G$3+IFERROR(VLOOKUP($AL63,$F$4:$G$7,2,FALSE),0)+VLOOKUP($Q63,武学奇术!$A:$ZZ,2,FALSE)+SUM(_xlfn.XLOOKUP($R63:$AK63,增益!$A:$A,增益!$B:$B,0))</f>
        <v>1.0243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1847.2</v>
      </c>
      <c r="AT63" cm="1">
        <f t="array" ref="AT63">$E$10*(1+$AR63)+VLOOKUP($Q63,武学奇术!$A:$ZZ,4,FALSE)+SUM(_xlfn.XLOOKUP($R63:$AK63,增益!$A:$A,增益!$D:$D,0))-$I$2</f>
        <v>6866.8</v>
      </c>
      <c r="AU63" s="33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0.3835</v>
      </c>
      <c r="AV63" s="33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3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3" cm="1">
        <f t="array" ref="BA63">$G$11+VLOOKUP($Q63,武学奇术!$A:$ZZ,10,FALSE)+SUM(_xlfn.XLOOKUP($R63:$AK63,增益!$A:$A,增益!$J:$J,0))</f>
        <v>0.1</v>
      </c>
      <c r="BB63">
        <f t="shared" si="14"/>
        <v>662.4</v>
      </c>
      <c r="BC63">
        <f t="shared" si="15"/>
        <v>1260</v>
      </c>
      <c r="BD63" s="33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0.14</v>
      </c>
      <c r="BE63" s="33" cm="1">
        <f t="array" ref="BE63">$G$12+VLOOKUP($Q63,武学奇术!$A:$ZZ,12,FALSE)+SUM(_xlfn.XLOOKUP($R63:$AK63,增益!$A:$A,增益!$L:$L,0))</f>
        <v>0.15</v>
      </c>
      <c r="BF63">
        <f t="shared" si="16"/>
        <v>0</v>
      </c>
      <c r="BG63">
        <f t="shared" si="17"/>
        <v>0</v>
      </c>
      <c r="BH63" s="33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3" cm="1">
        <f t="array" ref="BI63">$G$13+VLOOKUP($Q63,武学奇术!$A:$ZZ,14,FALSE)+SUM(_xlfn.XLOOKUP($R63:$AK63,增益!$A:$A,增益!$N:$N,0))</f>
        <v>0</v>
      </c>
      <c r="BJ63">
        <f t="shared" si="18"/>
        <v>0</v>
      </c>
      <c r="BK63">
        <f t="shared" si="19"/>
        <v>0</v>
      </c>
      <c r="BL63" s="33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3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0.8354</v>
      </c>
      <c r="BP63" s="27" cm="1">
        <f t="array" ref="BP63">1+$B$13+VLOOKUP($Q63,武学奇术!$A:$ZZ,18,FALSE)+SUM(_xlfn.XLOOKUP($R63:$AK63,增益!$A:$A,增益!$R:$R,0))</f>
        <v>2.144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0.1512</v>
      </c>
      <c r="BR63" s="27" cm="1">
        <f t="array" ref="BR63">1+$B$14+VLOOKUP($Q63,武学奇术!$A:$ZZ,20,FALSE)+SUM(_xlfn.XLOOKUP($R63:$AK63,增益!$A:$A,增益!$T:$T,0))</f>
        <v>1.35</v>
      </c>
      <c r="BS63" s="27">
        <f t="shared" si="20"/>
        <v>0.8354</v>
      </c>
      <c r="BT63" s="27">
        <f t="shared" si="21"/>
        <v>0.0134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0.31</v>
      </c>
    </row>
    <row r="64" spans="1:74">
      <c r="A64" s="4" t="s">
        <v>168</v>
      </c>
      <c r="B64" s="4">
        <v>1.33</v>
      </c>
      <c r="C64" s="40" t="s">
        <v>171</v>
      </c>
      <c r="E64" s="40" t="s">
        <v>165</v>
      </c>
      <c r="K64" s="39">
        <f t="shared" si="22"/>
        <v>281386.294062386</v>
      </c>
      <c r="L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287097.471847087</v>
      </c>
      <c r="M64" s="39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262901.500544214</v>
      </c>
      <c r="N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133907.402913753</v>
      </c>
      <c r="O64" s="39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73072.9535725334</v>
      </c>
      <c r="P64" s="40">
        <v>1</v>
      </c>
      <c r="Q64" s="41" t="s">
        <v>117</v>
      </c>
      <c r="R64" s="41" t="s">
        <v>101</v>
      </c>
      <c r="S64" s="41" t="s">
        <v>114</v>
      </c>
      <c r="T64" s="41" t="s">
        <v>77</v>
      </c>
      <c r="U64" s="41" t="s">
        <v>84</v>
      </c>
      <c r="V64" s="41" t="s">
        <v>155</v>
      </c>
      <c r="W64" s="41" t="s">
        <v>76</v>
      </c>
      <c r="X64" s="41" t="s">
        <v>134</v>
      </c>
      <c r="Y64" s="41" t="s">
        <v>160</v>
      </c>
      <c r="Z64" s="41" t="s">
        <v>161</v>
      </c>
      <c r="AA64" s="41" t="s">
        <v>86</v>
      </c>
      <c r="AB64" s="41" t="s">
        <v>76</v>
      </c>
      <c r="AC64" s="41" t="s">
        <v>76</v>
      </c>
      <c r="AD64" s="41" t="s">
        <v>79</v>
      </c>
      <c r="AE64" s="41" t="s">
        <v>80</v>
      </c>
      <c r="AF64" s="41" t="s">
        <v>108</v>
      </c>
      <c r="AG64" s="41" t="s">
        <v>76</v>
      </c>
      <c r="AH64" s="41" t="s">
        <v>76</v>
      </c>
      <c r="AI64" s="41" t="s">
        <v>76</v>
      </c>
      <c r="AJ64" s="41" t="s">
        <v>76</v>
      </c>
      <c r="AK64" s="41" t="s">
        <v>87</v>
      </c>
      <c r="AL64" t="str">
        <f>VLOOKUP($Q64,武学奇术!$A:$ZZ,25,FALSE)</f>
        <v>陌刀</v>
      </c>
      <c r="AM64" s="27">
        <f>VLOOKUP($Q64,武学奇术!$A:$ZZ,26,FALSE)</f>
        <v>4.2807</v>
      </c>
      <c r="AN64" s="28">
        <f>VLOOKUP($Q64,武学奇术!$A:$ZZ,27,FALSE)*(1+IF(OR($AL64=$F$4,$AL64=$F$5),$B$22,0))</f>
        <v>1776</v>
      </c>
      <c r="AO64" s="27">
        <f>VLOOKUP($Q64,武学奇术!$A:$ZZ,28,FALSE)</f>
        <v>6.421</v>
      </c>
      <c r="AP64" s="28">
        <f>VLOOKUP($Q64,武学奇术!$A:$ZZ,29,FALSE)*(1+IF(OR($AL64=$F$4,$AL64=$F$5),$B$22,0))</f>
        <v>967.5</v>
      </c>
      <c r="AQ64" s="27" cm="1">
        <f t="array" ref="AQ64">$G$3+IFERROR(VLOOKUP($AL64,$F$4:$G$7,2,FALSE),0)+VLOOKUP($Q64,武学奇术!$A:$ZZ,2,FALSE)+SUM(_xlfn.XLOOKUP($R64:$AK64,增益!$A:$A,增益!$B:$B,0))</f>
        <v>1.0243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1847.2</v>
      </c>
      <c r="AT64" cm="1">
        <f t="array" ref="AT64">$E$10*(1+$AR64)+VLOOKUP($Q64,武学奇术!$A:$ZZ,4,FALSE)+SUM(_xlfn.XLOOKUP($R64:$AK64,增益!$A:$A,增益!$D:$D,0))-$I$2</f>
        <v>6866.8</v>
      </c>
      <c r="AU64" s="33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0.3835</v>
      </c>
      <c r="AV64" s="33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3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3" cm="1">
        <f t="array" ref="BA64">$G$11+VLOOKUP($Q64,武学奇术!$A:$ZZ,10,FALSE)+SUM(_xlfn.XLOOKUP($R64:$AK64,增益!$A:$A,增益!$J:$J,0))</f>
        <v>0.1</v>
      </c>
      <c r="BB64">
        <f t="shared" si="14"/>
        <v>662.4</v>
      </c>
      <c r="BC64">
        <f t="shared" si="15"/>
        <v>1260</v>
      </c>
      <c r="BD64" s="33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0.14</v>
      </c>
      <c r="BE64" s="33" cm="1">
        <f t="array" ref="BE64">$G$12+VLOOKUP($Q64,武学奇术!$A:$ZZ,12,FALSE)+SUM(_xlfn.XLOOKUP($R64:$AK64,增益!$A:$A,增益!$L:$L,0))</f>
        <v>0.15</v>
      </c>
      <c r="BF64">
        <f t="shared" si="16"/>
        <v>0</v>
      </c>
      <c r="BG64">
        <f t="shared" si="17"/>
        <v>0</v>
      </c>
      <c r="BH64" s="33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3" cm="1">
        <f t="array" ref="BI64">$G$13+VLOOKUP($Q64,武学奇术!$A:$ZZ,14,FALSE)+SUM(_xlfn.XLOOKUP($R64:$AK64,增益!$A:$A,增益!$N:$N,0))</f>
        <v>0</v>
      </c>
      <c r="BJ64">
        <f t="shared" si="18"/>
        <v>0</v>
      </c>
      <c r="BK64">
        <f t="shared" si="19"/>
        <v>0</v>
      </c>
      <c r="BL64" s="33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3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0.8354</v>
      </c>
      <c r="BP64" s="27" cm="1">
        <f t="array" ref="BP64">1+$B$13+VLOOKUP($Q64,武学奇术!$A:$ZZ,18,FALSE)+SUM(_xlfn.XLOOKUP($R64:$AK64,增益!$A:$A,增益!$R:$R,0))</f>
        <v>2.144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0.1512</v>
      </c>
      <c r="BR64" s="27" cm="1">
        <f t="array" ref="BR64">1+$B$14+VLOOKUP($Q64,武学奇术!$A:$ZZ,20,FALSE)+SUM(_xlfn.XLOOKUP($R64:$AK64,增益!$A:$A,增益!$T:$T,0))</f>
        <v>1.35</v>
      </c>
      <c r="BS64" s="27">
        <f t="shared" si="20"/>
        <v>0.8354</v>
      </c>
      <c r="BT64" s="27">
        <f t="shared" si="21"/>
        <v>0.0134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0.31</v>
      </c>
    </row>
    <row r="65" spans="1:74">
      <c r="A65" s="4" t="s">
        <v>168</v>
      </c>
      <c r="B65" s="4">
        <v>1.33</v>
      </c>
      <c r="C65" s="40"/>
      <c r="E65" s="40"/>
      <c r="K65" s="39">
        <f t="shared" si="22"/>
        <v>281386.294062386</v>
      </c>
      <c r="L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287097.471847087</v>
      </c>
      <c r="M65" s="39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262901.500544214</v>
      </c>
      <c r="N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133907.402913753</v>
      </c>
      <c r="O65" s="39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73072.9535725334</v>
      </c>
      <c r="P65" s="40">
        <v>1</v>
      </c>
      <c r="Q65" s="41" t="s">
        <v>117</v>
      </c>
      <c r="R65" s="41" t="s">
        <v>101</v>
      </c>
      <c r="S65" s="41" t="s">
        <v>114</v>
      </c>
      <c r="T65" s="41" t="s">
        <v>77</v>
      </c>
      <c r="U65" s="41" t="s">
        <v>84</v>
      </c>
      <c r="V65" s="41" t="s">
        <v>155</v>
      </c>
      <c r="W65" s="41" t="s">
        <v>76</v>
      </c>
      <c r="X65" s="41" t="s">
        <v>134</v>
      </c>
      <c r="Y65" s="41" t="s">
        <v>160</v>
      </c>
      <c r="Z65" s="41" t="s">
        <v>161</v>
      </c>
      <c r="AA65" s="41" t="s">
        <v>93</v>
      </c>
      <c r="AB65" s="41" t="s">
        <v>76</v>
      </c>
      <c r="AC65" s="41" t="s">
        <v>76</v>
      </c>
      <c r="AD65" s="41" t="s">
        <v>79</v>
      </c>
      <c r="AE65" s="41" t="s">
        <v>80</v>
      </c>
      <c r="AF65" s="41" t="s">
        <v>108</v>
      </c>
      <c r="AG65" s="41" t="s">
        <v>76</v>
      </c>
      <c r="AH65" s="41" t="s">
        <v>76</v>
      </c>
      <c r="AI65" s="41" t="s">
        <v>76</v>
      </c>
      <c r="AJ65" s="41" t="s">
        <v>76</v>
      </c>
      <c r="AK65" s="41" t="s">
        <v>87</v>
      </c>
      <c r="AL65" t="str">
        <f>VLOOKUP($Q65,武学奇术!$A:$ZZ,25,FALSE)</f>
        <v>陌刀</v>
      </c>
      <c r="AM65" s="27">
        <f>VLOOKUP($Q65,武学奇术!$A:$ZZ,26,FALSE)</f>
        <v>4.2807</v>
      </c>
      <c r="AN65" s="28">
        <f>VLOOKUP($Q65,武学奇术!$A:$ZZ,27,FALSE)*(1+IF(OR($AL65=$F$4,$AL65=$F$5),$B$22,0))</f>
        <v>1776</v>
      </c>
      <c r="AO65" s="27">
        <f>VLOOKUP($Q65,武学奇术!$A:$ZZ,28,FALSE)</f>
        <v>6.421</v>
      </c>
      <c r="AP65" s="28">
        <f>VLOOKUP($Q65,武学奇术!$A:$ZZ,29,FALSE)*(1+IF(OR($AL65=$F$4,$AL65=$F$5),$B$22,0))</f>
        <v>967.5</v>
      </c>
      <c r="AQ65" s="27" cm="1">
        <f t="array" ref="AQ65">$G$3+IFERROR(VLOOKUP($AL65,$F$4:$G$7,2,FALSE),0)+VLOOKUP($Q65,武学奇术!$A:$ZZ,2,FALSE)+SUM(_xlfn.XLOOKUP($R65:$AK65,增益!$A:$A,增益!$B:$B,0))</f>
        <v>1.0243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1847.2</v>
      </c>
      <c r="AT65" cm="1">
        <f t="array" ref="AT65">$E$10*(1+$AR65)+VLOOKUP($Q65,武学奇术!$A:$ZZ,4,FALSE)+SUM(_xlfn.XLOOKUP($R65:$AK65,增益!$A:$A,增益!$D:$D,0))-$I$2</f>
        <v>6866.8</v>
      </c>
      <c r="AU65" s="33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0.3835</v>
      </c>
      <c r="AV65" s="33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3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3" cm="1">
        <f t="array" ref="BA65">$G$11+VLOOKUP($Q65,武学奇术!$A:$ZZ,10,FALSE)+SUM(_xlfn.XLOOKUP($R65:$AK65,增益!$A:$A,增益!$J:$J,0))</f>
        <v>0.1</v>
      </c>
      <c r="BB65">
        <f t="shared" si="14"/>
        <v>662.4</v>
      </c>
      <c r="BC65">
        <f t="shared" si="15"/>
        <v>1260</v>
      </c>
      <c r="BD65" s="33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0.14</v>
      </c>
      <c r="BE65" s="33" cm="1">
        <f t="array" ref="BE65">$G$12+VLOOKUP($Q65,武学奇术!$A:$ZZ,12,FALSE)+SUM(_xlfn.XLOOKUP($R65:$AK65,增益!$A:$A,增益!$L:$L,0))</f>
        <v>0.15</v>
      </c>
      <c r="BF65">
        <f t="shared" si="16"/>
        <v>0</v>
      </c>
      <c r="BG65">
        <f t="shared" si="17"/>
        <v>0</v>
      </c>
      <c r="BH65" s="33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3" cm="1">
        <f t="array" ref="BI65">$G$13+VLOOKUP($Q65,武学奇术!$A:$ZZ,14,FALSE)+SUM(_xlfn.XLOOKUP($R65:$AK65,增益!$A:$A,增益!$N:$N,0))</f>
        <v>0</v>
      </c>
      <c r="BJ65">
        <f t="shared" si="18"/>
        <v>0</v>
      </c>
      <c r="BK65">
        <f t="shared" si="19"/>
        <v>0</v>
      </c>
      <c r="BL65" s="33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3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0.8354</v>
      </c>
      <c r="BP65" s="27" cm="1">
        <f t="array" ref="BP65">1+$B$13+VLOOKUP($Q65,武学奇术!$A:$ZZ,18,FALSE)+SUM(_xlfn.XLOOKUP($R65:$AK65,增益!$A:$A,增益!$R:$R,0))</f>
        <v>2.144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0.1512</v>
      </c>
      <c r="BR65" s="27" cm="1">
        <f t="array" ref="BR65">1+$B$14+VLOOKUP($Q65,武学奇术!$A:$ZZ,20,FALSE)+SUM(_xlfn.XLOOKUP($R65:$AK65,增益!$A:$A,增益!$T:$T,0))</f>
        <v>1.35</v>
      </c>
      <c r="BS65" s="27">
        <f t="shared" si="20"/>
        <v>0.8354</v>
      </c>
      <c r="BT65" s="27">
        <f t="shared" si="21"/>
        <v>0.0134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0.31</v>
      </c>
    </row>
    <row r="66" spans="1:74">
      <c r="A66" s="4" t="s">
        <v>168</v>
      </c>
      <c r="B66" s="4">
        <v>1.33</v>
      </c>
      <c r="C66" s="40"/>
      <c r="E66" s="40"/>
      <c r="K66" s="39">
        <f t="shared" si="22"/>
        <v>459976.030715895</v>
      </c>
      <c r="L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467708.071911256</v>
      </c>
      <c r="M66" s="39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438225.748353598</v>
      </c>
      <c r="N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223356.29031101</v>
      </c>
      <c r="O66" s="39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122100.915174911</v>
      </c>
      <c r="P66" s="40">
        <v>1</v>
      </c>
      <c r="Q66" s="41" t="s">
        <v>106</v>
      </c>
      <c r="R66" s="41" t="s">
        <v>101</v>
      </c>
      <c r="S66" s="41" t="s">
        <v>114</v>
      </c>
      <c r="T66" s="41" t="s">
        <v>77</v>
      </c>
      <c r="U66" s="41" t="s">
        <v>84</v>
      </c>
      <c r="V66" s="41" t="s">
        <v>155</v>
      </c>
      <c r="W66" s="41" t="s">
        <v>76</v>
      </c>
      <c r="X66" s="41" t="s">
        <v>139</v>
      </c>
      <c r="Y66" s="41" t="s">
        <v>160</v>
      </c>
      <c r="Z66" s="41" t="s">
        <v>161</v>
      </c>
      <c r="AA66" s="41" t="s">
        <v>93</v>
      </c>
      <c r="AB66" s="41" t="s">
        <v>76</v>
      </c>
      <c r="AC66" s="41" t="s">
        <v>76</v>
      </c>
      <c r="AD66" s="41" t="s">
        <v>79</v>
      </c>
      <c r="AE66" s="41" t="s">
        <v>80</v>
      </c>
      <c r="AF66" s="41" t="s">
        <v>108</v>
      </c>
      <c r="AG66" s="41" t="s">
        <v>76</v>
      </c>
      <c r="AH66" s="41" t="s">
        <v>76</v>
      </c>
      <c r="AI66" s="41" t="s">
        <v>76</v>
      </c>
      <c r="AJ66" s="41" t="s">
        <v>76</v>
      </c>
      <c r="AK66" s="41" t="s">
        <v>87</v>
      </c>
      <c r="AL66" t="str">
        <f>VLOOKUP($Q66,武学奇术!$A:$ZZ,25,FALSE)</f>
        <v>陌刀</v>
      </c>
      <c r="AM66" s="27">
        <f>VLOOKUP($Q66,武学奇术!$A:$ZZ,26,FALSE)</f>
        <v>7.2368</v>
      </c>
      <c r="AN66" s="28">
        <f>VLOOKUP($Q66,武学奇术!$A:$ZZ,27,FALSE)*(1+IF(OR($AL66=$F$4,$AL66=$F$5),$B$22,0))</f>
        <v>3003</v>
      </c>
      <c r="AO66" s="27">
        <f>VLOOKUP($Q66,武学奇术!$A:$ZZ,28,FALSE)</f>
        <v>10.8553</v>
      </c>
      <c r="AP66" s="28">
        <f>VLOOKUP($Q66,武学奇术!$A:$ZZ,29,FALSE)*(1+IF(OR($AL66=$F$4,$AL66=$F$5),$B$22,0))</f>
        <v>1635</v>
      </c>
      <c r="AQ66" s="27" cm="1">
        <f t="array" ref="AQ66">$G$3+IFERROR(VLOOKUP($AL66,$F$4:$G$7,2,FALSE),0)+VLOOKUP($Q66,武学奇术!$A:$ZZ,2,FALSE)+SUM(_xlfn.XLOOKUP($R66:$AK66,增益!$A:$A,增益!$B:$B,0))</f>
        <v>1.0243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1847.2</v>
      </c>
      <c r="AT66" cm="1">
        <f t="array" ref="AT66">$E$10*(1+$AR66)+VLOOKUP($Q66,武学奇术!$A:$ZZ,4,FALSE)+SUM(_xlfn.XLOOKUP($R66:$AK66,增益!$A:$A,增益!$D:$D,0))-$I$2</f>
        <v>6866.8</v>
      </c>
      <c r="AU66" s="33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0.3585</v>
      </c>
      <c r="AV66" s="33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3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3" cm="1">
        <f t="array" ref="BA66">$G$11+VLOOKUP($Q66,武学奇术!$A:$ZZ,10,FALSE)+SUM(_xlfn.XLOOKUP($R66:$AK66,增益!$A:$A,增益!$J:$J,0))</f>
        <v>0.1</v>
      </c>
      <c r="BB66">
        <f t="shared" si="14"/>
        <v>662.4</v>
      </c>
      <c r="BC66">
        <f t="shared" si="15"/>
        <v>1260</v>
      </c>
      <c r="BD66" s="33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0.14</v>
      </c>
      <c r="BE66" s="33" cm="1">
        <f t="array" ref="BE66">$G$12+VLOOKUP($Q66,武学奇术!$A:$ZZ,12,FALSE)+SUM(_xlfn.XLOOKUP($R66:$AK66,增益!$A:$A,增益!$L:$L,0))</f>
        <v>0.15</v>
      </c>
      <c r="BF66">
        <f t="shared" si="16"/>
        <v>0</v>
      </c>
      <c r="BG66">
        <f t="shared" si="17"/>
        <v>0</v>
      </c>
      <c r="BH66" s="33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33" cm="1">
        <f t="array" ref="BI66">$G$13+VLOOKUP($Q66,武学奇术!$A:$ZZ,14,FALSE)+SUM(_xlfn.XLOOKUP($R66:$AK66,增益!$A:$A,增益!$N:$N,0))</f>
        <v>0</v>
      </c>
      <c r="BJ66">
        <f t="shared" si="18"/>
        <v>0</v>
      </c>
      <c r="BK66">
        <f t="shared" si="19"/>
        <v>0</v>
      </c>
      <c r="BL66" s="33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3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0.8354</v>
      </c>
      <c r="BP66" s="27" cm="1">
        <f t="array" ref="BP66">1+$B$13+VLOOKUP($Q66,武学奇术!$A:$ZZ,18,FALSE)+SUM(_xlfn.XLOOKUP($R66:$AK66,增益!$A:$A,增益!$R:$R,0))</f>
        <v>2.094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0.1512</v>
      </c>
      <c r="BR66" s="27" cm="1">
        <f t="array" ref="BR66">1+$B$14+VLOOKUP($Q66,武学奇术!$A:$ZZ,20,FALSE)+SUM(_xlfn.XLOOKUP($R66:$AK66,增益!$A:$A,增益!$T:$T,0))</f>
        <v>1.35</v>
      </c>
      <c r="BS66" s="27">
        <f t="shared" si="20"/>
        <v>0.8354</v>
      </c>
      <c r="BT66" s="27">
        <f t="shared" si="21"/>
        <v>0.0134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0.31</v>
      </c>
    </row>
    <row r="67" spans="1:74">
      <c r="A67" s="4" t="s">
        <v>163</v>
      </c>
      <c r="B67" s="4">
        <v>1.66</v>
      </c>
      <c r="C67" s="40"/>
      <c r="E67" s="40"/>
      <c r="K67" s="39">
        <f t="shared" si="22"/>
        <v>0</v>
      </c>
      <c r="L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39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39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0">
        <v>1</v>
      </c>
      <c r="Q67" s="41" t="s">
        <v>76</v>
      </c>
      <c r="R67" s="41" t="s">
        <v>76</v>
      </c>
      <c r="S67" s="41" t="s">
        <v>76</v>
      </c>
      <c r="T67" s="41" t="s">
        <v>76</v>
      </c>
      <c r="U67" s="41" t="s">
        <v>76</v>
      </c>
      <c r="V67" s="41" t="s">
        <v>76</v>
      </c>
      <c r="W67" s="41" t="s">
        <v>76</v>
      </c>
      <c r="X67" s="41" t="s">
        <v>76</v>
      </c>
      <c r="Y67" s="41" t="s">
        <v>76</v>
      </c>
      <c r="Z67" s="41" t="s">
        <v>76</v>
      </c>
      <c r="AA67" s="41" t="s">
        <v>76</v>
      </c>
      <c r="AB67" s="41" t="s">
        <v>76</v>
      </c>
      <c r="AC67" s="41" t="s">
        <v>76</v>
      </c>
      <c r="AD67" s="41" t="s">
        <v>79</v>
      </c>
      <c r="AE67" s="41" t="s">
        <v>80</v>
      </c>
      <c r="AF67" s="41" t="s">
        <v>76</v>
      </c>
      <c r="AG67" s="41" t="s">
        <v>76</v>
      </c>
      <c r="AH67" s="41" t="s">
        <v>76</v>
      </c>
      <c r="AI67" s="41" t="s">
        <v>76</v>
      </c>
      <c r="AJ67" s="41" t="s">
        <v>76</v>
      </c>
      <c r="AK67" s="41" t="s">
        <v>87</v>
      </c>
      <c r="AL67" t="str">
        <f>VLOOKUP($Q67,武学奇术!$A:$ZZ,25,FALSE)</f>
        <v>心法</v>
      </c>
      <c r="AM67" s="27">
        <f>VLOOKUP($Q67,武学奇术!$A:$ZZ,26,FALSE)</f>
        <v>0</v>
      </c>
      <c r="AN67" s="28">
        <f>VLOOKUP($Q67,武学奇术!$A:$ZZ,27,FALSE)*(1+IF(OR($AL67=$F$4,$AL67=$F$5),$B$22,0))</f>
        <v>0</v>
      </c>
      <c r="AO67" s="27">
        <f>VLOOKUP($Q67,武学奇术!$A:$ZZ,28,FALSE)</f>
        <v>0</v>
      </c>
      <c r="AP67" s="28">
        <f>VLOOKUP($Q67,武学奇术!$A:$ZZ,29,FALSE)*(1+IF(OR($AL67=$F$4,$AL67=$F$5),$B$22,0))</f>
        <v>0</v>
      </c>
      <c r="AQ67" s="27" cm="1">
        <f t="array" ref="AQ67">$G$3+IFERROR(VLOOKUP($AL67,$F$4:$G$7,2,FALSE),0)+VLOOKUP($Q67,武学奇术!$A:$ZZ,2,FALSE)+SUM(_xlfn.XLOOKUP($R67:$AK67,增益!$A:$A,增益!$B:$B,0))</f>
        <v>0.2042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1847.2</v>
      </c>
      <c r="AT67" cm="1">
        <f t="array" ref="AT67">$E$10*(1+$AR67)+VLOOKUP($Q67,武学奇术!$A:$ZZ,4,FALSE)+SUM(_xlfn.XLOOKUP($R67:$AK67,增益!$A:$A,增益!$D:$D,0))-$I$2</f>
        <v>6666.8</v>
      </c>
      <c r="AU67" s="33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0.2585</v>
      </c>
      <c r="AV67" s="33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ref="AX67:AX102" si="23">$D$11*(1+$AW67)</f>
        <v>0</v>
      </c>
      <c r="AY67">
        <f t="shared" ref="AY67:AY102" si="24">$E$11*(1+$AW67)</f>
        <v>0</v>
      </c>
      <c r="AZ67" s="33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3" cm="1">
        <f t="array" ref="BA67">$G$11+VLOOKUP($Q67,武学奇术!$A:$ZZ,10,FALSE)+SUM(_xlfn.XLOOKUP($R67:$AK67,增益!$A:$A,增益!$J:$J,0))</f>
        <v>0</v>
      </c>
      <c r="BB67">
        <f t="shared" ref="BB67:BB102" si="25">$D$12*(1+$AW67)</f>
        <v>662.4</v>
      </c>
      <c r="BC67">
        <f t="shared" ref="BC67:BC102" si="26">$E$12*(1+$AW67)</f>
        <v>1260</v>
      </c>
      <c r="BD67" s="33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3" cm="1">
        <f t="array" ref="BE67">$G$12+VLOOKUP($Q67,武学奇术!$A:$ZZ,12,FALSE)+SUM(_xlfn.XLOOKUP($R67:$AK67,增益!$A:$A,增益!$L:$L,0))</f>
        <v>0.15</v>
      </c>
      <c r="BF67">
        <f t="shared" ref="BF67:BF102" si="27">$D$13*(1+$AW67)</f>
        <v>0</v>
      </c>
      <c r="BG67">
        <f t="shared" ref="BG67:BG102" si="28">$E$13*(1+$AW67)</f>
        <v>0</v>
      </c>
      <c r="BH67" s="33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3" cm="1">
        <f t="array" ref="BI67">$G$13+VLOOKUP($Q67,武学奇术!$A:$ZZ,14,FALSE)+SUM(_xlfn.XLOOKUP($R67:$AK67,增益!$A:$A,增益!$N:$N,0))</f>
        <v>0</v>
      </c>
      <c r="BJ67">
        <f t="shared" ref="BJ67:BJ102" si="29">$D$14*(1+$AW67)</f>
        <v>0</v>
      </c>
      <c r="BK67">
        <f t="shared" ref="BK67:BK102" si="30">$E$14*(1+$AW67)</f>
        <v>0</v>
      </c>
      <c r="BL67" s="33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3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0.5954</v>
      </c>
      <c r="BP67" s="27" cm="1">
        <f t="array" ref="BP67">1+$B$13+VLOOKUP($Q67,武学奇术!$A:$ZZ,18,FALSE)+SUM(_xlfn.XLOOKUP($R67:$AK67,增益!$A:$A,增益!$R:$R,0))</f>
        <v>1.644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0.1512</v>
      </c>
      <c r="BR67" s="27" cm="1">
        <f t="array" ref="BR67">1+$B$14+VLOOKUP($Q67,武学奇术!$A:$ZZ,20,FALSE)+SUM(_xlfn.XLOOKUP($R67:$AK67,增益!$A:$A,增益!$T:$T,0))</f>
        <v>1.35</v>
      </c>
      <c r="BS67" s="27">
        <f t="shared" ref="BS67:BS102" si="31">MIN((1-BQ67)*BN67,BN67*BO67)</f>
        <v>0.5954</v>
      </c>
      <c r="BT67" s="27">
        <f t="shared" ref="BT67:BT102" si="32">1-BQ67-BS67-BU67</f>
        <v>0.2534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:74">
      <c r="A68" s="4" t="s">
        <v>168</v>
      </c>
      <c r="B68" s="4">
        <v>1.33</v>
      </c>
      <c r="C68" s="40"/>
      <c r="E68" s="40"/>
      <c r="K68" s="39">
        <f t="shared" si="22"/>
        <v>0</v>
      </c>
      <c r="L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39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39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0">
        <v>1</v>
      </c>
      <c r="Q68" s="41" t="s">
        <v>76</v>
      </c>
      <c r="R68" s="41" t="s">
        <v>76</v>
      </c>
      <c r="S68" s="41" t="s">
        <v>76</v>
      </c>
      <c r="T68" s="41" t="s">
        <v>76</v>
      </c>
      <c r="U68" s="41" t="s">
        <v>76</v>
      </c>
      <c r="V68" s="41" t="s">
        <v>76</v>
      </c>
      <c r="W68" s="41" t="s">
        <v>76</v>
      </c>
      <c r="X68" s="41" t="s">
        <v>76</v>
      </c>
      <c r="Y68" s="41" t="s">
        <v>76</v>
      </c>
      <c r="Z68" s="41" t="s">
        <v>76</v>
      </c>
      <c r="AA68" s="41" t="s">
        <v>76</v>
      </c>
      <c r="AB68" s="41" t="s">
        <v>76</v>
      </c>
      <c r="AC68" s="41" t="s">
        <v>76</v>
      </c>
      <c r="AD68" s="41" t="s">
        <v>79</v>
      </c>
      <c r="AE68" s="41" t="s">
        <v>80</v>
      </c>
      <c r="AF68" s="41" t="s">
        <v>76</v>
      </c>
      <c r="AG68" s="41" t="s">
        <v>76</v>
      </c>
      <c r="AH68" s="41" t="s">
        <v>76</v>
      </c>
      <c r="AI68" s="41" t="s">
        <v>76</v>
      </c>
      <c r="AJ68" s="41" t="s">
        <v>76</v>
      </c>
      <c r="AK68" s="41" t="s">
        <v>87</v>
      </c>
      <c r="AL68" t="str">
        <f>VLOOKUP($Q68,武学奇术!$A:$ZZ,25,FALSE)</f>
        <v>心法</v>
      </c>
      <c r="AM68" s="27">
        <f>VLOOKUP($Q68,武学奇术!$A:$ZZ,26,FALSE)</f>
        <v>0</v>
      </c>
      <c r="AN68" s="28">
        <f>VLOOKUP($Q68,武学奇术!$A:$ZZ,27,FALSE)*(1+IF(OR($AL68=$F$4,$AL68=$F$5),$B$22,0))</f>
        <v>0</v>
      </c>
      <c r="AO68" s="27">
        <f>VLOOKUP($Q68,武学奇术!$A:$ZZ,28,FALSE)</f>
        <v>0</v>
      </c>
      <c r="AP68" s="28">
        <f>VLOOKUP($Q68,武学奇术!$A:$ZZ,29,FALSE)*(1+IF(OR($AL68=$F$4,$AL68=$F$5),$B$22,0))</f>
        <v>0</v>
      </c>
      <c r="AQ68" s="27" cm="1">
        <f t="array" ref="AQ68">$G$3+IFERROR(VLOOKUP($AL68,$F$4:$G$7,2,FALSE),0)+VLOOKUP($Q68,武学奇术!$A:$ZZ,2,FALSE)+SUM(_xlfn.XLOOKUP($R68:$AK68,增益!$A:$A,增益!$B:$B,0))</f>
        <v>0.2042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1847.2</v>
      </c>
      <c r="AT68" cm="1">
        <f t="array" ref="AT68">$E$10*(1+$AR68)+VLOOKUP($Q68,武学奇术!$A:$ZZ,4,FALSE)+SUM(_xlfn.XLOOKUP($R68:$AK68,增益!$A:$A,增益!$D:$D,0))-$I$2</f>
        <v>6666.8</v>
      </c>
      <c r="AU68" s="33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0.2585</v>
      </c>
      <c r="AV68" s="33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3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3" cm="1">
        <f t="array" ref="BA68">$G$11+VLOOKUP($Q68,武学奇术!$A:$ZZ,10,FALSE)+SUM(_xlfn.XLOOKUP($R68:$AK68,增益!$A:$A,增益!$J:$J,0))</f>
        <v>0</v>
      </c>
      <c r="BB68">
        <f t="shared" si="25"/>
        <v>662.4</v>
      </c>
      <c r="BC68">
        <f t="shared" si="26"/>
        <v>1260</v>
      </c>
      <c r="BD68" s="33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3" cm="1">
        <f t="array" ref="BE68">$G$12+VLOOKUP($Q68,武学奇术!$A:$ZZ,12,FALSE)+SUM(_xlfn.XLOOKUP($R68:$AK68,增益!$A:$A,增益!$L:$L,0))</f>
        <v>0.15</v>
      </c>
      <c r="BF68">
        <f t="shared" si="27"/>
        <v>0</v>
      </c>
      <c r="BG68">
        <f t="shared" si="28"/>
        <v>0</v>
      </c>
      <c r="BH68" s="33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3" cm="1">
        <f t="array" ref="BI68">$G$13+VLOOKUP($Q68,武学奇术!$A:$ZZ,14,FALSE)+SUM(_xlfn.XLOOKUP($R68:$AK68,增益!$A:$A,增益!$N:$N,0))</f>
        <v>0</v>
      </c>
      <c r="BJ68">
        <f t="shared" si="29"/>
        <v>0</v>
      </c>
      <c r="BK68">
        <f t="shared" si="30"/>
        <v>0</v>
      </c>
      <c r="BL68" s="33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3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0.5954</v>
      </c>
      <c r="BP68" s="27" cm="1">
        <f t="array" ref="BP68">1+$B$13+VLOOKUP($Q68,武学奇术!$A:$ZZ,18,FALSE)+SUM(_xlfn.XLOOKUP($R68:$AK68,增益!$A:$A,增益!$R:$R,0))</f>
        <v>1.644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0.1512</v>
      </c>
      <c r="BR68" s="27" cm="1">
        <f t="array" ref="BR68">1+$B$14+VLOOKUP($Q68,武学奇术!$A:$ZZ,20,FALSE)+SUM(_xlfn.XLOOKUP($R68:$AK68,增益!$A:$A,增益!$T:$T,0))</f>
        <v>1.35</v>
      </c>
      <c r="BS68" s="27">
        <f t="shared" si="31"/>
        <v>0.5954</v>
      </c>
      <c r="BT68" s="27">
        <f t="shared" si="32"/>
        <v>0.2534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:74">
      <c r="A69" s="4" t="s">
        <v>172</v>
      </c>
      <c r="B69" s="4">
        <v>1.7</v>
      </c>
      <c r="C69" s="40"/>
      <c r="E69" s="40"/>
      <c r="K69" s="39">
        <f t="shared" si="22"/>
        <v>0</v>
      </c>
      <c r="L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39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39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0">
        <v>1</v>
      </c>
      <c r="Q69" s="41" t="s">
        <v>76</v>
      </c>
      <c r="R69" s="41" t="s">
        <v>76</v>
      </c>
      <c r="S69" s="41" t="s">
        <v>76</v>
      </c>
      <c r="T69" s="41" t="s">
        <v>76</v>
      </c>
      <c r="U69" s="41" t="s">
        <v>76</v>
      </c>
      <c r="V69" s="41" t="s">
        <v>76</v>
      </c>
      <c r="W69" s="41" t="s">
        <v>76</v>
      </c>
      <c r="X69" s="41" t="s">
        <v>76</v>
      </c>
      <c r="Y69" s="41" t="s">
        <v>76</v>
      </c>
      <c r="Z69" s="41" t="s">
        <v>76</v>
      </c>
      <c r="AA69" s="41" t="s">
        <v>76</v>
      </c>
      <c r="AB69" s="41" t="s">
        <v>76</v>
      </c>
      <c r="AC69" s="41" t="s">
        <v>76</v>
      </c>
      <c r="AD69" s="41" t="s">
        <v>79</v>
      </c>
      <c r="AE69" s="41" t="s">
        <v>80</v>
      </c>
      <c r="AF69" s="41" t="s">
        <v>76</v>
      </c>
      <c r="AG69" s="41" t="s">
        <v>76</v>
      </c>
      <c r="AH69" s="41" t="s">
        <v>76</v>
      </c>
      <c r="AI69" s="41" t="s">
        <v>76</v>
      </c>
      <c r="AJ69" s="41" t="s">
        <v>76</v>
      </c>
      <c r="AK69" s="41" t="s">
        <v>87</v>
      </c>
      <c r="AL69" t="str">
        <f>VLOOKUP($Q69,武学奇术!$A:$ZZ,25,FALSE)</f>
        <v>心法</v>
      </c>
      <c r="AM69" s="27">
        <f>VLOOKUP($Q69,武学奇术!$A:$ZZ,26,FALSE)</f>
        <v>0</v>
      </c>
      <c r="AN69" s="28">
        <f>VLOOKUP($Q69,武学奇术!$A:$ZZ,27,FALSE)*(1+IF(OR($AL69=$F$4,$AL69=$F$5),$B$22,0))</f>
        <v>0</v>
      </c>
      <c r="AO69" s="27">
        <f>VLOOKUP($Q69,武学奇术!$A:$ZZ,28,FALSE)</f>
        <v>0</v>
      </c>
      <c r="AP69" s="28">
        <f>VLOOKUP($Q69,武学奇术!$A:$ZZ,29,FALSE)*(1+IF(OR($AL69=$F$4,$AL69=$F$5),$B$22,0))</f>
        <v>0</v>
      </c>
      <c r="AQ69" s="27" cm="1">
        <f t="array" ref="AQ69">$G$3+IFERROR(VLOOKUP($AL69,$F$4:$G$7,2,FALSE),0)+VLOOKUP($Q69,武学奇术!$A:$ZZ,2,FALSE)+SUM(_xlfn.XLOOKUP($R69:$AK69,增益!$A:$A,增益!$B:$B,0))</f>
        <v>0.2042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1847.2</v>
      </c>
      <c r="AT69" cm="1">
        <f t="array" ref="AT69">$E$10*(1+$AR69)+VLOOKUP($Q69,武学奇术!$A:$ZZ,4,FALSE)+SUM(_xlfn.XLOOKUP($R69:$AK69,增益!$A:$A,增益!$D:$D,0))-$I$2</f>
        <v>6666.8</v>
      </c>
      <c r="AU69" s="33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0.2585</v>
      </c>
      <c r="AV69" s="33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3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3" cm="1">
        <f t="array" ref="BA69">$G$11+VLOOKUP($Q69,武学奇术!$A:$ZZ,10,FALSE)+SUM(_xlfn.XLOOKUP($R69:$AK69,增益!$A:$A,增益!$J:$J,0))</f>
        <v>0</v>
      </c>
      <c r="BB69">
        <f t="shared" si="25"/>
        <v>662.4</v>
      </c>
      <c r="BC69">
        <f t="shared" si="26"/>
        <v>1260</v>
      </c>
      <c r="BD69" s="33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3" cm="1">
        <f t="array" ref="BE69">$G$12+VLOOKUP($Q69,武学奇术!$A:$ZZ,12,FALSE)+SUM(_xlfn.XLOOKUP($R69:$AK69,增益!$A:$A,增益!$L:$L,0))</f>
        <v>0.15</v>
      </c>
      <c r="BF69">
        <f t="shared" si="27"/>
        <v>0</v>
      </c>
      <c r="BG69">
        <f t="shared" si="28"/>
        <v>0</v>
      </c>
      <c r="BH69" s="33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3" cm="1">
        <f t="array" ref="BI69">$G$13+VLOOKUP($Q69,武学奇术!$A:$ZZ,14,FALSE)+SUM(_xlfn.XLOOKUP($R69:$AK69,增益!$A:$A,增益!$N:$N,0))</f>
        <v>0</v>
      </c>
      <c r="BJ69">
        <f t="shared" si="29"/>
        <v>0</v>
      </c>
      <c r="BK69">
        <f t="shared" si="30"/>
        <v>0</v>
      </c>
      <c r="BL69" s="33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3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0.5954</v>
      </c>
      <c r="BP69" s="27" cm="1">
        <f t="array" ref="BP69">1+$B$13+VLOOKUP($Q69,武学奇术!$A:$ZZ,18,FALSE)+SUM(_xlfn.XLOOKUP($R69:$AK69,增益!$A:$A,增益!$R:$R,0))</f>
        <v>1.644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0.1512</v>
      </c>
      <c r="BR69" s="27" cm="1">
        <f t="array" ref="BR69">1+$B$14+VLOOKUP($Q69,武学奇术!$A:$ZZ,20,FALSE)+SUM(_xlfn.XLOOKUP($R69:$AK69,增益!$A:$A,增益!$T:$T,0))</f>
        <v>1.35</v>
      </c>
      <c r="BS69" s="27">
        <f t="shared" si="31"/>
        <v>0.5954</v>
      </c>
      <c r="BT69" s="27">
        <f t="shared" si="32"/>
        <v>0.2534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:74">
      <c r="A70" s="4" t="s">
        <v>163</v>
      </c>
      <c r="B70" s="4">
        <v>1.66</v>
      </c>
      <c r="C70" s="40"/>
      <c r="E70" s="40"/>
      <c r="K70" s="39">
        <f t="shared" si="22"/>
        <v>0</v>
      </c>
      <c r="L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39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39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0">
        <v>1</v>
      </c>
      <c r="Q70" s="41" t="s">
        <v>76</v>
      </c>
      <c r="R70" s="41" t="s">
        <v>76</v>
      </c>
      <c r="S70" s="41" t="s">
        <v>76</v>
      </c>
      <c r="T70" s="41" t="s">
        <v>76</v>
      </c>
      <c r="U70" s="41" t="s">
        <v>76</v>
      </c>
      <c r="V70" s="41" t="s">
        <v>76</v>
      </c>
      <c r="W70" s="41" t="s">
        <v>76</v>
      </c>
      <c r="X70" s="41" t="s">
        <v>76</v>
      </c>
      <c r="Y70" s="41" t="s">
        <v>76</v>
      </c>
      <c r="Z70" s="41" t="s">
        <v>76</v>
      </c>
      <c r="AA70" s="41" t="s">
        <v>76</v>
      </c>
      <c r="AB70" s="41" t="s">
        <v>76</v>
      </c>
      <c r="AC70" s="41" t="s">
        <v>76</v>
      </c>
      <c r="AD70" s="41" t="s">
        <v>79</v>
      </c>
      <c r="AE70" s="41" t="s">
        <v>80</v>
      </c>
      <c r="AF70" s="41" t="s">
        <v>76</v>
      </c>
      <c r="AG70" s="41" t="s">
        <v>76</v>
      </c>
      <c r="AH70" s="41" t="s">
        <v>76</v>
      </c>
      <c r="AI70" s="41" t="s">
        <v>76</v>
      </c>
      <c r="AJ70" s="41" t="s">
        <v>76</v>
      </c>
      <c r="AK70" s="41" t="s">
        <v>87</v>
      </c>
      <c r="AL70" t="str">
        <f>VLOOKUP($Q70,武学奇术!$A:$ZZ,25,FALSE)</f>
        <v>心法</v>
      </c>
      <c r="AM70" s="27">
        <f>VLOOKUP($Q70,武学奇术!$A:$ZZ,26,FALSE)</f>
        <v>0</v>
      </c>
      <c r="AN70" s="28">
        <f>VLOOKUP($Q70,武学奇术!$A:$ZZ,27,FALSE)*(1+IF(OR($AL70=$F$4,$AL70=$F$5),$B$22,0))</f>
        <v>0</v>
      </c>
      <c r="AO70" s="27">
        <f>VLOOKUP($Q70,武学奇术!$A:$ZZ,28,FALSE)</f>
        <v>0</v>
      </c>
      <c r="AP70" s="28">
        <f>VLOOKUP($Q70,武学奇术!$A:$ZZ,29,FALSE)*(1+IF(OR($AL70=$F$4,$AL70=$F$5),$B$22,0))</f>
        <v>0</v>
      </c>
      <c r="AQ70" s="27" cm="1">
        <f t="array" ref="AQ70">$G$3+IFERROR(VLOOKUP($AL70,$F$4:$G$7,2,FALSE),0)+VLOOKUP($Q70,武学奇术!$A:$ZZ,2,FALSE)+SUM(_xlfn.XLOOKUP($R70:$AK70,增益!$A:$A,增益!$B:$B,0))</f>
        <v>0.2042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1847.2</v>
      </c>
      <c r="AT70" cm="1">
        <f t="array" ref="AT70">$E$10*(1+$AR70)+VLOOKUP($Q70,武学奇术!$A:$ZZ,4,FALSE)+SUM(_xlfn.XLOOKUP($R70:$AK70,增益!$A:$A,增益!$D:$D,0))-$I$2</f>
        <v>6666.8</v>
      </c>
      <c r="AU70" s="33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0.2585</v>
      </c>
      <c r="AV70" s="33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3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3" cm="1">
        <f t="array" ref="BA70">$G$11+VLOOKUP($Q70,武学奇术!$A:$ZZ,10,FALSE)+SUM(_xlfn.XLOOKUP($R70:$AK70,增益!$A:$A,增益!$J:$J,0))</f>
        <v>0</v>
      </c>
      <c r="BB70">
        <f t="shared" si="25"/>
        <v>662.4</v>
      </c>
      <c r="BC70">
        <f t="shared" si="26"/>
        <v>1260</v>
      </c>
      <c r="BD70" s="33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3" cm="1">
        <f t="array" ref="BE70">$G$12+VLOOKUP($Q70,武学奇术!$A:$ZZ,12,FALSE)+SUM(_xlfn.XLOOKUP($R70:$AK70,增益!$A:$A,增益!$L:$L,0))</f>
        <v>0.15</v>
      </c>
      <c r="BF70">
        <f t="shared" si="27"/>
        <v>0</v>
      </c>
      <c r="BG70">
        <f t="shared" si="28"/>
        <v>0</v>
      </c>
      <c r="BH70" s="33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3" cm="1">
        <f t="array" ref="BI70">$G$13+VLOOKUP($Q70,武学奇术!$A:$ZZ,14,FALSE)+SUM(_xlfn.XLOOKUP($R70:$AK70,增益!$A:$A,增益!$N:$N,0))</f>
        <v>0</v>
      </c>
      <c r="BJ70">
        <f t="shared" si="29"/>
        <v>0</v>
      </c>
      <c r="BK70">
        <f t="shared" si="30"/>
        <v>0</v>
      </c>
      <c r="BL70" s="33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3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0.5954</v>
      </c>
      <c r="BP70" s="27" cm="1">
        <f t="array" ref="BP70">1+$B$13+VLOOKUP($Q70,武学奇术!$A:$ZZ,18,FALSE)+SUM(_xlfn.XLOOKUP($R70:$AK70,增益!$A:$A,增益!$R:$R,0))</f>
        <v>1.644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0.1512</v>
      </c>
      <c r="BR70" s="27" cm="1">
        <f t="array" ref="BR70">1+$B$14+VLOOKUP($Q70,武学奇术!$A:$ZZ,20,FALSE)+SUM(_xlfn.XLOOKUP($R70:$AK70,增益!$A:$A,增益!$T:$T,0))</f>
        <v>1.35</v>
      </c>
      <c r="BS70" s="27">
        <f t="shared" si="31"/>
        <v>0.5954</v>
      </c>
      <c r="BT70" s="27">
        <f t="shared" si="32"/>
        <v>0.2534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:74">
      <c r="A71" s="4" t="s">
        <v>168</v>
      </c>
      <c r="B71" s="4">
        <v>1.33</v>
      </c>
      <c r="E71" s="40"/>
      <c r="K71" s="39">
        <f t="shared" si="22"/>
        <v>0</v>
      </c>
      <c r="L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39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39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0">
        <v>1</v>
      </c>
      <c r="Q71" s="41" t="s">
        <v>76</v>
      </c>
      <c r="R71" s="41" t="s">
        <v>76</v>
      </c>
      <c r="S71" s="41" t="s">
        <v>76</v>
      </c>
      <c r="T71" s="41" t="s">
        <v>76</v>
      </c>
      <c r="U71" s="41" t="s">
        <v>76</v>
      </c>
      <c r="V71" s="41" t="s">
        <v>76</v>
      </c>
      <c r="W71" s="41" t="s">
        <v>76</v>
      </c>
      <c r="X71" s="41" t="s">
        <v>76</v>
      </c>
      <c r="Y71" s="41" t="s">
        <v>76</v>
      </c>
      <c r="Z71" s="41" t="s">
        <v>76</v>
      </c>
      <c r="AA71" s="41" t="s">
        <v>76</v>
      </c>
      <c r="AB71" s="41" t="s">
        <v>76</v>
      </c>
      <c r="AC71" s="41" t="s">
        <v>76</v>
      </c>
      <c r="AD71" s="41" t="s">
        <v>79</v>
      </c>
      <c r="AE71" s="41" t="s">
        <v>80</v>
      </c>
      <c r="AF71" s="41" t="s">
        <v>76</v>
      </c>
      <c r="AG71" s="41" t="s">
        <v>76</v>
      </c>
      <c r="AH71" s="41" t="s">
        <v>76</v>
      </c>
      <c r="AI71" s="41" t="s">
        <v>76</v>
      </c>
      <c r="AJ71" s="41" t="s">
        <v>76</v>
      </c>
      <c r="AK71" s="41" t="s">
        <v>87</v>
      </c>
      <c r="AL71" t="str">
        <f>VLOOKUP($Q71,武学奇术!$A:$ZZ,25,FALSE)</f>
        <v>心法</v>
      </c>
      <c r="AM71" s="27">
        <f>VLOOKUP($Q71,武学奇术!$A:$ZZ,26,FALSE)</f>
        <v>0</v>
      </c>
      <c r="AN71" s="28">
        <f>VLOOKUP($Q71,武学奇术!$A:$ZZ,27,FALSE)*(1+IF(OR($AL71=$F$4,$AL71=$F$5),$B$22,0))</f>
        <v>0</v>
      </c>
      <c r="AO71" s="27">
        <f>VLOOKUP($Q71,武学奇术!$A:$ZZ,28,FALSE)</f>
        <v>0</v>
      </c>
      <c r="AP71" s="28">
        <f>VLOOKUP($Q71,武学奇术!$A:$ZZ,29,FALSE)*(1+IF(OR($AL71=$F$4,$AL71=$F$5),$B$22,0))</f>
        <v>0</v>
      </c>
      <c r="AQ71" s="27" cm="1">
        <f t="array" ref="AQ71">$G$3+IFERROR(VLOOKUP($AL71,$F$4:$G$7,2,FALSE),0)+VLOOKUP($Q71,武学奇术!$A:$ZZ,2,FALSE)+SUM(_xlfn.XLOOKUP($R71:$AK71,增益!$A:$A,增益!$B:$B,0))</f>
        <v>0.2042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1847.2</v>
      </c>
      <c r="AT71" cm="1">
        <f t="array" ref="AT71">$E$10*(1+$AR71)+VLOOKUP($Q71,武学奇术!$A:$ZZ,4,FALSE)+SUM(_xlfn.XLOOKUP($R71:$AK71,增益!$A:$A,增益!$D:$D,0))-$I$2</f>
        <v>6666.8</v>
      </c>
      <c r="AU71" s="33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0.2585</v>
      </c>
      <c r="AV71" s="33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3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3" cm="1">
        <f t="array" ref="BA71">$G$11+VLOOKUP($Q71,武学奇术!$A:$ZZ,10,FALSE)+SUM(_xlfn.XLOOKUP($R71:$AK71,增益!$A:$A,增益!$J:$J,0))</f>
        <v>0</v>
      </c>
      <c r="BB71">
        <f t="shared" si="25"/>
        <v>662.4</v>
      </c>
      <c r="BC71">
        <f t="shared" si="26"/>
        <v>1260</v>
      </c>
      <c r="BD71" s="33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3" cm="1">
        <f t="array" ref="BE71">$G$12+VLOOKUP($Q71,武学奇术!$A:$ZZ,12,FALSE)+SUM(_xlfn.XLOOKUP($R71:$AK71,增益!$A:$A,增益!$L:$L,0))</f>
        <v>0.15</v>
      </c>
      <c r="BF71">
        <f t="shared" si="27"/>
        <v>0</v>
      </c>
      <c r="BG71">
        <f t="shared" si="28"/>
        <v>0</v>
      </c>
      <c r="BH71" s="33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3" cm="1">
        <f t="array" ref="BI71">$G$13+VLOOKUP($Q71,武学奇术!$A:$ZZ,14,FALSE)+SUM(_xlfn.XLOOKUP($R71:$AK71,增益!$A:$A,增益!$N:$N,0))</f>
        <v>0</v>
      </c>
      <c r="BJ71">
        <f t="shared" si="29"/>
        <v>0</v>
      </c>
      <c r="BK71">
        <f t="shared" si="30"/>
        <v>0</v>
      </c>
      <c r="BL71" s="33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3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1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0.5954</v>
      </c>
      <c r="BP71" s="27" cm="1">
        <f t="array" ref="BP71">1+$B$13+VLOOKUP($Q71,武学奇术!$A:$ZZ,18,FALSE)+SUM(_xlfn.XLOOKUP($R71:$AK71,增益!$A:$A,增益!$R:$R,0))</f>
        <v>1.644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0.1512</v>
      </c>
      <c r="BR71" s="27" cm="1">
        <f t="array" ref="BR71">1+$B$14+VLOOKUP($Q71,武学奇术!$A:$ZZ,20,FALSE)+SUM(_xlfn.XLOOKUP($R71:$AK71,增益!$A:$A,增益!$T:$T,0))</f>
        <v>1.35</v>
      </c>
      <c r="BS71" s="27">
        <f t="shared" si="31"/>
        <v>0.5954</v>
      </c>
      <c r="BT71" s="27">
        <f t="shared" si="32"/>
        <v>0.2534</v>
      </c>
      <c r="BU71" s="27">
        <f>IF(VLOOKUP($Q71,武学奇术!$A:$ZZ,22,FALSE)=1,0,(1-$BN71))*(1-$BQ71)</f>
        <v>0</v>
      </c>
      <c r="BV71" s="27" cm="1">
        <f t="array" ref="BV71">SUM(_xlfn.XLOOKUP($R71:$AK71,增益!$A:$A,增益!$W:$W,0))+$I$5</f>
        <v>0.11</v>
      </c>
    </row>
    <row r="72" spans="1:74">
      <c r="A72" s="4" t="s">
        <v>173</v>
      </c>
      <c r="B72" s="4">
        <v>19.3</v>
      </c>
      <c r="K72" s="39">
        <f t="shared" si="22"/>
        <v>0</v>
      </c>
      <c r="L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39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39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0">
        <v>1</v>
      </c>
      <c r="Q72" s="41" t="s">
        <v>76</v>
      </c>
      <c r="R72" s="41" t="s">
        <v>76</v>
      </c>
      <c r="S72" s="41" t="s">
        <v>76</v>
      </c>
      <c r="T72" s="41" t="s">
        <v>76</v>
      </c>
      <c r="U72" s="41" t="s">
        <v>76</v>
      </c>
      <c r="V72" s="41" t="s">
        <v>76</v>
      </c>
      <c r="W72" s="41" t="s">
        <v>76</v>
      </c>
      <c r="X72" s="41" t="s">
        <v>76</v>
      </c>
      <c r="Y72" s="41" t="s">
        <v>76</v>
      </c>
      <c r="Z72" s="41" t="s">
        <v>76</v>
      </c>
      <c r="AA72" s="41" t="s">
        <v>76</v>
      </c>
      <c r="AB72" s="41" t="s">
        <v>76</v>
      </c>
      <c r="AC72" s="41" t="s">
        <v>76</v>
      </c>
      <c r="AD72" s="41" t="s">
        <v>79</v>
      </c>
      <c r="AE72" s="41" t="s">
        <v>80</v>
      </c>
      <c r="AF72" s="41" t="s">
        <v>76</v>
      </c>
      <c r="AG72" s="41" t="s">
        <v>76</v>
      </c>
      <c r="AH72" s="41" t="s">
        <v>76</v>
      </c>
      <c r="AI72" s="41" t="s">
        <v>76</v>
      </c>
      <c r="AJ72" s="41" t="s">
        <v>76</v>
      </c>
      <c r="AK72" s="41" t="s">
        <v>87</v>
      </c>
      <c r="AL72" t="str">
        <f>VLOOKUP($Q72,武学奇术!$A:$ZZ,25,FALSE)</f>
        <v>心法</v>
      </c>
      <c r="AM72" s="27">
        <f>VLOOKUP($Q72,武学奇术!$A:$ZZ,26,FALSE)</f>
        <v>0</v>
      </c>
      <c r="AN72" s="28">
        <f>VLOOKUP($Q72,武学奇术!$A:$ZZ,27,FALSE)*(1+IF(OR($AL72=$F$4,$AL72=$F$5),$B$22,0))</f>
        <v>0</v>
      </c>
      <c r="AO72" s="27">
        <f>VLOOKUP($Q72,武学奇术!$A:$ZZ,28,FALSE)</f>
        <v>0</v>
      </c>
      <c r="AP72" s="28">
        <f>VLOOKUP($Q72,武学奇术!$A:$ZZ,29,FALSE)*(1+IF(OR($AL72=$F$4,$AL72=$F$5),$B$22,0))</f>
        <v>0</v>
      </c>
      <c r="AQ72" s="27" cm="1">
        <f t="array" ref="AQ72">$G$3+IFERROR(VLOOKUP($AL72,$F$4:$G$7,2,FALSE),0)+VLOOKUP($Q72,武学奇术!$A:$ZZ,2,FALSE)+SUM(_xlfn.XLOOKUP($R72:$AK72,增益!$A:$A,增益!$B:$B,0))</f>
        <v>0.2042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1847.2</v>
      </c>
      <c r="AT72" cm="1">
        <f t="array" ref="AT72">$E$10*(1+$AR72)+VLOOKUP($Q72,武学奇术!$A:$ZZ,4,FALSE)+SUM(_xlfn.XLOOKUP($R72:$AK72,增益!$A:$A,增益!$D:$D,0))-$I$2</f>
        <v>6666.8</v>
      </c>
      <c r="AU72" s="33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0.2585</v>
      </c>
      <c r="AV72" s="33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3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3" cm="1">
        <f t="array" ref="BA72">$G$11+VLOOKUP($Q72,武学奇术!$A:$ZZ,10,FALSE)+SUM(_xlfn.XLOOKUP($R72:$AK72,增益!$A:$A,增益!$J:$J,0))</f>
        <v>0</v>
      </c>
      <c r="BB72">
        <f t="shared" si="25"/>
        <v>662.4</v>
      </c>
      <c r="BC72">
        <f t="shared" si="26"/>
        <v>1260</v>
      </c>
      <c r="BD72" s="33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3" cm="1">
        <f t="array" ref="BE72">$G$12+VLOOKUP($Q72,武学奇术!$A:$ZZ,12,FALSE)+SUM(_xlfn.XLOOKUP($R72:$AK72,增益!$A:$A,增益!$L:$L,0))</f>
        <v>0.15</v>
      </c>
      <c r="BF72">
        <f t="shared" si="27"/>
        <v>0</v>
      </c>
      <c r="BG72">
        <f t="shared" si="28"/>
        <v>0</v>
      </c>
      <c r="BH72" s="33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3" cm="1">
        <f t="array" ref="BI72">$G$13+VLOOKUP($Q72,武学奇术!$A:$ZZ,14,FALSE)+SUM(_xlfn.XLOOKUP($R72:$AK72,增益!$A:$A,增益!$N:$N,0))</f>
        <v>0</v>
      </c>
      <c r="BJ72">
        <f t="shared" si="29"/>
        <v>0</v>
      </c>
      <c r="BK72">
        <f t="shared" si="30"/>
        <v>0</v>
      </c>
      <c r="BL72" s="33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3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1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0.5954</v>
      </c>
      <c r="BP72" s="27" cm="1">
        <f t="array" ref="BP72">1+$B$13+VLOOKUP($Q72,武学奇术!$A:$ZZ,18,FALSE)+SUM(_xlfn.XLOOKUP($R72:$AK72,增益!$A:$A,增益!$R:$R,0))</f>
        <v>1.644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0.1512</v>
      </c>
      <c r="BR72" s="27" cm="1">
        <f t="array" ref="BR72">1+$B$14+VLOOKUP($Q72,武学奇术!$A:$ZZ,20,FALSE)+SUM(_xlfn.XLOOKUP($R72:$AK72,增益!$A:$A,增益!$T:$T,0))</f>
        <v>1.35</v>
      </c>
      <c r="BS72" s="27">
        <f t="shared" si="31"/>
        <v>0.5954</v>
      </c>
      <c r="BT72" s="27">
        <f t="shared" si="32"/>
        <v>0.2534</v>
      </c>
      <c r="BU72" s="27">
        <f>IF(VLOOKUP($Q72,武学奇术!$A:$ZZ,22,FALSE)=1,0,(1-$BN72))*(1-$BQ72)</f>
        <v>0</v>
      </c>
      <c r="BV72" s="27" cm="1">
        <f t="array" ref="BV72">SUM(_xlfn.XLOOKUP($R72:$AK72,增益!$A:$A,增益!$W:$W,0))+$I$5</f>
        <v>0.11</v>
      </c>
    </row>
    <row r="73" spans="1:74">
      <c r="A73" s="4" t="s">
        <v>163</v>
      </c>
      <c r="B73" s="4">
        <v>1.66</v>
      </c>
      <c r="C73" s="40" t="s">
        <v>158</v>
      </c>
      <c r="K73" s="39">
        <f t="shared" si="22"/>
        <v>0</v>
      </c>
      <c r="L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39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39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0">
        <v>1</v>
      </c>
      <c r="Q73" s="41" t="s">
        <v>76</v>
      </c>
      <c r="R73" s="41" t="s">
        <v>76</v>
      </c>
      <c r="S73" s="41" t="s">
        <v>76</v>
      </c>
      <c r="T73" s="41" t="s">
        <v>76</v>
      </c>
      <c r="U73" s="41" t="s">
        <v>76</v>
      </c>
      <c r="V73" s="41" t="s">
        <v>76</v>
      </c>
      <c r="W73" s="41" t="s">
        <v>76</v>
      </c>
      <c r="X73" s="41" t="s">
        <v>76</v>
      </c>
      <c r="Y73" s="41" t="s">
        <v>76</v>
      </c>
      <c r="Z73" s="41" t="s">
        <v>76</v>
      </c>
      <c r="AA73" s="41" t="s">
        <v>76</v>
      </c>
      <c r="AB73" s="41" t="s">
        <v>76</v>
      </c>
      <c r="AC73" s="41" t="s">
        <v>76</v>
      </c>
      <c r="AD73" s="41" t="s">
        <v>79</v>
      </c>
      <c r="AE73" s="41" t="s">
        <v>80</v>
      </c>
      <c r="AF73" s="41" t="s">
        <v>76</v>
      </c>
      <c r="AG73" s="41" t="s">
        <v>76</v>
      </c>
      <c r="AH73" s="41" t="s">
        <v>76</v>
      </c>
      <c r="AI73" s="41" t="s">
        <v>76</v>
      </c>
      <c r="AJ73" s="41" t="s">
        <v>76</v>
      </c>
      <c r="AK73" s="41" t="s">
        <v>87</v>
      </c>
      <c r="AL73" t="str">
        <f>VLOOKUP($Q73,武学奇术!$A:$ZZ,25,FALSE)</f>
        <v>心法</v>
      </c>
      <c r="AM73" s="27">
        <f>VLOOKUP($Q73,武学奇术!$A:$ZZ,26,FALSE)</f>
        <v>0</v>
      </c>
      <c r="AN73" s="28">
        <f>VLOOKUP($Q73,武学奇术!$A:$ZZ,27,FALSE)*(1+IF(OR($AL73=$F$4,$AL73=$F$5),$B$22,0))</f>
        <v>0</v>
      </c>
      <c r="AO73" s="27">
        <f>VLOOKUP($Q73,武学奇术!$A:$ZZ,28,FALSE)</f>
        <v>0</v>
      </c>
      <c r="AP73" s="28">
        <f>VLOOKUP($Q73,武学奇术!$A:$ZZ,29,FALSE)*(1+IF(OR($AL73=$F$4,$AL73=$F$5),$B$22,0))</f>
        <v>0</v>
      </c>
      <c r="AQ73" s="27" cm="1">
        <f t="array" ref="AQ73">$G$3+IFERROR(VLOOKUP($AL73,$F$4:$G$7,2,FALSE),0)+VLOOKUP($Q73,武学奇术!$A:$ZZ,2,FALSE)+SUM(_xlfn.XLOOKUP($R73:$AK73,增益!$A:$A,增益!$B:$B,0))</f>
        <v>0.2042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1847.2</v>
      </c>
      <c r="AT73" cm="1">
        <f t="array" ref="AT73">$E$10*(1+$AR73)+VLOOKUP($Q73,武学奇术!$A:$ZZ,4,FALSE)+SUM(_xlfn.XLOOKUP($R73:$AK73,增益!$A:$A,增益!$D:$D,0))-$I$2</f>
        <v>6666.8</v>
      </c>
      <c r="AU73" s="33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0.2585</v>
      </c>
      <c r="AV73" s="33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3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3" cm="1">
        <f t="array" ref="BA73">$G$11+VLOOKUP($Q73,武学奇术!$A:$ZZ,10,FALSE)+SUM(_xlfn.XLOOKUP($R73:$AK73,增益!$A:$A,增益!$J:$J,0))</f>
        <v>0</v>
      </c>
      <c r="BB73">
        <f t="shared" si="25"/>
        <v>662.4</v>
      </c>
      <c r="BC73">
        <f t="shared" si="26"/>
        <v>1260</v>
      </c>
      <c r="BD73" s="33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3" cm="1">
        <f t="array" ref="BE73">$G$12+VLOOKUP($Q73,武学奇术!$A:$ZZ,12,FALSE)+SUM(_xlfn.XLOOKUP($R73:$AK73,增益!$A:$A,增益!$L:$L,0))</f>
        <v>0.15</v>
      </c>
      <c r="BF73">
        <f t="shared" si="27"/>
        <v>0</v>
      </c>
      <c r="BG73">
        <f t="shared" si="28"/>
        <v>0</v>
      </c>
      <c r="BH73" s="33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3" cm="1">
        <f t="array" ref="BI73">$G$13+VLOOKUP($Q73,武学奇术!$A:$ZZ,14,FALSE)+SUM(_xlfn.XLOOKUP($R73:$AK73,增益!$A:$A,增益!$N:$N,0))</f>
        <v>0</v>
      </c>
      <c r="BJ73">
        <f t="shared" si="29"/>
        <v>0</v>
      </c>
      <c r="BK73">
        <f t="shared" si="30"/>
        <v>0</v>
      </c>
      <c r="BL73" s="33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3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1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0.5954</v>
      </c>
      <c r="BP73" s="27" cm="1">
        <f t="array" ref="BP73">1+$B$13+VLOOKUP($Q73,武学奇术!$A:$ZZ,18,FALSE)+SUM(_xlfn.XLOOKUP($R73:$AK73,增益!$A:$A,增益!$R:$R,0))</f>
        <v>1.644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0.1512</v>
      </c>
      <c r="BR73" s="27" cm="1">
        <f t="array" ref="BR73">1+$B$14+VLOOKUP($Q73,武学奇术!$A:$ZZ,20,FALSE)+SUM(_xlfn.XLOOKUP($R73:$AK73,增益!$A:$A,增益!$T:$T,0))</f>
        <v>1.35</v>
      </c>
      <c r="BS73" s="27">
        <f t="shared" si="31"/>
        <v>0.5954</v>
      </c>
      <c r="BT73" s="27">
        <f t="shared" si="32"/>
        <v>0.2534</v>
      </c>
      <c r="BU73" s="27">
        <f>IF(VLOOKUP($Q73,武学奇术!$A:$ZZ,22,FALSE)=1,0,(1-$BN73))*(1-$BQ73)</f>
        <v>0</v>
      </c>
      <c r="BV73" s="27" cm="1">
        <f t="array" ref="BV73">SUM(_xlfn.XLOOKUP($R73:$AK73,增益!$A:$A,增益!$W:$W,0))+$I$5</f>
        <v>0.11</v>
      </c>
    </row>
    <row r="74" spans="1:74">
      <c r="A74" s="4" t="s">
        <v>168</v>
      </c>
      <c r="B74" s="4">
        <v>1.33</v>
      </c>
      <c r="C74" s="40"/>
      <c r="E74" s="40" t="s">
        <v>165</v>
      </c>
      <c r="K74" s="39">
        <f t="shared" ref="K74:K86" si="33">($L74*$BS74+$M74*$BQ74+$N74*$BT74+$O74*$BU74)</f>
        <v>0</v>
      </c>
      <c r="L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39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39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0">
        <v>1</v>
      </c>
      <c r="Q74" s="41" t="s">
        <v>76</v>
      </c>
      <c r="R74" s="41" t="s">
        <v>76</v>
      </c>
      <c r="S74" s="41" t="s">
        <v>76</v>
      </c>
      <c r="T74" s="41" t="s">
        <v>76</v>
      </c>
      <c r="U74" s="41" t="s">
        <v>76</v>
      </c>
      <c r="V74" s="41" t="s">
        <v>76</v>
      </c>
      <c r="W74" s="41" t="s">
        <v>76</v>
      </c>
      <c r="X74" s="41" t="s">
        <v>76</v>
      </c>
      <c r="Y74" s="41" t="s">
        <v>76</v>
      </c>
      <c r="Z74" s="41" t="s">
        <v>76</v>
      </c>
      <c r="AA74" s="41" t="s">
        <v>76</v>
      </c>
      <c r="AB74" s="41" t="s">
        <v>76</v>
      </c>
      <c r="AC74" s="41" t="s">
        <v>76</v>
      </c>
      <c r="AD74" s="41" t="s">
        <v>79</v>
      </c>
      <c r="AE74" s="41" t="s">
        <v>80</v>
      </c>
      <c r="AF74" s="41" t="s">
        <v>76</v>
      </c>
      <c r="AG74" s="41" t="s">
        <v>76</v>
      </c>
      <c r="AH74" s="41" t="s">
        <v>76</v>
      </c>
      <c r="AI74" s="41" t="s">
        <v>76</v>
      </c>
      <c r="AJ74" s="41" t="s">
        <v>76</v>
      </c>
      <c r="AK74" s="41" t="s">
        <v>87</v>
      </c>
      <c r="AL74" t="str">
        <f>VLOOKUP($Q74,武学奇术!$A:$ZZ,25,FALSE)</f>
        <v>心法</v>
      </c>
      <c r="AM74" s="27">
        <f>VLOOKUP($Q74,武学奇术!$A:$ZZ,26,FALSE)</f>
        <v>0</v>
      </c>
      <c r="AN74" s="28">
        <f>VLOOKUP($Q74,武学奇术!$A:$ZZ,27,FALSE)*(1+IF(OR($AL74=$F$4,$AL74=$F$5),$B$22,0))</f>
        <v>0</v>
      </c>
      <c r="AO74" s="27">
        <f>VLOOKUP($Q74,武学奇术!$A:$ZZ,28,FALSE)</f>
        <v>0</v>
      </c>
      <c r="AP74" s="28">
        <f>VLOOKUP($Q74,武学奇术!$A:$ZZ,29,FALSE)*(1+IF(OR($AL74=$F$4,$AL74=$F$5),$B$22,0))</f>
        <v>0</v>
      </c>
      <c r="AQ74" s="27" cm="1">
        <f t="array" ref="AQ74">$G$3+IFERROR(VLOOKUP($AL74,$F$4:$G$7,2,FALSE),0)+VLOOKUP($Q74,武学奇术!$A:$ZZ,2,FALSE)+SUM(_xlfn.XLOOKUP($R74:$AK74,增益!$A:$A,增益!$B:$B,0))</f>
        <v>0.2042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1847.2</v>
      </c>
      <c r="AT74" cm="1">
        <f t="array" ref="AT74">$E$10*(1+$AR74)+VLOOKUP($Q74,武学奇术!$A:$ZZ,4,FALSE)+SUM(_xlfn.XLOOKUP($R74:$AK74,增益!$A:$A,增益!$D:$D,0))-$I$2</f>
        <v>6666.8</v>
      </c>
      <c r="AU74" s="33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0.2585</v>
      </c>
      <c r="AV74" s="33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3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3" cm="1">
        <f t="array" ref="BA74">$G$11+VLOOKUP($Q74,武学奇术!$A:$ZZ,10,FALSE)+SUM(_xlfn.XLOOKUP($R74:$AK74,增益!$A:$A,增益!$J:$J,0))</f>
        <v>0</v>
      </c>
      <c r="BB74">
        <f t="shared" si="25"/>
        <v>662.4</v>
      </c>
      <c r="BC74">
        <f t="shared" si="26"/>
        <v>1260</v>
      </c>
      <c r="BD74" s="33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3" cm="1">
        <f t="array" ref="BE74">$G$12+VLOOKUP($Q74,武学奇术!$A:$ZZ,12,FALSE)+SUM(_xlfn.XLOOKUP($R74:$AK74,增益!$A:$A,增益!$L:$L,0))</f>
        <v>0.15</v>
      </c>
      <c r="BF74">
        <f t="shared" si="27"/>
        <v>0</v>
      </c>
      <c r="BG74">
        <f t="shared" si="28"/>
        <v>0</v>
      </c>
      <c r="BH74" s="33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3" cm="1">
        <f t="array" ref="BI74">$G$13+VLOOKUP($Q74,武学奇术!$A:$ZZ,14,FALSE)+SUM(_xlfn.XLOOKUP($R74:$AK74,增益!$A:$A,增益!$N:$N,0))</f>
        <v>0</v>
      </c>
      <c r="BJ74">
        <f t="shared" si="29"/>
        <v>0</v>
      </c>
      <c r="BK74">
        <f t="shared" si="30"/>
        <v>0</v>
      </c>
      <c r="BL74" s="33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3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1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0.5954</v>
      </c>
      <c r="BP74" s="27" cm="1">
        <f t="array" ref="BP74">1+$B$13+VLOOKUP($Q74,武学奇术!$A:$ZZ,18,FALSE)+SUM(_xlfn.XLOOKUP($R74:$AK74,增益!$A:$A,增益!$R:$R,0))</f>
        <v>1.644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0.1512</v>
      </c>
      <c r="BR74" s="27" cm="1">
        <f t="array" ref="BR74">1+$B$14+VLOOKUP($Q74,武学奇术!$A:$ZZ,20,FALSE)+SUM(_xlfn.XLOOKUP($R74:$AK74,增益!$A:$A,增益!$T:$T,0))</f>
        <v>1.35</v>
      </c>
      <c r="BS74" s="27">
        <f t="shared" si="31"/>
        <v>0.5954</v>
      </c>
      <c r="BT74" s="27">
        <f t="shared" si="32"/>
        <v>0.2534</v>
      </c>
      <c r="BU74" s="27">
        <f>IF(VLOOKUP($Q74,武学奇术!$A:$ZZ,22,FALSE)=1,0,(1-$BN74))*(1-$BQ74)</f>
        <v>0</v>
      </c>
      <c r="BV74" s="27" cm="1">
        <f t="array" ref="BV74">SUM(_xlfn.XLOOKUP($R74:$AK74,增益!$A:$A,增益!$W:$W,0))+$I$5</f>
        <v>0.11</v>
      </c>
    </row>
    <row r="75" spans="1:74">
      <c r="A75" s="4" t="s">
        <v>172</v>
      </c>
      <c r="B75" s="4">
        <v>2</v>
      </c>
      <c r="C75" s="40"/>
      <c r="E75" s="40"/>
      <c r="F75" s="40" t="s">
        <v>166</v>
      </c>
      <c r="K75" s="39">
        <f t="shared" si="33"/>
        <v>0</v>
      </c>
      <c r="L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39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39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0">
        <v>1</v>
      </c>
      <c r="Q75" s="41" t="s">
        <v>76</v>
      </c>
      <c r="R75" s="41" t="s">
        <v>76</v>
      </c>
      <c r="S75" s="41" t="s">
        <v>76</v>
      </c>
      <c r="T75" s="41" t="s">
        <v>76</v>
      </c>
      <c r="U75" s="41" t="s">
        <v>76</v>
      </c>
      <c r="V75" s="41" t="s">
        <v>76</v>
      </c>
      <c r="W75" s="41" t="s">
        <v>76</v>
      </c>
      <c r="X75" s="41" t="s">
        <v>76</v>
      </c>
      <c r="Y75" s="41" t="s">
        <v>76</v>
      </c>
      <c r="Z75" s="41" t="s">
        <v>76</v>
      </c>
      <c r="AA75" s="41" t="s">
        <v>76</v>
      </c>
      <c r="AB75" s="41" t="s">
        <v>76</v>
      </c>
      <c r="AC75" s="41" t="s">
        <v>76</v>
      </c>
      <c r="AD75" s="41" t="s">
        <v>79</v>
      </c>
      <c r="AE75" s="41" t="s">
        <v>80</v>
      </c>
      <c r="AF75" s="41" t="s">
        <v>76</v>
      </c>
      <c r="AG75" s="41" t="s">
        <v>76</v>
      </c>
      <c r="AH75" s="41" t="s">
        <v>76</v>
      </c>
      <c r="AI75" s="41" t="s">
        <v>76</v>
      </c>
      <c r="AJ75" s="41" t="s">
        <v>76</v>
      </c>
      <c r="AK75" s="41" t="s">
        <v>87</v>
      </c>
      <c r="AL75" t="str">
        <f>VLOOKUP($Q75,武学奇术!$A:$ZZ,25,FALSE)</f>
        <v>心法</v>
      </c>
      <c r="AM75" s="27">
        <f>VLOOKUP($Q75,武学奇术!$A:$ZZ,26,FALSE)</f>
        <v>0</v>
      </c>
      <c r="AN75" s="28">
        <f>VLOOKUP($Q75,武学奇术!$A:$ZZ,27,FALSE)*(1+IF(OR($AL75=$F$4,$AL75=$F$5),$B$22,0))</f>
        <v>0</v>
      </c>
      <c r="AO75" s="27">
        <f>VLOOKUP($Q75,武学奇术!$A:$ZZ,28,FALSE)</f>
        <v>0</v>
      </c>
      <c r="AP75" s="28">
        <f>VLOOKUP($Q75,武学奇术!$A:$ZZ,29,FALSE)*(1+IF(OR($AL75=$F$4,$AL75=$F$5),$B$22,0))</f>
        <v>0</v>
      </c>
      <c r="AQ75" s="27" cm="1">
        <f t="array" ref="AQ75">$G$3+IFERROR(VLOOKUP($AL75,$F$4:$G$7,2,FALSE),0)+VLOOKUP($Q75,武学奇术!$A:$ZZ,2,FALSE)+SUM(_xlfn.XLOOKUP($R75:$AK75,增益!$A:$A,增益!$B:$B,0))</f>
        <v>0.2042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1847.2</v>
      </c>
      <c r="AT75" cm="1">
        <f t="array" ref="AT75">$E$10*(1+$AR75)+VLOOKUP($Q75,武学奇术!$A:$ZZ,4,FALSE)+SUM(_xlfn.XLOOKUP($R75:$AK75,增益!$A:$A,增益!$D:$D,0))-$I$2</f>
        <v>6666.8</v>
      </c>
      <c r="AU75" s="33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0.2585</v>
      </c>
      <c r="AV75" s="33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3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3" cm="1">
        <f t="array" ref="BA75">$G$11+VLOOKUP($Q75,武学奇术!$A:$ZZ,10,FALSE)+SUM(_xlfn.XLOOKUP($R75:$AK75,增益!$A:$A,增益!$J:$J,0))</f>
        <v>0</v>
      </c>
      <c r="BB75">
        <f t="shared" si="25"/>
        <v>662.4</v>
      </c>
      <c r="BC75">
        <f t="shared" si="26"/>
        <v>1260</v>
      </c>
      <c r="BD75" s="33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3" cm="1">
        <f t="array" ref="BE75">$G$12+VLOOKUP($Q75,武学奇术!$A:$ZZ,12,FALSE)+SUM(_xlfn.XLOOKUP($R75:$AK75,增益!$A:$A,增益!$L:$L,0))</f>
        <v>0.15</v>
      </c>
      <c r="BF75">
        <f t="shared" si="27"/>
        <v>0</v>
      </c>
      <c r="BG75">
        <f t="shared" si="28"/>
        <v>0</v>
      </c>
      <c r="BH75" s="33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3" cm="1">
        <f t="array" ref="BI75">$G$13+VLOOKUP($Q75,武学奇术!$A:$ZZ,14,FALSE)+SUM(_xlfn.XLOOKUP($R75:$AK75,增益!$A:$A,增益!$N:$N,0))</f>
        <v>0</v>
      </c>
      <c r="BJ75">
        <f t="shared" si="29"/>
        <v>0</v>
      </c>
      <c r="BK75">
        <f t="shared" si="30"/>
        <v>0</v>
      </c>
      <c r="BL75" s="33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3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1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0.5954</v>
      </c>
      <c r="BP75" s="27" cm="1">
        <f t="array" ref="BP75">1+$B$13+VLOOKUP($Q75,武学奇术!$A:$ZZ,18,FALSE)+SUM(_xlfn.XLOOKUP($R75:$AK75,增益!$A:$A,增益!$R:$R,0))</f>
        <v>1.644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0.1512</v>
      </c>
      <c r="BR75" s="27" cm="1">
        <f t="array" ref="BR75">1+$B$14+VLOOKUP($Q75,武学奇术!$A:$ZZ,20,FALSE)+SUM(_xlfn.XLOOKUP($R75:$AK75,增益!$A:$A,增益!$T:$T,0))</f>
        <v>1.35</v>
      </c>
      <c r="BS75" s="27">
        <f t="shared" si="31"/>
        <v>0.5954</v>
      </c>
      <c r="BT75" s="27">
        <f t="shared" si="32"/>
        <v>0.2534</v>
      </c>
      <c r="BU75" s="27">
        <f>IF(VLOOKUP($Q75,武学奇术!$A:$ZZ,22,FALSE)=1,0,(1-$BN75))*(1-$BQ75)</f>
        <v>0</v>
      </c>
      <c r="BV75" s="27" cm="1">
        <f t="array" ref="BV75">SUM(_xlfn.XLOOKUP($R75:$AK75,增益!$A:$A,增益!$W:$W,0))+$I$5</f>
        <v>0.11</v>
      </c>
    </row>
    <row r="76" spans="1:74">
      <c r="A76" s="4" t="s">
        <v>163</v>
      </c>
      <c r="B76" s="4">
        <v>1.66</v>
      </c>
      <c r="C76" s="40"/>
      <c r="E76" s="40"/>
      <c r="F76" s="40"/>
      <c r="K76" s="39">
        <f t="shared" si="33"/>
        <v>0</v>
      </c>
      <c r="L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39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39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0">
        <v>1</v>
      </c>
      <c r="Q76" s="41" t="s">
        <v>76</v>
      </c>
      <c r="R76" s="41" t="s">
        <v>76</v>
      </c>
      <c r="S76" s="41" t="s">
        <v>76</v>
      </c>
      <c r="T76" s="41" t="s">
        <v>76</v>
      </c>
      <c r="U76" s="41" t="s">
        <v>76</v>
      </c>
      <c r="V76" s="41" t="s">
        <v>76</v>
      </c>
      <c r="W76" s="41" t="s">
        <v>76</v>
      </c>
      <c r="X76" s="41" t="s">
        <v>76</v>
      </c>
      <c r="Y76" s="41" t="s">
        <v>76</v>
      </c>
      <c r="Z76" s="41" t="s">
        <v>76</v>
      </c>
      <c r="AA76" s="41" t="s">
        <v>76</v>
      </c>
      <c r="AB76" s="41" t="s">
        <v>76</v>
      </c>
      <c r="AC76" s="41" t="s">
        <v>76</v>
      </c>
      <c r="AD76" s="41" t="s">
        <v>79</v>
      </c>
      <c r="AE76" s="41" t="s">
        <v>80</v>
      </c>
      <c r="AF76" s="41" t="s">
        <v>76</v>
      </c>
      <c r="AG76" s="41" t="s">
        <v>76</v>
      </c>
      <c r="AH76" s="41" t="s">
        <v>76</v>
      </c>
      <c r="AI76" s="41" t="s">
        <v>76</v>
      </c>
      <c r="AJ76" s="41" t="s">
        <v>76</v>
      </c>
      <c r="AK76" s="41" t="s">
        <v>87</v>
      </c>
      <c r="AL76" t="str">
        <f>VLOOKUP($Q76,武学奇术!$A:$ZZ,25,FALSE)</f>
        <v>心法</v>
      </c>
      <c r="AM76" s="27">
        <f>VLOOKUP($Q76,武学奇术!$A:$ZZ,26,FALSE)</f>
        <v>0</v>
      </c>
      <c r="AN76" s="28">
        <f>VLOOKUP($Q76,武学奇术!$A:$ZZ,27,FALSE)*(1+IF(OR($AL76=$F$4,$AL76=$F$5),$B$22,0))</f>
        <v>0</v>
      </c>
      <c r="AO76" s="27">
        <f>VLOOKUP($Q76,武学奇术!$A:$ZZ,28,FALSE)</f>
        <v>0</v>
      </c>
      <c r="AP76" s="28">
        <f>VLOOKUP($Q76,武学奇术!$A:$ZZ,29,FALSE)*(1+IF(OR($AL76=$F$4,$AL76=$F$5),$B$22,0))</f>
        <v>0</v>
      </c>
      <c r="AQ76" s="27" cm="1">
        <f t="array" ref="AQ76">$G$3+IFERROR(VLOOKUP($AL76,$F$4:$G$7,2,FALSE),0)+VLOOKUP($Q76,武学奇术!$A:$ZZ,2,FALSE)+SUM(_xlfn.XLOOKUP($R76:$AK76,增益!$A:$A,增益!$B:$B,0))</f>
        <v>0.2042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1847.2</v>
      </c>
      <c r="AT76" cm="1">
        <f t="array" ref="AT76">$E$10*(1+$AR76)+VLOOKUP($Q76,武学奇术!$A:$ZZ,4,FALSE)+SUM(_xlfn.XLOOKUP($R76:$AK76,增益!$A:$A,增益!$D:$D,0))-$I$2</f>
        <v>6666.8</v>
      </c>
      <c r="AU76" s="33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0.2585</v>
      </c>
      <c r="AV76" s="33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3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3" cm="1">
        <f t="array" ref="BA76">$G$11+VLOOKUP($Q76,武学奇术!$A:$ZZ,10,FALSE)+SUM(_xlfn.XLOOKUP($R76:$AK76,增益!$A:$A,增益!$J:$J,0))</f>
        <v>0</v>
      </c>
      <c r="BB76">
        <f t="shared" si="25"/>
        <v>662.4</v>
      </c>
      <c r="BC76">
        <f t="shared" si="26"/>
        <v>1260</v>
      </c>
      <c r="BD76" s="33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3" cm="1">
        <f t="array" ref="BE76">$G$12+VLOOKUP($Q76,武学奇术!$A:$ZZ,12,FALSE)+SUM(_xlfn.XLOOKUP($R76:$AK76,增益!$A:$A,增益!$L:$L,0))</f>
        <v>0.15</v>
      </c>
      <c r="BF76">
        <f t="shared" si="27"/>
        <v>0</v>
      </c>
      <c r="BG76">
        <f t="shared" si="28"/>
        <v>0</v>
      </c>
      <c r="BH76" s="33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3" cm="1">
        <f t="array" ref="BI76">$G$13+VLOOKUP($Q76,武学奇术!$A:$ZZ,14,FALSE)+SUM(_xlfn.XLOOKUP($R76:$AK76,增益!$A:$A,增益!$N:$N,0))</f>
        <v>0</v>
      </c>
      <c r="BJ76">
        <f t="shared" si="29"/>
        <v>0</v>
      </c>
      <c r="BK76">
        <f t="shared" si="30"/>
        <v>0</v>
      </c>
      <c r="BL76" s="33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3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1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0.5954</v>
      </c>
      <c r="BP76" s="27" cm="1">
        <f t="array" ref="BP76">1+$B$13+VLOOKUP($Q76,武学奇术!$A:$ZZ,18,FALSE)+SUM(_xlfn.XLOOKUP($R76:$AK76,增益!$A:$A,增益!$R:$R,0))</f>
        <v>1.644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0.1512</v>
      </c>
      <c r="BR76" s="27" cm="1">
        <f t="array" ref="BR76">1+$B$14+VLOOKUP($Q76,武学奇术!$A:$ZZ,20,FALSE)+SUM(_xlfn.XLOOKUP($R76:$AK76,增益!$A:$A,增益!$T:$T,0))</f>
        <v>1.35</v>
      </c>
      <c r="BS76" s="27">
        <f t="shared" si="31"/>
        <v>0.5954</v>
      </c>
      <c r="BT76" s="27">
        <f t="shared" si="32"/>
        <v>0.2534</v>
      </c>
      <c r="BU76" s="27">
        <f>IF(VLOOKUP($Q76,武学奇术!$A:$ZZ,22,FALSE)=1,0,(1-$BN76))*(1-$BQ76)</f>
        <v>0</v>
      </c>
      <c r="BV76" s="27" cm="1">
        <f t="array" ref="BV76">SUM(_xlfn.XLOOKUP($R76:$AK76,增益!$A:$A,增益!$W:$W,0))+$I$5</f>
        <v>0.11</v>
      </c>
    </row>
    <row r="77" spans="1:74">
      <c r="A77" s="4" t="s">
        <v>168</v>
      </c>
      <c r="B77" s="4">
        <v>1.33</v>
      </c>
      <c r="C77" s="40"/>
      <c r="E77" s="40"/>
      <c r="F77" s="40"/>
      <c r="K77" s="39">
        <f t="shared" si="33"/>
        <v>0</v>
      </c>
      <c r="L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39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39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0">
        <v>1</v>
      </c>
      <c r="Q77" s="41" t="s">
        <v>76</v>
      </c>
      <c r="R77" s="41" t="s">
        <v>76</v>
      </c>
      <c r="S77" s="41" t="s">
        <v>76</v>
      </c>
      <c r="T77" s="41" t="s">
        <v>76</v>
      </c>
      <c r="U77" s="41" t="s">
        <v>76</v>
      </c>
      <c r="V77" s="41" t="s">
        <v>76</v>
      </c>
      <c r="W77" s="41" t="s">
        <v>76</v>
      </c>
      <c r="X77" s="41" t="s">
        <v>76</v>
      </c>
      <c r="Y77" s="41" t="s">
        <v>76</v>
      </c>
      <c r="Z77" s="41" t="s">
        <v>76</v>
      </c>
      <c r="AA77" s="41" t="s">
        <v>76</v>
      </c>
      <c r="AB77" s="41" t="s">
        <v>76</v>
      </c>
      <c r="AC77" s="41" t="s">
        <v>76</v>
      </c>
      <c r="AD77" s="41" t="s">
        <v>79</v>
      </c>
      <c r="AE77" s="41" t="s">
        <v>80</v>
      </c>
      <c r="AF77" s="41" t="s">
        <v>76</v>
      </c>
      <c r="AG77" s="41" t="s">
        <v>76</v>
      </c>
      <c r="AH77" s="41" t="s">
        <v>76</v>
      </c>
      <c r="AI77" s="41" t="s">
        <v>76</v>
      </c>
      <c r="AJ77" s="41" t="s">
        <v>76</v>
      </c>
      <c r="AK77" s="41" t="s">
        <v>87</v>
      </c>
      <c r="AL77" t="str">
        <f>VLOOKUP($Q77,武学奇术!$A:$ZZ,25,FALSE)</f>
        <v>心法</v>
      </c>
      <c r="AM77" s="27">
        <f>VLOOKUP($Q77,武学奇术!$A:$ZZ,26,FALSE)</f>
        <v>0</v>
      </c>
      <c r="AN77" s="28">
        <f>VLOOKUP($Q77,武学奇术!$A:$ZZ,27,FALSE)*(1+IF(OR($AL77=$F$4,$AL77=$F$5),$B$22,0))</f>
        <v>0</v>
      </c>
      <c r="AO77" s="27">
        <f>VLOOKUP($Q77,武学奇术!$A:$ZZ,28,FALSE)</f>
        <v>0</v>
      </c>
      <c r="AP77" s="28">
        <f>VLOOKUP($Q77,武学奇术!$A:$ZZ,29,FALSE)*(1+IF(OR($AL77=$F$4,$AL77=$F$5),$B$22,0))</f>
        <v>0</v>
      </c>
      <c r="AQ77" s="27" cm="1">
        <f t="array" ref="AQ77">$G$3+IFERROR(VLOOKUP($AL77,$F$4:$G$7,2,FALSE),0)+VLOOKUP($Q77,武学奇术!$A:$ZZ,2,FALSE)+SUM(_xlfn.XLOOKUP($R77:$AK77,增益!$A:$A,增益!$B:$B,0))</f>
        <v>0.2042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1847.2</v>
      </c>
      <c r="AT77" cm="1">
        <f t="array" ref="AT77">$E$10*(1+$AR77)+VLOOKUP($Q77,武学奇术!$A:$ZZ,4,FALSE)+SUM(_xlfn.XLOOKUP($R77:$AK77,增益!$A:$A,增益!$D:$D,0))-$I$2</f>
        <v>6666.8</v>
      </c>
      <c r="AU77" s="33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0.2585</v>
      </c>
      <c r="AV77" s="33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3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3" cm="1">
        <f t="array" ref="BA77">$G$11+VLOOKUP($Q77,武学奇术!$A:$ZZ,10,FALSE)+SUM(_xlfn.XLOOKUP($R77:$AK77,增益!$A:$A,增益!$J:$J,0))</f>
        <v>0</v>
      </c>
      <c r="BB77">
        <f t="shared" si="25"/>
        <v>662.4</v>
      </c>
      <c r="BC77">
        <f t="shared" si="26"/>
        <v>1260</v>
      </c>
      <c r="BD77" s="33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3" cm="1">
        <f t="array" ref="BE77">$G$12+VLOOKUP($Q77,武学奇术!$A:$ZZ,12,FALSE)+SUM(_xlfn.XLOOKUP($R77:$AK77,增益!$A:$A,增益!$L:$L,0))</f>
        <v>0.15</v>
      </c>
      <c r="BF77">
        <f t="shared" si="27"/>
        <v>0</v>
      </c>
      <c r="BG77">
        <f t="shared" si="28"/>
        <v>0</v>
      </c>
      <c r="BH77" s="33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3" cm="1">
        <f t="array" ref="BI77">$G$13+VLOOKUP($Q77,武学奇术!$A:$ZZ,14,FALSE)+SUM(_xlfn.XLOOKUP($R77:$AK77,增益!$A:$A,增益!$N:$N,0))</f>
        <v>0</v>
      </c>
      <c r="BJ77">
        <f t="shared" si="29"/>
        <v>0</v>
      </c>
      <c r="BK77">
        <f t="shared" si="30"/>
        <v>0</v>
      </c>
      <c r="BL77" s="33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3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1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0.5954</v>
      </c>
      <c r="BP77" s="27" cm="1">
        <f t="array" ref="BP77">1+$B$13+VLOOKUP($Q77,武学奇术!$A:$ZZ,18,FALSE)+SUM(_xlfn.XLOOKUP($R77:$AK77,增益!$A:$A,增益!$R:$R,0))</f>
        <v>1.644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0.1512</v>
      </c>
      <c r="BR77" s="27" cm="1">
        <f t="array" ref="BR77">1+$B$14+VLOOKUP($Q77,武学奇术!$A:$ZZ,20,FALSE)+SUM(_xlfn.XLOOKUP($R77:$AK77,增益!$A:$A,增益!$T:$T,0))</f>
        <v>1.35</v>
      </c>
      <c r="BS77" s="27">
        <f t="shared" si="31"/>
        <v>0.5954</v>
      </c>
      <c r="BT77" s="27">
        <f t="shared" si="32"/>
        <v>0.2534</v>
      </c>
      <c r="BU77" s="27">
        <f>IF(VLOOKUP($Q77,武学奇术!$A:$ZZ,22,FALSE)=1,0,(1-$BN77))*(1-$BQ77)</f>
        <v>0</v>
      </c>
      <c r="BV77" s="27" cm="1">
        <f t="array" ref="BV77">SUM(_xlfn.XLOOKUP($R77:$AK77,增益!$A:$A,增益!$W:$W,0))+$I$5</f>
        <v>0.11</v>
      </c>
    </row>
    <row r="78" spans="1:74">
      <c r="A78" s="4" t="s">
        <v>74</v>
      </c>
      <c r="B78" s="4">
        <v>0.4</v>
      </c>
      <c r="E78" s="40"/>
      <c r="F78" s="40"/>
      <c r="K78" s="39">
        <f t="shared" si="33"/>
        <v>0</v>
      </c>
      <c r="L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39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39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0">
        <v>1</v>
      </c>
      <c r="Q78" s="41" t="s">
        <v>76</v>
      </c>
      <c r="R78" s="41" t="s">
        <v>76</v>
      </c>
      <c r="S78" s="41" t="s">
        <v>76</v>
      </c>
      <c r="T78" s="41" t="s">
        <v>76</v>
      </c>
      <c r="U78" s="41" t="s">
        <v>76</v>
      </c>
      <c r="V78" s="41" t="s">
        <v>76</v>
      </c>
      <c r="W78" s="41" t="s">
        <v>76</v>
      </c>
      <c r="X78" s="41" t="s">
        <v>76</v>
      </c>
      <c r="Y78" s="41" t="s">
        <v>76</v>
      </c>
      <c r="Z78" s="41" t="s">
        <v>76</v>
      </c>
      <c r="AA78" s="41" t="s">
        <v>76</v>
      </c>
      <c r="AB78" s="41" t="s">
        <v>76</v>
      </c>
      <c r="AC78" s="41" t="s">
        <v>76</v>
      </c>
      <c r="AD78" s="41" t="s">
        <v>79</v>
      </c>
      <c r="AE78" s="41" t="s">
        <v>80</v>
      </c>
      <c r="AF78" s="41" t="s">
        <v>76</v>
      </c>
      <c r="AG78" s="41" t="s">
        <v>76</v>
      </c>
      <c r="AH78" s="41" t="s">
        <v>76</v>
      </c>
      <c r="AI78" s="41" t="s">
        <v>76</v>
      </c>
      <c r="AJ78" s="41" t="s">
        <v>76</v>
      </c>
      <c r="AK78" s="41" t="s">
        <v>87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VLOOKUP($Q78,武学奇术!$A:$ZZ,27,FALSE)*(1+IF(OR($AL78=$F$4,$AL78=$F$5),$B$22,0))</f>
        <v>0</v>
      </c>
      <c r="AO78" s="27">
        <f>VLOOKUP($Q78,武学奇术!$A:$ZZ,28,FALSE)</f>
        <v>0</v>
      </c>
      <c r="AP78" s="28">
        <f>VLOOKUP($Q78,武学奇术!$A:$ZZ,29,FALSE)*(1+IF(OR($AL78=$F$4,$AL78=$F$5),$B$22,0))</f>
        <v>0</v>
      </c>
      <c r="AQ78" s="27" cm="1">
        <f t="array" ref="AQ78">$G$3+IFERROR(VLOOKUP($AL78,$F$4:$G$7,2,FALSE),0)+VLOOKUP($Q78,武学奇术!$A:$ZZ,2,FALSE)+SUM(_xlfn.XLOOKUP($R78:$AK78,增益!$A:$A,增益!$B:$B,0))</f>
        <v>0.2042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1847.2</v>
      </c>
      <c r="AT78" cm="1">
        <f t="array" ref="AT78">$E$10*(1+$AR78)+VLOOKUP($Q78,武学奇术!$A:$ZZ,4,FALSE)+SUM(_xlfn.XLOOKUP($R78:$AK78,增益!$A:$A,增益!$D:$D,0))-$I$2</f>
        <v>6666.8</v>
      </c>
      <c r="AU78" s="33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0.2585</v>
      </c>
      <c r="AV78" s="33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3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3" cm="1">
        <f t="array" ref="BA78">$G$11+VLOOKUP($Q78,武学奇术!$A:$ZZ,10,FALSE)+SUM(_xlfn.XLOOKUP($R78:$AK78,增益!$A:$A,增益!$J:$J,0))</f>
        <v>0</v>
      </c>
      <c r="BB78">
        <f t="shared" si="25"/>
        <v>662.4</v>
      </c>
      <c r="BC78">
        <f t="shared" si="26"/>
        <v>1260</v>
      </c>
      <c r="BD78" s="33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3" cm="1">
        <f t="array" ref="BE78">$G$12+VLOOKUP($Q78,武学奇术!$A:$ZZ,12,FALSE)+SUM(_xlfn.XLOOKUP($R78:$AK78,增益!$A:$A,增益!$L:$L,0))</f>
        <v>0.15</v>
      </c>
      <c r="BF78">
        <f t="shared" si="27"/>
        <v>0</v>
      </c>
      <c r="BG78">
        <f t="shared" si="28"/>
        <v>0</v>
      </c>
      <c r="BH78" s="33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3" cm="1">
        <f t="array" ref="BI78">$G$13+VLOOKUP($Q78,武学奇术!$A:$ZZ,14,FALSE)+SUM(_xlfn.XLOOKUP($R78:$AK78,增益!$A:$A,增益!$N:$N,0))</f>
        <v>0</v>
      </c>
      <c r="BJ78">
        <f t="shared" si="29"/>
        <v>0</v>
      </c>
      <c r="BK78">
        <f t="shared" si="30"/>
        <v>0</v>
      </c>
      <c r="BL78" s="33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3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1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0.5954</v>
      </c>
      <c r="BP78" s="27" cm="1">
        <f t="array" ref="BP78">1+$B$13+VLOOKUP($Q78,武学奇术!$A:$ZZ,18,FALSE)+SUM(_xlfn.XLOOKUP($R78:$AK78,增益!$A:$A,增益!$R:$R,0))</f>
        <v>1.644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0.1512</v>
      </c>
      <c r="BR78" s="27" cm="1">
        <f t="array" ref="BR78">1+$B$14+VLOOKUP($Q78,武学奇术!$A:$ZZ,20,FALSE)+SUM(_xlfn.XLOOKUP($R78:$AK78,增益!$A:$A,增益!$T:$T,0))</f>
        <v>1.35</v>
      </c>
      <c r="BS78" s="27">
        <f t="shared" si="31"/>
        <v>0.5954</v>
      </c>
      <c r="BT78" s="27">
        <f t="shared" si="32"/>
        <v>0.2534</v>
      </c>
      <c r="BU78" s="27">
        <f>IF(VLOOKUP($Q78,武学奇术!$A:$ZZ,22,FALSE)=1,0,(1-$BN78))*(1-$BQ78)</f>
        <v>0</v>
      </c>
      <c r="BV78" s="27" cm="1">
        <f t="array" ref="BV78">SUM(_xlfn.XLOOKUP($R78:$AK78,增益!$A:$A,增益!$W:$W,0))+$I$5</f>
        <v>0.11</v>
      </c>
    </row>
    <row r="79" spans="1:74">
      <c r="A79" s="4" t="s">
        <v>163</v>
      </c>
      <c r="B79" s="4">
        <v>1.66</v>
      </c>
      <c r="E79" s="40"/>
      <c r="F79" s="40"/>
      <c r="K79" s="39">
        <f t="shared" si="33"/>
        <v>0</v>
      </c>
      <c r="L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39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39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0">
        <v>1</v>
      </c>
      <c r="Q79" s="41" t="s">
        <v>76</v>
      </c>
      <c r="R79" s="41" t="s">
        <v>76</v>
      </c>
      <c r="S79" s="41" t="s">
        <v>76</v>
      </c>
      <c r="T79" s="41" t="s">
        <v>76</v>
      </c>
      <c r="U79" s="41" t="s">
        <v>76</v>
      </c>
      <c r="V79" s="41" t="s">
        <v>76</v>
      </c>
      <c r="W79" s="41" t="s">
        <v>76</v>
      </c>
      <c r="X79" s="41" t="s">
        <v>76</v>
      </c>
      <c r="Y79" s="41" t="s">
        <v>76</v>
      </c>
      <c r="Z79" s="41" t="s">
        <v>76</v>
      </c>
      <c r="AA79" s="41" t="s">
        <v>76</v>
      </c>
      <c r="AB79" s="41" t="s">
        <v>76</v>
      </c>
      <c r="AC79" s="41" t="s">
        <v>76</v>
      </c>
      <c r="AD79" s="41" t="s">
        <v>79</v>
      </c>
      <c r="AE79" s="41" t="s">
        <v>80</v>
      </c>
      <c r="AF79" s="41" t="s">
        <v>76</v>
      </c>
      <c r="AG79" s="41" t="s">
        <v>76</v>
      </c>
      <c r="AH79" s="41" t="s">
        <v>76</v>
      </c>
      <c r="AI79" s="41" t="s">
        <v>76</v>
      </c>
      <c r="AJ79" s="41" t="s">
        <v>76</v>
      </c>
      <c r="AK79" s="41" t="s">
        <v>87</v>
      </c>
      <c r="AL79" t="str">
        <f>VLOOKUP($Q79,武学奇术!$A:$ZZ,25,FALSE)</f>
        <v>心法</v>
      </c>
      <c r="AM79" s="27">
        <f>VLOOKUP($Q79,武学奇术!$A:$ZZ,26,FALSE)</f>
        <v>0</v>
      </c>
      <c r="AN79" s="28">
        <f>VLOOKUP($Q79,武学奇术!$A:$ZZ,27,FALSE)*(1+IF(OR($AL79=$F$4,$AL79=$F$5),$B$22,0))</f>
        <v>0</v>
      </c>
      <c r="AO79" s="27">
        <f>VLOOKUP($Q79,武学奇术!$A:$ZZ,28,FALSE)</f>
        <v>0</v>
      </c>
      <c r="AP79" s="28">
        <f>VLOOKUP($Q79,武学奇术!$A:$ZZ,29,FALSE)*(1+IF(OR($AL79=$F$4,$AL79=$F$5),$B$22,0))</f>
        <v>0</v>
      </c>
      <c r="AQ79" s="27" cm="1">
        <f t="array" ref="AQ79">$G$3+IFERROR(VLOOKUP($AL79,$F$4:$G$7,2,FALSE),0)+VLOOKUP($Q79,武学奇术!$A:$ZZ,2,FALSE)+SUM(_xlfn.XLOOKUP($R79:$AK79,增益!$A:$A,增益!$B:$B,0))</f>
        <v>0.2042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1847.2</v>
      </c>
      <c r="AT79" cm="1">
        <f t="array" ref="AT79">$E$10*(1+$AR79)+VLOOKUP($Q79,武学奇术!$A:$ZZ,4,FALSE)+SUM(_xlfn.XLOOKUP($R79:$AK79,增益!$A:$A,增益!$D:$D,0))-$I$2</f>
        <v>6666.8</v>
      </c>
      <c r="AU79" s="33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0.2585</v>
      </c>
      <c r="AV79" s="33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3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3" cm="1">
        <f t="array" ref="BA79">$G$11+VLOOKUP($Q79,武学奇术!$A:$ZZ,10,FALSE)+SUM(_xlfn.XLOOKUP($R79:$AK79,增益!$A:$A,增益!$J:$J,0))</f>
        <v>0</v>
      </c>
      <c r="BB79">
        <f t="shared" si="25"/>
        <v>662.4</v>
      </c>
      <c r="BC79">
        <f t="shared" si="26"/>
        <v>1260</v>
      </c>
      <c r="BD79" s="33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3" cm="1">
        <f t="array" ref="BE79">$G$12+VLOOKUP($Q79,武学奇术!$A:$ZZ,12,FALSE)+SUM(_xlfn.XLOOKUP($R79:$AK79,增益!$A:$A,增益!$L:$L,0))</f>
        <v>0.15</v>
      </c>
      <c r="BF79">
        <f t="shared" si="27"/>
        <v>0</v>
      </c>
      <c r="BG79">
        <f t="shared" si="28"/>
        <v>0</v>
      </c>
      <c r="BH79" s="33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3" cm="1">
        <f t="array" ref="BI79">$G$13+VLOOKUP($Q79,武学奇术!$A:$ZZ,14,FALSE)+SUM(_xlfn.XLOOKUP($R79:$AK79,增益!$A:$A,增益!$N:$N,0))</f>
        <v>0</v>
      </c>
      <c r="BJ79">
        <f t="shared" si="29"/>
        <v>0</v>
      </c>
      <c r="BK79">
        <f t="shared" si="30"/>
        <v>0</v>
      </c>
      <c r="BL79" s="33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3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1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0.5954</v>
      </c>
      <c r="BP79" s="27" cm="1">
        <f t="array" ref="BP79">1+$B$13+VLOOKUP($Q79,武学奇术!$A:$ZZ,18,FALSE)+SUM(_xlfn.XLOOKUP($R79:$AK79,增益!$A:$A,增益!$R:$R,0))</f>
        <v>1.644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0.1512</v>
      </c>
      <c r="BR79" s="27" cm="1">
        <f t="array" ref="BR79">1+$B$14+VLOOKUP($Q79,武学奇术!$A:$ZZ,20,FALSE)+SUM(_xlfn.XLOOKUP($R79:$AK79,增益!$A:$A,增益!$T:$T,0))</f>
        <v>1.35</v>
      </c>
      <c r="BS79" s="27">
        <f t="shared" si="31"/>
        <v>0.5954</v>
      </c>
      <c r="BT79" s="27">
        <f t="shared" si="32"/>
        <v>0.2534</v>
      </c>
      <c r="BU79" s="27">
        <f>IF(VLOOKUP($Q79,武学奇术!$A:$ZZ,22,FALSE)=1,0,(1-$BN79))*(1-$BQ79)</f>
        <v>0</v>
      </c>
      <c r="BV79" s="27" cm="1">
        <f t="array" ref="BV79">SUM(_xlfn.XLOOKUP($R79:$AK79,增益!$A:$A,增益!$W:$W,0))+$I$5</f>
        <v>0.11</v>
      </c>
    </row>
    <row r="80" spans="1:74">
      <c r="A80" s="4" t="s">
        <v>168</v>
      </c>
      <c r="B80" s="4">
        <v>1.33</v>
      </c>
      <c r="E80" s="40"/>
      <c r="K80" s="39">
        <f t="shared" si="33"/>
        <v>0</v>
      </c>
      <c r="L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39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39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0">
        <v>1</v>
      </c>
      <c r="Q80" s="41" t="s">
        <v>76</v>
      </c>
      <c r="R80" s="41" t="s">
        <v>76</v>
      </c>
      <c r="S80" s="41" t="s">
        <v>76</v>
      </c>
      <c r="T80" s="41" t="s">
        <v>76</v>
      </c>
      <c r="U80" s="41" t="s">
        <v>76</v>
      </c>
      <c r="V80" s="41" t="s">
        <v>76</v>
      </c>
      <c r="W80" s="41" t="s">
        <v>76</v>
      </c>
      <c r="X80" s="41" t="s">
        <v>76</v>
      </c>
      <c r="Y80" s="41" t="s">
        <v>76</v>
      </c>
      <c r="Z80" s="41" t="s">
        <v>76</v>
      </c>
      <c r="AA80" s="41" t="s">
        <v>76</v>
      </c>
      <c r="AB80" s="41" t="s">
        <v>76</v>
      </c>
      <c r="AC80" s="41" t="s">
        <v>76</v>
      </c>
      <c r="AD80" s="41" t="s">
        <v>79</v>
      </c>
      <c r="AE80" s="41" t="s">
        <v>80</v>
      </c>
      <c r="AF80" s="41" t="s">
        <v>76</v>
      </c>
      <c r="AG80" s="41" t="s">
        <v>76</v>
      </c>
      <c r="AH80" s="41" t="s">
        <v>76</v>
      </c>
      <c r="AI80" s="41" t="s">
        <v>76</v>
      </c>
      <c r="AJ80" s="41" t="s">
        <v>76</v>
      </c>
      <c r="AK80" s="41" t="s">
        <v>87</v>
      </c>
      <c r="AL80" t="str">
        <f>VLOOKUP($Q80,武学奇术!$A:$ZZ,25,FALSE)</f>
        <v>心法</v>
      </c>
      <c r="AM80" s="27">
        <f>VLOOKUP($Q80,武学奇术!$A:$ZZ,26,FALSE)</f>
        <v>0</v>
      </c>
      <c r="AN80" s="28">
        <f>VLOOKUP($Q80,武学奇术!$A:$ZZ,27,FALSE)*(1+IF(OR($AL80=$F$4,$AL80=$F$5),$B$22,0))</f>
        <v>0</v>
      </c>
      <c r="AO80" s="27">
        <f>VLOOKUP($Q80,武学奇术!$A:$ZZ,28,FALSE)</f>
        <v>0</v>
      </c>
      <c r="AP80" s="28">
        <f>VLOOKUP($Q80,武学奇术!$A:$ZZ,29,FALSE)*(1+IF(OR($AL80=$F$4,$AL80=$F$5),$B$22,0))</f>
        <v>0</v>
      </c>
      <c r="AQ80" s="27" cm="1">
        <f t="array" ref="AQ80">$G$3+IFERROR(VLOOKUP($AL80,$F$4:$G$7,2,FALSE),0)+VLOOKUP($Q80,武学奇术!$A:$ZZ,2,FALSE)+SUM(_xlfn.XLOOKUP($R80:$AK80,增益!$A:$A,增益!$B:$B,0))</f>
        <v>0.2042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1847.2</v>
      </c>
      <c r="AT80" cm="1">
        <f t="array" ref="AT80">$E$10*(1+$AR80)+VLOOKUP($Q80,武学奇术!$A:$ZZ,4,FALSE)+SUM(_xlfn.XLOOKUP($R80:$AK80,增益!$A:$A,增益!$D:$D,0))-$I$2</f>
        <v>6666.8</v>
      </c>
      <c r="AU80" s="33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0.2585</v>
      </c>
      <c r="AV80" s="33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3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3" cm="1">
        <f t="array" ref="BA80">$G$11+VLOOKUP($Q80,武学奇术!$A:$ZZ,10,FALSE)+SUM(_xlfn.XLOOKUP($R80:$AK80,增益!$A:$A,增益!$J:$J,0))</f>
        <v>0</v>
      </c>
      <c r="BB80">
        <f t="shared" si="25"/>
        <v>662.4</v>
      </c>
      <c r="BC80">
        <f t="shared" si="26"/>
        <v>1260</v>
      </c>
      <c r="BD80" s="33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3" cm="1">
        <f t="array" ref="BE80">$G$12+VLOOKUP($Q80,武学奇术!$A:$ZZ,12,FALSE)+SUM(_xlfn.XLOOKUP($R80:$AK80,增益!$A:$A,增益!$L:$L,0))</f>
        <v>0.15</v>
      </c>
      <c r="BF80">
        <f t="shared" si="27"/>
        <v>0</v>
      </c>
      <c r="BG80">
        <f t="shared" si="28"/>
        <v>0</v>
      </c>
      <c r="BH80" s="33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3" cm="1">
        <f t="array" ref="BI80">$G$13+VLOOKUP($Q80,武学奇术!$A:$ZZ,14,FALSE)+SUM(_xlfn.XLOOKUP($R80:$AK80,增益!$A:$A,增益!$N:$N,0))</f>
        <v>0</v>
      </c>
      <c r="BJ80">
        <f t="shared" si="29"/>
        <v>0</v>
      </c>
      <c r="BK80">
        <f t="shared" si="30"/>
        <v>0</v>
      </c>
      <c r="BL80" s="33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3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1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0.5954</v>
      </c>
      <c r="BP80" s="27" cm="1">
        <f t="array" ref="BP80">1+$B$13+VLOOKUP($Q80,武学奇术!$A:$ZZ,18,FALSE)+SUM(_xlfn.XLOOKUP($R80:$AK80,增益!$A:$A,增益!$R:$R,0))</f>
        <v>1.644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0.1512</v>
      </c>
      <c r="BR80" s="27" cm="1">
        <f t="array" ref="BR80">1+$B$14+VLOOKUP($Q80,武学奇术!$A:$ZZ,20,FALSE)+SUM(_xlfn.XLOOKUP($R80:$AK80,增益!$A:$A,增益!$T:$T,0))</f>
        <v>1.35</v>
      </c>
      <c r="BS80" s="27">
        <f t="shared" si="31"/>
        <v>0.5954</v>
      </c>
      <c r="BT80" s="27">
        <f t="shared" si="32"/>
        <v>0.2534</v>
      </c>
      <c r="BU80" s="27">
        <f>IF(VLOOKUP($Q80,武学奇术!$A:$ZZ,22,FALSE)=1,0,(1-$BN80))*(1-$BQ80)</f>
        <v>0</v>
      </c>
      <c r="BV80" s="27" cm="1">
        <f t="array" ref="BV80">SUM(_xlfn.XLOOKUP($R80:$AK80,增益!$A:$A,增益!$W:$W,0))+$I$5</f>
        <v>0.11</v>
      </c>
    </row>
    <row r="81" spans="1:74">
      <c r="A81" s="4" t="s">
        <v>157</v>
      </c>
      <c r="B81" s="4">
        <v>1.2</v>
      </c>
      <c r="C81" s="40" t="s">
        <v>158</v>
      </c>
      <c r="E81" s="40"/>
      <c r="K81" s="39">
        <f t="shared" si="33"/>
        <v>0</v>
      </c>
      <c r="L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39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39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0">
        <v>1</v>
      </c>
      <c r="Q81" s="41" t="s">
        <v>76</v>
      </c>
      <c r="R81" s="41" t="s">
        <v>76</v>
      </c>
      <c r="S81" s="41" t="s">
        <v>76</v>
      </c>
      <c r="T81" s="41" t="s">
        <v>76</v>
      </c>
      <c r="U81" s="41" t="s">
        <v>76</v>
      </c>
      <c r="V81" s="41" t="s">
        <v>76</v>
      </c>
      <c r="W81" s="41" t="s">
        <v>76</v>
      </c>
      <c r="X81" s="41" t="s">
        <v>76</v>
      </c>
      <c r="Y81" s="41" t="s">
        <v>76</v>
      </c>
      <c r="Z81" s="41" t="s">
        <v>76</v>
      </c>
      <c r="AA81" s="41" t="s">
        <v>76</v>
      </c>
      <c r="AB81" s="41" t="s">
        <v>76</v>
      </c>
      <c r="AC81" s="41" t="s">
        <v>76</v>
      </c>
      <c r="AD81" s="41" t="s">
        <v>79</v>
      </c>
      <c r="AE81" s="41" t="s">
        <v>80</v>
      </c>
      <c r="AF81" s="41" t="s">
        <v>76</v>
      </c>
      <c r="AG81" s="41" t="s">
        <v>76</v>
      </c>
      <c r="AH81" s="41" t="s">
        <v>76</v>
      </c>
      <c r="AI81" s="41" t="s">
        <v>76</v>
      </c>
      <c r="AJ81" s="41" t="s">
        <v>76</v>
      </c>
      <c r="AK81" s="41" t="s">
        <v>87</v>
      </c>
      <c r="AL81" t="str">
        <f>VLOOKUP($Q81,武学奇术!$A:$ZZ,25,FALSE)</f>
        <v>心法</v>
      </c>
      <c r="AM81" s="27">
        <f>VLOOKUP($Q81,武学奇术!$A:$ZZ,26,FALSE)</f>
        <v>0</v>
      </c>
      <c r="AN81" s="28">
        <f>VLOOKUP($Q81,武学奇术!$A:$ZZ,27,FALSE)*(1+IF(OR($AL81=$F$4,$AL81=$F$5),$B$22,0))</f>
        <v>0</v>
      </c>
      <c r="AO81" s="27">
        <f>VLOOKUP($Q81,武学奇术!$A:$ZZ,28,FALSE)</f>
        <v>0</v>
      </c>
      <c r="AP81" s="28">
        <f>VLOOKUP($Q81,武学奇术!$A:$ZZ,29,FALSE)*(1+IF(OR($AL81=$F$4,$AL81=$F$5),$B$22,0))</f>
        <v>0</v>
      </c>
      <c r="AQ81" s="27" cm="1">
        <f t="array" ref="AQ81">$G$3+IFERROR(VLOOKUP($AL81,$F$4:$G$7,2,FALSE),0)+VLOOKUP($Q81,武学奇术!$A:$ZZ,2,FALSE)+SUM(_xlfn.XLOOKUP($R81:$AK81,增益!$A:$A,增益!$B:$B,0))</f>
        <v>0.2042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1847.2</v>
      </c>
      <c r="AT81" cm="1">
        <f t="array" ref="AT81">$E$10*(1+$AR81)+VLOOKUP($Q81,武学奇术!$A:$ZZ,4,FALSE)+SUM(_xlfn.XLOOKUP($R81:$AK81,增益!$A:$A,增益!$D:$D,0))-$I$2</f>
        <v>6666.8</v>
      </c>
      <c r="AU81" s="33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0.2585</v>
      </c>
      <c r="AV81" s="33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3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3" cm="1">
        <f t="array" ref="BA81">$G$11+VLOOKUP($Q81,武学奇术!$A:$ZZ,10,FALSE)+SUM(_xlfn.XLOOKUP($R81:$AK81,增益!$A:$A,增益!$J:$J,0))</f>
        <v>0</v>
      </c>
      <c r="BB81">
        <f t="shared" si="25"/>
        <v>662.4</v>
      </c>
      <c r="BC81">
        <f t="shared" si="26"/>
        <v>1260</v>
      </c>
      <c r="BD81" s="33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3" cm="1">
        <f t="array" ref="BE81">$G$12+VLOOKUP($Q81,武学奇术!$A:$ZZ,12,FALSE)+SUM(_xlfn.XLOOKUP($R81:$AK81,增益!$A:$A,增益!$L:$L,0))</f>
        <v>0.15</v>
      </c>
      <c r="BF81">
        <f t="shared" si="27"/>
        <v>0</v>
      </c>
      <c r="BG81">
        <f t="shared" si="28"/>
        <v>0</v>
      </c>
      <c r="BH81" s="33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3" cm="1">
        <f t="array" ref="BI81">$G$13+VLOOKUP($Q81,武学奇术!$A:$ZZ,14,FALSE)+SUM(_xlfn.XLOOKUP($R81:$AK81,增益!$A:$A,增益!$N:$N,0))</f>
        <v>0</v>
      </c>
      <c r="BJ81">
        <f t="shared" si="29"/>
        <v>0</v>
      </c>
      <c r="BK81">
        <f t="shared" si="30"/>
        <v>0</v>
      </c>
      <c r="BL81" s="33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3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1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0.5954</v>
      </c>
      <c r="BP81" s="27" cm="1">
        <f t="array" ref="BP81">1+$B$13+VLOOKUP($Q81,武学奇术!$A:$ZZ,18,FALSE)+SUM(_xlfn.XLOOKUP($R81:$AK81,增益!$A:$A,增益!$R:$R,0))</f>
        <v>1.644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0.1512</v>
      </c>
      <c r="BR81" s="27" cm="1">
        <f t="array" ref="BR81">1+$B$14+VLOOKUP($Q81,武学奇术!$A:$ZZ,20,FALSE)+SUM(_xlfn.XLOOKUP($R81:$AK81,增益!$A:$A,增益!$T:$T,0))</f>
        <v>1.35</v>
      </c>
      <c r="BS81" s="27">
        <f t="shared" si="31"/>
        <v>0.5954</v>
      </c>
      <c r="BT81" s="27">
        <f t="shared" si="32"/>
        <v>0.2534</v>
      </c>
      <c r="BU81" s="27">
        <f>IF(VLOOKUP($Q81,武学奇术!$A:$ZZ,22,FALSE)=1,0,(1-$BN81))*(1-$BQ81)</f>
        <v>0</v>
      </c>
      <c r="BV81" s="27" cm="1">
        <f t="array" ref="BV81">SUM(_xlfn.XLOOKUP($R81:$AK81,增益!$A:$A,增益!$W:$W,0))+$I$5</f>
        <v>0.11</v>
      </c>
    </row>
    <row r="82" spans="1:74">
      <c r="A82" t="s">
        <v>174</v>
      </c>
      <c r="B82">
        <v>0.4</v>
      </c>
      <c r="C82" s="40"/>
      <c r="E82" s="40"/>
      <c r="K82" s="39">
        <f t="shared" si="33"/>
        <v>0</v>
      </c>
      <c r="L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39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39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0">
        <v>1</v>
      </c>
      <c r="Q82" s="41" t="s">
        <v>76</v>
      </c>
      <c r="R82" s="41" t="s">
        <v>76</v>
      </c>
      <c r="S82" s="41" t="s">
        <v>76</v>
      </c>
      <c r="T82" s="41" t="s">
        <v>76</v>
      </c>
      <c r="U82" s="41" t="s">
        <v>76</v>
      </c>
      <c r="V82" s="41" t="s">
        <v>76</v>
      </c>
      <c r="W82" s="41" t="s">
        <v>76</v>
      </c>
      <c r="X82" s="41" t="s">
        <v>76</v>
      </c>
      <c r="Y82" s="41" t="s">
        <v>76</v>
      </c>
      <c r="Z82" s="41" t="s">
        <v>76</v>
      </c>
      <c r="AA82" s="41" t="s">
        <v>76</v>
      </c>
      <c r="AB82" s="41" t="s">
        <v>76</v>
      </c>
      <c r="AC82" s="41" t="s">
        <v>76</v>
      </c>
      <c r="AD82" s="41" t="s">
        <v>79</v>
      </c>
      <c r="AE82" s="41" t="s">
        <v>80</v>
      </c>
      <c r="AF82" s="41" t="s">
        <v>76</v>
      </c>
      <c r="AG82" s="41" t="s">
        <v>76</v>
      </c>
      <c r="AH82" s="41" t="s">
        <v>76</v>
      </c>
      <c r="AI82" s="41" t="s">
        <v>76</v>
      </c>
      <c r="AJ82" s="41" t="s">
        <v>76</v>
      </c>
      <c r="AK82" s="41" t="s">
        <v>87</v>
      </c>
      <c r="AL82" t="str">
        <f>VLOOKUP($Q82,武学奇术!$A:$ZZ,25,FALSE)</f>
        <v>心法</v>
      </c>
      <c r="AM82" s="27">
        <f>VLOOKUP($Q82,武学奇术!$A:$ZZ,26,FALSE)</f>
        <v>0</v>
      </c>
      <c r="AN82" s="28">
        <f>VLOOKUP($Q82,武学奇术!$A:$ZZ,27,FALSE)*(1+IF(OR($AL82=$F$4,$AL82=$F$5),$B$22,0))</f>
        <v>0</v>
      </c>
      <c r="AO82" s="27">
        <f>VLOOKUP($Q82,武学奇术!$A:$ZZ,28,FALSE)</f>
        <v>0</v>
      </c>
      <c r="AP82" s="28">
        <f>VLOOKUP($Q82,武学奇术!$A:$ZZ,29,FALSE)*(1+IF(OR($AL82=$F$4,$AL82=$F$5),$B$22,0))</f>
        <v>0</v>
      </c>
      <c r="AQ82" s="27" cm="1">
        <f t="array" ref="AQ82">$G$3+IFERROR(VLOOKUP($AL82,$F$4:$G$7,2,FALSE),0)+VLOOKUP($Q82,武学奇术!$A:$ZZ,2,FALSE)+SUM(_xlfn.XLOOKUP($R82:$AK82,增益!$A:$A,增益!$B:$B,0))</f>
        <v>0.2042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1847.2</v>
      </c>
      <c r="AT82" cm="1">
        <f t="array" ref="AT82">$E$10*(1+$AR82)+VLOOKUP($Q82,武学奇术!$A:$ZZ,4,FALSE)+SUM(_xlfn.XLOOKUP($R82:$AK82,增益!$A:$A,增益!$D:$D,0))-$I$2</f>
        <v>6666.8</v>
      </c>
      <c r="AU82" s="33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0.2585</v>
      </c>
      <c r="AV82" s="33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3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3" cm="1">
        <f t="array" ref="BA82">$G$11+VLOOKUP($Q82,武学奇术!$A:$ZZ,10,FALSE)+SUM(_xlfn.XLOOKUP($R82:$AK82,增益!$A:$A,增益!$J:$J,0))</f>
        <v>0</v>
      </c>
      <c r="BB82">
        <f t="shared" si="25"/>
        <v>662.4</v>
      </c>
      <c r="BC82">
        <f t="shared" si="26"/>
        <v>1260</v>
      </c>
      <c r="BD82" s="33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3" cm="1">
        <f t="array" ref="BE82">$G$12+VLOOKUP($Q82,武学奇术!$A:$ZZ,12,FALSE)+SUM(_xlfn.XLOOKUP($R82:$AK82,增益!$A:$A,增益!$L:$L,0))</f>
        <v>0.15</v>
      </c>
      <c r="BF82">
        <f t="shared" si="27"/>
        <v>0</v>
      </c>
      <c r="BG82">
        <f t="shared" si="28"/>
        <v>0</v>
      </c>
      <c r="BH82" s="33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3" cm="1">
        <f t="array" ref="BI82">$G$13+VLOOKUP($Q82,武学奇术!$A:$ZZ,14,FALSE)+SUM(_xlfn.XLOOKUP($R82:$AK82,增益!$A:$A,增益!$N:$N,0))</f>
        <v>0</v>
      </c>
      <c r="BJ82">
        <f t="shared" si="29"/>
        <v>0</v>
      </c>
      <c r="BK82">
        <f t="shared" si="30"/>
        <v>0</v>
      </c>
      <c r="BL82" s="33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3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1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0.5954</v>
      </c>
      <c r="BP82" s="27" cm="1">
        <f t="array" ref="BP82">1+$B$13+VLOOKUP($Q82,武学奇术!$A:$ZZ,18,FALSE)+SUM(_xlfn.XLOOKUP($R82:$AK82,增益!$A:$A,增益!$R:$R,0))</f>
        <v>1.644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0.1512</v>
      </c>
      <c r="BR82" s="27" cm="1">
        <f t="array" ref="BR82">1+$B$14+VLOOKUP($Q82,武学奇术!$A:$ZZ,20,FALSE)+SUM(_xlfn.XLOOKUP($R82:$AK82,增益!$A:$A,增益!$T:$T,0))</f>
        <v>1.35</v>
      </c>
      <c r="BS82" s="27">
        <f t="shared" si="31"/>
        <v>0.5954</v>
      </c>
      <c r="BT82" s="27">
        <f t="shared" si="32"/>
        <v>0.2534</v>
      </c>
      <c r="BU82" s="27">
        <f>IF(VLOOKUP($Q82,武学奇术!$A:$ZZ,22,FALSE)=1,0,(1-$BN82))*(1-$BQ82)</f>
        <v>0</v>
      </c>
      <c r="BV82" s="27" cm="1">
        <f t="array" ref="BV82">SUM(_xlfn.XLOOKUP($R82:$AK82,增益!$A:$A,增益!$W:$W,0))+$I$5</f>
        <v>0.11</v>
      </c>
    </row>
    <row r="83" spans="1:74">
      <c r="A83" s="4" t="s">
        <v>163</v>
      </c>
      <c r="B83" s="4">
        <v>1.66</v>
      </c>
      <c r="C83" s="40"/>
      <c r="E83" s="40"/>
      <c r="K83" s="39">
        <f t="shared" si="33"/>
        <v>0</v>
      </c>
      <c r="L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39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39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0">
        <v>1</v>
      </c>
      <c r="Q83" s="41" t="s">
        <v>76</v>
      </c>
      <c r="R83" s="41" t="s">
        <v>76</v>
      </c>
      <c r="S83" s="41" t="s">
        <v>76</v>
      </c>
      <c r="T83" s="41" t="s">
        <v>76</v>
      </c>
      <c r="U83" s="41" t="s">
        <v>76</v>
      </c>
      <c r="V83" s="41" t="s">
        <v>76</v>
      </c>
      <c r="W83" s="41" t="s">
        <v>76</v>
      </c>
      <c r="X83" s="41" t="s">
        <v>76</v>
      </c>
      <c r="Y83" s="41" t="s">
        <v>76</v>
      </c>
      <c r="Z83" s="41" t="s">
        <v>76</v>
      </c>
      <c r="AA83" s="41" t="s">
        <v>76</v>
      </c>
      <c r="AB83" s="41" t="s">
        <v>76</v>
      </c>
      <c r="AC83" s="41" t="s">
        <v>76</v>
      </c>
      <c r="AD83" s="41" t="s">
        <v>79</v>
      </c>
      <c r="AE83" s="41" t="s">
        <v>80</v>
      </c>
      <c r="AF83" s="41" t="s">
        <v>76</v>
      </c>
      <c r="AG83" s="41" t="s">
        <v>76</v>
      </c>
      <c r="AH83" s="41" t="s">
        <v>76</v>
      </c>
      <c r="AI83" s="41" t="s">
        <v>76</v>
      </c>
      <c r="AJ83" s="41" t="s">
        <v>76</v>
      </c>
      <c r="AK83" s="41" t="s">
        <v>87</v>
      </c>
      <c r="AL83" t="str">
        <f>VLOOKUP($Q83,武学奇术!$A:$ZZ,25,FALSE)</f>
        <v>心法</v>
      </c>
      <c r="AM83" s="27">
        <f>VLOOKUP($Q83,武学奇术!$A:$ZZ,26,FALSE)</f>
        <v>0</v>
      </c>
      <c r="AN83" s="28">
        <f>VLOOKUP($Q83,武学奇术!$A:$ZZ,27,FALSE)*(1+IF(OR($AL83=$F$4,$AL83=$F$5),$B$22,0))</f>
        <v>0</v>
      </c>
      <c r="AO83" s="27">
        <f>VLOOKUP($Q83,武学奇术!$A:$ZZ,28,FALSE)</f>
        <v>0</v>
      </c>
      <c r="AP83" s="28">
        <f>VLOOKUP($Q83,武学奇术!$A:$ZZ,29,FALSE)*(1+IF(OR($AL83=$F$4,$AL83=$F$5),$B$22,0))</f>
        <v>0</v>
      </c>
      <c r="AQ83" s="27" cm="1">
        <f t="array" ref="AQ83">$G$3+IFERROR(VLOOKUP($AL83,$F$4:$G$7,2,FALSE),0)+VLOOKUP($Q83,武学奇术!$A:$ZZ,2,FALSE)+SUM(_xlfn.XLOOKUP($R83:$AK83,增益!$A:$A,增益!$B:$B,0))</f>
        <v>0.2042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1847.2</v>
      </c>
      <c r="AT83" cm="1">
        <f t="array" ref="AT83">$E$10*(1+$AR83)+VLOOKUP($Q83,武学奇术!$A:$ZZ,4,FALSE)+SUM(_xlfn.XLOOKUP($R83:$AK83,增益!$A:$A,增益!$D:$D,0))-$I$2</f>
        <v>6666.8</v>
      </c>
      <c r="AU83" s="33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0.2585</v>
      </c>
      <c r="AV83" s="33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3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3" cm="1">
        <f t="array" ref="BA83">$G$11+VLOOKUP($Q83,武学奇术!$A:$ZZ,10,FALSE)+SUM(_xlfn.XLOOKUP($R83:$AK83,增益!$A:$A,增益!$J:$J,0))</f>
        <v>0</v>
      </c>
      <c r="BB83">
        <f t="shared" si="25"/>
        <v>662.4</v>
      </c>
      <c r="BC83">
        <f t="shared" si="26"/>
        <v>1260</v>
      </c>
      <c r="BD83" s="33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3" cm="1">
        <f t="array" ref="BE83">$G$12+VLOOKUP($Q83,武学奇术!$A:$ZZ,12,FALSE)+SUM(_xlfn.XLOOKUP($R83:$AK83,增益!$A:$A,增益!$L:$L,0))</f>
        <v>0.15</v>
      </c>
      <c r="BF83">
        <f t="shared" si="27"/>
        <v>0</v>
      </c>
      <c r="BG83">
        <f t="shared" si="28"/>
        <v>0</v>
      </c>
      <c r="BH83" s="33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3" cm="1">
        <f t="array" ref="BI83">$G$13+VLOOKUP($Q83,武学奇术!$A:$ZZ,14,FALSE)+SUM(_xlfn.XLOOKUP($R83:$AK83,增益!$A:$A,增益!$N:$N,0))</f>
        <v>0</v>
      </c>
      <c r="BJ83">
        <f t="shared" si="29"/>
        <v>0</v>
      </c>
      <c r="BK83">
        <f t="shared" si="30"/>
        <v>0</v>
      </c>
      <c r="BL83" s="33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3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0.5954</v>
      </c>
      <c r="BP83" s="27" cm="1">
        <f t="array" ref="BP83">1+$B$13+VLOOKUP($Q83,武学奇术!$A:$ZZ,18,FALSE)+SUM(_xlfn.XLOOKUP($R83:$AK83,增益!$A:$A,增益!$R:$R,0))</f>
        <v>1.644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0.1512</v>
      </c>
      <c r="BR83" s="27" cm="1">
        <f t="array" ref="BR83">1+$B$14+VLOOKUP($Q83,武学奇术!$A:$ZZ,20,FALSE)+SUM(_xlfn.XLOOKUP($R83:$AK83,增益!$A:$A,增益!$T:$T,0))</f>
        <v>1.35</v>
      </c>
      <c r="BS83" s="27">
        <f t="shared" si="31"/>
        <v>0.5954</v>
      </c>
      <c r="BT83" s="27">
        <f t="shared" si="32"/>
        <v>0.2534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:74">
      <c r="A84" s="4" t="s">
        <v>168</v>
      </c>
      <c r="B84" s="4">
        <v>1.33</v>
      </c>
      <c r="C84" s="40"/>
      <c r="E84" s="40"/>
      <c r="K84" s="39">
        <f t="shared" si="33"/>
        <v>0</v>
      </c>
      <c r="L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39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39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0">
        <v>1</v>
      </c>
      <c r="Q84" s="41" t="s">
        <v>76</v>
      </c>
      <c r="R84" s="41" t="s">
        <v>76</v>
      </c>
      <c r="S84" s="41" t="s">
        <v>76</v>
      </c>
      <c r="T84" s="41" t="s">
        <v>76</v>
      </c>
      <c r="U84" s="41" t="s">
        <v>76</v>
      </c>
      <c r="V84" s="41" t="s">
        <v>76</v>
      </c>
      <c r="W84" s="41" t="s">
        <v>76</v>
      </c>
      <c r="X84" s="41" t="s">
        <v>76</v>
      </c>
      <c r="Y84" s="41" t="s">
        <v>76</v>
      </c>
      <c r="Z84" s="41" t="s">
        <v>76</v>
      </c>
      <c r="AA84" s="41" t="s">
        <v>76</v>
      </c>
      <c r="AB84" s="41" t="s">
        <v>76</v>
      </c>
      <c r="AC84" s="41" t="s">
        <v>76</v>
      </c>
      <c r="AD84" s="41" t="s">
        <v>79</v>
      </c>
      <c r="AE84" s="41" t="s">
        <v>80</v>
      </c>
      <c r="AF84" s="41" t="s">
        <v>76</v>
      </c>
      <c r="AG84" s="41" t="s">
        <v>76</v>
      </c>
      <c r="AH84" s="41" t="s">
        <v>76</v>
      </c>
      <c r="AI84" s="41" t="s">
        <v>76</v>
      </c>
      <c r="AJ84" s="41" t="s">
        <v>76</v>
      </c>
      <c r="AK84" s="41" t="s">
        <v>87</v>
      </c>
      <c r="AL84" t="str">
        <f>VLOOKUP($Q84,武学奇术!$A:$ZZ,25,FALSE)</f>
        <v>心法</v>
      </c>
      <c r="AM84" s="27">
        <f>VLOOKUP($Q84,武学奇术!$A:$ZZ,26,FALSE)</f>
        <v>0</v>
      </c>
      <c r="AN84" s="28">
        <f>VLOOKUP($Q84,武学奇术!$A:$ZZ,27,FALSE)*(1+IF(OR($AL84=$F$4,$AL84=$F$5),$B$22,0))</f>
        <v>0</v>
      </c>
      <c r="AO84" s="27">
        <f>VLOOKUP($Q84,武学奇术!$A:$ZZ,28,FALSE)</f>
        <v>0</v>
      </c>
      <c r="AP84" s="28">
        <f>VLOOKUP($Q84,武学奇术!$A:$ZZ,29,FALSE)*(1+IF(OR($AL84=$F$4,$AL84=$F$5),$B$22,0))</f>
        <v>0</v>
      </c>
      <c r="AQ84" s="27" cm="1">
        <f t="array" ref="AQ84">$G$3+IFERROR(VLOOKUP($AL84,$F$4:$G$7,2,FALSE),0)+VLOOKUP($Q84,武学奇术!$A:$ZZ,2,FALSE)+SUM(_xlfn.XLOOKUP($R84:$AK84,增益!$A:$A,增益!$B:$B,0))</f>
        <v>0.2042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1847.2</v>
      </c>
      <c r="AT84" cm="1">
        <f t="array" ref="AT84">$E$10*(1+$AR84)+VLOOKUP($Q84,武学奇术!$A:$ZZ,4,FALSE)+SUM(_xlfn.XLOOKUP($R84:$AK84,增益!$A:$A,增益!$D:$D,0))-$I$2</f>
        <v>6666.8</v>
      </c>
      <c r="AU84" s="33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0.2585</v>
      </c>
      <c r="AV84" s="33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3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3" cm="1">
        <f t="array" ref="BA84">$G$11+VLOOKUP($Q84,武学奇术!$A:$ZZ,10,FALSE)+SUM(_xlfn.XLOOKUP($R84:$AK84,增益!$A:$A,增益!$J:$J,0))</f>
        <v>0</v>
      </c>
      <c r="BB84">
        <f t="shared" si="25"/>
        <v>662.4</v>
      </c>
      <c r="BC84">
        <f t="shared" si="26"/>
        <v>1260</v>
      </c>
      <c r="BD84" s="33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3" cm="1">
        <f t="array" ref="BE84">$G$12+VLOOKUP($Q84,武学奇术!$A:$ZZ,12,FALSE)+SUM(_xlfn.XLOOKUP($R84:$AK84,增益!$A:$A,增益!$L:$L,0))</f>
        <v>0.15</v>
      </c>
      <c r="BF84">
        <f t="shared" si="27"/>
        <v>0</v>
      </c>
      <c r="BG84">
        <f t="shared" si="28"/>
        <v>0</v>
      </c>
      <c r="BH84" s="33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3" cm="1">
        <f t="array" ref="BI84">$G$13+VLOOKUP($Q84,武学奇术!$A:$ZZ,14,FALSE)+SUM(_xlfn.XLOOKUP($R84:$AK84,增益!$A:$A,增益!$N:$N,0))</f>
        <v>0</v>
      </c>
      <c r="BJ84">
        <f t="shared" si="29"/>
        <v>0</v>
      </c>
      <c r="BK84">
        <f t="shared" si="30"/>
        <v>0</v>
      </c>
      <c r="BL84" s="33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3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0.5954</v>
      </c>
      <c r="BP84" s="27" cm="1">
        <f t="array" ref="BP84">1+$B$13+VLOOKUP($Q84,武学奇术!$A:$ZZ,18,FALSE)+SUM(_xlfn.XLOOKUP($R84:$AK84,增益!$A:$A,增益!$R:$R,0))</f>
        <v>1.644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0.1512</v>
      </c>
      <c r="BR84" s="27" cm="1">
        <f t="array" ref="BR84">1+$B$14+VLOOKUP($Q84,武学奇术!$A:$ZZ,20,FALSE)+SUM(_xlfn.XLOOKUP($R84:$AK84,增益!$A:$A,增益!$T:$T,0))</f>
        <v>1.35</v>
      </c>
      <c r="BS84" s="27">
        <f t="shared" si="31"/>
        <v>0.5954</v>
      </c>
      <c r="BT84" s="27">
        <f t="shared" si="32"/>
        <v>0.2534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:74">
      <c r="A85" s="4" t="s">
        <v>173</v>
      </c>
      <c r="B85" s="4">
        <v>30</v>
      </c>
      <c r="K85" s="39">
        <f t="shared" si="33"/>
        <v>0</v>
      </c>
      <c r="L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39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39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0">
        <v>1</v>
      </c>
      <c r="Q85" s="41" t="s">
        <v>76</v>
      </c>
      <c r="R85" s="41" t="s">
        <v>76</v>
      </c>
      <c r="S85" s="41" t="s">
        <v>76</v>
      </c>
      <c r="T85" s="41" t="s">
        <v>76</v>
      </c>
      <c r="U85" s="41" t="s">
        <v>76</v>
      </c>
      <c r="V85" s="41" t="s">
        <v>76</v>
      </c>
      <c r="W85" s="41" t="s">
        <v>76</v>
      </c>
      <c r="X85" s="41" t="s">
        <v>76</v>
      </c>
      <c r="Y85" s="41" t="s">
        <v>76</v>
      </c>
      <c r="Z85" s="41" t="s">
        <v>76</v>
      </c>
      <c r="AA85" s="41" t="s">
        <v>76</v>
      </c>
      <c r="AB85" s="41" t="s">
        <v>76</v>
      </c>
      <c r="AC85" s="41" t="s">
        <v>76</v>
      </c>
      <c r="AD85" s="41" t="s">
        <v>79</v>
      </c>
      <c r="AE85" s="41" t="s">
        <v>80</v>
      </c>
      <c r="AF85" s="41" t="s">
        <v>76</v>
      </c>
      <c r="AG85" s="41" t="s">
        <v>76</v>
      </c>
      <c r="AH85" s="41" t="s">
        <v>76</v>
      </c>
      <c r="AI85" s="41" t="s">
        <v>76</v>
      </c>
      <c r="AJ85" s="41" t="s">
        <v>76</v>
      </c>
      <c r="AK85" s="41" t="s">
        <v>87</v>
      </c>
      <c r="AL85" t="str">
        <f>VLOOKUP($Q85,武学奇术!$A:$ZZ,25,FALSE)</f>
        <v>心法</v>
      </c>
      <c r="AM85" s="27">
        <f>VLOOKUP($Q85,武学奇术!$A:$ZZ,26,FALSE)</f>
        <v>0</v>
      </c>
      <c r="AN85" s="28">
        <f>VLOOKUP($Q85,武学奇术!$A:$ZZ,27,FALSE)*(1+IF(OR($AL85=$F$4,$AL85=$F$5),$B$22,0))</f>
        <v>0</v>
      </c>
      <c r="AO85" s="27">
        <f>VLOOKUP($Q85,武学奇术!$A:$ZZ,28,FALSE)</f>
        <v>0</v>
      </c>
      <c r="AP85" s="28">
        <f>VLOOKUP($Q85,武学奇术!$A:$ZZ,29,FALSE)*(1+IF(OR($AL85=$F$4,$AL85=$F$5),$B$22,0))</f>
        <v>0</v>
      </c>
      <c r="AQ85" s="27" cm="1">
        <f t="array" ref="AQ85">$G$3+IFERROR(VLOOKUP($AL85,$F$4:$G$7,2,FALSE),0)+VLOOKUP($Q85,武学奇术!$A:$ZZ,2,FALSE)+SUM(_xlfn.XLOOKUP($R85:$AK85,增益!$A:$A,增益!$B:$B,0))</f>
        <v>0.2042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1847.2</v>
      </c>
      <c r="AT85" cm="1">
        <f t="array" ref="AT85">$E$10*(1+$AR85)+VLOOKUP($Q85,武学奇术!$A:$ZZ,4,FALSE)+SUM(_xlfn.XLOOKUP($R85:$AK85,增益!$A:$A,增益!$D:$D,0))-$I$2</f>
        <v>6666.8</v>
      </c>
      <c r="AU85" s="33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0.2585</v>
      </c>
      <c r="AV85" s="33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3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3" cm="1">
        <f t="array" ref="BA85">$G$11+VLOOKUP($Q85,武学奇术!$A:$ZZ,10,FALSE)+SUM(_xlfn.XLOOKUP($R85:$AK85,增益!$A:$A,增益!$J:$J,0))</f>
        <v>0</v>
      </c>
      <c r="BB85">
        <f t="shared" si="25"/>
        <v>662.4</v>
      </c>
      <c r="BC85">
        <f t="shared" si="26"/>
        <v>1260</v>
      </c>
      <c r="BD85" s="33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3" cm="1">
        <f t="array" ref="BE85">$G$12+VLOOKUP($Q85,武学奇术!$A:$ZZ,12,FALSE)+SUM(_xlfn.XLOOKUP($R85:$AK85,增益!$A:$A,增益!$L:$L,0))</f>
        <v>0.15</v>
      </c>
      <c r="BF85">
        <f t="shared" si="27"/>
        <v>0</v>
      </c>
      <c r="BG85">
        <f t="shared" si="28"/>
        <v>0</v>
      </c>
      <c r="BH85" s="33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3" cm="1">
        <f t="array" ref="BI85">$G$13+VLOOKUP($Q85,武学奇术!$A:$ZZ,14,FALSE)+SUM(_xlfn.XLOOKUP($R85:$AK85,增益!$A:$A,增益!$N:$N,0))</f>
        <v>0</v>
      </c>
      <c r="BJ85">
        <f t="shared" si="29"/>
        <v>0</v>
      </c>
      <c r="BK85">
        <f t="shared" si="30"/>
        <v>0</v>
      </c>
      <c r="BL85" s="33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3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0.5954</v>
      </c>
      <c r="BP85" s="27" cm="1">
        <f t="array" ref="BP85">1+$B$13+VLOOKUP($Q85,武学奇术!$A:$ZZ,18,FALSE)+SUM(_xlfn.XLOOKUP($R85:$AK85,增益!$A:$A,增益!$R:$R,0))</f>
        <v>1.644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0.1512</v>
      </c>
      <c r="BR85" s="27" cm="1">
        <f t="array" ref="BR85">1+$B$14+VLOOKUP($Q85,武学奇术!$A:$ZZ,20,FALSE)+SUM(_xlfn.XLOOKUP($R85:$AK85,增益!$A:$A,增益!$T:$T,0))</f>
        <v>1.35</v>
      </c>
      <c r="BS85" s="27">
        <f t="shared" si="31"/>
        <v>0.5954</v>
      </c>
      <c r="BT85" s="27">
        <f t="shared" si="32"/>
        <v>0.2534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:74">
      <c r="A86" s="4" t="s">
        <v>175</v>
      </c>
      <c r="B86" s="4">
        <v>1</v>
      </c>
      <c r="K86" s="39">
        <f t="shared" si="33"/>
        <v>0</v>
      </c>
      <c r="L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39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39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0">
        <v>1</v>
      </c>
      <c r="Q86" s="41" t="s">
        <v>76</v>
      </c>
      <c r="R86" s="41" t="s">
        <v>76</v>
      </c>
      <c r="S86" s="41" t="s">
        <v>76</v>
      </c>
      <c r="T86" s="41" t="s">
        <v>76</v>
      </c>
      <c r="U86" s="41" t="s">
        <v>76</v>
      </c>
      <c r="V86" s="41" t="s">
        <v>76</v>
      </c>
      <c r="W86" s="41" t="s">
        <v>76</v>
      </c>
      <c r="X86" s="41" t="s">
        <v>76</v>
      </c>
      <c r="Y86" s="41" t="s">
        <v>76</v>
      </c>
      <c r="Z86" s="41" t="s">
        <v>76</v>
      </c>
      <c r="AA86" s="41" t="s">
        <v>76</v>
      </c>
      <c r="AB86" s="41" t="s">
        <v>76</v>
      </c>
      <c r="AC86" s="41" t="s">
        <v>76</v>
      </c>
      <c r="AD86" s="41" t="s">
        <v>79</v>
      </c>
      <c r="AE86" s="41" t="s">
        <v>80</v>
      </c>
      <c r="AF86" s="41" t="s">
        <v>76</v>
      </c>
      <c r="AG86" s="41" t="s">
        <v>76</v>
      </c>
      <c r="AH86" s="41" t="s">
        <v>76</v>
      </c>
      <c r="AI86" s="41" t="s">
        <v>76</v>
      </c>
      <c r="AJ86" s="41" t="s">
        <v>76</v>
      </c>
      <c r="AK86" s="41" t="s">
        <v>87</v>
      </c>
      <c r="AL86" t="str">
        <f>VLOOKUP($Q86,武学奇术!$A:$ZZ,25,FALSE)</f>
        <v>心法</v>
      </c>
      <c r="AM86" s="27">
        <f>VLOOKUP($Q86,武学奇术!$A:$ZZ,26,FALSE)</f>
        <v>0</v>
      </c>
      <c r="AN86" s="28">
        <f>VLOOKUP($Q86,武学奇术!$A:$ZZ,27,FALSE)*(1+IF(OR($AL86=$F$4,$AL86=$F$5),$B$22,0))</f>
        <v>0</v>
      </c>
      <c r="AO86" s="27">
        <f>VLOOKUP($Q86,武学奇术!$A:$ZZ,28,FALSE)</f>
        <v>0</v>
      </c>
      <c r="AP86" s="28">
        <f>VLOOKUP($Q86,武学奇术!$A:$ZZ,29,FALSE)*(1+IF(OR($AL86=$F$4,$AL86=$F$5),$B$22,0))</f>
        <v>0</v>
      </c>
      <c r="AQ86" s="27" cm="1">
        <f t="array" ref="AQ86">$G$3+IFERROR(VLOOKUP($AL86,$F$4:$G$7,2,FALSE),0)+VLOOKUP($Q86,武学奇术!$A:$ZZ,2,FALSE)+SUM(_xlfn.XLOOKUP($R86:$AK86,增益!$A:$A,增益!$B:$B,0))</f>
        <v>0.2042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1847.2</v>
      </c>
      <c r="AT86" cm="1">
        <f t="array" ref="AT86">$E$10*(1+$AR86)+VLOOKUP($Q86,武学奇术!$A:$ZZ,4,FALSE)+SUM(_xlfn.XLOOKUP($R86:$AK86,增益!$A:$A,增益!$D:$D,0))-$I$2</f>
        <v>6666.8</v>
      </c>
      <c r="AU86" s="33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0.2585</v>
      </c>
      <c r="AV86" s="33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3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3" cm="1">
        <f t="array" ref="BA86">$G$11+VLOOKUP($Q86,武学奇术!$A:$ZZ,10,FALSE)+SUM(_xlfn.XLOOKUP($R86:$AK86,增益!$A:$A,增益!$J:$J,0))</f>
        <v>0</v>
      </c>
      <c r="BB86">
        <f t="shared" si="25"/>
        <v>662.4</v>
      </c>
      <c r="BC86">
        <f t="shared" si="26"/>
        <v>1260</v>
      </c>
      <c r="BD86" s="33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3" cm="1">
        <f t="array" ref="BE86">$G$12+VLOOKUP($Q86,武学奇术!$A:$ZZ,12,FALSE)+SUM(_xlfn.XLOOKUP($R86:$AK86,增益!$A:$A,增益!$L:$L,0))</f>
        <v>0.15</v>
      </c>
      <c r="BF86">
        <f t="shared" si="27"/>
        <v>0</v>
      </c>
      <c r="BG86">
        <f t="shared" si="28"/>
        <v>0</v>
      </c>
      <c r="BH86" s="33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3" cm="1">
        <f t="array" ref="BI86">$G$13+VLOOKUP($Q86,武学奇术!$A:$ZZ,14,FALSE)+SUM(_xlfn.XLOOKUP($R86:$AK86,增益!$A:$A,增益!$N:$N,0))</f>
        <v>0</v>
      </c>
      <c r="BJ86">
        <f t="shared" si="29"/>
        <v>0</v>
      </c>
      <c r="BK86">
        <f t="shared" si="30"/>
        <v>0</v>
      </c>
      <c r="BL86" s="33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3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0.5954</v>
      </c>
      <c r="BP86" s="27" cm="1">
        <f t="array" ref="BP86">1+$B$13+VLOOKUP($Q86,武学奇术!$A:$ZZ,18,FALSE)+SUM(_xlfn.XLOOKUP($R86:$AK86,增益!$A:$A,增益!$R:$R,0))</f>
        <v>1.644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0.1512</v>
      </c>
      <c r="BR86" s="27" cm="1">
        <f t="array" ref="BR86">1+$B$14+VLOOKUP($Q86,武学奇术!$A:$ZZ,20,FALSE)+SUM(_xlfn.XLOOKUP($R86:$AK86,增益!$A:$A,增益!$T:$T,0))</f>
        <v>1.35</v>
      </c>
      <c r="BS86" s="27">
        <f t="shared" si="31"/>
        <v>0.5954</v>
      </c>
      <c r="BT86" s="27">
        <f t="shared" si="32"/>
        <v>0.2534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:74">
      <c r="A87" s="4" t="s">
        <v>164</v>
      </c>
      <c r="B87" s="4">
        <v>1</v>
      </c>
      <c r="K87" s="39">
        <f t="shared" ref="K87:K102" si="34">($L87*$BS87+$M87*$BQ87+$N87*$BT87+$O87*$BU87)</f>
        <v>0</v>
      </c>
      <c r="L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39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39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0">
        <v>1</v>
      </c>
      <c r="Q87" s="41" t="s">
        <v>76</v>
      </c>
      <c r="R87" s="41" t="s">
        <v>76</v>
      </c>
      <c r="S87" s="41" t="s">
        <v>76</v>
      </c>
      <c r="T87" s="41" t="s">
        <v>76</v>
      </c>
      <c r="U87" s="41" t="s">
        <v>76</v>
      </c>
      <c r="V87" s="41" t="s">
        <v>76</v>
      </c>
      <c r="W87" s="41" t="s">
        <v>76</v>
      </c>
      <c r="X87" s="41" t="s">
        <v>76</v>
      </c>
      <c r="Y87" s="41" t="s">
        <v>76</v>
      </c>
      <c r="Z87" s="41" t="s">
        <v>76</v>
      </c>
      <c r="AA87" s="41" t="s">
        <v>76</v>
      </c>
      <c r="AB87" s="41" t="s">
        <v>76</v>
      </c>
      <c r="AC87" s="41" t="s">
        <v>76</v>
      </c>
      <c r="AD87" s="41" t="s">
        <v>79</v>
      </c>
      <c r="AE87" s="41" t="s">
        <v>80</v>
      </c>
      <c r="AF87" s="41" t="s">
        <v>76</v>
      </c>
      <c r="AG87" s="41" t="s">
        <v>76</v>
      </c>
      <c r="AH87" s="41" t="s">
        <v>76</v>
      </c>
      <c r="AI87" s="41" t="s">
        <v>76</v>
      </c>
      <c r="AJ87" s="41" t="s">
        <v>76</v>
      </c>
      <c r="AK87" s="41" t="s">
        <v>87</v>
      </c>
      <c r="AL87" t="str">
        <f>VLOOKUP($Q87,武学奇术!$A:$ZZ,25,FALSE)</f>
        <v>心法</v>
      </c>
      <c r="AM87" s="27">
        <f>VLOOKUP($Q87,武学奇术!$A:$ZZ,26,FALSE)</f>
        <v>0</v>
      </c>
      <c r="AN87" s="28">
        <f>VLOOKUP($Q87,武学奇术!$A:$ZZ,27,FALSE)*(1+IF(OR($AL87=$F$4,$AL87=$F$5),$B$22,0))</f>
        <v>0</v>
      </c>
      <c r="AO87" s="27">
        <f>VLOOKUP($Q87,武学奇术!$A:$ZZ,28,FALSE)</f>
        <v>0</v>
      </c>
      <c r="AP87" s="28">
        <f>VLOOKUP($Q87,武学奇术!$A:$ZZ,29,FALSE)*(1+IF(OR($AL87=$F$4,$AL87=$F$5),$B$22,0))</f>
        <v>0</v>
      </c>
      <c r="AQ87" s="27" cm="1">
        <f t="array" ref="AQ87">$G$3+IFERROR(VLOOKUP($AL87,$F$4:$G$7,2,FALSE),0)+VLOOKUP($Q87,武学奇术!$A:$ZZ,2,FALSE)+SUM(_xlfn.XLOOKUP($R87:$AK87,增益!$A:$A,增益!$B:$B,0))</f>
        <v>0.2042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1847.2</v>
      </c>
      <c r="AT87" cm="1">
        <f t="array" ref="AT87">$E$10*(1+$AR87)+VLOOKUP($Q87,武学奇术!$A:$ZZ,4,FALSE)+SUM(_xlfn.XLOOKUP($R87:$AK87,增益!$A:$A,增益!$D:$D,0))-$I$2</f>
        <v>6666.8</v>
      </c>
      <c r="AU87" s="33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0.2585</v>
      </c>
      <c r="AV87" s="33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3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3" cm="1">
        <f t="array" ref="BA87">$G$11+VLOOKUP($Q87,武学奇术!$A:$ZZ,10,FALSE)+SUM(_xlfn.XLOOKUP($R87:$AK87,增益!$A:$A,增益!$J:$J,0))</f>
        <v>0</v>
      </c>
      <c r="BB87">
        <f t="shared" si="25"/>
        <v>662.4</v>
      </c>
      <c r="BC87">
        <f t="shared" si="26"/>
        <v>1260</v>
      </c>
      <c r="BD87" s="33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3" cm="1">
        <f t="array" ref="BE87">$G$12+VLOOKUP($Q87,武学奇术!$A:$ZZ,12,FALSE)+SUM(_xlfn.XLOOKUP($R87:$AK87,增益!$A:$A,增益!$L:$L,0))</f>
        <v>0.15</v>
      </c>
      <c r="BF87">
        <f t="shared" si="27"/>
        <v>0</v>
      </c>
      <c r="BG87">
        <f t="shared" si="28"/>
        <v>0</v>
      </c>
      <c r="BH87" s="33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3" cm="1">
        <f t="array" ref="BI87">$G$13+VLOOKUP($Q87,武学奇术!$A:$ZZ,14,FALSE)+SUM(_xlfn.XLOOKUP($R87:$AK87,增益!$A:$A,增益!$N:$N,0))</f>
        <v>0</v>
      </c>
      <c r="BJ87">
        <f t="shared" si="29"/>
        <v>0</v>
      </c>
      <c r="BK87">
        <f t="shared" si="30"/>
        <v>0</v>
      </c>
      <c r="BL87" s="33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3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0.5954</v>
      </c>
      <c r="BP87" s="27" cm="1">
        <f t="array" ref="BP87">1+$B$13+VLOOKUP($Q87,武学奇术!$A:$ZZ,18,FALSE)+SUM(_xlfn.XLOOKUP($R87:$AK87,增益!$A:$A,增益!$R:$R,0))</f>
        <v>1.644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0.1512</v>
      </c>
      <c r="BR87" s="27" cm="1">
        <f t="array" ref="BR87">1+$B$14+VLOOKUP($Q87,武学奇术!$A:$ZZ,20,FALSE)+SUM(_xlfn.XLOOKUP($R87:$AK87,增益!$A:$A,增益!$T:$T,0))</f>
        <v>1.35</v>
      </c>
      <c r="BS87" s="27">
        <f t="shared" si="31"/>
        <v>0.5954</v>
      </c>
      <c r="BT87" s="27">
        <f t="shared" si="32"/>
        <v>0.2534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:74">
      <c r="A88" s="4" t="s">
        <v>157</v>
      </c>
      <c r="B88" s="4">
        <v>1.2</v>
      </c>
      <c r="C88" s="40" t="s">
        <v>158</v>
      </c>
      <c r="K88" s="39">
        <f t="shared" si="34"/>
        <v>0</v>
      </c>
      <c r="L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39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39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0">
        <v>1</v>
      </c>
      <c r="Q88" s="41" t="s">
        <v>76</v>
      </c>
      <c r="R88" s="41" t="s">
        <v>76</v>
      </c>
      <c r="S88" s="41" t="s">
        <v>76</v>
      </c>
      <c r="T88" s="41" t="s">
        <v>76</v>
      </c>
      <c r="U88" s="41" t="s">
        <v>76</v>
      </c>
      <c r="V88" s="41" t="s">
        <v>76</v>
      </c>
      <c r="W88" s="41" t="s">
        <v>76</v>
      </c>
      <c r="X88" s="41" t="s">
        <v>76</v>
      </c>
      <c r="Y88" s="41" t="s">
        <v>76</v>
      </c>
      <c r="Z88" s="41" t="s">
        <v>76</v>
      </c>
      <c r="AA88" s="41" t="s">
        <v>76</v>
      </c>
      <c r="AB88" s="41" t="s">
        <v>76</v>
      </c>
      <c r="AC88" s="41" t="s">
        <v>76</v>
      </c>
      <c r="AD88" s="41" t="s">
        <v>79</v>
      </c>
      <c r="AE88" s="41" t="s">
        <v>80</v>
      </c>
      <c r="AF88" s="41" t="s">
        <v>76</v>
      </c>
      <c r="AG88" s="41" t="s">
        <v>76</v>
      </c>
      <c r="AH88" s="41" t="s">
        <v>76</v>
      </c>
      <c r="AI88" s="41" t="s">
        <v>76</v>
      </c>
      <c r="AJ88" s="41" t="s">
        <v>76</v>
      </c>
      <c r="AK88" s="41" t="s">
        <v>87</v>
      </c>
      <c r="AL88" t="str">
        <f>VLOOKUP($Q88,武学奇术!$A:$ZZ,25,FALSE)</f>
        <v>心法</v>
      </c>
      <c r="AM88" s="27">
        <f>VLOOKUP($Q88,武学奇术!$A:$ZZ,26,FALSE)</f>
        <v>0</v>
      </c>
      <c r="AN88" s="28">
        <f>VLOOKUP($Q88,武学奇术!$A:$ZZ,27,FALSE)*(1+IF(OR($AL88=$F$4,$AL88=$F$5),$B$22,0))</f>
        <v>0</v>
      </c>
      <c r="AO88" s="27">
        <f>VLOOKUP($Q88,武学奇术!$A:$ZZ,28,FALSE)</f>
        <v>0</v>
      </c>
      <c r="AP88" s="28">
        <f>VLOOKUP($Q88,武学奇术!$A:$ZZ,29,FALSE)*(1+IF(OR($AL88=$F$4,$AL88=$F$5),$B$22,0))</f>
        <v>0</v>
      </c>
      <c r="AQ88" s="27" cm="1">
        <f t="array" ref="AQ88">$G$3+IFERROR(VLOOKUP($AL88,$F$4:$G$7,2,FALSE),0)+VLOOKUP($Q88,武学奇术!$A:$ZZ,2,FALSE)+SUM(_xlfn.XLOOKUP($R88:$AK88,增益!$A:$A,增益!$B:$B,0))</f>
        <v>0.2042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1847.2</v>
      </c>
      <c r="AT88" cm="1">
        <f t="array" ref="AT88">$E$10*(1+$AR88)+VLOOKUP($Q88,武学奇术!$A:$ZZ,4,FALSE)+SUM(_xlfn.XLOOKUP($R88:$AK88,增益!$A:$A,增益!$D:$D,0))-$I$2</f>
        <v>6666.8</v>
      </c>
      <c r="AU88" s="33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0.2585</v>
      </c>
      <c r="AV88" s="33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3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3" cm="1">
        <f t="array" ref="BA88">$G$11+VLOOKUP($Q88,武学奇术!$A:$ZZ,10,FALSE)+SUM(_xlfn.XLOOKUP($R88:$AK88,增益!$A:$A,增益!$J:$J,0))</f>
        <v>0</v>
      </c>
      <c r="BB88">
        <f t="shared" si="25"/>
        <v>662.4</v>
      </c>
      <c r="BC88">
        <f t="shared" si="26"/>
        <v>1260</v>
      </c>
      <c r="BD88" s="33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3" cm="1">
        <f t="array" ref="BE88">$G$12+VLOOKUP($Q88,武学奇术!$A:$ZZ,12,FALSE)+SUM(_xlfn.XLOOKUP($R88:$AK88,增益!$A:$A,增益!$L:$L,0))</f>
        <v>0.15</v>
      </c>
      <c r="BF88">
        <f t="shared" si="27"/>
        <v>0</v>
      </c>
      <c r="BG88">
        <f t="shared" si="28"/>
        <v>0</v>
      </c>
      <c r="BH88" s="33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3" cm="1">
        <f t="array" ref="BI88">$G$13+VLOOKUP($Q88,武学奇术!$A:$ZZ,14,FALSE)+SUM(_xlfn.XLOOKUP($R88:$AK88,增益!$A:$A,增益!$N:$N,0))</f>
        <v>0</v>
      </c>
      <c r="BJ88">
        <f t="shared" si="29"/>
        <v>0</v>
      </c>
      <c r="BK88">
        <f t="shared" si="30"/>
        <v>0</v>
      </c>
      <c r="BL88" s="33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3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0.5954</v>
      </c>
      <c r="BP88" s="27" cm="1">
        <f t="array" ref="BP88">1+$B$13+VLOOKUP($Q88,武学奇术!$A:$ZZ,18,FALSE)+SUM(_xlfn.XLOOKUP($R88:$AK88,增益!$A:$A,增益!$R:$R,0))</f>
        <v>1.644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0.1512</v>
      </c>
      <c r="BR88" s="27" cm="1">
        <f t="array" ref="BR88">1+$B$14+VLOOKUP($Q88,武学奇术!$A:$ZZ,20,FALSE)+SUM(_xlfn.XLOOKUP($R88:$AK88,增益!$A:$A,增益!$T:$T,0))</f>
        <v>1.35</v>
      </c>
      <c r="BS88" s="27">
        <f t="shared" si="31"/>
        <v>0.5954</v>
      </c>
      <c r="BT88" s="27">
        <f t="shared" si="32"/>
        <v>0.2534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:74">
      <c r="A89" s="4" t="s">
        <v>176</v>
      </c>
      <c r="B89" s="4">
        <v>2</v>
      </c>
      <c r="C89" s="40"/>
      <c r="E89" s="40" t="s">
        <v>165</v>
      </c>
      <c r="F89" s="40" t="s">
        <v>166</v>
      </c>
      <c r="K89" s="39">
        <f t="shared" si="34"/>
        <v>0</v>
      </c>
      <c r="L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39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39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0">
        <v>1</v>
      </c>
      <c r="Q89" s="41" t="s">
        <v>76</v>
      </c>
      <c r="R89" s="41" t="s">
        <v>76</v>
      </c>
      <c r="S89" s="41" t="s">
        <v>76</v>
      </c>
      <c r="T89" s="41" t="s">
        <v>76</v>
      </c>
      <c r="U89" s="41" t="s">
        <v>76</v>
      </c>
      <c r="V89" s="41" t="s">
        <v>76</v>
      </c>
      <c r="W89" s="41" t="s">
        <v>76</v>
      </c>
      <c r="X89" s="41" t="s">
        <v>76</v>
      </c>
      <c r="Y89" s="41" t="s">
        <v>76</v>
      </c>
      <c r="Z89" s="41" t="s">
        <v>76</v>
      </c>
      <c r="AA89" s="41" t="s">
        <v>76</v>
      </c>
      <c r="AB89" s="41" t="s">
        <v>76</v>
      </c>
      <c r="AC89" s="41" t="s">
        <v>76</v>
      </c>
      <c r="AD89" s="41" t="s">
        <v>79</v>
      </c>
      <c r="AE89" s="41" t="s">
        <v>80</v>
      </c>
      <c r="AF89" s="41" t="s">
        <v>76</v>
      </c>
      <c r="AG89" s="41" t="s">
        <v>76</v>
      </c>
      <c r="AH89" s="41" t="s">
        <v>76</v>
      </c>
      <c r="AI89" s="41" t="s">
        <v>76</v>
      </c>
      <c r="AJ89" s="41" t="s">
        <v>76</v>
      </c>
      <c r="AK89" s="41" t="s">
        <v>87</v>
      </c>
      <c r="AL89" t="str">
        <f>VLOOKUP($Q89,武学奇术!$A:$ZZ,25,FALSE)</f>
        <v>心法</v>
      </c>
      <c r="AM89" s="27">
        <f>VLOOKUP($Q89,武学奇术!$A:$ZZ,26,FALSE)</f>
        <v>0</v>
      </c>
      <c r="AN89" s="28">
        <f>VLOOKUP($Q89,武学奇术!$A:$ZZ,27,FALSE)*(1+IF(OR($AL89=$F$4,$AL89=$F$5),$B$22,0))</f>
        <v>0</v>
      </c>
      <c r="AO89" s="27">
        <f>VLOOKUP($Q89,武学奇术!$A:$ZZ,28,FALSE)</f>
        <v>0</v>
      </c>
      <c r="AP89" s="28">
        <f>VLOOKUP($Q89,武学奇术!$A:$ZZ,29,FALSE)*(1+IF(OR($AL89=$F$4,$AL89=$F$5),$B$22,0))</f>
        <v>0</v>
      </c>
      <c r="AQ89" s="27" cm="1">
        <f t="array" ref="AQ89">$G$3+IFERROR(VLOOKUP($AL89,$F$4:$G$7,2,FALSE),0)+VLOOKUP($Q89,武学奇术!$A:$ZZ,2,FALSE)+SUM(_xlfn.XLOOKUP($R89:$AK89,增益!$A:$A,增益!$B:$B,0))</f>
        <v>0.2042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1847.2</v>
      </c>
      <c r="AT89" cm="1">
        <f t="array" ref="AT89">$E$10*(1+$AR89)+VLOOKUP($Q89,武学奇术!$A:$ZZ,4,FALSE)+SUM(_xlfn.XLOOKUP($R89:$AK89,增益!$A:$A,增益!$D:$D,0))-$I$2</f>
        <v>6666.8</v>
      </c>
      <c r="AU89" s="33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0.2585</v>
      </c>
      <c r="AV89" s="33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3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3" cm="1">
        <f t="array" ref="BA89">$G$11+VLOOKUP($Q89,武学奇术!$A:$ZZ,10,FALSE)+SUM(_xlfn.XLOOKUP($R89:$AK89,增益!$A:$A,增益!$J:$J,0))</f>
        <v>0</v>
      </c>
      <c r="BB89">
        <f t="shared" si="25"/>
        <v>662.4</v>
      </c>
      <c r="BC89">
        <f t="shared" si="26"/>
        <v>1260</v>
      </c>
      <c r="BD89" s="33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3" cm="1">
        <f t="array" ref="BE89">$G$12+VLOOKUP($Q89,武学奇术!$A:$ZZ,12,FALSE)+SUM(_xlfn.XLOOKUP($R89:$AK89,增益!$A:$A,增益!$L:$L,0))</f>
        <v>0.15</v>
      </c>
      <c r="BF89">
        <f t="shared" si="27"/>
        <v>0</v>
      </c>
      <c r="BG89">
        <f t="shared" si="28"/>
        <v>0</v>
      </c>
      <c r="BH89" s="33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3" cm="1">
        <f t="array" ref="BI89">$G$13+VLOOKUP($Q89,武学奇术!$A:$ZZ,14,FALSE)+SUM(_xlfn.XLOOKUP($R89:$AK89,增益!$A:$A,增益!$N:$N,0))</f>
        <v>0</v>
      </c>
      <c r="BJ89">
        <f t="shared" si="29"/>
        <v>0</v>
      </c>
      <c r="BK89">
        <f t="shared" si="30"/>
        <v>0</v>
      </c>
      <c r="BL89" s="33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3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0.5954</v>
      </c>
      <c r="BP89" s="27" cm="1">
        <f t="array" ref="BP89">1+$B$13+VLOOKUP($Q89,武学奇术!$A:$ZZ,18,FALSE)+SUM(_xlfn.XLOOKUP($R89:$AK89,增益!$A:$A,增益!$R:$R,0))</f>
        <v>1.644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0.1512</v>
      </c>
      <c r="BR89" s="27" cm="1">
        <f t="array" ref="BR89">1+$B$14+VLOOKUP($Q89,武学奇术!$A:$ZZ,20,FALSE)+SUM(_xlfn.XLOOKUP($R89:$AK89,增益!$A:$A,增益!$T:$T,0))</f>
        <v>1.35</v>
      </c>
      <c r="BS89" s="27">
        <f t="shared" si="31"/>
        <v>0.5954</v>
      </c>
      <c r="BT89" s="27">
        <f t="shared" si="32"/>
        <v>0.2534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:74">
      <c r="A90" s="4" t="s">
        <v>74</v>
      </c>
      <c r="B90" s="4">
        <v>1</v>
      </c>
      <c r="C90" s="40"/>
      <c r="E90" s="40"/>
      <c r="F90" s="40"/>
      <c r="K90" s="39">
        <f t="shared" si="34"/>
        <v>0</v>
      </c>
      <c r="L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39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39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0">
        <v>1</v>
      </c>
      <c r="Q90" s="41" t="s">
        <v>76</v>
      </c>
      <c r="R90" s="41" t="s">
        <v>76</v>
      </c>
      <c r="S90" s="41" t="s">
        <v>76</v>
      </c>
      <c r="T90" s="41" t="s">
        <v>76</v>
      </c>
      <c r="U90" s="41" t="s">
        <v>76</v>
      </c>
      <c r="V90" s="41" t="s">
        <v>76</v>
      </c>
      <c r="W90" s="41" t="s">
        <v>76</v>
      </c>
      <c r="X90" s="41" t="s">
        <v>76</v>
      </c>
      <c r="Y90" s="41" t="s">
        <v>76</v>
      </c>
      <c r="Z90" s="41" t="s">
        <v>76</v>
      </c>
      <c r="AA90" s="41" t="s">
        <v>76</v>
      </c>
      <c r="AB90" s="41" t="s">
        <v>76</v>
      </c>
      <c r="AC90" s="41" t="s">
        <v>76</v>
      </c>
      <c r="AD90" s="41" t="s">
        <v>79</v>
      </c>
      <c r="AE90" s="41" t="s">
        <v>80</v>
      </c>
      <c r="AF90" s="41" t="s">
        <v>76</v>
      </c>
      <c r="AG90" s="41" t="s">
        <v>76</v>
      </c>
      <c r="AH90" s="41" t="s">
        <v>76</v>
      </c>
      <c r="AI90" s="41" t="s">
        <v>76</v>
      </c>
      <c r="AJ90" s="41" t="s">
        <v>76</v>
      </c>
      <c r="AK90" s="41" t="s">
        <v>87</v>
      </c>
      <c r="AL90" t="str">
        <f>VLOOKUP($Q90,武学奇术!$A:$ZZ,25,FALSE)</f>
        <v>心法</v>
      </c>
      <c r="AM90" s="27">
        <f>VLOOKUP($Q90,武学奇术!$A:$ZZ,26,FALSE)</f>
        <v>0</v>
      </c>
      <c r="AN90" s="28">
        <f>VLOOKUP($Q90,武学奇术!$A:$ZZ,27,FALSE)*(1+IF(OR($AL90=$F$4,$AL90=$F$5),$B$22,0))</f>
        <v>0</v>
      </c>
      <c r="AO90" s="27">
        <f>VLOOKUP($Q90,武学奇术!$A:$ZZ,28,FALSE)</f>
        <v>0</v>
      </c>
      <c r="AP90" s="28">
        <f>VLOOKUP($Q90,武学奇术!$A:$ZZ,29,FALSE)*(1+IF(OR($AL90=$F$4,$AL90=$F$5),$B$22,0))</f>
        <v>0</v>
      </c>
      <c r="AQ90" s="27" cm="1">
        <f t="array" ref="AQ90">$G$3+IFERROR(VLOOKUP($AL90,$F$4:$G$7,2,FALSE),0)+VLOOKUP($Q90,武学奇术!$A:$ZZ,2,FALSE)+SUM(_xlfn.XLOOKUP($R90:$AK90,增益!$A:$A,增益!$B:$B,0))</f>
        <v>0.2042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1847.2</v>
      </c>
      <c r="AT90" cm="1">
        <f t="array" ref="AT90">$E$10*(1+$AR90)+VLOOKUP($Q90,武学奇术!$A:$ZZ,4,FALSE)+SUM(_xlfn.XLOOKUP($R90:$AK90,增益!$A:$A,增益!$D:$D,0))-$I$2</f>
        <v>6666.8</v>
      </c>
      <c r="AU90" s="33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0.2585</v>
      </c>
      <c r="AV90" s="33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3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3" cm="1">
        <f t="array" ref="BA90">$G$11+VLOOKUP($Q90,武学奇术!$A:$ZZ,10,FALSE)+SUM(_xlfn.XLOOKUP($R90:$AK90,增益!$A:$A,增益!$J:$J,0))</f>
        <v>0</v>
      </c>
      <c r="BB90">
        <f t="shared" si="25"/>
        <v>662.4</v>
      </c>
      <c r="BC90">
        <f t="shared" si="26"/>
        <v>1260</v>
      </c>
      <c r="BD90" s="33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3" cm="1">
        <f t="array" ref="BE90">$G$12+VLOOKUP($Q90,武学奇术!$A:$ZZ,12,FALSE)+SUM(_xlfn.XLOOKUP($R90:$AK90,增益!$A:$A,增益!$L:$L,0))</f>
        <v>0.15</v>
      </c>
      <c r="BF90">
        <f t="shared" si="27"/>
        <v>0</v>
      </c>
      <c r="BG90">
        <f t="shared" si="28"/>
        <v>0</v>
      </c>
      <c r="BH90" s="33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3" cm="1">
        <f t="array" ref="BI90">$G$13+VLOOKUP($Q90,武学奇术!$A:$ZZ,14,FALSE)+SUM(_xlfn.XLOOKUP($R90:$AK90,增益!$A:$A,增益!$N:$N,0))</f>
        <v>0</v>
      </c>
      <c r="BJ90">
        <f t="shared" si="29"/>
        <v>0</v>
      </c>
      <c r="BK90">
        <f t="shared" si="30"/>
        <v>0</v>
      </c>
      <c r="BL90" s="33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3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0.5954</v>
      </c>
      <c r="BP90" s="27" cm="1">
        <f t="array" ref="BP90">1+$B$13+VLOOKUP($Q90,武学奇术!$A:$ZZ,18,FALSE)+SUM(_xlfn.XLOOKUP($R90:$AK90,增益!$A:$A,增益!$R:$R,0))</f>
        <v>1.644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0.1512</v>
      </c>
      <c r="BR90" s="27" cm="1">
        <f t="array" ref="BR90">1+$B$14+VLOOKUP($Q90,武学奇术!$A:$ZZ,20,FALSE)+SUM(_xlfn.XLOOKUP($R90:$AK90,增益!$A:$A,增益!$T:$T,0))</f>
        <v>1.35</v>
      </c>
      <c r="BS90" s="27">
        <f t="shared" si="31"/>
        <v>0.5954</v>
      </c>
      <c r="BT90" s="27">
        <f t="shared" si="32"/>
        <v>0.2534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:74">
      <c r="A91" s="4" t="s">
        <v>163</v>
      </c>
      <c r="B91" s="4">
        <v>1.66</v>
      </c>
      <c r="C91" s="40"/>
      <c r="E91" s="40"/>
      <c r="F91" s="40"/>
      <c r="K91" s="39">
        <f t="shared" si="34"/>
        <v>0</v>
      </c>
      <c r="L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39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39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0">
        <v>1</v>
      </c>
      <c r="Q91" s="41" t="s">
        <v>76</v>
      </c>
      <c r="R91" s="41" t="s">
        <v>76</v>
      </c>
      <c r="S91" s="41" t="s">
        <v>76</v>
      </c>
      <c r="T91" s="41" t="s">
        <v>76</v>
      </c>
      <c r="U91" s="41" t="s">
        <v>76</v>
      </c>
      <c r="V91" s="41" t="s">
        <v>76</v>
      </c>
      <c r="W91" s="41" t="s">
        <v>76</v>
      </c>
      <c r="X91" s="41" t="s">
        <v>76</v>
      </c>
      <c r="Y91" s="41" t="s">
        <v>76</v>
      </c>
      <c r="Z91" s="41" t="s">
        <v>76</v>
      </c>
      <c r="AA91" s="41" t="s">
        <v>76</v>
      </c>
      <c r="AB91" s="41" t="s">
        <v>76</v>
      </c>
      <c r="AC91" s="41" t="s">
        <v>76</v>
      </c>
      <c r="AD91" s="41" t="s">
        <v>79</v>
      </c>
      <c r="AE91" s="41" t="s">
        <v>80</v>
      </c>
      <c r="AF91" s="41" t="s">
        <v>76</v>
      </c>
      <c r="AG91" s="41" t="s">
        <v>76</v>
      </c>
      <c r="AH91" s="41" t="s">
        <v>76</v>
      </c>
      <c r="AI91" s="41" t="s">
        <v>76</v>
      </c>
      <c r="AJ91" s="41" t="s">
        <v>76</v>
      </c>
      <c r="AK91" s="41" t="s">
        <v>87</v>
      </c>
      <c r="AL91" t="str">
        <f>VLOOKUP($Q91,武学奇术!$A:$ZZ,25,FALSE)</f>
        <v>心法</v>
      </c>
      <c r="AM91" s="27">
        <f>VLOOKUP($Q91,武学奇术!$A:$ZZ,26,FALSE)</f>
        <v>0</v>
      </c>
      <c r="AN91" s="28">
        <f>VLOOKUP($Q91,武学奇术!$A:$ZZ,27,FALSE)*(1+IF(OR($AL91=$F$4,$AL91=$F$5),$B$22,0))</f>
        <v>0</v>
      </c>
      <c r="AO91" s="27">
        <f>VLOOKUP($Q91,武学奇术!$A:$ZZ,28,FALSE)</f>
        <v>0</v>
      </c>
      <c r="AP91" s="28">
        <f>VLOOKUP($Q91,武学奇术!$A:$ZZ,29,FALSE)*(1+IF(OR($AL91=$F$4,$AL91=$F$5),$B$22,0))</f>
        <v>0</v>
      </c>
      <c r="AQ91" s="27" cm="1">
        <f t="array" ref="AQ91">$G$3+IFERROR(VLOOKUP($AL91,$F$4:$G$7,2,FALSE),0)+VLOOKUP($Q91,武学奇术!$A:$ZZ,2,FALSE)+SUM(_xlfn.XLOOKUP($R91:$AK91,增益!$A:$A,增益!$B:$B,0))</f>
        <v>0.2042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1847.2</v>
      </c>
      <c r="AT91" cm="1">
        <f t="array" ref="AT91">$E$10*(1+$AR91)+VLOOKUP($Q91,武学奇术!$A:$ZZ,4,FALSE)+SUM(_xlfn.XLOOKUP($R91:$AK91,增益!$A:$A,增益!$D:$D,0))-$I$2</f>
        <v>6666.8</v>
      </c>
      <c r="AU91" s="33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0.2585</v>
      </c>
      <c r="AV91" s="33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3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3" cm="1">
        <f t="array" ref="BA91">$G$11+VLOOKUP($Q91,武学奇术!$A:$ZZ,10,FALSE)+SUM(_xlfn.XLOOKUP($R91:$AK91,增益!$A:$A,增益!$J:$J,0))</f>
        <v>0</v>
      </c>
      <c r="BB91">
        <f t="shared" si="25"/>
        <v>662.4</v>
      </c>
      <c r="BC91">
        <f t="shared" si="26"/>
        <v>1260</v>
      </c>
      <c r="BD91" s="33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3" cm="1">
        <f t="array" ref="BE91">$G$12+VLOOKUP($Q91,武学奇术!$A:$ZZ,12,FALSE)+SUM(_xlfn.XLOOKUP($R91:$AK91,增益!$A:$A,增益!$L:$L,0))</f>
        <v>0.15</v>
      </c>
      <c r="BF91">
        <f t="shared" si="27"/>
        <v>0</v>
      </c>
      <c r="BG91">
        <f t="shared" si="28"/>
        <v>0</v>
      </c>
      <c r="BH91" s="33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3" cm="1">
        <f t="array" ref="BI91">$G$13+VLOOKUP($Q91,武学奇术!$A:$ZZ,14,FALSE)+SUM(_xlfn.XLOOKUP($R91:$AK91,增益!$A:$A,增益!$N:$N,0))</f>
        <v>0</v>
      </c>
      <c r="BJ91">
        <f t="shared" si="29"/>
        <v>0</v>
      </c>
      <c r="BK91">
        <f t="shared" si="30"/>
        <v>0</v>
      </c>
      <c r="BL91" s="33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3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1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0.5954</v>
      </c>
      <c r="BP91" s="27" cm="1">
        <f t="array" ref="BP91">1+$B$13+VLOOKUP($Q91,武学奇术!$A:$ZZ,18,FALSE)+SUM(_xlfn.XLOOKUP($R91:$AK91,增益!$A:$A,增益!$R:$R,0))</f>
        <v>1.644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0.1512</v>
      </c>
      <c r="BR91" s="27" cm="1">
        <f t="array" ref="BR91">1+$B$14+VLOOKUP($Q91,武学奇术!$A:$ZZ,20,FALSE)+SUM(_xlfn.XLOOKUP($R91:$AK91,增益!$A:$A,增益!$T:$T,0))</f>
        <v>1.35</v>
      </c>
      <c r="BS91" s="27">
        <f t="shared" si="31"/>
        <v>0.5954</v>
      </c>
      <c r="BT91" s="27">
        <f t="shared" si="32"/>
        <v>0.2534</v>
      </c>
      <c r="BU91" s="27">
        <f>IF(VLOOKUP($Q91,武学奇术!$A:$ZZ,22,FALSE)=1,0,(1-$BN91))*(1-$BQ91)</f>
        <v>0</v>
      </c>
      <c r="BV91" s="27" cm="1">
        <f t="array" ref="BV91">SUM(_xlfn.XLOOKUP($R91:$AK91,增益!$A:$A,增益!$W:$W,0))+$I$5</f>
        <v>0.11</v>
      </c>
    </row>
    <row r="92" spans="1:74">
      <c r="A92" s="4" t="s">
        <v>168</v>
      </c>
      <c r="B92" s="4">
        <v>1.33</v>
      </c>
      <c r="E92" s="40"/>
      <c r="F92" s="40"/>
      <c r="K92" s="39">
        <f t="shared" si="34"/>
        <v>18679.8928354312</v>
      </c>
      <c r="L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20807.5159553468</v>
      </c>
      <c r="M92" s="39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22899.7129633411</v>
      </c>
      <c r="N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11162.8304481474</v>
      </c>
      <c r="O92" s="39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5362.9105530792</v>
      </c>
      <c r="P92" s="40">
        <v>1</v>
      </c>
      <c r="Q92" s="41" t="s">
        <v>177</v>
      </c>
      <c r="R92" s="41" t="s">
        <v>101</v>
      </c>
      <c r="S92" s="41" t="s">
        <v>114</v>
      </c>
      <c r="T92" s="41" t="s">
        <v>77</v>
      </c>
      <c r="U92" s="41" t="s">
        <v>84</v>
      </c>
      <c r="V92" s="41" t="s">
        <v>98</v>
      </c>
      <c r="W92" s="41" t="s">
        <v>78</v>
      </c>
      <c r="X92" s="41" t="s">
        <v>92</v>
      </c>
      <c r="Y92" s="41" t="s">
        <v>76</v>
      </c>
      <c r="Z92" s="41" t="s">
        <v>76</v>
      </c>
      <c r="AA92" s="41" t="s">
        <v>93</v>
      </c>
      <c r="AB92" s="41" t="s">
        <v>76</v>
      </c>
      <c r="AC92" s="41" t="s">
        <v>76</v>
      </c>
      <c r="AD92" s="41" t="s">
        <v>79</v>
      </c>
      <c r="AE92" s="41" t="s">
        <v>80</v>
      </c>
      <c r="AF92" s="41" t="s">
        <v>76</v>
      </c>
      <c r="AG92" s="41" t="s">
        <v>76</v>
      </c>
      <c r="AH92" s="41" t="s">
        <v>76</v>
      </c>
      <c r="AI92" s="41" t="s">
        <v>76</v>
      </c>
      <c r="AJ92" s="41" t="s">
        <v>76</v>
      </c>
      <c r="AK92" s="41" t="s">
        <v>87</v>
      </c>
      <c r="AL92" t="str">
        <f>VLOOKUP($Q92,武学奇术!$A:$ZZ,25,FALSE)</f>
        <v>心法</v>
      </c>
      <c r="AM92" s="27">
        <f>VLOOKUP($Q92,武学奇术!$A:$ZZ,26,FALSE)</f>
        <v>1</v>
      </c>
      <c r="AN92" s="28">
        <f>VLOOKUP($Q92,武学奇术!$A:$ZZ,27,FALSE)*(1+IF(OR($AL92=$F$4,$AL92=$F$5),$B$22,0))</f>
        <v>0</v>
      </c>
      <c r="AO92" s="27">
        <f>VLOOKUP($Q92,武学奇术!$A:$ZZ,28,FALSE)</f>
        <v>1</v>
      </c>
      <c r="AP92" s="28">
        <f>VLOOKUP($Q92,武学奇术!$A:$ZZ,29,FALSE)*(1+IF(OR($AL92=$F$4,$AL92=$F$5),$B$22,0))</f>
        <v>0</v>
      </c>
      <c r="AQ92" s="27" cm="1">
        <f t="array" ref="AQ92">$G$3+IFERROR(VLOOKUP($AL92,$F$4:$G$7,2,FALSE),0)+VLOOKUP($Q92,武学奇术!$A:$ZZ,2,FALSE)+SUM(_xlfn.XLOOKUP($R92:$AK92,增益!$A:$A,增益!$B:$B,0))</f>
        <v>0.4542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1847.2</v>
      </c>
      <c r="AT92" cm="1">
        <f t="array" ref="AT92">$E$10*(1+$AR92)+VLOOKUP($Q92,武学奇术!$A:$ZZ,4,FALSE)+SUM(_xlfn.XLOOKUP($R92:$AK92,增益!$A:$A,增益!$D:$D,0))-$I$2</f>
        <v>6666.8</v>
      </c>
      <c r="AU92" s="33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0.3285</v>
      </c>
      <c r="AV92" s="33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3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3" cm="1">
        <f t="array" ref="BA92">$G$11+VLOOKUP($Q92,武学奇术!$A:$ZZ,10,FALSE)+SUM(_xlfn.XLOOKUP($R92:$AK92,增益!$A:$A,增益!$J:$J,0))</f>
        <v>0</v>
      </c>
      <c r="BB92">
        <f t="shared" si="25"/>
        <v>662.4</v>
      </c>
      <c r="BC92">
        <f t="shared" si="26"/>
        <v>1260</v>
      </c>
      <c r="BD92" s="33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0.14</v>
      </c>
      <c r="BE92" s="33" cm="1">
        <f t="array" ref="BE92">$G$12+VLOOKUP($Q92,武学奇术!$A:$ZZ,12,FALSE)+SUM(_xlfn.XLOOKUP($R92:$AK92,增益!$A:$A,增益!$L:$L,0))</f>
        <v>0.15</v>
      </c>
      <c r="BF92">
        <f t="shared" si="27"/>
        <v>0</v>
      </c>
      <c r="BG92">
        <f t="shared" si="28"/>
        <v>0</v>
      </c>
      <c r="BH92" s="33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3" cm="1">
        <f t="array" ref="BI92">$G$13+VLOOKUP($Q92,武学奇术!$A:$ZZ,14,FALSE)+SUM(_xlfn.XLOOKUP($R92:$AK92,增益!$A:$A,增益!$N:$N,0))</f>
        <v>0</v>
      </c>
      <c r="BJ92">
        <f t="shared" si="29"/>
        <v>0</v>
      </c>
      <c r="BK92">
        <f t="shared" si="30"/>
        <v>0</v>
      </c>
      <c r="BL92" s="33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3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1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0.5954</v>
      </c>
      <c r="BP92" s="27" cm="1">
        <f t="array" ref="BP92">1+$B$13+VLOOKUP($Q92,武学奇术!$A:$ZZ,18,FALSE)+SUM(_xlfn.XLOOKUP($R92:$AK92,增益!$A:$A,增益!$R:$R,0))</f>
        <v>1.864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0.1512</v>
      </c>
      <c r="BR92" s="27" cm="1">
        <f t="array" ref="BR92">1+$B$14+VLOOKUP($Q92,武学奇术!$A:$ZZ,20,FALSE)+SUM(_xlfn.XLOOKUP($R92:$AK92,增益!$A:$A,增益!$T:$T,0))</f>
        <v>1.35</v>
      </c>
      <c r="BS92" s="27">
        <f t="shared" si="31"/>
        <v>0.5954</v>
      </c>
      <c r="BT92" s="27">
        <f t="shared" si="32"/>
        <v>0.2534</v>
      </c>
      <c r="BU92" s="27">
        <f>IF(VLOOKUP($Q92,武学奇术!$A:$ZZ,22,FALSE)=1,0,(1-$BN92))*(1-$BQ92)</f>
        <v>0</v>
      </c>
      <c r="BV92" s="27" cm="1">
        <f t="array" ref="BV92">SUM(_xlfn.XLOOKUP($R92:$AK92,增益!$A:$A,增益!$W:$W,0))+$I$5</f>
        <v>0.11</v>
      </c>
    </row>
    <row r="93" spans="1:74">
      <c r="A93" s="4" t="s">
        <v>169</v>
      </c>
      <c r="B93" s="4">
        <v>2</v>
      </c>
      <c r="E93" s="40"/>
      <c r="K93" s="39">
        <f t="shared" si="34"/>
        <v>19194.7683732403</v>
      </c>
      <c r="L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21745.087274445</v>
      </c>
      <c r="M93" s="39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22765.4761297459</v>
      </c>
      <c r="N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11071.8366977826</v>
      </c>
      <c r="O93" s="39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5280.3577439016</v>
      </c>
      <c r="P93" s="40">
        <v>1</v>
      </c>
      <c r="Q93" s="41" t="s">
        <v>177</v>
      </c>
      <c r="R93" s="41" t="s">
        <v>101</v>
      </c>
      <c r="S93" s="41" t="s">
        <v>114</v>
      </c>
      <c r="T93" s="41" t="s">
        <v>77</v>
      </c>
      <c r="U93" s="41" t="s">
        <v>76</v>
      </c>
      <c r="V93" s="41" t="s">
        <v>138</v>
      </c>
      <c r="W93" s="41" t="s">
        <v>76</v>
      </c>
      <c r="X93" s="41" t="s">
        <v>139</v>
      </c>
      <c r="Y93" s="41" t="s">
        <v>76</v>
      </c>
      <c r="Z93" s="41" t="s">
        <v>76</v>
      </c>
      <c r="AA93" s="41" t="s">
        <v>86</v>
      </c>
      <c r="AB93" s="41" t="s">
        <v>76</v>
      </c>
      <c r="AC93" s="41" t="s">
        <v>76</v>
      </c>
      <c r="AD93" s="41" t="s">
        <v>79</v>
      </c>
      <c r="AE93" s="41" t="s">
        <v>80</v>
      </c>
      <c r="AF93" s="41" t="s">
        <v>76</v>
      </c>
      <c r="AG93" s="41" t="s">
        <v>76</v>
      </c>
      <c r="AH93" s="41" t="s">
        <v>76</v>
      </c>
      <c r="AI93" s="41" t="s">
        <v>76</v>
      </c>
      <c r="AJ93" s="41" t="s">
        <v>76</v>
      </c>
      <c r="AK93" s="41" t="s">
        <v>87</v>
      </c>
      <c r="AL93" t="str">
        <f>VLOOKUP($Q93,武学奇术!$A:$ZZ,25,FALSE)</f>
        <v>心法</v>
      </c>
      <c r="AM93" s="27">
        <f>VLOOKUP($Q93,武学奇术!$A:$ZZ,26,FALSE)</f>
        <v>1</v>
      </c>
      <c r="AN93" s="28">
        <f>VLOOKUP($Q93,武学奇术!$A:$ZZ,27,FALSE)*(1+IF(OR($AL93=$F$4,$AL93=$F$5),$B$22,0))</f>
        <v>0</v>
      </c>
      <c r="AO93" s="27">
        <f>VLOOKUP($Q93,武学奇术!$A:$ZZ,28,FALSE)</f>
        <v>1</v>
      </c>
      <c r="AP93" s="28">
        <f>VLOOKUP($Q93,武学奇术!$A:$ZZ,29,FALSE)*(1+IF(OR($AL93=$F$4,$AL93=$F$5),$B$22,0))</f>
        <v>0</v>
      </c>
      <c r="AQ93" s="27" cm="1">
        <f t="array" ref="AQ93">$G$3+IFERROR(VLOOKUP($AL93,$F$4:$G$7,2,FALSE),0)+VLOOKUP($Q93,武学奇术!$A:$ZZ,2,FALSE)+SUM(_xlfn.XLOOKUP($R93:$AK93,增益!$A:$A,增益!$B:$B,0))</f>
        <v>0.4342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1847.2</v>
      </c>
      <c r="AT93" cm="1">
        <f t="array" ref="AT93">$E$10*(1+$AR93)+VLOOKUP($Q93,武学奇术!$A:$ZZ,4,FALSE)+SUM(_xlfn.XLOOKUP($R93:$AK93,增益!$A:$A,增益!$D:$D,0))-$I$2</f>
        <v>6666.8</v>
      </c>
      <c r="AU93" s="33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0.3585</v>
      </c>
      <c r="AV93" s="33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3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3" cm="1">
        <f t="array" ref="BA93">$G$11+VLOOKUP($Q93,武学奇术!$A:$ZZ,10,FALSE)+SUM(_xlfn.XLOOKUP($R93:$AK93,增益!$A:$A,增益!$J:$J,0))</f>
        <v>0</v>
      </c>
      <c r="BB93">
        <f t="shared" si="25"/>
        <v>662.4</v>
      </c>
      <c r="BC93">
        <f t="shared" si="26"/>
        <v>1260</v>
      </c>
      <c r="BD93" s="33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3" cm="1">
        <f t="array" ref="BE93">$G$12+VLOOKUP($Q93,武学奇术!$A:$ZZ,12,FALSE)+SUM(_xlfn.XLOOKUP($R93:$AK93,增益!$A:$A,增益!$L:$L,0))</f>
        <v>0.15</v>
      </c>
      <c r="BF93">
        <f t="shared" si="27"/>
        <v>0</v>
      </c>
      <c r="BG93">
        <f t="shared" si="28"/>
        <v>0</v>
      </c>
      <c r="BH93" s="33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3" cm="1">
        <f t="array" ref="BI93">$G$13+VLOOKUP($Q93,武学奇术!$A:$ZZ,14,FALSE)+SUM(_xlfn.XLOOKUP($R93:$AK93,增益!$A:$A,增益!$N:$N,0))</f>
        <v>0</v>
      </c>
      <c r="BJ93">
        <f t="shared" si="29"/>
        <v>0</v>
      </c>
      <c r="BK93">
        <f t="shared" si="30"/>
        <v>0</v>
      </c>
      <c r="BL93" s="33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3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1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0.5954</v>
      </c>
      <c r="BP93" s="27" cm="1">
        <f t="array" ref="BP93">1+$B$13+VLOOKUP($Q93,武学奇术!$A:$ZZ,18,FALSE)+SUM(_xlfn.XLOOKUP($R93:$AK93,增益!$A:$A,增益!$R:$R,0))</f>
        <v>1.964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0.1512</v>
      </c>
      <c r="BR93" s="27" cm="1">
        <f t="array" ref="BR93">1+$B$14+VLOOKUP($Q93,武学奇术!$A:$ZZ,20,FALSE)+SUM(_xlfn.XLOOKUP($R93:$AK93,增益!$A:$A,增益!$T:$T,0))</f>
        <v>1.35</v>
      </c>
      <c r="BS93" s="27">
        <f t="shared" si="31"/>
        <v>0.5954</v>
      </c>
      <c r="BT93" s="27">
        <f t="shared" si="32"/>
        <v>0.2534</v>
      </c>
      <c r="BU93" s="27">
        <f>IF(VLOOKUP($Q93,武学奇术!$A:$ZZ,22,FALSE)=1,0,(1-$BN93))*(1-$BQ93)</f>
        <v>0</v>
      </c>
      <c r="BV93" s="27" cm="1">
        <f t="array" ref="BV93">SUM(_xlfn.XLOOKUP($R93:$AK93,增益!$A:$A,增益!$W:$W,0))+$I$5</f>
        <v>0.11</v>
      </c>
    </row>
    <row r="94" spans="1:74">
      <c r="A94" s="4" t="s">
        <v>163</v>
      </c>
      <c r="B94" s="4">
        <v>1.66</v>
      </c>
      <c r="E94" s="40"/>
      <c r="K94" s="39">
        <f t="shared" si="34"/>
        <v>18631.6117057112</v>
      </c>
      <c r="L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20676.0612011153</v>
      </c>
      <c r="M94" s="39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23014.6054470499</v>
      </c>
      <c r="N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11212.6145342274</v>
      </c>
      <c r="O94" s="39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5377.3731817512</v>
      </c>
      <c r="P94" s="40">
        <v>1</v>
      </c>
      <c r="Q94" s="41" t="s">
        <v>177</v>
      </c>
      <c r="R94" s="41" t="s">
        <v>101</v>
      </c>
      <c r="S94" s="41" t="s">
        <v>114</v>
      </c>
      <c r="T94" s="41" t="s">
        <v>76</v>
      </c>
      <c r="U94" s="41" t="s">
        <v>84</v>
      </c>
      <c r="V94" s="41" t="s">
        <v>155</v>
      </c>
      <c r="W94" s="41" t="s">
        <v>76</v>
      </c>
      <c r="X94" s="41" t="s">
        <v>139</v>
      </c>
      <c r="Y94" s="41" t="s">
        <v>76</v>
      </c>
      <c r="Z94" s="41" t="s">
        <v>76</v>
      </c>
      <c r="AA94" s="41" t="s">
        <v>93</v>
      </c>
      <c r="AB94" s="41" t="s">
        <v>76</v>
      </c>
      <c r="AC94" s="41" t="s">
        <v>76</v>
      </c>
      <c r="AD94" s="41" t="s">
        <v>79</v>
      </c>
      <c r="AE94" s="41" t="s">
        <v>80</v>
      </c>
      <c r="AF94" s="41" t="s">
        <v>76</v>
      </c>
      <c r="AG94" s="41" t="s">
        <v>76</v>
      </c>
      <c r="AH94" s="41" t="s">
        <v>76</v>
      </c>
      <c r="AI94" s="41" t="s">
        <v>76</v>
      </c>
      <c r="AJ94" s="41" t="s">
        <v>76</v>
      </c>
      <c r="AK94" s="41" t="s">
        <v>87</v>
      </c>
      <c r="AL94" t="str">
        <f>VLOOKUP($Q94,武学奇术!$A:$ZZ,25,FALSE)</f>
        <v>心法</v>
      </c>
      <c r="AM94" s="27">
        <f>VLOOKUP($Q94,武学奇术!$A:$ZZ,26,FALSE)</f>
        <v>1</v>
      </c>
      <c r="AN94" s="28">
        <f>VLOOKUP($Q94,武学奇术!$A:$ZZ,27,FALSE)*(1+IF(OR($AL94=$F$4,$AL94=$F$5),$B$22,0))</f>
        <v>0</v>
      </c>
      <c r="AO94" s="27">
        <f>VLOOKUP($Q94,武学奇术!$A:$ZZ,28,FALSE)</f>
        <v>1</v>
      </c>
      <c r="AP94" s="28">
        <f>VLOOKUP($Q94,武学奇术!$A:$ZZ,29,FALSE)*(1+IF(OR($AL94=$F$4,$AL94=$F$5),$B$22,0))</f>
        <v>0</v>
      </c>
      <c r="AQ94" s="27" cm="1">
        <f t="array" ref="AQ94">$G$3+IFERROR(VLOOKUP($AL94,$F$4:$G$7,2,FALSE),0)+VLOOKUP($Q94,武学奇术!$A:$ZZ,2,FALSE)+SUM(_xlfn.XLOOKUP($R94:$AK94,增益!$A:$A,增益!$B:$B,0))</f>
        <v>0.4342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1847.2</v>
      </c>
      <c r="AT94" cm="1">
        <f t="array" ref="AT94">$E$10*(1+$AR94)+VLOOKUP($Q94,武学奇术!$A:$ZZ,4,FALSE)+SUM(_xlfn.XLOOKUP($R94:$AK94,增益!$A:$A,增益!$D:$D,0))-$I$2</f>
        <v>6666.8</v>
      </c>
      <c r="AU94" s="33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0.3585</v>
      </c>
      <c r="AV94" s="33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3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3" cm="1">
        <f t="array" ref="BA94">$G$11+VLOOKUP($Q94,武学奇术!$A:$ZZ,10,FALSE)+SUM(_xlfn.XLOOKUP($R94:$AK94,增益!$A:$A,增益!$J:$J,0))</f>
        <v>0</v>
      </c>
      <c r="BB94">
        <f t="shared" si="25"/>
        <v>662.4</v>
      </c>
      <c r="BC94">
        <f t="shared" si="26"/>
        <v>1260</v>
      </c>
      <c r="BD94" s="33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0.14</v>
      </c>
      <c r="BE94" s="33" cm="1">
        <f t="array" ref="BE94">$G$12+VLOOKUP($Q94,武学奇术!$A:$ZZ,12,FALSE)+SUM(_xlfn.XLOOKUP($R94:$AK94,增益!$A:$A,增益!$L:$L,0))</f>
        <v>0.15</v>
      </c>
      <c r="BF94">
        <f t="shared" si="27"/>
        <v>0</v>
      </c>
      <c r="BG94">
        <f t="shared" si="28"/>
        <v>0</v>
      </c>
      <c r="BH94" s="33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3" cm="1">
        <f t="array" ref="BI94">$G$13+VLOOKUP($Q94,武学奇术!$A:$ZZ,14,FALSE)+SUM(_xlfn.XLOOKUP($R94:$AK94,增益!$A:$A,增益!$N:$N,0))</f>
        <v>0</v>
      </c>
      <c r="BJ94">
        <f t="shared" si="29"/>
        <v>0</v>
      </c>
      <c r="BK94">
        <f t="shared" si="30"/>
        <v>0</v>
      </c>
      <c r="BL94" s="33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3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1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0.5954</v>
      </c>
      <c r="BP94" s="27" cm="1">
        <f t="array" ref="BP94">1+$B$13+VLOOKUP($Q94,武学奇术!$A:$ZZ,18,FALSE)+SUM(_xlfn.XLOOKUP($R94:$AK94,增益!$A:$A,增益!$R:$R,0))</f>
        <v>1.844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0.1512</v>
      </c>
      <c r="BR94" s="27" cm="1">
        <f t="array" ref="BR94">1+$B$14+VLOOKUP($Q94,武学奇术!$A:$ZZ,20,FALSE)+SUM(_xlfn.XLOOKUP($R94:$AK94,增益!$A:$A,增益!$T:$T,0))</f>
        <v>1.35</v>
      </c>
      <c r="BS94" s="27">
        <f t="shared" si="31"/>
        <v>0.5954</v>
      </c>
      <c r="BT94" s="27">
        <f t="shared" si="32"/>
        <v>0.2534</v>
      </c>
      <c r="BU94" s="27">
        <f>IF(VLOOKUP($Q94,武学奇术!$A:$ZZ,22,FALSE)=1,0,(1-$BN94))*(1-$BQ94)</f>
        <v>0</v>
      </c>
      <c r="BV94" s="27" cm="1">
        <f t="array" ref="BV94">SUM(_xlfn.XLOOKUP($R94:$AK94,增益!$A:$A,增益!$W:$W,0))+$I$5</f>
        <v>0.11</v>
      </c>
    </row>
    <row r="95" spans="1:74">
      <c r="A95" s="4" t="s">
        <v>168</v>
      </c>
      <c r="B95" s="4">
        <v>1.33</v>
      </c>
      <c r="E95" s="40"/>
      <c r="K95" s="39">
        <f t="shared" si="34"/>
        <v>19392.533520336</v>
      </c>
      <c r="L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22077.2423753785</v>
      </c>
      <c r="M95" s="39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22765.4761297459</v>
      </c>
      <c r="N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11071.8366977826</v>
      </c>
      <c r="O95" s="39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5280.3577439016</v>
      </c>
      <c r="P95" s="40">
        <v>1</v>
      </c>
      <c r="Q95" s="41" t="s">
        <v>177</v>
      </c>
      <c r="R95" s="41" t="s">
        <v>101</v>
      </c>
      <c r="S95" s="41" t="s">
        <v>114</v>
      </c>
      <c r="T95" s="41" t="s">
        <v>77</v>
      </c>
      <c r="U95" s="41" t="s">
        <v>76</v>
      </c>
      <c r="V95" s="41" t="s">
        <v>155</v>
      </c>
      <c r="W95" s="41" t="s">
        <v>76</v>
      </c>
      <c r="X95" s="41" t="s">
        <v>139</v>
      </c>
      <c r="Y95" s="41" t="s">
        <v>76</v>
      </c>
      <c r="Z95" s="41" t="s">
        <v>76</v>
      </c>
      <c r="AA95" s="41" t="s">
        <v>86</v>
      </c>
      <c r="AB95" s="41" t="s">
        <v>76</v>
      </c>
      <c r="AC95" s="41" t="s">
        <v>76</v>
      </c>
      <c r="AD95" s="41" t="s">
        <v>79</v>
      </c>
      <c r="AE95" s="41" t="s">
        <v>80</v>
      </c>
      <c r="AF95" s="41" t="s">
        <v>76</v>
      </c>
      <c r="AG95" s="41" t="s">
        <v>76</v>
      </c>
      <c r="AH95" s="41" t="s">
        <v>76</v>
      </c>
      <c r="AI95" s="41" t="s">
        <v>76</v>
      </c>
      <c r="AJ95" s="41" t="s">
        <v>76</v>
      </c>
      <c r="AK95" s="41" t="s">
        <v>87</v>
      </c>
      <c r="AL95" t="str">
        <f>VLOOKUP($Q95,武学奇术!$A:$ZZ,25,FALSE)</f>
        <v>心法</v>
      </c>
      <c r="AM95" s="27">
        <f>VLOOKUP($Q95,武学奇术!$A:$ZZ,26,FALSE)</f>
        <v>1</v>
      </c>
      <c r="AN95" s="28">
        <f>VLOOKUP($Q95,武学奇术!$A:$ZZ,27,FALSE)*(1+IF(OR($AL95=$F$4,$AL95=$F$5),$B$22,0))</f>
        <v>0</v>
      </c>
      <c r="AO95" s="27">
        <f>VLOOKUP($Q95,武学奇术!$A:$ZZ,28,FALSE)</f>
        <v>1</v>
      </c>
      <c r="AP95" s="28">
        <f>VLOOKUP($Q95,武学奇术!$A:$ZZ,29,FALSE)*(1+IF(OR($AL95=$F$4,$AL95=$F$5),$B$22,0))</f>
        <v>0</v>
      </c>
      <c r="AQ95" s="27" cm="1">
        <f t="array" ref="AQ95">$G$3+IFERROR(VLOOKUP($AL95,$F$4:$G$7,2,FALSE),0)+VLOOKUP($Q95,武学奇术!$A:$ZZ,2,FALSE)+SUM(_xlfn.XLOOKUP($R95:$AK95,增益!$A:$A,增益!$B:$B,0))</f>
        <v>0.4342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1847.2</v>
      </c>
      <c r="AT95" cm="1">
        <f t="array" ref="AT95">$E$10*(1+$AR95)+VLOOKUP($Q95,武学奇术!$A:$ZZ,4,FALSE)+SUM(_xlfn.XLOOKUP($R95:$AK95,增益!$A:$A,增益!$D:$D,0))-$I$2</f>
        <v>6666.8</v>
      </c>
      <c r="AU95" s="33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0.3585</v>
      </c>
      <c r="AV95" s="33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3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3" cm="1">
        <f t="array" ref="BA95">$G$11+VLOOKUP($Q95,武学奇术!$A:$ZZ,10,FALSE)+SUM(_xlfn.XLOOKUP($R95:$AK95,增益!$A:$A,增益!$J:$J,0))</f>
        <v>0</v>
      </c>
      <c r="BB95">
        <f t="shared" si="25"/>
        <v>662.4</v>
      </c>
      <c r="BC95">
        <f t="shared" si="26"/>
        <v>1260</v>
      </c>
      <c r="BD95" s="33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3" cm="1">
        <f t="array" ref="BE95">$G$12+VLOOKUP($Q95,武学奇术!$A:$ZZ,12,FALSE)+SUM(_xlfn.XLOOKUP($R95:$AK95,增益!$A:$A,增益!$L:$L,0))</f>
        <v>0.15</v>
      </c>
      <c r="BF95">
        <f t="shared" si="27"/>
        <v>0</v>
      </c>
      <c r="BG95">
        <f t="shared" si="28"/>
        <v>0</v>
      </c>
      <c r="BH95" s="33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3" cm="1">
        <f t="array" ref="BI95">$G$13+VLOOKUP($Q95,武学奇术!$A:$ZZ,14,FALSE)+SUM(_xlfn.XLOOKUP($R95:$AK95,增益!$A:$A,增益!$N:$N,0))</f>
        <v>0</v>
      </c>
      <c r="BJ95">
        <f t="shared" si="29"/>
        <v>0</v>
      </c>
      <c r="BK95">
        <f t="shared" si="30"/>
        <v>0</v>
      </c>
      <c r="BL95" s="33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3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1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0.5954</v>
      </c>
      <c r="BP95" s="27" cm="1">
        <f t="array" ref="BP95">1+$B$13+VLOOKUP($Q95,武学奇术!$A:$ZZ,18,FALSE)+SUM(_xlfn.XLOOKUP($R95:$AK95,增益!$A:$A,增益!$R:$R,0))</f>
        <v>1.994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0.1512</v>
      </c>
      <c r="BR95" s="27" cm="1">
        <f t="array" ref="BR95">1+$B$14+VLOOKUP($Q95,武学奇术!$A:$ZZ,20,FALSE)+SUM(_xlfn.XLOOKUP($R95:$AK95,增益!$A:$A,增益!$T:$T,0))</f>
        <v>1.35</v>
      </c>
      <c r="BS95" s="27">
        <f t="shared" si="31"/>
        <v>0.5954</v>
      </c>
      <c r="BT95" s="27">
        <f t="shared" si="32"/>
        <v>0.2534</v>
      </c>
      <c r="BU95" s="27">
        <f>IF(VLOOKUP($Q95,武学奇术!$A:$ZZ,22,FALSE)=1,0,(1-$BN95))*(1-$BQ95)</f>
        <v>0</v>
      </c>
      <c r="BV95" s="27" cm="1">
        <f t="array" ref="BV95">SUM(_xlfn.XLOOKUP($R95:$AK95,增益!$A:$A,增益!$W:$W,0))+$I$5</f>
        <v>0.11</v>
      </c>
    </row>
    <row r="96" spans="1:74">
      <c r="A96" s="4" t="s">
        <v>163</v>
      </c>
      <c r="B96" s="4">
        <v>1.66</v>
      </c>
      <c r="E96" s="40"/>
      <c r="K96" s="39">
        <f t="shared" si="34"/>
        <v>21988.6588598934</v>
      </c>
      <c r="L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24401.4776337487</v>
      </c>
      <c r="M96" s="39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27161.3812032751</v>
      </c>
      <c r="N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13232.9054412954</v>
      </c>
      <c r="O96" s="39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6346.2692505352</v>
      </c>
      <c r="P96" s="40">
        <v>1</v>
      </c>
      <c r="Q96" s="41" t="s">
        <v>177</v>
      </c>
      <c r="R96" s="41" t="s">
        <v>101</v>
      </c>
      <c r="S96" s="41" t="s">
        <v>114</v>
      </c>
      <c r="T96" s="41" t="s">
        <v>76</v>
      </c>
      <c r="U96" s="41" t="s">
        <v>84</v>
      </c>
      <c r="V96" s="41" t="s">
        <v>155</v>
      </c>
      <c r="W96" s="41" t="s">
        <v>76</v>
      </c>
      <c r="X96" s="41" t="s">
        <v>139</v>
      </c>
      <c r="Y96" s="41" t="s">
        <v>160</v>
      </c>
      <c r="Z96" s="41" t="s">
        <v>161</v>
      </c>
      <c r="AA96" s="41" t="s">
        <v>93</v>
      </c>
      <c r="AB96" s="41" t="s">
        <v>76</v>
      </c>
      <c r="AC96" s="41" t="s">
        <v>76</v>
      </c>
      <c r="AD96" s="41" t="s">
        <v>79</v>
      </c>
      <c r="AE96" s="41" t="s">
        <v>80</v>
      </c>
      <c r="AF96" s="41" t="s">
        <v>76</v>
      </c>
      <c r="AG96" s="41" t="s">
        <v>76</v>
      </c>
      <c r="AH96" s="41" t="s">
        <v>76</v>
      </c>
      <c r="AI96" s="41" t="s">
        <v>76</v>
      </c>
      <c r="AJ96" s="41" t="s">
        <v>76</v>
      </c>
      <c r="AK96" s="41" t="s">
        <v>87</v>
      </c>
      <c r="AL96" t="str">
        <f>VLOOKUP($Q96,武学奇术!$A:$ZZ,25,FALSE)</f>
        <v>心法</v>
      </c>
      <c r="AM96" s="27">
        <f>VLOOKUP($Q96,武学奇术!$A:$ZZ,26,FALSE)</f>
        <v>1</v>
      </c>
      <c r="AN96" s="28">
        <f>VLOOKUP($Q96,武学奇术!$A:$ZZ,27,FALSE)*(1+IF(OR($AL96=$F$4,$AL96=$F$5),$B$22,0))</f>
        <v>0</v>
      </c>
      <c r="AO96" s="27">
        <f>VLOOKUP($Q96,武学奇术!$A:$ZZ,28,FALSE)</f>
        <v>1</v>
      </c>
      <c r="AP96" s="28">
        <f>VLOOKUP($Q96,武学奇术!$A:$ZZ,29,FALSE)*(1+IF(OR($AL96=$F$4,$AL96=$F$5),$B$22,0))</f>
        <v>0</v>
      </c>
      <c r="AQ96" s="27" cm="1">
        <f t="array" ref="AQ96">$G$3+IFERROR(VLOOKUP($AL96,$F$4:$G$7,2,FALSE),0)+VLOOKUP($Q96,武学奇术!$A:$ZZ,2,FALSE)+SUM(_xlfn.XLOOKUP($R96:$AK96,增益!$A:$A,增益!$B:$B,0))</f>
        <v>0.4342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1847.2</v>
      </c>
      <c r="AT96" cm="1">
        <f t="array" ref="AT96">$E$10*(1+$AR96)+VLOOKUP($Q96,武学奇术!$A:$ZZ,4,FALSE)+SUM(_xlfn.XLOOKUP($R96:$AK96,增益!$A:$A,增益!$D:$D,0))-$I$2</f>
        <v>6666.8</v>
      </c>
      <c r="AU96" s="33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0.3585</v>
      </c>
      <c r="AV96" s="33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3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-0.14</v>
      </c>
      <c r="BA96" s="33" cm="1">
        <f t="array" ref="BA96">$G$11+VLOOKUP($Q96,武学奇术!$A:$ZZ,10,FALSE)+SUM(_xlfn.XLOOKUP($R96:$AK96,增益!$A:$A,增益!$J:$J,0))</f>
        <v>0.1</v>
      </c>
      <c r="BB96">
        <f t="shared" si="25"/>
        <v>662.4</v>
      </c>
      <c r="BC96">
        <f t="shared" si="26"/>
        <v>1260</v>
      </c>
      <c r="BD96" s="33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0.14</v>
      </c>
      <c r="BE96" s="33" cm="1">
        <f t="array" ref="BE96">$G$12+VLOOKUP($Q96,武学奇术!$A:$ZZ,12,FALSE)+SUM(_xlfn.XLOOKUP($R96:$AK96,增益!$A:$A,增益!$L:$L,0))</f>
        <v>0.15</v>
      </c>
      <c r="BF96">
        <f t="shared" si="27"/>
        <v>0</v>
      </c>
      <c r="BG96">
        <f t="shared" si="28"/>
        <v>0</v>
      </c>
      <c r="BH96" s="33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-0.14</v>
      </c>
      <c r="BI96" s="33" cm="1">
        <f t="array" ref="BI96">$G$13+VLOOKUP($Q96,武学奇术!$A:$ZZ,14,FALSE)+SUM(_xlfn.XLOOKUP($R96:$AK96,增益!$A:$A,增益!$N:$N,0))</f>
        <v>0</v>
      </c>
      <c r="BJ96">
        <f t="shared" si="29"/>
        <v>0</v>
      </c>
      <c r="BK96">
        <f t="shared" si="30"/>
        <v>0</v>
      </c>
      <c r="BL96" s="33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-0.14</v>
      </c>
      <c r="BM96" s="33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1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0.5954</v>
      </c>
      <c r="BP96" s="27" cm="1">
        <f t="array" ref="BP96">1+$B$13+VLOOKUP($Q96,武学奇术!$A:$ZZ,18,FALSE)+SUM(_xlfn.XLOOKUP($R96:$AK96,增益!$A:$A,增益!$R:$R,0))</f>
        <v>1.844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0.1512</v>
      </c>
      <c r="BR96" s="27" cm="1">
        <f t="array" ref="BR96">1+$B$14+VLOOKUP($Q96,武学奇术!$A:$ZZ,20,FALSE)+SUM(_xlfn.XLOOKUP($R96:$AK96,增益!$A:$A,增益!$T:$T,0))</f>
        <v>1.35</v>
      </c>
      <c r="BS96" s="27">
        <f t="shared" si="31"/>
        <v>0.5954</v>
      </c>
      <c r="BT96" s="27">
        <f t="shared" si="32"/>
        <v>0.2534</v>
      </c>
      <c r="BU96" s="27">
        <f>IF(VLOOKUP($Q96,武学奇术!$A:$ZZ,22,FALSE)=1,0,(1-$BN96))*(1-$BQ96)</f>
        <v>0</v>
      </c>
      <c r="BV96" s="27" cm="1">
        <f t="array" ref="BV96">SUM(_xlfn.XLOOKUP($R96:$AK96,增益!$A:$A,增益!$W:$W,0))+$I$5</f>
        <v>0.31</v>
      </c>
    </row>
    <row r="97" spans="1:74">
      <c r="A97" s="4" t="s">
        <v>168</v>
      </c>
      <c r="B97" s="4">
        <v>1.33</v>
      </c>
      <c r="E97" s="40"/>
      <c r="K97" s="39">
        <f t="shared" si="34"/>
        <v>19633.0103097631</v>
      </c>
      <c r="L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22357.9533812494</v>
      </c>
      <c r="M97" s="39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23014.6054470499</v>
      </c>
      <c r="N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11212.6145342274</v>
      </c>
      <c r="O97" s="39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5377.3731817512</v>
      </c>
      <c r="P97" s="40">
        <v>1</v>
      </c>
      <c r="Q97" s="41" t="s">
        <v>177</v>
      </c>
      <c r="R97" s="41" t="s">
        <v>101</v>
      </c>
      <c r="S97" s="41" t="s">
        <v>114</v>
      </c>
      <c r="T97" s="41" t="s">
        <v>77</v>
      </c>
      <c r="U97" s="41" t="s">
        <v>84</v>
      </c>
      <c r="V97" s="41" t="s">
        <v>155</v>
      </c>
      <c r="W97" s="41" t="s">
        <v>76</v>
      </c>
      <c r="X97" s="41" t="s">
        <v>139</v>
      </c>
      <c r="Y97" s="41" t="s">
        <v>76</v>
      </c>
      <c r="Z97" s="41" t="s">
        <v>76</v>
      </c>
      <c r="AA97" s="41" t="s">
        <v>86</v>
      </c>
      <c r="AB97" s="41" t="s">
        <v>76</v>
      </c>
      <c r="AC97" s="41" t="s">
        <v>76</v>
      </c>
      <c r="AD97" s="41" t="s">
        <v>79</v>
      </c>
      <c r="AE97" s="41" t="s">
        <v>80</v>
      </c>
      <c r="AF97" s="41" t="s">
        <v>76</v>
      </c>
      <c r="AG97" s="41" t="s">
        <v>76</v>
      </c>
      <c r="AH97" s="41" t="s">
        <v>76</v>
      </c>
      <c r="AI97" s="41" t="s">
        <v>76</v>
      </c>
      <c r="AJ97" s="41" t="s">
        <v>76</v>
      </c>
      <c r="AK97" s="41" t="s">
        <v>87</v>
      </c>
      <c r="AL97" t="str">
        <f>VLOOKUP($Q97,武学奇术!$A:$ZZ,25,FALSE)</f>
        <v>心法</v>
      </c>
      <c r="AM97" s="27">
        <f>VLOOKUP($Q97,武学奇术!$A:$ZZ,26,FALSE)</f>
        <v>1</v>
      </c>
      <c r="AN97" s="28">
        <f>VLOOKUP($Q97,武学奇术!$A:$ZZ,27,FALSE)*(1+IF(OR($AL97=$F$4,$AL97=$F$5),$B$22,0))</f>
        <v>0</v>
      </c>
      <c r="AO97" s="27">
        <f>VLOOKUP($Q97,武学奇术!$A:$ZZ,28,FALSE)</f>
        <v>1</v>
      </c>
      <c r="AP97" s="28">
        <f>VLOOKUP($Q97,武学奇术!$A:$ZZ,29,FALSE)*(1+IF(OR($AL97=$F$4,$AL97=$F$5),$B$22,0))</f>
        <v>0</v>
      </c>
      <c r="AQ97" s="27" cm="1">
        <f t="array" ref="AQ97">$G$3+IFERROR(VLOOKUP($AL97,$F$4:$G$7,2,FALSE),0)+VLOOKUP($Q97,武学奇术!$A:$ZZ,2,FALSE)+SUM(_xlfn.XLOOKUP($R97:$AK97,增益!$A:$A,增益!$B:$B,0))</f>
        <v>0.4342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1847.2</v>
      </c>
      <c r="AT97" cm="1">
        <f t="array" ref="AT97">$E$10*(1+$AR97)+VLOOKUP($Q97,武学奇术!$A:$ZZ,4,FALSE)+SUM(_xlfn.XLOOKUP($R97:$AK97,增益!$A:$A,增益!$D:$D,0))-$I$2</f>
        <v>6666.8</v>
      </c>
      <c r="AU97" s="33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0.3585</v>
      </c>
      <c r="AV97" s="33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3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-0.14</v>
      </c>
      <c r="BA97" s="33" cm="1">
        <f t="array" ref="BA97">$G$11+VLOOKUP($Q97,武学奇术!$A:$ZZ,10,FALSE)+SUM(_xlfn.XLOOKUP($R97:$AK97,增益!$A:$A,增益!$J:$J,0))</f>
        <v>0</v>
      </c>
      <c r="BB97">
        <f t="shared" si="25"/>
        <v>662.4</v>
      </c>
      <c r="BC97">
        <f t="shared" si="26"/>
        <v>1260</v>
      </c>
      <c r="BD97" s="33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0.14</v>
      </c>
      <c r="BE97" s="33" cm="1">
        <f t="array" ref="BE97">$G$12+VLOOKUP($Q97,武学奇术!$A:$ZZ,12,FALSE)+SUM(_xlfn.XLOOKUP($R97:$AK97,增益!$A:$A,增益!$L:$L,0))</f>
        <v>0.15</v>
      </c>
      <c r="BF97">
        <f t="shared" si="27"/>
        <v>0</v>
      </c>
      <c r="BG97">
        <f t="shared" si="28"/>
        <v>0</v>
      </c>
      <c r="BH97" s="33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-0.14</v>
      </c>
      <c r="BI97" s="33" cm="1">
        <f t="array" ref="BI97">$G$13+VLOOKUP($Q97,武学奇术!$A:$ZZ,14,FALSE)+SUM(_xlfn.XLOOKUP($R97:$AK97,增益!$A:$A,增益!$N:$N,0))</f>
        <v>0</v>
      </c>
      <c r="BJ97">
        <f t="shared" si="29"/>
        <v>0</v>
      </c>
      <c r="BK97">
        <f t="shared" si="30"/>
        <v>0</v>
      </c>
      <c r="BL97" s="33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-0.14</v>
      </c>
      <c r="BM97" s="33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1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0.5954</v>
      </c>
      <c r="BP97" s="27" cm="1">
        <f t="array" ref="BP97">1+$B$13+VLOOKUP($Q97,武学奇术!$A:$ZZ,18,FALSE)+SUM(_xlfn.XLOOKUP($R97:$AK97,增益!$A:$A,增益!$R:$R,0))</f>
        <v>1.994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0.1512</v>
      </c>
      <c r="BR97" s="27" cm="1">
        <f t="array" ref="BR97">1+$B$14+VLOOKUP($Q97,武学奇术!$A:$ZZ,20,FALSE)+SUM(_xlfn.XLOOKUP($R97:$AK97,增益!$A:$A,增益!$T:$T,0))</f>
        <v>1.35</v>
      </c>
      <c r="BS97" s="27">
        <f t="shared" si="31"/>
        <v>0.5954</v>
      </c>
      <c r="BT97" s="27">
        <f t="shared" si="32"/>
        <v>0.2534</v>
      </c>
      <c r="BU97" s="27">
        <f>IF(VLOOKUP($Q97,武学奇术!$A:$ZZ,22,FALSE)=1,0,(1-$BN97))*(1-$BQ97)</f>
        <v>0</v>
      </c>
      <c r="BV97" s="27" cm="1">
        <f t="array" ref="BV97">SUM(_xlfn.XLOOKUP($R97:$AK97,增益!$A:$A,增益!$W:$W,0))+$I$5</f>
        <v>0.11</v>
      </c>
    </row>
    <row r="98" spans="1:74">
      <c r="A98" s="4" t="s">
        <v>164</v>
      </c>
      <c r="B98" s="4">
        <v>1</v>
      </c>
      <c r="E98" s="40"/>
      <c r="K98" s="39">
        <f t="shared" si="34"/>
        <v>18631.6117057112</v>
      </c>
      <c r="L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20676.0612011153</v>
      </c>
      <c r="M98" s="39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23014.6054470499</v>
      </c>
      <c r="N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11212.6145342274</v>
      </c>
      <c r="O98" s="39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5377.3731817512</v>
      </c>
      <c r="P98" s="40">
        <v>1</v>
      </c>
      <c r="Q98" s="41" t="s">
        <v>177</v>
      </c>
      <c r="R98" s="41" t="s">
        <v>101</v>
      </c>
      <c r="S98" s="41" t="s">
        <v>114</v>
      </c>
      <c r="T98" s="41" t="s">
        <v>76</v>
      </c>
      <c r="U98" s="41" t="s">
        <v>84</v>
      </c>
      <c r="V98" s="41" t="s">
        <v>155</v>
      </c>
      <c r="W98" s="41" t="s">
        <v>76</v>
      </c>
      <c r="X98" s="41" t="s">
        <v>139</v>
      </c>
      <c r="Y98" s="41" t="s">
        <v>76</v>
      </c>
      <c r="Z98" s="41" t="s">
        <v>76</v>
      </c>
      <c r="AA98" s="41" t="s">
        <v>93</v>
      </c>
      <c r="AB98" s="41" t="s">
        <v>76</v>
      </c>
      <c r="AC98" s="41" t="s">
        <v>76</v>
      </c>
      <c r="AD98" s="41" t="s">
        <v>79</v>
      </c>
      <c r="AE98" s="41" t="s">
        <v>80</v>
      </c>
      <c r="AF98" s="41" t="s">
        <v>76</v>
      </c>
      <c r="AG98" s="41" t="s">
        <v>76</v>
      </c>
      <c r="AH98" s="41" t="s">
        <v>76</v>
      </c>
      <c r="AI98" s="41" t="s">
        <v>76</v>
      </c>
      <c r="AJ98" s="41" t="s">
        <v>76</v>
      </c>
      <c r="AK98" s="41" t="s">
        <v>87</v>
      </c>
      <c r="AL98" t="str">
        <f>VLOOKUP($Q98,武学奇术!$A:$ZZ,25,FALSE)</f>
        <v>心法</v>
      </c>
      <c r="AM98" s="27">
        <f>VLOOKUP($Q98,武学奇术!$A:$ZZ,26,FALSE)</f>
        <v>1</v>
      </c>
      <c r="AN98" s="28">
        <f>VLOOKUP($Q98,武学奇术!$A:$ZZ,27,FALSE)*(1+IF(OR($AL98=$F$4,$AL98=$F$5),$B$22,0))</f>
        <v>0</v>
      </c>
      <c r="AO98" s="27">
        <f>VLOOKUP($Q98,武学奇术!$A:$ZZ,28,FALSE)</f>
        <v>1</v>
      </c>
      <c r="AP98" s="28">
        <f>VLOOKUP($Q98,武学奇术!$A:$ZZ,29,FALSE)*(1+IF(OR($AL98=$F$4,$AL98=$F$5),$B$22,0))</f>
        <v>0</v>
      </c>
      <c r="AQ98" s="27" cm="1">
        <f t="array" ref="AQ98">$G$3+IFERROR(VLOOKUP($AL98,$F$4:$G$7,2,FALSE),0)+VLOOKUP($Q98,武学奇术!$A:$ZZ,2,FALSE)+SUM(_xlfn.XLOOKUP($R98:$AK98,增益!$A:$A,增益!$B:$B,0))</f>
        <v>0.4342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1847.2</v>
      </c>
      <c r="AT98" cm="1">
        <f t="array" ref="AT98">$E$10*(1+$AR98)+VLOOKUP($Q98,武学奇术!$A:$ZZ,4,FALSE)+SUM(_xlfn.XLOOKUP($R98:$AK98,增益!$A:$A,增益!$D:$D,0))-$I$2</f>
        <v>6666.8</v>
      </c>
      <c r="AU98" s="33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0.3585</v>
      </c>
      <c r="AV98" s="33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3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-0.14</v>
      </c>
      <c r="BA98" s="33" cm="1">
        <f t="array" ref="BA98">$G$11+VLOOKUP($Q98,武学奇术!$A:$ZZ,10,FALSE)+SUM(_xlfn.XLOOKUP($R98:$AK98,增益!$A:$A,增益!$J:$J,0))</f>
        <v>0</v>
      </c>
      <c r="BB98">
        <f t="shared" si="25"/>
        <v>662.4</v>
      </c>
      <c r="BC98">
        <f t="shared" si="26"/>
        <v>1260</v>
      </c>
      <c r="BD98" s="33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0.14</v>
      </c>
      <c r="BE98" s="33" cm="1">
        <f t="array" ref="BE98">$G$12+VLOOKUP($Q98,武学奇术!$A:$ZZ,12,FALSE)+SUM(_xlfn.XLOOKUP($R98:$AK98,增益!$A:$A,增益!$L:$L,0))</f>
        <v>0.15</v>
      </c>
      <c r="BF98">
        <f t="shared" si="27"/>
        <v>0</v>
      </c>
      <c r="BG98">
        <f t="shared" si="28"/>
        <v>0</v>
      </c>
      <c r="BH98" s="33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-0.14</v>
      </c>
      <c r="BI98" s="33" cm="1">
        <f t="array" ref="BI98">$G$13+VLOOKUP($Q98,武学奇术!$A:$ZZ,14,FALSE)+SUM(_xlfn.XLOOKUP($R98:$AK98,增益!$A:$A,增益!$N:$N,0))</f>
        <v>0</v>
      </c>
      <c r="BJ98">
        <f t="shared" si="29"/>
        <v>0</v>
      </c>
      <c r="BK98">
        <f t="shared" si="30"/>
        <v>0</v>
      </c>
      <c r="BL98" s="33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-0.14</v>
      </c>
      <c r="BM98" s="33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1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0.5954</v>
      </c>
      <c r="BP98" s="27" cm="1">
        <f t="array" ref="BP98">1+$B$13+VLOOKUP($Q98,武学奇术!$A:$ZZ,18,FALSE)+SUM(_xlfn.XLOOKUP($R98:$AK98,增益!$A:$A,增益!$R:$R,0))</f>
        <v>1.844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0.1512</v>
      </c>
      <c r="BR98" s="27" cm="1">
        <f t="array" ref="BR98">1+$B$14+VLOOKUP($Q98,武学奇术!$A:$ZZ,20,FALSE)+SUM(_xlfn.XLOOKUP($R98:$AK98,增益!$A:$A,增益!$T:$T,0))</f>
        <v>1.35</v>
      </c>
      <c r="BS98" s="27">
        <f t="shared" si="31"/>
        <v>0.5954</v>
      </c>
      <c r="BT98" s="27">
        <f t="shared" si="32"/>
        <v>0.2534</v>
      </c>
      <c r="BU98" s="27">
        <f>IF(VLOOKUP($Q98,武学奇术!$A:$ZZ,22,FALSE)=1,0,(1-$BN98))*(1-$BQ98)</f>
        <v>0</v>
      </c>
      <c r="BV98" s="27" cm="1">
        <f t="array" ref="BV98">SUM(_xlfn.XLOOKUP($R98:$AK98,增益!$A:$A,增益!$W:$W,0))+$I$5</f>
        <v>0.11</v>
      </c>
    </row>
    <row r="99" spans="1:74">
      <c r="A99" s="4" t="s">
        <v>163</v>
      </c>
      <c r="B99" s="4">
        <v>1.66</v>
      </c>
      <c r="K99" s="39">
        <f t="shared" si="34"/>
        <v>17417.9756832475</v>
      </c>
      <c r="L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18963.8468968878</v>
      </c>
      <c r="M99" s="39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22298.2082193919</v>
      </c>
      <c r="N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10873.7654225274</v>
      </c>
      <c r="O99" s="39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5230.3395714312</v>
      </c>
      <c r="P99" s="40">
        <v>1</v>
      </c>
      <c r="Q99" s="41" t="s">
        <v>177</v>
      </c>
      <c r="R99" s="41" t="s">
        <v>101</v>
      </c>
      <c r="S99" s="41" t="s">
        <v>114</v>
      </c>
      <c r="T99" s="41" t="s">
        <v>76</v>
      </c>
      <c r="U99" s="41" t="s">
        <v>84</v>
      </c>
      <c r="V99" s="41" t="s">
        <v>155</v>
      </c>
      <c r="W99" s="41" t="s">
        <v>76</v>
      </c>
      <c r="X99" s="41" t="s">
        <v>76</v>
      </c>
      <c r="Y99" s="41" t="s">
        <v>76</v>
      </c>
      <c r="Z99" s="41" t="s">
        <v>76</v>
      </c>
      <c r="AA99" s="41" t="s">
        <v>93</v>
      </c>
      <c r="AB99" s="41" t="s">
        <v>76</v>
      </c>
      <c r="AC99" s="41" t="s">
        <v>76</v>
      </c>
      <c r="AD99" s="41" t="s">
        <v>79</v>
      </c>
      <c r="AE99" s="41" t="s">
        <v>80</v>
      </c>
      <c r="AF99" s="41" t="s">
        <v>76</v>
      </c>
      <c r="AG99" s="41" t="s">
        <v>76</v>
      </c>
      <c r="AH99" s="41" t="s">
        <v>76</v>
      </c>
      <c r="AI99" s="41" t="s">
        <v>76</v>
      </c>
      <c r="AJ99" s="41" t="s">
        <v>76</v>
      </c>
      <c r="AK99" s="41" t="s">
        <v>87</v>
      </c>
      <c r="AL99" t="str">
        <f>VLOOKUP($Q99,武学奇术!$A:$ZZ,25,FALSE)</f>
        <v>心法</v>
      </c>
      <c r="AM99" s="27">
        <f>VLOOKUP($Q99,武学奇术!$A:$ZZ,26,FALSE)</f>
        <v>1</v>
      </c>
      <c r="AN99" s="28">
        <f>VLOOKUP($Q99,武学奇术!$A:$ZZ,27,FALSE)*(1+IF(OR($AL99=$F$4,$AL99=$F$5),$B$22,0))</f>
        <v>0</v>
      </c>
      <c r="AO99" s="27">
        <f>VLOOKUP($Q99,武学奇术!$A:$ZZ,28,FALSE)</f>
        <v>1</v>
      </c>
      <c r="AP99" s="28">
        <f>VLOOKUP($Q99,武学奇术!$A:$ZZ,29,FALSE)*(1+IF(OR($AL99=$F$4,$AL99=$F$5),$B$22,0))</f>
        <v>0</v>
      </c>
      <c r="AQ99" s="27" cm="1">
        <f t="array" ref="AQ99">$G$3+IFERROR(VLOOKUP($AL99,$F$4:$G$7,2,FALSE),0)+VLOOKUP($Q99,武学奇术!$A:$ZZ,2,FALSE)+SUM(_xlfn.XLOOKUP($R99:$AK99,增益!$A:$A,增益!$B:$B,0))</f>
        <v>0.4342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1847.2</v>
      </c>
      <c r="AT99" cm="1">
        <f t="array" ref="AT99">$E$10*(1+$AR99)+VLOOKUP($Q99,武学奇术!$A:$ZZ,4,FALSE)+SUM(_xlfn.XLOOKUP($R99:$AK99,增益!$A:$A,增益!$D:$D,0))-$I$2</f>
        <v>6666.8</v>
      </c>
      <c r="AU99" s="33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0.3085</v>
      </c>
      <c r="AV99" s="33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si="23"/>
        <v>0</v>
      </c>
      <c r="AY99">
        <f t="shared" si="24"/>
        <v>0</v>
      </c>
      <c r="AZ99" s="33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-0.14</v>
      </c>
      <c r="BA99" s="33" cm="1">
        <f t="array" ref="BA99">$G$11+VLOOKUP($Q99,武学奇术!$A:$ZZ,10,FALSE)+SUM(_xlfn.XLOOKUP($R99:$AK99,增益!$A:$A,增益!$J:$J,0))</f>
        <v>0</v>
      </c>
      <c r="BB99">
        <f t="shared" si="25"/>
        <v>662.4</v>
      </c>
      <c r="BC99">
        <f t="shared" si="26"/>
        <v>1260</v>
      </c>
      <c r="BD99" s="33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0.14</v>
      </c>
      <c r="BE99" s="33" cm="1">
        <f t="array" ref="BE99">$G$12+VLOOKUP($Q99,武学奇术!$A:$ZZ,12,FALSE)+SUM(_xlfn.XLOOKUP($R99:$AK99,增益!$A:$A,增益!$L:$L,0))</f>
        <v>0.15</v>
      </c>
      <c r="BF99">
        <f t="shared" si="27"/>
        <v>0</v>
      </c>
      <c r="BG99">
        <f t="shared" si="28"/>
        <v>0</v>
      </c>
      <c r="BH99" s="33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-0.14</v>
      </c>
      <c r="BI99" s="33" cm="1">
        <f t="array" ref="BI99">$G$13+VLOOKUP($Q99,武学奇术!$A:$ZZ,14,FALSE)+SUM(_xlfn.XLOOKUP($R99:$AK99,增益!$A:$A,增益!$N:$N,0))</f>
        <v>0</v>
      </c>
      <c r="BJ99">
        <f t="shared" si="29"/>
        <v>0</v>
      </c>
      <c r="BK99">
        <f t="shared" si="30"/>
        <v>0</v>
      </c>
      <c r="BL99" s="33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-0.14</v>
      </c>
      <c r="BM99" s="33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1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0.5954</v>
      </c>
      <c r="BP99" s="27" cm="1">
        <f t="array" ref="BP99">1+$B$13+VLOOKUP($Q99,武学奇术!$A:$ZZ,18,FALSE)+SUM(_xlfn.XLOOKUP($R99:$AK99,增益!$A:$A,增益!$R:$R,0))</f>
        <v>1.744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0.1512</v>
      </c>
      <c r="BR99" s="27" cm="1">
        <f t="array" ref="BR99">1+$B$14+VLOOKUP($Q99,武学奇术!$A:$ZZ,20,FALSE)+SUM(_xlfn.XLOOKUP($R99:$AK99,增益!$A:$A,增益!$T:$T,0))</f>
        <v>1.35</v>
      </c>
      <c r="BS99" s="27">
        <f t="shared" si="31"/>
        <v>0.5954</v>
      </c>
      <c r="BT99" s="27">
        <f t="shared" si="32"/>
        <v>0.2534</v>
      </c>
      <c r="BU99" s="27">
        <f>IF(VLOOKUP($Q99,武学奇术!$A:$ZZ,22,FALSE)=1,0,(1-$BN99))*(1-$BQ99)</f>
        <v>0</v>
      </c>
      <c r="BV99" s="27" cm="1">
        <f t="array" ref="BV99">SUM(_xlfn.XLOOKUP($R99:$AK99,增益!$A:$A,增益!$W:$W,0))+$I$5</f>
        <v>0.11</v>
      </c>
    </row>
    <row r="100" spans="1:74">
      <c r="A100" s="4" t="s">
        <v>168</v>
      </c>
      <c r="B100" s="4">
        <v>1.33</v>
      </c>
      <c r="K100" s="39">
        <f t="shared" si="34"/>
        <v>18403.7077848571</v>
      </c>
      <c r="L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20416.4668707111</v>
      </c>
      <c r="M100" s="39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22765.4761297459</v>
      </c>
      <c r="N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11071.8366977826</v>
      </c>
      <c r="O100" s="39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5280.3577439016</v>
      </c>
      <c r="P100" s="40">
        <v>1</v>
      </c>
      <c r="Q100" s="41" t="s">
        <v>177</v>
      </c>
      <c r="R100" s="41" t="s">
        <v>101</v>
      </c>
      <c r="S100" s="41" t="s">
        <v>114</v>
      </c>
      <c r="T100" s="41" t="s">
        <v>76</v>
      </c>
      <c r="U100" s="41" t="s">
        <v>76</v>
      </c>
      <c r="V100" s="41" t="s">
        <v>155</v>
      </c>
      <c r="W100" s="41" t="s">
        <v>76</v>
      </c>
      <c r="X100" s="41" t="s">
        <v>139</v>
      </c>
      <c r="Y100" s="41" t="s">
        <v>76</v>
      </c>
      <c r="Z100" s="41" t="s">
        <v>76</v>
      </c>
      <c r="AA100" s="41" t="s">
        <v>86</v>
      </c>
      <c r="AB100" s="41" t="s">
        <v>76</v>
      </c>
      <c r="AC100" s="41" t="s">
        <v>76</v>
      </c>
      <c r="AD100" s="41" t="s">
        <v>79</v>
      </c>
      <c r="AE100" s="41" t="s">
        <v>80</v>
      </c>
      <c r="AF100" s="41" t="s">
        <v>76</v>
      </c>
      <c r="AG100" s="41" t="s">
        <v>76</v>
      </c>
      <c r="AH100" s="41" t="s">
        <v>76</v>
      </c>
      <c r="AI100" s="41" t="s">
        <v>76</v>
      </c>
      <c r="AJ100" s="41" t="s">
        <v>76</v>
      </c>
      <c r="AK100" s="41" t="s">
        <v>87</v>
      </c>
      <c r="AL100" t="str">
        <f>VLOOKUP($Q100,武学奇术!$A:$ZZ,25,FALSE)</f>
        <v>心法</v>
      </c>
      <c r="AM100" s="27">
        <f>VLOOKUP($Q100,武学奇术!$A:$ZZ,26,FALSE)</f>
        <v>1</v>
      </c>
      <c r="AN100" s="28">
        <f>VLOOKUP($Q100,武学奇术!$A:$ZZ,27,FALSE)*(1+IF(OR($AL100=$F$4,$AL100=$F$5),$B$22,0))</f>
        <v>0</v>
      </c>
      <c r="AO100" s="27">
        <f>VLOOKUP($Q100,武学奇术!$A:$ZZ,28,FALSE)</f>
        <v>1</v>
      </c>
      <c r="AP100" s="28">
        <f>VLOOKUP($Q100,武学奇术!$A:$ZZ,29,FALSE)*(1+IF(OR($AL100=$F$4,$AL100=$F$5),$B$22,0))</f>
        <v>0</v>
      </c>
      <c r="AQ100" s="27" cm="1">
        <f t="array" ref="AQ100">$G$3+IFERROR(VLOOKUP($AL100,$F$4:$G$7,2,FALSE),0)+VLOOKUP($Q100,武学奇术!$A:$ZZ,2,FALSE)+SUM(_xlfn.XLOOKUP($R100:$AK100,增益!$A:$A,增益!$B:$B,0))</f>
        <v>0.4342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1847.2</v>
      </c>
      <c r="AT100" cm="1">
        <f t="array" ref="AT100">$E$10*(1+$AR100)+VLOOKUP($Q100,武学奇术!$A:$ZZ,4,FALSE)+SUM(_xlfn.XLOOKUP($R100:$AK100,增益!$A:$A,增益!$D:$D,0))-$I$2</f>
        <v>6666.8</v>
      </c>
      <c r="AU100" s="33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0.3585</v>
      </c>
      <c r="AV100" s="33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23"/>
        <v>0</v>
      </c>
      <c r="AY100">
        <f t="shared" si="24"/>
        <v>0</v>
      </c>
      <c r="AZ100" s="33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3" cm="1">
        <f t="array" ref="BA100">$G$11+VLOOKUP($Q100,武学奇术!$A:$ZZ,10,FALSE)+SUM(_xlfn.XLOOKUP($R100:$AK100,增益!$A:$A,增益!$J:$J,0))</f>
        <v>0</v>
      </c>
      <c r="BB100">
        <f t="shared" si="25"/>
        <v>662.4</v>
      </c>
      <c r="BC100">
        <f t="shared" si="26"/>
        <v>1260</v>
      </c>
      <c r="BD100" s="33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3" cm="1">
        <f t="array" ref="BE100">$G$12+VLOOKUP($Q100,武学奇术!$A:$ZZ,12,FALSE)+SUM(_xlfn.XLOOKUP($R100:$AK100,增益!$A:$A,增益!$L:$L,0))</f>
        <v>0.15</v>
      </c>
      <c r="BF100">
        <f t="shared" si="27"/>
        <v>0</v>
      </c>
      <c r="BG100">
        <f t="shared" si="28"/>
        <v>0</v>
      </c>
      <c r="BH100" s="33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3" cm="1">
        <f t="array" ref="BI100">$G$13+VLOOKUP($Q100,武学奇术!$A:$ZZ,14,FALSE)+SUM(_xlfn.XLOOKUP($R100:$AK100,增益!$A:$A,增益!$N:$N,0))</f>
        <v>0</v>
      </c>
      <c r="BJ100">
        <f t="shared" si="29"/>
        <v>0</v>
      </c>
      <c r="BK100">
        <f t="shared" si="30"/>
        <v>0</v>
      </c>
      <c r="BL100" s="33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3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1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0.5954</v>
      </c>
      <c r="BP100" s="27" cm="1">
        <f t="array" ref="BP100">1+$B$13+VLOOKUP($Q100,武学奇术!$A:$ZZ,18,FALSE)+SUM(_xlfn.XLOOKUP($R100:$AK100,增益!$A:$A,增益!$R:$R,0))</f>
        <v>1.844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0.1512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31"/>
        <v>0.5954</v>
      </c>
      <c r="BT100" s="27">
        <f t="shared" si="32"/>
        <v>0.2534</v>
      </c>
      <c r="BU100" s="27">
        <f>IF(VLOOKUP($Q100,武学奇术!$A:$ZZ,22,FALSE)=1,0,(1-$BN100))*(1-$BQ100)</f>
        <v>0</v>
      </c>
      <c r="BV100" s="27" cm="1">
        <f t="array" ref="BV100">SUM(_xlfn.XLOOKUP($R100:$AK100,增益!$A:$A,增益!$W:$W,0))+$I$5</f>
        <v>0.11</v>
      </c>
    </row>
    <row r="101" spans="1:74">
      <c r="A101" s="4" t="s">
        <v>157</v>
      </c>
      <c r="B101" s="4">
        <v>1.2</v>
      </c>
      <c r="C101" t="s">
        <v>158</v>
      </c>
      <c r="K101" s="39">
        <f t="shared" si="34"/>
        <v>23170.4896448555</v>
      </c>
      <c r="L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26386.413449943</v>
      </c>
      <c r="M101" s="39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27161.3812032751</v>
      </c>
      <c r="N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13232.9054412954</v>
      </c>
      <c r="O101" s="39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6346.2692505352</v>
      </c>
      <c r="P101" s="40">
        <v>1</v>
      </c>
      <c r="Q101" s="41" t="s">
        <v>177</v>
      </c>
      <c r="R101" s="41" t="s">
        <v>101</v>
      </c>
      <c r="S101" s="41" t="s">
        <v>114</v>
      </c>
      <c r="T101" s="41" t="s">
        <v>77</v>
      </c>
      <c r="U101" s="41" t="s">
        <v>84</v>
      </c>
      <c r="V101" s="41" t="s">
        <v>155</v>
      </c>
      <c r="W101" s="41" t="s">
        <v>76</v>
      </c>
      <c r="X101" s="41" t="s">
        <v>139</v>
      </c>
      <c r="Y101" s="41" t="s">
        <v>160</v>
      </c>
      <c r="Z101" s="41" t="s">
        <v>161</v>
      </c>
      <c r="AA101" s="41" t="s">
        <v>93</v>
      </c>
      <c r="AB101" s="41" t="s">
        <v>76</v>
      </c>
      <c r="AC101" s="41" t="s">
        <v>76</v>
      </c>
      <c r="AD101" s="41" t="s">
        <v>79</v>
      </c>
      <c r="AE101" s="41" t="s">
        <v>80</v>
      </c>
      <c r="AF101" s="41" t="s">
        <v>76</v>
      </c>
      <c r="AG101" s="41" t="s">
        <v>76</v>
      </c>
      <c r="AH101" s="41" t="s">
        <v>76</v>
      </c>
      <c r="AI101" s="41" t="s">
        <v>76</v>
      </c>
      <c r="AJ101" s="41" t="s">
        <v>76</v>
      </c>
      <c r="AK101" s="41" t="s">
        <v>87</v>
      </c>
      <c r="AL101" t="str">
        <f>VLOOKUP($Q101,武学奇术!$A:$ZZ,25,FALSE)</f>
        <v>心法</v>
      </c>
      <c r="AM101" s="27">
        <f>VLOOKUP($Q101,武学奇术!$A:$ZZ,26,FALSE)</f>
        <v>1</v>
      </c>
      <c r="AN101" s="28">
        <f>VLOOKUP($Q101,武学奇术!$A:$ZZ,27,FALSE)*(1+IF(OR($AL101=$F$4,$AL101=$F$5),$B$22,0))</f>
        <v>0</v>
      </c>
      <c r="AO101" s="27">
        <f>VLOOKUP($Q101,武学奇术!$A:$ZZ,28,FALSE)</f>
        <v>1</v>
      </c>
      <c r="AP101" s="28">
        <f>VLOOKUP($Q101,武学奇术!$A:$ZZ,29,FALSE)*(1+IF(OR($AL101=$F$4,$AL101=$F$5),$B$22,0))</f>
        <v>0</v>
      </c>
      <c r="AQ101" s="27" cm="1">
        <f t="array" ref="AQ101">$G$3+IFERROR(VLOOKUP($AL101,$F$4:$G$7,2,FALSE),0)+VLOOKUP($Q101,武学奇术!$A:$ZZ,2,FALSE)+SUM(_xlfn.XLOOKUP($R101:$AK101,增益!$A:$A,增益!$B:$B,0))</f>
        <v>0.4342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1847.2</v>
      </c>
      <c r="AT101" cm="1">
        <f t="array" ref="AT101">$E$10*(1+$AR101)+VLOOKUP($Q101,武学奇术!$A:$ZZ,4,FALSE)+SUM(_xlfn.XLOOKUP($R101:$AK101,增益!$A:$A,增益!$D:$D,0))-$I$2</f>
        <v>6666.8</v>
      </c>
      <c r="AU101" s="33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0.3585</v>
      </c>
      <c r="AV101" s="33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23"/>
        <v>0</v>
      </c>
      <c r="AY101">
        <f t="shared" si="24"/>
        <v>0</v>
      </c>
      <c r="AZ101" s="33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33" cm="1">
        <f t="array" ref="BA101">$G$11+VLOOKUP($Q101,武学奇术!$A:$ZZ,10,FALSE)+SUM(_xlfn.XLOOKUP($R101:$AK101,增益!$A:$A,增益!$J:$J,0))</f>
        <v>0.1</v>
      </c>
      <c r="BB101">
        <f t="shared" si="25"/>
        <v>662.4</v>
      </c>
      <c r="BC101">
        <f t="shared" si="26"/>
        <v>1260</v>
      </c>
      <c r="BD101" s="33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0.14</v>
      </c>
      <c r="BE101" s="33" cm="1">
        <f t="array" ref="BE101">$G$12+VLOOKUP($Q101,武学奇术!$A:$ZZ,12,FALSE)+SUM(_xlfn.XLOOKUP($R101:$AK101,增益!$A:$A,增益!$L:$L,0))</f>
        <v>0.15</v>
      </c>
      <c r="BF101">
        <f t="shared" si="27"/>
        <v>0</v>
      </c>
      <c r="BG101">
        <f t="shared" si="28"/>
        <v>0</v>
      </c>
      <c r="BH101" s="33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33" cm="1">
        <f t="array" ref="BI101">$G$13+VLOOKUP($Q101,武学奇术!$A:$ZZ,14,FALSE)+SUM(_xlfn.XLOOKUP($R101:$AK101,增益!$A:$A,增益!$N:$N,0))</f>
        <v>0</v>
      </c>
      <c r="BJ101">
        <f t="shared" si="29"/>
        <v>0</v>
      </c>
      <c r="BK101">
        <f t="shared" si="30"/>
        <v>0</v>
      </c>
      <c r="BL101" s="33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33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1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0.5954</v>
      </c>
      <c r="BP101" s="27" cm="1">
        <f t="array" ref="BP101">1+$B$13+VLOOKUP($Q101,武学奇术!$A:$ZZ,18,FALSE)+SUM(_xlfn.XLOOKUP($R101:$AK101,增益!$A:$A,增益!$R:$R,0))</f>
        <v>1.994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0.1512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31"/>
        <v>0.5954</v>
      </c>
      <c r="BT101" s="27">
        <f t="shared" si="32"/>
        <v>0.2534</v>
      </c>
      <c r="BU101" s="27">
        <f>IF(VLOOKUP($Q101,武学奇术!$A:$ZZ,22,FALSE)=1,0,(1-$BN101))*(1-$BQ101)</f>
        <v>0</v>
      </c>
      <c r="BV101" s="27" cm="1">
        <f t="array" ref="BV101">SUM(_xlfn.XLOOKUP($R101:$AK101,增益!$A:$A,增益!$W:$W,0))+$I$5</f>
        <v>0.31</v>
      </c>
    </row>
    <row r="102" spans="1:74">
      <c r="A102" s="4" t="s">
        <v>74</v>
      </c>
      <c r="B102" s="4">
        <v>1</v>
      </c>
      <c r="K102" s="39">
        <f t="shared" si="34"/>
        <v>0</v>
      </c>
      <c r="L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39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39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0">
        <v>1</v>
      </c>
      <c r="Q102" s="41" t="s">
        <v>76</v>
      </c>
      <c r="R102" s="41" t="s">
        <v>76</v>
      </c>
      <c r="S102" s="41" t="s">
        <v>76</v>
      </c>
      <c r="T102" s="41" t="s">
        <v>76</v>
      </c>
      <c r="U102" s="41" t="s">
        <v>76</v>
      </c>
      <c r="V102" s="41" t="s">
        <v>76</v>
      </c>
      <c r="W102" s="41" t="s">
        <v>76</v>
      </c>
      <c r="X102" s="41" t="s">
        <v>76</v>
      </c>
      <c r="Y102" s="41" t="s">
        <v>76</v>
      </c>
      <c r="Z102" s="41" t="s">
        <v>76</v>
      </c>
      <c r="AA102" s="41" t="s">
        <v>76</v>
      </c>
      <c r="AB102" s="41" t="s">
        <v>76</v>
      </c>
      <c r="AC102" s="41" t="s">
        <v>76</v>
      </c>
      <c r="AD102" s="41" t="s">
        <v>79</v>
      </c>
      <c r="AE102" s="41" t="s">
        <v>80</v>
      </c>
      <c r="AF102" s="41" t="s">
        <v>76</v>
      </c>
      <c r="AG102" s="41" t="s">
        <v>76</v>
      </c>
      <c r="AH102" s="41" t="s">
        <v>76</v>
      </c>
      <c r="AI102" s="41" t="s">
        <v>76</v>
      </c>
      <c r="AJ102" s="41" t="s">
        <v>76</v>
      </c>
      <c r="AK102" s="41" t="s">
        <v>87</v>
      </c>
      <c r="AL102" t="str">
        <f>VLOOKUP($Q102,武学奇术!$A:$ZZ,25,FALSE)</f>
        <v>心法</v>
      </c>
      <c r="AM102" s="27">
        <f>VLOOKUP($Q102,武学奇术!$A:$ZZ,26,FALSE)</f>
        <v>0</v>
      </c>
      <c r="AN102" s="28">
        <f>VLOOKUP($Q102,武学奇术!$A:$ZZ,27,FALSE)*(1+IF(OR($AL102=$F$4,$AL102=$F$5),$B$22,0))</f>
        <v>0</v>
      </c>
      <c r="AO102" s="27">
        <f>VLOOKUP($Q102,武学奇术!$A:$ZZ,28,FALSE)</f>
        <v>0</v>
      </c>
      <c r="AP102" s="28">
        <f>VLOOKUP($Q102,武学奇术!$A:$ZZ,29,FALSE)*(1+IF(OR($AL102=$F$4,$AL102=$F$5),$B$22,0))</f>
        <v>0</v>
      </c>
      <c r="AQ102" s="27" cm="1">
        <f t="array" ref="AQ102">$G$3+IFERROR(VLOOKUP($AL102,$F$4:$G$7,2,FALSE),0)+VLOOKUP($Q102,武学奇术!$A:$ZZ,2,FALSE)+SUM(_xlfn.XLOOKUP($R102:$AK102,增益!$A:$A,增益!$B:$B,0))</f>
        <v>0.2042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1847.2</v>
      </c>
      <c r="AT102" cm="1">
        <f t="array" ref="AT102">$E$10*(1+$AR102)+VLOOKUP($Q102,武学奇术!$A:$ZZ,4,FALSE)+SUM(_xlfn.XLOOKUP($R102:$AK102,增益!$A:$A,增益!$D:$D,0))-$I$2</f>
        <v>6666.8</v>
      </c>
      <c r="AU102" s="33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0.2585</v>
      </c>
      <c r="AV102" s="33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23"/>
        <v>0</v>
      </c>
      <c r="AY102">
        <f t="shared" si="24"/>
        <v>0</v>
      </c>
      <c r="AZ102" s="33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3" cm="1">
        <f t="array" ref="BA102">$G$11+VLOOKUP($Q102,武学奇术!$A:$ZZ,10,FALSE)+SUM(_xlfn.XLOOKUP($R102:$AK102,增益!$A:$A,增益!$J:$J,0))</f>
        <v>0</v>
      </c>
      <c r="BB102">
        <f t="shared" si="25"/>
        <v>662.4</v>
      </c>
      <c r="BC102">
        <f t="shared" si="26"/>
        <v>1260</v>
      </c>
      <c r="BD102" s="33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3" cm="1">
        <f t="array" ref="BE102">$G$12+VLOOKUP($Q102,武学奇术!$A:$ZZ,12,FALSE)+SUM(_xlfn.XLOOKUP($R102:$AK102,增益!$A:$A,增益!$L:$L,0))</f>
        <v>0.15</v>
      </c>
      <c r="BF102">
        <f t="shared" si="27"/>
        <v>0</v>
      </c>
      <c r="BG102">
        <f t="shared" si="28"/>
        <v>0</v>
      </c>
      <c r="BH102" s="33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3" cm="1">
        <f t="array" ref="BI102">$G$13+VLOOKUP($Q102,武学奇术!$A:$ZZ,14,FALSE)+SUM(_xlfn.XLOOKUP($R102:$AK102,增益!$A:$A,增益!$N:$N,0))</f>
        <v>0</v>
      </c>
      <c r="BJ102">
        <f t="shared" si="29"/>
        <v>0</v>
      </c>
      <c r="BK102">
        <f t="shared" si="30"/>
        <v>0</v>
      </c>
      <c r="BL102" s="33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3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0.5954</v>
      </c>
      <c r="BP102" s="27" cm="1">
        <f t="array" ref="BP102">1+$B$13+VLOOKUP($Q102,武学奇术!$A:$ZZ,18,FALSE)+SUM(_xlfn.XLOOKUP($R102:$AK102,增益!$A:$A,增益!$R:$R,0))</f>
        <v>1.644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0.1512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31"/>
        <v>0.5954</v>
      </c>
      <c r="BT102" s="27">
        <f t="shared" si="32"/>
        <v>0.2534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  <row r="103" spans="1:74">
      <c r="A103" s="4" t="s">
        <v>163</v>
      </c>
      <c r="B103" s="4">
        <v>1.66</v>
      </c>
      <c r="E103" s="40" t="s">
        <v>165</v>
      </c>
      <c r="F103" s="40" t="s">
        <v>166</v>
      </c>
    </row>
    <row r="104" spans="1:74">
      <c r="A104" s="4" t="s">
        <v>168</v>
      </c>
      <c r="B104" s="4">
        <v>1.33</v>
      </c>
      <c r="E104" s="40"/>
      <c r="F104" s="40"/>
    </row>
    <row r="105" spans="1:74">
      <c r="A105" s="4" t="s">
        <v>163</v>
      </c>
      <c r="B105" s="4">
        <v>1.66</v>
      </c>
      <c r="E105" s="40"/>
      <c r="F105" s="40"/>
    </row>
    <row r="106" spans="1:74">
      <c r="A106" s="4" t="s">
        <v>168</v>
      </c>
      <c r="B106" s="4">
        <v>1.33</v>
      </c>
      <c r="C106" s="40" t="s">
        <v>171</v>
      </c>
      <c r="E106" s="40"/>
      <c r="F106" s="40"/>
    </row>
    <row r="107" spans="1:74">
      <c r="A107" s="4" t="s">
        <v>168</v>
      </c>
      <c r="B107" s="4">
        <v>1.33</v>
      </c>
      <c r="C107" s="40"/>
      <c r="E107" s="40"/>
    </row>
    <row r="108" spans="1:74">
      <c r="A108" s="4" t="s">
        <v>168</v>
      </c>
      <c r="B108" s="4">
        <v>1.33</v>
      </c>
      <c r="C108" s="40"/>
      <c r="E108" s="40"/>
      <c r="F108" s="40" t="s">
        <v>166</v>
      </c>
    </row>
    <row r="109" spans="1:74">
      <c r="A109" s="4" t="s">
        <v>163</v>
      </c>
      <c r="B109" s="4">
        <v>1.66</v>
      </c>
      <c r="C109" s="40"/>
      <c r="E109" s="40"/>
      <c r="F109" s="40"/>
    </row>
    <row r="110" spans="1:74">
      <c r="A110" s="4"/>
      <c r="B110" s="4"/>
    </row>
    <row r="111" spans="1:74">
      <c r="A111" s="4"/>
      <c r="B111" s="4"/>
    </row>
    <row r="112" spans="1:74">
      <c r="A112" s="4"/>
      <c r="B112" s="4"/>
    </row>
    <row r="113" spans="1:2">
      <c r="A113" s="4"/>
      <c r="B113" s="4"/>
    </row>
    <row r="114" spans="1:2">
      <c r="A114" s="4"/>
      <c r="B114" s="4"/>
    </row>
    <row r="117" spans="1:2">
      <c r="A117" s="4"/>
      <c r="B117" s="4"/>
    </row>
  </sheetData>
  <mergeCells count="35">
    <mergeCell ref="H1:I1"/>
    <mergeCell ref="C8:G8"/>
    <mergeCell ref="C15:D15"/>
    <mergeCell ref="A23:A24"/>
    <mergeCell ref="C29:C40"/>
    <mergeCell ref="C43:C46"/>
    <mergeCell ref="C58:C61"/>
    <mergeCell ref="C64:C70"/>
    <mergeCell ref="C73:C77"/>
    <mergeCell ref="C81:C84"/>
    <mergeCell ref="C88:C91"/>
    <mergeCell ref="C106:C109"/>
    <mergeCell ref="D32:D40"/>
    <mergeCell ref="E33:E44"/>
    <mergeCell ref="E49:E59"/>
    <mergeCell ref="E64:E71"/>
    <mergeCell ref="E74:E84"/>
    <mergeCell ref="E89:E98"/>
    <mergeCell ref="E103:E109"/>
    <mergeCell ref="F35:F38"/>
    <mergeCell ref="F51:F54"/>
    <mergeCell ref="F75:F79"/>
    <mergeCell ref="F89:F92"/>
    <mergeCell ref="F103:F106"/>
    <mergeCell ref="F108:F109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2"/>
  <sheetViews>
    <sheetView workbookViewId="0">
      <selection activeCell="D30" sqref="D30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2" customWidth="1"/>
    <col min="18" max="37" width="9" style="32"/>
    <col min="39" max="39" width="9" style="27"/>
    <col min="40" max="40" width="9" style="28"/>
    <col min="41" max="41" width="9" style="27"/>
    <col min="42" max="42" width="9" style="28"/>
    <col min="43" max="44" width="9" style="27"/>
    <col min="47" max="49" width="9" style="33"/>
    <col min="52" max="53" width="9" style="33"/>
    <col min="66" max="70" width="9" style="27"/>
    <col min="71" max="72" width="9.00833333333333" style="27" customWidth="1"/>
    <col min="73" max="74" width="9" style="27"/>
  </cols>
  <sheetData>
    <row r="1" spans="1:74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s="33" t="s">
        <v>45</v>
      </c>
      <c r="AX1" t="s">
        <v>46</v>
      </c>
      <c r="AY1" t="s">
        <v>47</v>
      </c>
      <c r="AZ1" s="33" t="s">
        <v>48</v>
      </c>
      <c r="BA1" s="33" t="s">
        <v>49</v>
      </c>
      <c r="BB1" t="s">
        <v>50</v>
      </c>
      <c r="BC1" t="s">
        <v>51</v>
      </c>
      <c r="BD1" s="33" t="s">
        <v>52</v>
      </c>
      <c r="BE1" s="33" t="s">
        <v>53</v>
      </c>
      <c r="BF1" t="s">
        <v>54</v>
      </c>
      <c r="BG1" t="s">
        <v>55</v>
      </c>
      <c r="BH1" s="33" t="s">
        <v>56</v>
      </c>
      <c r="BI1" s="33" t="s">
        <v>57</v>
      </c>
      <c r="BJ1" t="s">
        <v>58</v>
      </c>
      <c r="BK1" t="s">
        <v>59</v>
      </c>
      <c r="BL1" s="33" t="s">
        <v>60</v>
      </c>
      <c r="BM1" s="33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2" t="s">
        <v>71</v>
      </c>
      <c r="B2" s="32"/>
      <c r="C2" s="32"/>
      <c r="D2" s="32"/>
      <c r="E2" s="43"/>
      <c r="F2" s="44" t="s">
        <v>72</v>
      </c>
      <c r="G2" s="45" t="s">
        <v>73</v>
      </c>
      <c r="H2" s="46" t="s">
        <v>74</v>
      </c>
      <c r="I2" s="11">
        <f>620*(1-IF(F17="√",0.06,0)-IF(D20="√",0.04,0))</f>
        <v>620</v>
      </c>
      <c r="K2" s="39">
        <f t="shared" ref="K2:K65" si="0">($L2*$BS2+$M2*$BQ2+$N2*$BT2+$O2*$BU2)</f>
        <v>22882.2378340379</v>
      </c>
      <c r="L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25272.3642491686</v>
      </c>
      <c r="M2" s="39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28210.2243901236</v>
      </c>
      <c r="N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14087.1595591798</v>
      </c>
      <c r="O2" s="39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7277.85660715701</v>
      </c>
      <c r="P2" s="40">
        <v>1</v>
      </c>
      <c r="Q2" s="41" t="s">
        <v>75</v>
      </c>
      <c r="R2" s="41" t="s">
        <v>76</v>
      </c>
      <c r="S2" s="41" t="s">
        <v>76</v>
      </c>
      <c r="T2" s="41" t="s">
        <v>77</v>
      </c>
      <c r="U2" s="41" t="s">
        <v>76</v>
      </c>
      <c r="V2" s="41" t="s">
        <v>76</v>
      </c>
      <c r="W2" s="41" t="s">
        <v>78</v>
      </c>
      <c r="X2" s="41" t="s">
        <v>76</v>
      </c>
      <c r="Y2" s="41" t="s">
        <v>76</v>
      </c>
      <c r="Z2" s="41" t="s">
        <v>76</v>
      </c>
      <c r="AA2" s="41" t="s">
        <v>76</v>
      </c>
      <c r="AB2" s="41" t="s">
        <v>76</v>
      </c>
      <c r="AC2" s="41" t="s">
        <v>76</v>
      </c>
      <c r="AD2" s="41" t="s">
        <v>76</v>
      </c>
      <c r="AE2" s="41" t="s">
        <v>80</v>
      </c>
      <c r="AF2" s="41" t="s">
        <v>76</v>
      </c>
      <c r="AG2" s="41" t="s">
        <v>76</v>
      </c>
      <c r="AH2" s="41" t="s">
        <v>76</v>
      </c>
      <c r="AI2" s="41" t="s">
        <v>76</v>
      </c>
      <c r="AJ2" s="41" t="s">
        <v>76</v>
      </c>
      <c r="AK2" s="41" t="s">
        <v>76</v>
      </c>
      <c r="AL2" t="str">
        <f>VLOOKUP($Q2,武学奇术!$A:$ZZ,25,FALSE)</f>
        <v>群体奇术</v>
      </c>
      <c r="AM2" s="27">
        <f>VLOOKUP($Q2,武学奇术!$A:$ZZ,26,FALSE)</f>
        <v>1.4904</v>
      </c>
      <c r="AN2" s="28">
        <f>VLOOKUP($Q2,武学奇术!$A:$ZZ,27,FALSE)*(1+IF(OR($AL2=$F$4,$AL2=$F$5),$B$22,0))</f>
        <v>378</v>
      </c>
      <c r="AO2" s="27">
        <f>VLOOKUP($Q2,武学奇术!$A:$ZZ,28,FALSE)</f>
        <v>2.2356</v>
      </c>
      <c r="AP2" s="28">
        <f>VLOOKUP($Q2,武学奇术!$A:$ZZ,29,FALSE)*(1+IF(OR($AL2=$F$4,$AL2=$F$5),$B$22,0))</f>
        <v>0</v>
      </c>
      <c r="AQ2" s="27" cm="1">
        <f t="array" ref="AQ2">$G$3+IFERROR(VLOOKUP($AL2,$F$4:$G$7,2,FALSE),0)+VLOOKUP($Q2,武学奇术!$A:$ZZ,2,FALSE)+SUM(_xlfn.XLOOKUP($R2:$AK2,增益!$A:$A,增益!$B:$B,0))</f>
        <v>0.2242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1785.2</v>
      </c>
      <c r="AT2" cm="1">
        <f t="array" ref="AT2">$E$10*(1+$AR2)+VLOOKUP($Q2,武学奇术!$A:$ZZ,4,FALSE)+SUM(_xlfn.XLOOKUP($R2:$AK2,增益!$A:$A,增益!$D:$D,0))-$I$2</f>
        <v>6604.8</v>
      </c>
      <c r="AU2" s="33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0.1685</v>
      </c>
      <c r="AV2" s="33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3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3" cm="1">
        <f t="array" ref="BA2">$G$11+VLOOKUP($Q2,武学奇术!$A:$ZZ,10,FALSE)+SUM(_xlfn.XLOOKUP($R2:$AK2,增益!$A:$A,增益!$J:$J,0))</f>
        <v>0</v>
      </c>
      <c r="BB2">
        <f t="shared" ref="BB2:BB65" si="3">$D$12*(1+$AW2)</f>
        <v>662.4</v>
      </c>
      <c r="BC2">
        <f t="shared" ref="BC2:BC65" si="4">$E$12*(1+$AW2)</f>
        <v>1260</v>
      </c>
      <c r="BD2" s="33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3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33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3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33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3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1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0.5954</v>
      </c>
      <c r="BP2" s="27" cm="1">
        <f t="array" ref="BP2">1+$B$13+VLOOKUP($Q2,武学奇术!$A:$ZZ,18,FALSE)+SUM(_xlfn.XLOOKUP($R2:$AK2,增益!$A:$A,增益!$R:$R,0))</f>
        <v>1.794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0.1512</v>
      </c>
      <c r="BR2" s="27" cm="1">
        <f t="array" ref="BR2">1+$B$14+VLOOKUP($Q2,武学奇术!$A:$ZZ,20,FALSE)+SUM(_xlfn.XLOOKUP($R2:$AK2,增益!$A:$A,增益!$T:$T,0))</f>
        <v>1.35</v>
      </c>
      <c r="BS2" s="27">
        <f t="shared" ref="BS2:BS65" si="9">MIN((1-BQ2)*BN2,BN2*BO2)</f>
        <v>0.5954</v>
      </c>
      <c r="BT2" s="27">
        <f t="shared" ref="BT2:BT65" si="10">1-BQ2-BS2-BU2</f>
        <v>0.2534</v>
      </c>
      <c r="BU2" s="27">
        <f>IF(VLOOKUP($Q2,武学奇术!$A:$ZZ,22,FALSE)=1,0,(1-$BN2))*(1-$BQ2)</f>
        <v>0</v>
      </c>
      <c r="BV2" s="27" cm="1">
        <f t="array" ref="BV2">SUM(_xlfn.XLOOKUP($R2:$AK2,增益!$A:$A,增益!$W:$W,0))+$I$5</f>
        <v>0.11</v>
      </c>
    </row>
    <row r="3" spans="1:74">
      <c r="A3" s="47" t="s">
        <v>81</v>
      </c>
      <c r="B3" s="48"/>
      <c r="C3" s="48"/>
      <c r="D3" s="48"/>
      <c r="E3" s="49"/>
      <c r="F3" s="46" t="s">
        <v>39</v>
      </c>
      <c r="G3" s="50">
        <f>B16+1.5%+IF($F$19="√",10%,0)</f>
        <v>0.2042</v>
      </c>
      <c r="H3" s="46" t="s">
        <v>82</v>
      </c>
      <c r="I3" s="11">
        <f>25-IF(D17="√",10,0)-IF(F17="√",10,0)</f>
        <v>25</v>
      </c>
      <c r="K3" s="39">
        <f t="shared" si="0"/>
        <v>23642.0578783198</v>
      </c>
      <c r="L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26158.7927108135</v>
      </c>
      <c r="M3" s="39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29052.2576036775</v>
      </c>
      <c r="N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14500.4394184111</v>
      </c>
      <c r="O3" s="39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7480.68801928324</v>
      </c>
      <c r="P3" s="40">
        <v>1</v>
      </c>
      <c r="Q3" s="41" t="s">
        <v>75</v>
      </c>
      <c r="R3" s="41" t="s">
        <v>83</v>
      </c>
      <c r="S3" s="41" t="s">
        <v>76</v>
      </c>
      <c r="T3" s="41" t="s">
        <v>77</v>
      </c>
      <c r="U3" s="41" t="s">
        <v>76</v>
      </c>
      <c r="V3" s="41" t="s">
        <v>85</v>
      </c>
      <c r="W3" s="41" t="s">
        <v>78</v>
      </c>
      <c r="X3" s="41" t="s">
        <v>76</v>
      </c>
      <c r="Y3" s="41" t="s">
        <v>76</v>
      </c>
      <c r="Z3" s="41" t="s">
        <v>76</v>
      </c>
      <c r="AA3" s="41" t="s">
        <v>76</v>
      </c>
      <c r="AB3" s="41" t="s">
        <v>76</v>
      </c>
      <c r="AC3" s="41" t="s">
        <v>76</v>
      </c>
      <c r="AD3" s="41" t="s">
        <v>76</v>
      </c>
      <c r="AE3" s="41" t="s">
        <v>80</v>
      </c>
      <c r="AF3" s="41" t="s">
        <v>76</v>
      </c>
      <c r="AG3" s="41" t="s">
        <v>76</v>
      </c>
      <c r="AH3" s="41" t="s">
        <v>76</v>
      </c>
      <c r="AI3" s="41" t="s">
        <v>76</v>
      </c>
      <c r="AJ3" s="41" t="s">
        <v>76</v>
      </c>
      <c r="AK3" s="41" t="s">
        <v>76</v>
      </c>
      <c r="AL3" t="str">
        <f>VLOOKUP($Q3,武学奇术!$A:$ZZ,25,FALSE)</f>
        <v>群体奇术</v>
      </c>
      <c r="AM3" s="27">
        <f>VLOOKUP($Q3,武学奇术!$A:$ZZ,26,FALSE)</f>
        <v>1.4904</v>
      </c>
      <c r="AN3" s="28">
        <f>VLOOKUP($Q3,武学奇术!$A:$ZZ,27,FALSE)*(1+IF(OR($AL3=$F$4,$AL3=$F$5),$B$22,0))</f>
        <v>378</v>
      </c>
      <c r="AO3" s="27">
        <f>VLOOKUP($Q3,武学奇术!$A:$ZZ,28,FALSE)</f>
        <v>2.2356</v>
      </c>
      <c r="AP3" s="28">
        <f>VLOOKUP($Q3,武学奇术!$A:$ZZ,29,FALSE)*(1+IF(OR($AL3=$F$4,$AL3=$F$5),$B$22,0))</f>
        <v>0</v>
      </c>
      <c r="AQ3" s="27" cm="1">
        <f t="array" ref="AQ3">$G$3+IFERROR(VLOOKUP($AL3,$F$4:$G$7,2,FALSE),0)+VLOOKUP($Q3,武学奇术!$A:$ZZ,2,FALSE)+SUM(_xlfn.XLOOKUP($R3:$AK3,增益!$A:$A,增益!$B:$B,0))</f>
        <v>0.2442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1785.2</v>
      </c>
      <c r="AT3" cm="1">
        <f t="array" ref="AT3">$E$10*(1+$AR3)+VLOOKUP($Q3,武学奇术!$A:$ZZ,4,FALSE)+SUM(_xlfn.XLOOKUP($R3:$AK3,增益!$A:$A,增益!$D:$D,0))-$I$2</f>
        <v>6604.8</v>
      </c>
      <c r="AU3" s="33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0.1885</v>
      </c>
      <c r="AV3" s="33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3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3" cm="1">
        <f t="array" ref="BA3">$G$11+VLOOKUP($Q3,武学奇术!$A:$ZZ,10,FALSE)+SUM(_xlfn.XLOOKUP($R3:$AK3,增益!$A:$A,增益!$J:$J,0))</f>
        <v>0</v>
      </c>
      <c r="BB3">
        <f t="shared" si="3"/>
        <v>662.4</v>
      </c>
      <c r="BC3">
        <f t="shared" si="4"/>
        <v>1260</v>
      </c>
      <c r="BD3" s="33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0.06</v>
      </c>
      <c r="BE3" s="33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33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-0.3</v>
      </c>
      <c r="BI3" s="33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33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3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1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0.5954</v>
      </c>
      <c r="BP3" s="27" cm="1">
        <f t="array" ref="BP3">1+$B$13+VLOOKUP($Q3,武学奇术!$A:$ZZ,18,FALSE)+SUM(_xlfn.XLOOKUP($R3:$AK3,增益!$A:$A,增益!$R:$R,0))</f>
        <v>1.804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0.1512</v>
      </c>
      <c r="BR3" s="27" cm="1">
        <f t="array" ref="BR3">1+$B$14+VLOOKUP($Q3,武学奇术!$A:$ZZ,20,FALSE)+SUM(_xlfn.XLOOKUP($R3:$AK3,增益!$A:$A,增益!$T:$T,0))</f>
        <v>1.35</v>
      </c>
      <c r="BS3" s="27">
        <f t="shared" si="9"/>
        <v>0.5954</v>
      </c>
      <c r="BT3" s="27">
        <f t="shared" si="10"/>
        <v>0.2534</v>
      </c>
      <c r="BU3" s="27">
        <f>IF(VLOOKUP($Q3,武学奇术!$A:$ZZ,22,FALSE)=1,0,(1-$BN3))*(1-$BQ3)</f>
        <v>0</v>
      </c>
      <c r="BV3" s="27" cm="1">
        <f t="array" ref="BV3">SUM(_xlfn.XLOOKUP($R3:$AK3,增益!$A:$A,增益!$W:$W,0))+$I$5</f>
        <v>0.11</v>
      </c>
    </row>
    <row r="4" ht="14.25" spans="1:74">
      <c r="A4" s="51" t="s">
        <v>5</v>
      </c>
      <c r="B4" s="52"/>
      <c r="C4" s="52"/>
      <c r="D4" s="52"/>
      <c r="E4" s="53"/>
      <c r="F4" s="46" t="s">
        <v>88</v>
      </c>
      <c r="G4" s="50">
        <f>B15+B17</f>
        <v>0.1701</v>
      </c>
      <c r="H4" s="54" t="s">
        <v>89</v>
      </c>
      <c r="I4" s="14">
        <f>30</f>
        <v>30</v>
      </c>
      <c r="K4" s="39">
        <f t="shared" si="0"/>
        <v>24730.207682629</v>
      </c>
      <c r="L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27613.279927281</v>
      </c>
      <c r="M4" s="39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29862.090030727</v>
      </c>
      <c r="N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14893.8942434094</v>
      </c>
      <c r="O4" s="39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7667.72179739133</v>
      </c>
      <c r="P4" s="40">
        <v>1</v>
      </c>
      <c r="Q4" s="41" t="s">
        <v>75</v>
      </c>
      <c r="R4" s="41" t="s">
        <v>90</v>
      </c>
      <c r="S4" s="41" t="s">
        <v>76</v>
      </c>
      <c r="T4" s="41" t="s">
        <v>77</v>
      </c>
      <c r="U4" s="41" t="s">
        <v>76</v>
      </c>
      <c r="V4" s="41" t="s">
        <v>91</v>
      </c>
      <c r="W4" s="41" t="s">
        <v>78</v>
      </c>
      <c r="X4" s="41" t="s">
        <v>92</v>
      </c>
      <c r="Y4" s="41" t="s">
        <v>76</v>
      </c>
      <c r="Z4" s="41" t="s">
        <v>76</v>
      </c>
      <c r="AA4" s="41" t="s">
        <v>76</v>
      </c>
      <c r="AB4" s="41" t="s">
        <v>76</v>
      </c>
      <c r="AC4" s="41" t="s">
        <v>76</v>
      </c>
      <c r="AD4" s="41" t="s">
        <v>76</v>
      </c>
      <c r="AE4" s="41" t="s">
        <v>80</v>
      </c>
      <c r="AF4" s="41" t="s">
        <v>76</v>
      </c>
      <c r="AG4" s="41" t="s">
        <v>76</v>
      </c>
      <c r="AH4" s="41" t="s">
        <v>76</v>
      </c>
      <c r="AI4" s="41" t="s">
        <v>76</v>
      </c>
      <c r="AJ4" s="41" t="s">
        <v>76</v>
      </c>
      <c r="AK4" s="41" t="s">
        <v>76</v>
      </c>
      <c r="AL4" t="str">
        <f>VLOOKUP($Q4,武学奇术!$A:$ZZ,25,FALSE)</f>
        <v>群体奇术</v>
      </c>
      <c r="AM4" s="27">
        <f>VLOOKUP($Q4,武学奇术!$A:$ZZ,26,FALSE)</f>
        <v>1.4904</v>
      </c>
      <c r="AN4" s="28">
        <f>VLOOKUP($Q4,武学奇术!$A:$ZZ,27,FALSE)*(1+IF(OR($AL4=$F$4,$AL4=$F$5),$B$22,0))</f>
        <v>378</v>
      </c>
      <c r="AO4" s="27">
        <f>VLOOKUP($Q4,武学奇术!$A:$ZZ,28,FALSE)</f>
        <v>2.2356</v>
      </c>
      <c r="AP4" s="28">
        <f>VLOOKUP($Q4,武学奇术!$A:$ZZ,29,FALSE)*(1+IF(OR($AL4=$F$4,$AL4=$F$5),$B$22,0))</f>
        <v>0</v>
      </c>
      <c r="AQ4" s="27" cm="1">
        <f t="array" ref="AQ4">$G$3+IFERROR(VLOOKUP($AL4,$F$4:$G$7,2,FALSE),0)+VLOOKUP($Q4,武学奇术!$A:$ZZ,2,FALSE)+SUM(_xlfn.XLOOKUP($R4:$AK4,增益!$A:$A,增益!$B:$B,0))</f>
        <v>0.2542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1785.2</v>
      </c>
      <c r="AT4" cm="1">
        <f t="array" ref="AT4">$E$10*(1+$AR4)+VLOOKUP($Q4,武学奇术!$A:$ZZ,4,FALSE)+SUM(_xlfn.XLOOKUP($R4:$AK4,增益!$A:$A,增益!$D:$D,0))-$I$2</f>
        <v>6604.8</v>
      </c>
      <c r="AU4" s="33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0.2185</v>
      </c>
      <c r="AV4" s="33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3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3" cm="1">
        <f t="array" ref="BA4">$G$11+VLOOKUP($Q4,武学奇术!$A:$ZZ,10,FALSE)+SUM(_xlfn.XLOOKUP($R4:$AK4,增益!$A:$A,增益!$J:$J,0))</f>
        <v>0</v>
      </c>
      <c r="BB4">
        <f t="shared" si="3"/>
        <v>662.4</v>
      </c>
      <c r="BC4">
        <f t="shared" si="4"/>
        <v>1260</v>
      </c>
      <c r="BD4" s="33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0.06</v>
      </c>
      <c r="BE4" s="33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3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-0.3</v>
      </c>
      <c r="BI4" s="33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3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3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1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0.5954</v>
      </c>
      <c r="BP4" s="27" cm="1">
        <f t="array" ref="BP4">1+$B$13+VLOOKUP($Q4,武学奇术!$A:$ZZ,18,FALSE)+SUM(_xlfn.XLOOKUP($R4:$AK4,增益!$A:$A,增益!$R:$R,0))</f>
        <v>1.854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0.1512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0.5954</v>
      </c>
      <c r="BT4" s="27">
        <f t="shared" si="10"/>
        <v>0.2534</v>
      </c>
      <c r="BU4" s="27">
        <f>IF(VLOOKUP($Q4,武学奇术!$A:$ZZ,22,FALSE)=1,0,(1-$BN4))*(1-$BQ4)</f>
        <v>0</v>
      </c>
      <c r="BV4" s="27" cm="1">
        <f t="array" ref="BV4">SUM(_xlfn.XLOOKUP($R4:$AK4,增益!$A:$A,增益!$W:$W,0))+$I$5</f>
        <v>0.11</v>
      </c>
    </row>
    <row r="5" spans="1:74">
      <c r="A5" s="55" t="s">
        <v>94</v>
      </c>
      <c r="B5" s="56"/>
      <c r="C5" s="56"/>
      <c r="D5" s="56"/>
      <c r="E5" s="57"/>
      <c r="F5" s="46" t="s">
        <v>95</v>
      </c>
      <c r="G5" s="50">
        <f>B15+B18</f>
        <v>0.0847</v>
      </c>
      <c r="H5" t="s">
        <v>96</v>
      </c>
      <c r="I5" s="29">
        <v>0.06</v>
      </c>
      <c r="K5" s="39">
        <f t="shared" si="0"/>
        <v>25172.8845829381</v>
      </c>
      <c r="L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28156.9984433774</v>
      </c>
      <c r="M5" s="39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30293.8287882364</v>
      </c>
      <c r="N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15105.685860181</v>
      </c>
      <c r="O5" s="39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7771.49854389061</v>
      </c>
      <c r="P5" s="40">
        <v>1</v>
      </c>
      <c r="Q5" s="41" t="s">
        <v>75</v>
      </c>
      <c r="R5" s="41" t="s">
        <v>97</v>
      </c>
      <c r="S5" s="41" t="s">
        <v>76</v>
      </c>
      <c r="T5" s="41" t="s">
        <v>77</v>
      </c>
      <c r="U5" s="41" t="s">
        <v>76</v>
      </c>
      <c r="V5" s="41" t="s">
        <v>98</v>
      </c>
      <c r="W5" s="41" t="s">
        <v>78</v>
      </c>
      <c r="X5" s="41" t="s">
        <v>92</v>
      </c>
      <c r="Y5" s="41" t="s">
        <v>76</v>
      </c>
      <c r="Z5" s="41" t="s">
        <v>76</v>
      </c>
      <c r="AA5" s="41" t="s">
        <v>76</v>
      </c>
      <c r="AB5" s="41" t="s">
        <v>76</v>
      </c>
      <c r="AC5" s="41" t="s">
        <v>76</v>
      </c>
      <c r="AD5" s="41" t="s">
        <v>76</v>
      </c>
      <c r="AE5" s="41" t="s">
        <v>80</v>
      </c>
      <c r="AF5" s="41" t="s">
        <v>76</v>
      </c>
      <c r="AG5" s="41" t="s">
        <v>76</v>
      </c>
      <c r="AH5" s="41" t="s">
        <v>76</v>
      </c>
      <c r="AI5" s="41" t="s">
        <v>76</v>
      </c>
      <c r="AJ5" s="41" t="s">
        <v>76</v>
      </c>
      <c r="AK5" s="41" t="s">
        <v>76</v>
      </c>
      <c r="AL5" t="str">
        <f>VLOOKUP($Q5,武学奇术!$A:$ZZ,25,FALSE)</f>
        <v>群体奇术</v>
      </c>
      <c r="AM5" s="27">
        <f>VLOOKUP($Q5,武学奇术!$A:$ZZ,26,FALSE)</f>
        <v>1.4904</v>
      </c>
      <c r="AN5" s="28">
        <f>VLOOKUP($Q5,武学奇术!$A:$ZZ,27,FALSE)*(1+IF(OR($AL5=$F$4,$AL5=$F$5),$B$22,0))</f>
        <v>378</v>
      </c>
      <c r="AO5" s="27">
        <f>VLOOKUP($Q5,武学奇术!$A:$ZZ,28,FALSE)</f>
        <v>2.2356</v>
      </c>
      <c r="AP5" s="28">
        <f>VLOOKUP($Q5,武学奇术!$A:$ZZ,29,FALSE)*(1+IF(OR($AL5=$F$4,$AL5=$F$5),$B$22,0))</f>
        <v>0</v>
      </c>
      <c r="AQ5" s="27" cm="1">
        <f t="array" ref="AQ5">$G$3+IFERROR(VLOOKUP($AL5,$F$4:$G$7,2,FALSE),0)+VLOOKUP($Q5,武学奇术!$A:$ZZ,2,FALSE)+SUM(_xlfn.XLOOKUP($R5:$AK5,增益!$A:$A,增益!$B:$B,0))</f>
        <v>0.2642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1785.2</v>
      </c>
      <c r="AT5" cm="1">
        <f t="array" ref="AT5">$E$10*(1+$AR5)+VLOOKUP($Q5,武学奇术!$A:$ZZ,4,FALSE)+SUM(_xlfn.XLOOKUP($R5:$AK5,增益!$A:$A,增益!$D:$D,0))-$I$2</f>
        <v>6604.8</v>
      </c>
      <c r="AU5" s="33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0.2285</v>
      </c>
      <c r="AV5" s="33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3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3" cm="1">
        <f t="array" ref="BA5">$G$11+VLOOKUP($Q5,武学奇术!$A:$ZZ,10,FALSE)+SUM(_xlfn.XLOOKUP($R5:$AK5,增益!$A:$A,增益!$J:$J,0))</f>
        <v>0</v>
      </c>
      <c r="BB5">
        <f t="shared" si="3"/>
        <v>662.4</v>
      </c>
      <c r="BC5">
        <f t="shared" si="4"/>
        <v>1260</v>
      </c>
      <c r="BD5" s="33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0.06</v>
      </c>
      <c r="BE5" s="33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3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-0.3</v>
      </c>
      <c r="BI5" s="33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3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3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1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0.5954</v>
      </c>
      <c r="BP5" s="27" cm="1">
        <f t="array" ref="BP5">1+$B$13+VLOOKUP($Q5,武学奇术!$A:$ZZ,18,FALSE)+SUM(_xlfn.XLOOKUP($R5:$AK5,增益!$A:$A,增益!$R:$R,0))</f>
        <v>1.864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0.1512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0.5954</v>
      </c>
      <c r="BT5" s="27">
        <f t="shared" si="10"/>
        <v>0.2534</v>
      </c>
      <c r="BU5" s="27">
        <f>IF(VLOOKUP($Q5,武学奇术!$A:$ZZ,22,FALSE)=1,0,(1-$BN5))*(1-$BQ5)</f>
        <v>0</v>
      </c>
      <c r="BV5" s="27" cm="1">
        <f t="array" ref="BV5">SUM(_xlfn.XLOOKUP($R5:$AK5,增益!$A:$A,增益!$W:$W,0))+$I$5</f>
        <v>0.11</v>
      </c>
    </row>
    <row r="6" spans="1:74">
      <c r="A6" s="58" t="s">
        <v>99</v>
      </c>
      <c r="B6" s="59"/>
      <c r="C6" s="59"/>
      <c r="D6" s="59"/>
      <c r="E6" s="60"/>
      <c r="F6" s="46" t="s">
        <v>100</v>
      </c>
      <c r="G6" s="50">
        <f>B19</f>
        <v>0</v>
      </c>
      <c r="K6" s="39">
        <f t="shared" si="0"/>
        <v>26305.6761636036</v>
      </c>
      <c r="L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29679.4414560283</v>
      </c>
      <c r="M6" s="39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31118.978573475</v>
      </c>
      <c r="N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15506.5002382593</v>
      </c>
      <c r="O6" s="39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7961.9052369075</v>
      </c>
      <c r="P6" s="40">
        <v>1</v>
      </c>
      <c r="Q6" s="41" t="s">
        <v>75</v>
      </c>
      <c r="R6" s="41" t="s">
        <v>101</v>
      </c>
      <c r="S6" s="41" t="s">
        <v>76</v>
      </c>
      <c r="T6" s="41" t="s">
        <v>77</v>
      </c>
      <c r="U6" s="41" t="s">
        <v>76</v>
      </c>
      <c r="V6" s="41" t="s">
        <v>102</v>
      </c>
      <c r="W6" s="41" t="s">
        <v>78</v>
      </c>
      <c r="X6" s="41" t="s">
        <v>103</v>
      </c>
      <c r="Y6" s="41" t="s">
        <v>76</v>
      </c>
      <c r="Z6" s="41" t="s">
        <v>76</v>
      </c>
      <c r="AA6" s="41" t="s">
        <v>76</v>
      </c>
      <c r="AB6" s="41" t="s">
        <v>76</v>
      </c>
      <c r="AC6" s="41" t="s">
        <v>76</v>
      </c>
      <c r="AD6" s="41" t="s">
        <v>76</v>
      </c>
      <c r="AE6" s="41" t="s">
        <v>80</v>
      </c>
      <c r="AF6" s="41" t="s">
        <v>76</v>
      </c>
      <c r="AG6" s="41" t="s">
        <v>76</v>
      </c>
      <c r="AH6" s="41" t="s">
        <v>76</v>
      </c>
      <c r="AI6" s="41" t="s">
        <v>76</v>
      </c>
      <c r="AJ6" s="41" t="s">
        <v>76</v>
      </c>
      <c r="AK6" s="41" t="s">
        <v>76</v>
      </c>
      <c r="AL6" t="str">
        <f>VLOOKUP($Q6,武学奇术!$A:$ZZ,25,FALSE)</f>
        <v>群体奇术</v>
      </c>
      <c r="AM6" s="27">
        <f>VLOOKUP($Q6,武学奇术!$A:$ZZ,26,FALSE)</f>
        <v>1.4904</v>
      </c>
      <c r="AN6" s="28">
        <f>VLOOKUP($Q6,武学奇术!$A:$ZZ,27,FALSE)*(1+IF(OR($AL6=$F$4,$AL6=$F$5),$B$22,0))</f>
        <v>378</v>
      </c>
      <c r="AO6" s="27">
        <f>VLOOKUP($Q6,武学奇术!$A:$ZZ,28,FALSE)</f>
        <v>2.2356</v>
      </c>
      <c r="AP6" s="28">
        <f>VLOOKUP($Q6,武学奇术!$A:$ZZ,29,FALSE)*(1+IF(OR($AL6=$F$4,$AL6=$F$5),$B$22,0))</f>
        <v>0</v>
      </c>
      <c r="AQ6" s="27" cm="1">
        <f t="array" ref="AQ6">$G$3+IFERROR(VLOOKUP($AL6,$F$4:$G$7,2,FALSE),0)+VLOOKUP($Q6,武学奇术!$A:$ZZ,2,FALSE)+SUM(_xlfn.XLOOKUP($R6:$AK6,增益!$A:$A,增益!$B:$B,0))</f>
        <v>0.2742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1785.2</v>
      </c>
      <c r="AT6" cm="1">
        <f t="array" ref="AT6">$E$10*(1+$AR6)+VLOOKUP($Q6,武学奇术!$A:$ZZ,4,FALSE)+SUM(_xlfn.XLOOKUP($R6:$AK6,增益!$A:$A,增益!$D:$D,0))-$I$2</f>
        <v>6604.8</v>
      </c>
      <c r="AU6" s="33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0.2585</v>
      </c>
      <c r="AV6" s="33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3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3" cm="1">
        <f t="array" ref="BA6">$G$11+VLOOKUP($Q6,武学奇术!$A:$ZZ,10,FALSE)+SUM(_xlfn.XLOOKUP($R6:$AK6,增益!$A:$A,增益!$J:$J,0))</f>
        <v>0</v>
      </c>
      <c r="BB6">
        <f t="shared" si="3"/>
        <v>662.4</v>
      </c>
      <c r="BC6">
        <f t="shared" si="4"/>
        <v>1260</v>
      </c>
      <c r="BD6" s="33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0.06</v>
      </c>
      <c r="BE6" s="33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3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-0.3</v>
      </c>
      <c r="BI6" s="33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3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3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1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0.5954</v>
      </c>
      <c r="BP6" s="27" cm="1">
        <f t="array" ref="BP6">1+$B$13+VLOOKUP($Q6,武学奇术!$A:$ZZ,18,FALSE)+SUM(_xlfn.XLOOKUP($R6:$AK6,增益!$A:$A,增益!$R:$R,0))</f>
        <v>1.914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0.1512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0.5954</v>
      </c>
      <c r="BT6" s="27">
        <f t="shared" si="10"/>
        <v>0.2534</v>
      </c>
      <c r="BU6" s="27">
        <f>IF(VLOOKUP($Q6,武学奇术!$A:$ZZ,22,FALSE)=1,0,(1-$BN6))*(1-$BQ6)</f>
        <v>0</v>
      </c>
      <c r="BV6" s="27" cm="1">
        <f t="array" ref="BV6">SUM(_xlfn.XLOOKUP($R6:$AK6,增益!$A:$A,增益!$W:$W,0))+$I$5</f>
        <v>0.11</v>
      </c>
    </row>
    <row r="7" ht="14.25" spans="1:74">
      <c r="A7" s="42" t="s">
        <v>104</v>
      </c>
      <c r="B7" s="61"/>
      <c r="C7" s="61"/>
      <c r="D7" s="62"/>
      <c r="E7" s="63"/>
      <c r="F7" s="54" t="s">
        <v>105</v>
      </c>
      <c r="G7" s="64">
        <f>B20</f>
        <v>0</v>
      </c>
      <c r="K7" s="39">
        <f t="shared" si="0"/>
        <v>283896.92756935</v>
      </c>
      <c r="L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284381.363291196</v>
      </c>
      <c r="M7" s="39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293143.605924253</v>
      </c>
      <c r="N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149359.959711763</v>
      </c>
      <c r="O7" s="39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81576.5076277821</v>
      </c>
      <c r="P7" s="40">
        <v>1</v>
      </c>
      <c r="Q7" s="41" t="s">
        <v>106</v>
      </c>
      <c r="R7" s="41" t="s">
        <v>107</v>
      </c>
      <c r="S7" s="41" t="s">
        <v>76</v>
      </c>
      <c r="T7" s="41" t="s">
        <v>77</v>
      </c>
      <c r="U7" s="41" t="s">
        <v>76</v>
      </c>
      <c r="V7" s="41" t="s">
        <v>85</v>
      </c>
      <c r="W7" s="41" t="s">
        <v>78</v>
      </c>
      <c r="X7" s="41" t="s">
        <v>76</v>
      </c>
      <c r="Y7" s="41" t="s">
        <v>76</v>
      </c>
      <c r="Z7" s="41" t="s">
        <v>76</v>
      </c>
      <c r="AA7" s="41" t="s">
        <v>76</v>
      </c>
      <c r="AB7" s="41" t="s">
        <v>76</v>
      </c>
      <c r="AC7" s="41" t="s">
        <v>76</v>
      </c>
      <c r="AD7" s="41" t="s">
        <v>76</v>
      </c>
      <c r="AE7" s="41" t="s">
        <v>80</v>
      </c>
      <c r="AF7" s="41" t="s">
        <v>108</v>
      </c>
      <c r="AG7" s="41" t="s">
        <v>76</v>
      </c>
      <c r="AH7" s="41" t="s">
        <v>76</v>
      </c>
      <c r="AI7" s="41" t="s">
        <v>76</v>
      </c>
      <c r="AJ7" s="41" t="s">
        <v>76</v>
      </c>
      <c r="AK7" s="41" t="s">
        <v>76</v>
      </c>
      <c r="AL7" t="str">
        <f>VLOOKUP($Q7,武学奇术!$A:$ZZ,25,FALSE)</f>
        <v>陌刀</v>
      </c>
      <c r="AM7" s="27">
        <f>VLOOKUP($Q7,武学奇术!$A:$ZZ,26,FALSE)</f>
        <v>7.2368</v>
      </c>
      <c r="AN7" s="28">
        <f>VLOOKUP($Q7,武学奇术!$A:$ZZ,27,FALSE)*(1+IF(OR($AL7=$F$4,$AL7=$F$5),$B$22,0))</f>
        <v>3003</v>
      </c>
      <c r="AO7" s="27">
        <f>VLOOKUP($Q7,武学奇术!$A:$ZZ,28,FALSE)</f>
        <v>10.8553</v>
      </c>
      <c r="AP7" s="28">
        <f>VLOOKUP($Q7,武学奇术!$A:$ZZ,29,FALSE)*(1+IF(OR($AL7=$F$4,$AL7=$F$5),$B$22,0))</f>
        <v>1635</v>
      </c>
      <c r="AQ7" s="27" cm="1">
        <f t="array" ref="AQ7">$G$3+IFERROR(VLOOKUP($AL7,$F$4:$G$7,2,FALSE),0)+VLOOKUP($Q7,武学奇术!$A:$ZZ,2,FALSE)+SUM(_xlfn.XLOOKUP($R7:$AK7,增益!$A:$A,增益!$B:$B,0))</f>
        <v>0.8243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1785.2</v>
      </c>
      <c r="AT7" cm="1">
        <f t="array" ref="AT7">$E$10*(1+$AR7)+VLOOKUP($Q7,武学奇术!$A:$ZZ,4,FALSE)+SUM(_xlfn.XLOOKUP($R7:$AK7,增益!$A:$A,增益!$D:$D,0))-$I$2</f>
        <v>6804.8</v>
      </c>
      <c r="AU7" s="33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0.1785</v>
      </c>
      <c r="AV7" s="33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3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3" cm="1">
        <f t="array" ref="BA7">$G$11+VLOOKUP($Q7,武学奇术!$A:$ZZ,10,FALSE)+SUM(_xlfn.XLOOKUP($R7:$AK7,增益!$A:$A,增益!$J:$J,0))</f>
        <v>0</v>
      </c>
      <c r="BB7">
        <f t="shared" si="3"/>
        <v>662.4</v>
      </c>
      <c r="BC7">
        <f t="shared" si="4"/>
        <v>1260</v>
      </c>
      <c r="BD7" s="33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3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3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3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3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3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1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0.8354</v>
      </c>
      <c r="BP7" s="27" cm="1">
        <f t="array" ref="BP7">1+$B$13+VLOOKUP($Q7,武学奇术!$A:$ZZ,18,FALSE)+SUM(_xlfn.XLOOKUP($R7:$AK7,增益!$A:$A,增益!$R:$R,0))</f>
        <v>1.904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0.1512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0.8354</v>
      </c>
      <c r="BT7" s="27">
        <f t="shared" si="10"/>
        <v>0.0134</v>
      </c>
      <c r="BU7" s="27">
        <f>IF(VLOOKUP($Q7,武学奇术!$A:$ZZ,22,FALSE)=1,0,(1-$BN7))*(1-$BQ7)</f>
        <v>0</v>
      </c>
      <c r="BV7" s="27" cm="1">
        <f t="array" ref="BV7">SUM(_xlfn.XLOOKUP($R7:$AK7,增益!$A:$A,增益!$W:$W,0))+$I$5</f>
        <v>0.11</v>
      </c>
    </row>
    <row r="8" spans="1:74">
      <c r="A8" s="65" t="s">
        <v>109</v>
      </c>
      <c r="B8" s="66">
        <f>期望!B8</f>
        <v>1.0096</v>
      </c>
      <c r="C8" s="67" t="s">
        <v>110</v>
      </c>
      <c r="D8" s="67"/>
      <c r="E8" s="67"/>
      <c r="F8" s="67"/>
      <c r="G8" s="38"/>
      <c r="H8" s="68" t="s">
        <v>111</v>
      </c>
      <c r="I8" s="18">
        <f>期望!I8</f>
        <v>101.4</v>
      </c>
      <c r="J8" s="69"/>
      <c r="K8" s="39">
        <f t="shared" si="0"/>
        <v>8779.31850061339</v>
      </c>
      <c r="L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9779.487157045</v>
      </c>
      <c r="M8" s="39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10519.1975603586</v>
      </c>
      <c r="N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5391.11750664002</v>
      </c>
      <c r="O8" s="39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2990.23682042185</v>
      </c>
      <c r="P8" s="40">
        <v>1</v>
      </c>
      <c r="Q8" s="41" t="s">
        <v>112</v>
      </c>
      <c r="R8" s="41" t="s">
        <v>107</v>
      </c>
      <c r="S8" s="41" t="s">
        <v>76</v>
      </c>
      <c r="T8" s="41" t="s">
        <v>77</v>
      </c>
      <c r="U8" s="41" t="s">
        <v>76</v>
      </c>
      <c r="V8" s="41" t="s">
        <v>91</v>
      </c>
      <c r="W8" s="41" t="s">
        <v>78</v>
      </c>
      <c r="X8" s="41" t="s">
        <v>76</v>
      </c>
      <c r="Y8" s="41" t="s">
        <v>76</v>
      </c>
      <c r="Z8" s="41" t="s">
        <v>76</v>
      </c>
      <c r="AA8" s="41" t="s">
        <v>76</v>
      </c>
      <c r="AB8" s="41" t="s">
        <v>76</v>
      </c>
      <c r="AC8" s="41" t="s">
        <v>76</v>
      </c>
      <c r="AD8" s="41" t="s">
        <v>76</v>
      </c>
      <c r="AE8" s="41" t="s">
        <v>80</v>
      </c>
      <c r="AF8" s="41" t="s">
        <v>76</v>
      </c>
      <c r="AG8" s="41" t="s">
        <v>76</v>
      </c>
      <c r="AH8" s="41" t="s">
        <v>76</v>
      </c>
      <c r="AI8" s="41" t="s">
        <v>76</v>
      </c>
      <c r="AJ8" s="41" t="s">
        <v>76</v>
      </c>
      <c r="AK8" s="41" t="s">
        <v>76</v>
      </c>
      <c r="AL8" t="str">
        <f>VLOOKUP($Q8,武学奇术!$A:$ZZ,25,FALSE)</f>
        <v>枪</v>
      </c>
      <c r="AM8" s="27">
        <f>VLOOKUP($Q8,武学奇术!$A:$ZZ,26,FALSE)</f>
        <v>0.4843</v>
      </c>
      <c r="AN8" s="28">
        <f>VLOOKUP($Q8,武学奇术!$A:$ZZ,27,FALSE)*(1+IF(OR($AL8=$F$4,$AL8=$F$5),$B$22,0))</f>
        <v>201</v>
      </c>
      <c r="AO8" s="27">
        <f>VLOOKUP($Q8,武学奇术!$A:$ZZ,28,FALSE)</f>
        <v>0.7264</v>
      </c>
      <c r="AP8" s="28">
        <f>VLOOKUP($Q8,武学奇术!$A:$ZZ,29,FALSE)*(1+IF(OR($AL8=$F$4,$AL8=$F$5),$B$22,0))</f>
        <v>109.5</v>
      </c>
      <c r="AQ8" s="27" cm="1">
        <f t="array" ref="AQ8">$G$3+IFERROR(VLOOKUP($AL8,$F$4:$G$7,2,FALSE),0)+VLOOKUP($Q8,武学奇术!$A:$ZZ,2,FALSE)+SUM(_xlfn.XLOOKUP($R8:$AK8,增益!$A:$A,增益!$B:$B,0))</f>
        <v>0.3189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1785.2</v>
      </c>
      <c r="AT8" cm="1">
        <f t="array" ref="AT8">$E$10*(1+$AR8)+VLOOKUP($Q8,武学奇术!$A:$ZZ,4,FALSE)+SUM(_xlfn.XLOOKUP($R8:$AK8,增益!$A:$A,增益!$D:$D,0))-$I$2</f>
        <v>6604.8</v>
      </c>
      <c r="AU8" s="33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0.1785</v>
      </c>
      <c r="AV8" s="33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3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3" cm="1">
        <f t="array" ref="BA8">$G$11+VLOOKUP($Q8,武学奇术!$A:$ZZ,10,FALSE)+SUM(_xlfn.XLOOKUP($R8:$AK8,增益!$A:$A,增益!$J:$J,0))</f>
        <v>0</v>
      </c>
      <c r="BB8">
        <f t="shared" si="3"/>
        <v>662.4</v>
      </c>
      <c r="BC8">
        <f t="shared" si="4"/>
        <v>1260</v>
      </c>
      <c r="BD8" s="33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0.06</v>
      </c>
      <c r="BE8" s="33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3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-0.3</v>
      </c>
      <c r="BI8" s="33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3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3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1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0.5954</v>
      </c>
      <c r="BP8" s="27" cm="1">
        <f t="array" ref="BP8">1+$B$13+VLOOKUP($Q8,武学奇术!$A:$ZZ,18,FALSE)+SUM(_xlfn.XLOOKUP($R8:$AK8,增益!$A:$A,增益!$R:$R,0))</f>
        <v>1.814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0.1512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0.5954</v>
      </c>
      <c r="BT8" s="27">
        <f t="shared" si="10"/>
        <v>0.2534</v>
      </c>
      <c r="BU8" s="27">
        <f>IF(VLOOKUP($Q8,武学奇术!$A:$ZZ,22,FALSE)=1,0,(1-$BN8))*(1-$BQ8)</f>
        <v>0</v>
      </c>
      <c r="BV8" s="27" cm="1">
        <f t="array" ref="BV8">SUM(_xlfn.XLOOKUP($R8:$AK8,增益!$A:$A,增益!$W:$W,0))+$I$5</f>
        <v>0.11</v>
      </c>
    </row>
    <row r="9" ht="14.25" spans="1:74">
      <c r="A9" s="42" t="s">
        <v>113</v>
      </c>
      <c r="B9" s="70">
        <f>期望!B9</f>
        <v>0.5494</v>
      </c>
      <c r="C9" s="23"/>
      <c r="D9" t="s">
        <v>0</v>
      </c>
      <c r="E9" t="s">
        <v>1</v>
      </c>
      <c r="F9" s="40" t="s">
        <v>2</v>
      </c>
      <c r="G9" s="45" t="s">
        <v>3</v>
      </c>
      <c r="H9" s="71"/>
      <c r="I9" s="20"/>
      <c r="J9" s="72"/>
      <c r="K9" s="39">
        <f t="shared" si="0"/>
        <v>316779.106128503</v>
      </c>
      <c r="L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317574.134638644</v>
      </c>
      <c r="M9" s="39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325756.106253361</v>
      </c>
      <c r="N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165921.700438163</v>
      </c>
      <c r="O9" s="39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90542.5814293917</v>
      </c>
      <c r="P9" s="40">
        <v>1</v>
      </c>
      <c r="Q9" s="41" t="s">
        <v>106</v>
      </c>
      <c r="R9" s="41" t="s">
        <v>83</v>
      </c>
      <c r="S9" s="41" t="s">
        <v>114</v>
      </c>
      <c r="T9" s="41" t="s">
        <v>77</v>
      </c>
      <c r="U9" s="41" t="s">
        <v>76</v>
      </c>
      <c r="V9" s="41" t="s">
        <v>91</v>
      </c>
      <c r="W9" s="41" t="s">
        <v>78</v>
      </c>
      <c r="X9" s="41" t="s">
        <v>76</v>
      </c>
      <c r="Y9" s="41" t="s">
        <v>76</v>
      </c>
      <c r="Z9" s="41" t="s">
        <v>76</v>
      </c>
      <c r="AA9" s="41" t="s">
        <v>76</v>
      </c>
      <c r="AB9" s="41" t="s">
        <v>76</v>
      </c>
      <c r="AC9" s="41" t="s">
        <v>76</v>
      </c>
      <c r="AD9" s="41" t="s">
        <v>76</v>
      </c>
      <c r="AE9" s="41" t="s">
        <v>80</v>
      </c>
      <c r="AF9" s="41" t="s">
        <v>108</v>
      </c>
      <c r="AG9" s="41" t="s">
        <v>76</v>
      </c>
      <c r="AH9" s="41" t="s">
        <v>76</v>
      </c>
      <c r="AI9" s="41" t="s">
        <v>76</v>
      </c>
      <c r="AJ9" s="41" t="s">
        <v>76</v>
      </c>
      <c r="AK9" s="41" t="s">
        <v>76</v>
      </c>
      <c r="AL9" t="str">
        <f>VLOOKUP($Q9,武学奇术!$A:$ZZ,25,FALSE)</f>
        <v>陌刀</v>
      </c>
      <c r="AM9" s="27">
        <f>VLOOKUP($Q9,武学奇术!$A:$ZZ,26,FALSE)</f>
        <v>7.2368</v>
      </c>
      <c r="AN9" s="28">
        <f>VLOOKUP($Q9,武学奇术!$A:$ZZ,27,FALSE)*(1+IF(OR($AL9=$F$4,$AL9=$F$5),$B$22,0))</f>
        <v>3003</v>
      </c>
      <c r="AO9" s="27">
        <f>VLOOKUP($Q9,武学奇术!$A:$ZZ,28,FALSE)</f>
        <v>10.8553</v>
      </c>
      <c r="AP9" s="28">
        <f>VLOOKUP($Q9,武学奇术!$A:$ZZ,29,FALSE)*(1+IF(OR($AL9=$F$4,$AL9=$F$5),$B$22,0))</f>
        <v>1635</v>
      </c>
      <c r="AQ9" s="27" cm="1">
        <f t="array" ref="AQ9">$G$3+IFERROR(VLOOKUP($AL9,$F$4:$G$7,2,FALSE),0)+VLOOKUP($Q9,武学奇术!$A:$ZZ,2,FALSE)+SUM(_xlfn.XLOOKUP($R9:$AK9,增益!$A:$A,增益!$B:$B,0))</f>
        <v>1.0143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1785.2</v>
      </c>
      <c r="AT9" cm="1">
        <f t="array" ref="AT9">$E$10*(1+$AR9)+VLOOKUP($Q9,武学奇术!$A:$ZZ,4,FALSE)+SUM(_xlfn.XLOOKUP($R9:$AK9,增益!$A:$A,增益!$D:$D,0))-$I$2</f>
        <v>6804.8</v>
      </c>
      <c r="AU9" s="33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0.1885</v>
      </c>
      <c r="AV9" s="33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3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3" cm="1">
        <f t="array" ref="BA9">$G$11+VLOOKUP($Q9,武学奇术!$A:$ZZ,10,FALSE)+SUM(_xlfn.XLOOKUP($R9:$AK9,增益!$A:$A,增益!$J:$J,0))</f>
        <v>0</v>
      </c>
      <c r="BB9">
        <f t="shared" si="3"/>
        <v>662.4</v>
      </c>
      <c r="BC9">
        <f t="shared" si="4"/>
        <v>1260</v>
      </c>
      <c r="BD9" s="33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0.06</v>
      </c>
      <c r="BE9" s="33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3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-0.3</v>
      </c>
      <c r="BI9" s="33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3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3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1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0.8354</v>
      </c>
      <c r="BP9" s="27" cm="1">
        <f t="array" ref="BP9">1+$B$13+VLOOKUP($Q9,武学奇术!$A:$ZZ,18,FALSE)+SUM(_xlfn.XLOOKUP($R9:$AK9,增益!$A:$A,增益!$R:$R,0))</f>
        <v>1.914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0.1512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0.8354</v>
      </c>
      <c r="BT9" s="27">
        <f t="shared" si="10"/>
        <v>0.0134</v>
      </c>
      <c r="BU9" s="27">
        <f>IF(VLOOKUP($Q9,武学奇术!$A:$ZZ,22,FALSE)=1,0,(1-$BN9))*(1-$BQ9)</f>
        <v>0</v>
      </c>
      <c r="BV9" s="27" cm="1">
        <f t="array" ref="BV9">SUM(_xlfn.XLOOKUP($R9:$AK9,增益!$A:$A,增益!$W:$W,0))+$I$5</f>
        <v>0.11</v>
      </c>
    </row>
    <row r="10" spans="1:74">
      <c r="A10" s="42" t="s">
        <v>115</v>
      </c>
      <c r="B10" s="70">
        <f>期望!B10</f>
        <v>0.1512</v>
      </c>
      <c r="C10" s="23" t="s">
        <v>71</v>
      </c>
      <c r="D10">
        <f>期望!D10</f>
        <v>2405.2</v>
      </c>
      <c r="E10">
        <f>期望!E10</f>
        <v>7224.8</v>
      </c>
      <c r="F10">
        <f>期望!F10</f>
        <v>58.7</v>
      </c>
      <c r="G10" s="50">
        <f>期望!G10</f>
        <v>0</v>
      </c>
      <c r="H10" s="68" t="s">
        <v>116</v>
      </c>
      <c r="I10" s="73">
        <f>SUM(K:K)</f>
        <v>14634581.6354141</v>
      </c>
      <c r="J10" s="74"/>
      <c r="K10" s="39">
        <f t="shared" si="0"/>
        <v>189462.989359746</v>
      </c>
      <c r="L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189928.940541624</v>
      </c>
      <c r="M10" s="39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194885.260480418</v>
      </c>
      <c r="N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99231.4213906082</v>
      </c>
      <c r="O10" s="39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54103.3905734997</v>
      </c>
      <c r="P10" s="40">
        <v>1</v>
      </c>
      <c r="Q10" s="41" t="s">
        <v>117</v>
      </c>
      <c r="R10" s="41" t="s">
        <v>90</v>
      </c>
      <c r="S10" s="41" t="s">
        <v>114</v>
      </c>
      <c r="T10" s="41" t="s">
        <v>77</v>
      </c>
      <c r="U10" s="41" t="s">
        <v>76</v>
      </c>
      <c r="V10" s="41" t="s">
        <v>91</v>
      </c>
      <c r="W10" s="41" t="s">
        <v>78</v>
      </c>
      <c r="X10" s="41" t="s">
        <v>76</v>
      </c>
      <c r="Y10" s="41" t="s">
        <v>76</v>
      </c>
      <c r="Z10" s="41" t="s">
        <v>76</v>
      </c>
      <c r="AA10" s="41" t="s">
        <v>76</v>
      </c>
      <c r="AB10" s="41" t="s">
        <v>76</v>
      </c>
      <c r="AC10" s="41" t="s">
        <v>76</v>
      </c>
      <c r="AD10" s="41" t="s">
        <v>76</v>
      </c>
      <c r="AE10" s="41" t="s">
        <v>80</v>
      </c>
      <c r="AF10" s="41" t="s">
        <v>108</v>
      </c>
      <c r="AG10" s="41" t="s">
        <v>76</v>
      </c>
      <c r="AH10" s="41" t="s">
        <v>76</v>
      </c>
      <c r="AI10" s="41" t="s">
        <v>76</v>
      </c>
      <c r="AJ10" s="41" t="s">
        <v>76</v>
      </c>
      <c r="AK10" s="41" t="s">
        <v>76</v>
      </c>
      <c r="AL10" t="str">
        <f>VLOOKUP($Q10,武学奇术!$A:$ZZ,25,FALSE)</f>
        <v>陌刀</v>
      </c>
      <c r="AM10" s="27">
        <f>VLOOKUP($Q10,武学奇术!$A:$ZZ,26,FALSE)</f>
        <v>4.2807</v>
      </c>
      <c r="AN10" s="28">
        <f>VLOOKUP($Q10,武学奇术!$A:$ZZ,27,FALSE)*(1+IF(OR($AL10=$F$4,$AL10=$F$5),$B$22,0))</f>
        <v>1776</v>
      </c>
      <c r="AO10" s="27">
        <f>VLOOKUP($Q10,武学奇术!$A:$ZZ,28,FALSE)</f>
        <v>6.421</v>
      </c>
      <c r="AP10" s="28">
        <f>VLOOKUP($Q10,武学奇术!$A:$ZZ,29,FALSE)*(1+IF(OR($AL10=$F$4,$AL10=$F$5),$B$22,0))</f>
        <v>967.5</v>
      </c>
      <c r="AQ10" s="27" cm="1">
        <f t="array" ref="AQ10">$G$3+IFERROR(VLOOKUP($AL10,$F$4:$G$7,2,FALSE),0)+VLOOKUP($Q10,武学奇术!$A:$ZZ,2,FALSE)+SUM(_xlfn.XLOOKUP($R10:$AK10,增益!$A:$A,增益!$B:$B,0))</f>
        <v>1.0243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1785.2</v>
      </c>
      <c r="AT10" cm="1">
        <f t="array" ref="AT10">$E$10*(1+$AR10)+VLOOKUP($Q10,武学奇术!$A:$ZZ,4,FALSE)+SUM(_xlfn.XLOOKUP($R10:$AK10,增益!$A:$A,增益!$D:$D,0))-$I$2</f>
        <v>6804.8</v>
      </c>
      <c r="AU10" s="33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0.1985</v>
      </c>
      <c r="AV10" s="33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3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3" cm="1">
        <f t="array" ref="BA10">$G$11+VLOOKUP($Q10,武学奇术!$A:$ZZ,10,FALSE)+SUM(_xlfn.XLOOKUP($R10:$AK10,增益!$A:$A,增益!$J:$J,0))</f>
        <v>0</v>
      </c>
      <c r="BB10">
        <f t="shared" si="3"/>
        <v>662.4</v>
      </c>
      <c r="BC10">
        <f t="shared" si="4"/>
        <v>1260</v>
      </c>
      <c r="BD10" s="33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0.06</v>
      </c>
      <c r="BE10" s="33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3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-0.3</v>
      </c>
      <c r="BI10" s="33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3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3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0.8354</v>
      </c>
      <c r="BP10" s="27" cm="1">
        <f t="array" ref="BP10">1+$B$13+VLOOKUP($Q10,武学奇术!$A:$ZZ,18,FALSE)+SUM(_xlfn.XLOOKUP($R10:$AK10,增益!$A:$A,增益!$R:$R,0))</f>
        <v>1.914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0.1512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0.8354</v>
      </c>
      <c r="BT10" s="27">
        <f t="shared" si="10"/>
        <v>0.0134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ht="14.25" spans="1:74">
      <c r="A11" s="42" t="s">
        <v>118</v>
      </c>
      <c r="B11" s="70">
        <f>期望!B11</f>
        <v>0.046</v>
      </c>
      <c r="C11" s="23" t="s">
        <v>81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1"/>
      <c r="I11" s="75"/>
      <c r="J11" s="76"/>
      <c r="K11" s="39">
        <f t="shared" si="0"/>
        <v>334917.393259708</v>
      </c>
      <c r="L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337087.156654475</v>
      </c>
      <c r="M11" s="39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337400.137355627</v>
      </c>
      <c r="N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171632.971819998</v>
      </c>
      <c r="O11" s="39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93339.9159691602</v>
      </c>
      <c r="P11" s="40">
        <v>1</v>
      </c>
      <c r="Q11" s="41" t="s">
        <v>106</v>
      </c>
      <c r="R11" s="41" t="s">
        <v>97</v>
      </c>
      <c r="S11" s="41" t="s">
        <v>114</v>
      </c>
      <c r="T11" s="41" t="s">
        <v>77</v>
      </c>
      <c r="U11" s="41" t="s">
        <v>76</v>
      </c>
      <c r="V11" s="41" t="s">
        <v>98</v>
      </c>
      <c r="W11" s="41" t="s">
        <v>78</v>
      </c>
      <c r="X11" s="41" t="s">
        <v>92</v>
      </c>
      <c r="Y11" s="41" t="s">
        <v>76</v>
      </c>
      <c r="Z11" s="41" t="s">
        <v>76</v>
      </c>
      <c r="AA11" s="41" t="s">
        <v>76</v>
      </c>
      <c r="AB11" s="41" t="s">
        <v>76</v>
      </c>
      <c r="AC11" s="41" t="s">
        <v>76</v>
      </c>
      <c r="AD11" s="41" t="s">
        <v>76</v>
      </c>
      <c r="AE11" s="41" t="s">
        <v>80</v>
      </c>
      <c r="AF11" s="41" t="s">
        <v>108</v>
      </c>
      <c r="AG11" s="41" t="s">
        <v>76</v>
      </c>
      <c r="AH11" s="41" t="s">
        <v>76</v>
      </c>
      <c r="AI11" s="41" t="s">
        <v>76</v>
      </c>
      <c r="AJ11" s="41" t="s">
        <v>76</v>
      </c>
      <c r="AK11" s="41" t="s">
        <v>76</v>
      </c>
      <c r="AL11" t="str">
        <f>VLOOKUP($Q11,武学奇术!$A:$ZZ,25,FALSE)</f>
        <v>陌刀</v>
      </c>
      <c r="AM11" s="27">
        <f>VLOOKUP($Q11,武学奇术!$A:$ZZ,26,FALSE)</f>
        <v>7.2368</v>
      </c>
      <c r="AN11" s="28">
        <f>VLOOKUP($Q11,武学奇术!$A:$ZZ,27,FALSE)*(1+IF(OR($AL11=$F$4,$AL11=$F$5),$B$22,0))</f>
        <v>3003</v>
      </c>
      <c r="AO11" s="27">
        <f>VLOOKUP($Q11,武学奇术!$A:$ZZ,28,FALSE)</f>
        <v>10.8553</v>
      </c>
      <c r="AP11" s="28">
        <f>VLOOKUP($Q11,武学奇术!$A:$ZZ,29,FALSE)*(1+IF(OR($AL11=$F$4,$AL11=$F$5),$B$22,0))</f>
        <v>1635</v>
      </c>
      <c r="AQ11" s="27" cm="1">
        <f t="array" ref="AQ11">$G$3+IFERROR(VLOOKUP($AL11,$F$4:$G$7,2,FALSE),0)+VLOOKUP($Q11,武学奇术!$A:$ZZ,2,FALSE)+SUM(_xlfn.XLOOKUP($R11:$AK11,增益!$A:$A,增益!$B:$B,0))</f>
        <v>1.0343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1785.2</v>
      </c>
      <c r="AT11" cm="1">
        <f t="array" ref="AT11">$E$10*(1+$AR11)+VLOOKUP($Q11,武学奇术!$A:$ZZ,4,FALSE)+SUM(_xlfn.XLOOKUP($R11:$AK11,增益!$A:$A,增益!$D:$D,0))-$I$2</f>
        <v>6804.8</v>
      </c>
      <c r="AU11" s="33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0.2285</v>
      </c>
      <c r="AV11" s="33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3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3" cm="1">
        <f t="array" ref="BA11">$G$11+VLOOKUP($Q11,武学奇术!$A:$ZZ,10,FALSE)+SUM(_xlfn.XLOOKUP($R11:$AK11,增益!$A:$A,增益!$J:$J,0))</f>
        <v>0</v>
      </c>
      <c r="BB11">
        <f t="shared" si="3"/>
        <v>662.4</v>
      </c>
      <c r="BC11">
        <f t="shared" si="4"/>
        <v>1260</v>
      </c>
      <c r="BD11" s="33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0.06</v>
      </c>
      <c r="BE11" s="33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3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-0.3</v>
      </c>
      <c r="BI11" s="33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3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3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0.8354</v>
      </c>
      <c r="BP11" s="27" cm="1">
        <f t="array" ref="BP11">1+$B$13+VLOOKUP($Q11,武学奇术!$A:$ZZ,18,FALSE)+SUM(_xlfn.XLOOKUP($R11:$AK11,增益!$A:$A,增益!$R:$R,0))</f>
        <v>1.964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0.1512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0.8354</v>
      </c>
      <c r="BT11" s="27">
        <f t="shared" si="10"/>
        <v>0.0134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2" t="s">
        <v>119</v>
      </c>
      <c r="B12" s="70">
        <f>期望!B12</f>
        <v>0</v>
      </c>
      <c r="C12" s="23" t="s">
        <v>5</v>
      </c>
      <c r="D12">
        <f>期望!D12</f>
        <v>662.4</v>
      </c>
      <c r="E12">
        <f>期望!E12</f>
        <v>1260</v>
      </c>
      <c r="F12">
        <f>期望!F12</f>
        <v>42</v>
      </c>
      <c r="G12" s="50">
        <f>期望!G12</f>
        <v>0.15</v>
      </c>
      <c r="H12" s="68" t="s">
        <v>178</v>
      </c>
      <c r="I12" s="39">
        <f>I10/I8</f>
        <v>144325.262676668</v>
      </c>
      <c r="J12" s="77"/>
      <c r="K12" s="39">
        <f t="shared" si="0"/>
        <v>204047.337443952</v>
      </c>
      <c r="L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205843.282271716</v>
      </c>
      <c r="M12" s="39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203059.256238544</v>
      </c>
      <c r="N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103231.335141282</v>
      </c>
      <c r="O12" s="39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56048.4064021601</v>
      </c>
      <c r="P12" s="40">
        <v>1</v>
      </c>
      <c r="Q12" s="41" t="s">
        <v>117</v>
      </c>
      <c r="R12" s="41" t="s">
        <v>101</v>
      </c>
      <c r="S12" s="41" t="s">
        <v>114</v>
      </c>
      <c r="T12" s="41" t="s">
        <v>77</v>
      </c>
      <c r="U12" s="41" t="s">
        <v>76</v>
      </c>
      <c r="V12" s="41" t="s">
        <v>102</v>
      </c>
      <c r="W12" s="41" t="s">
        <v>78</v>
      </c>
      <c r="X12" s="41" t="s">
        <v>121</v>
      </c>
      <c r="Y12" s="41" t="s">
        <v>76</v>
      </c>
      <c r="Z12" s="41" t="s">
        <v>76</v>
      </c>
      <c r="AA12" s="41" t="s">
        <v>76</v>
      </c>
      <c r="AB12" s="41" t="s">
        <v>76</v>
      </c>
      <c r="AC12" s="41" t="s">
        <v>76</v>
      </c>
      <c r="AD12" s="41" t="s">
        <v>76</v>
      </c>
      <c r="AE12" s="41" t="s">
        <v>80</v>
      </c>
      <c r="AF12" s="41" t="s">
        <v>108</v>
      </c>
      <c r="AG12" s="41" t="s">
        <v>76</v>
      </c>
      <c r="AH12" s="41" t="s">
        <v>76</v>
      </c>
      <c r="AI12" s="41" t="s">
        <v>76</v>
      </c>
      <c r="AJ12" s="41" t="s">
        <v>76</v>
      </c>
      <c r="AK12" s="41" t="s">
        <v>76</v>
      </c>
      <c r="AL12" t="str">
        <f>VLOOKUP($Q12,武学奇术!$A:$ZZ,25,FALSE)</f>
        <v>陌刀</v>
      </c>
      <c r="AM12" s="27">
        <f>VLOOKUP($Q12,武学奇术!$A:$ZZ,26,FALSE)</f>
        <v>4.2807</v>
      </c>
      <c r="AN12" s="28">
        <f>VLOOKUP($Q12,武学奇术!$A:$ZZ,27,FALSE)*(1+IF(OR($AL12=$F$4,$AL12=$F$5),$B$22,0))</f>
        <v>1776</v>
      </c>
      <c r="AO12" s="27">
        <f>VLOOKUP($Q12,武学奇术!$A:$ZZ,28,FALSE)</f>
        <v>6.421</v>
      </c>
      <c r="AP12" s="28">
        <f>VLOOKUP($Q12,武学奇术!$A:$ZZ,29,FALSE)*(1+IF(OR($AL12=$F$4,$AL12=$F$5),$B$22,0))</f>
        <v>967.5</v>
      </c>
      <c r="AQ12" s="27" cm="1">
        <f t="array" ref="AQ12">$G$3+IFERROR(VLOOKUP($AL12,$F$4:$G$7,2,FALSE),0)+VLOOKUP($Q12,武学奇术!$A:$ZZ,2,FALSE)+SUM(_xlfn.XLOOKUP($R12:$AK12,增益!$A:$A,增益!$B:$B,0))</f>
        <v>1.0443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1785.2</v>
      </c>
      <c r="AT12" cm="1">
        <f t="array" ref="AT12">$E$10*(1+$AR12)+VLOOKUP($Q12,武学奇术!$A:$ZZ,4,FALSE)+SUM(_xlfn.XLOOKUP($R12:$AK12,增益!$A:$A,增益!$D:$D,0))-$I$2</f>
        <v>6804.8</v>
      </c>
      <c r="AU12" s="33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0.2485</v>
      </c>
      <c r="AV12" s="33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3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3" cm="1">
        <f t="array" ref="BA12">$G$11+VLOOKUP($Q12,武学奇术!$A:$ZZ,10,FALSE)+SUM(_xlfn.XLOOKUP($R12:$AK12,增益!$A:$A,增益!$J:$J,0))</f>
        <v>0</v>
      </c>
      <c r="BB12">
        <f t="shared" si="3"/>
        <v>662.4</v>
      </c>
      <c r="BC12">
        <f t="shared" si="4"/>
        <v>1260</v>
      </c>
      <c r="BD12" s="33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0.06</v>
      </c>
      <c r="BE12" s="33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3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-0.3</v>
      </c>
      <c r="BI12" s="33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3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3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0.8354</v>
      </c>
      <c r="BP12" s="27" cm="1">
        <f t="array" ref="BP12">1+$B$13+VLOOKUP($Q12,武学奇术!$A:$ZZ,18,FALSE)+SUM(_xlfn.XLOOKUP($R12:$AK12,增益!$A:$A,增益!$R:$R,0))</f>
        <v>1.994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0.1512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0.8354</v>
      </c>
      <c r="BT12" s="27">
        <f t="shared" si="10"/>
        <v>0.0134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ht="14.25" spans="1:74">
      <c r="A13" s="42" t="s">
        <v>122</v>
      </c>
      <c r="B13" s="70">
        <f>期望!B13</f>
        <v>0.644</v>
      </c>
      <c r="C13" s="23" t="s">
        <v>94</v>
      </c>
      <c r="D13">
        <f>期望!D13</f>
        <v>0</v>
      </c>
      <c r="E13">
        <f>期望!E13</f>
        <v>0</v>
      </c>
      <c r="F13">
        <f>期望!F13</f>
        <v>0</v>
      </c>
      <c r="G13" s="50">
        <f>期望!G13</f>
        <v>0</v>
      </c>
      <c r="H13" s="71"/>
      <c r="I13" s="78"/>
      <c r="J13" s="76"/>
      <c r="K13" s="39">
        <f t="shared" si="0"/>
        <v>349920.71846093</v>
      </c>
      <c r="L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353536.60314301</v>
      </c>
      <c r="M13" s="39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345396.895248921</v>
      </c>
      <c r="N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175539.524897224</v>
      </c>
      <c r="O13" s="39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95229.4977582107</v>
      </c>
      <c r="P13" s="40">
        <v>1</v>
      </c>
      <c r="Q13" s="41" t="s">
        <v>106</v>
      </c>
      <c r="R13" s="41" t="s">
        <v>101</v>
      </c>
      <c r="S13" s="41" t="s">
        <v>114</v>
      </c>
      <c r="T13" s="41" t="s">
        <v>77</v>
      </c>
      <c r="U13" s="41" t="s">
        <v>76</v>
      </c>
      <c r="V13" s="41" t="s">
        <v>102</v>
      </c>
      <c r="W13" s="41" t="s">
        <v>78</v>
      </c>
      <c r="X13" s="41" t="s">
        <v>103</v>
      </c>
      <c r="Y13" s="41" t="s">
        <v>76</v>
      </c>
      <c r="Z13" s="41" t="s">
        <v>76</v>
      </c>
      <c r="AA13" s="41" t="s">
        <v>76</v>
      </c>
      <c r="AB13" s="41" t="s">
        <v>76</v>
      </c>
      <c r="AC13" s="41" t="s">
        <v>76</v>
      </c>
      <c r="AD13" s="41" t="s">
        <v>76</v>
      </c>
      <c r="AE13" s="41" t="s">
        <v>80</v>
      </c>
      <c r="AF13" s="41" t="s">
        <v>108</v>
      </c>
      <c r="AG13" s="41" t="s">
        <v>76</v>
      </c>
      <c r="AH13" s="41" t="s">
        <v>76</v>
      </c>
      <c r="AI13" s="41" t="s">
        <v>76</v>
      </c>
      <c r="AJ13" s="41" t="s">
        <v>76</v>
      </c>
      <c r="AK13" s="41" t="s">
        <v>76</v>
      </c>
      <c r="AL13" t="str">
        <f>VLOOKUP($Q13,武学奇术!$A:$ZZ,25,FALSE)</f>
        <v>陌刀</v>
      </c>
      <c r="AM13" s="27">
        <f>VLOOKUP($Q13,武学奇术!$A:$ZZ,26,FALSE)</f>
        <v>7.2368</v>
      </c>
      <c r="AN13" s="28">
        <f>VLOOKUP($Q13,武学奇术!$A:$ZZ,27,FALSE)*(1+IF(OR($AL13=$F$4,$AL13=$F$5),$B$22,0))</f>
        <v>3003</v>
      </c>
      <c r="AO13" s="27">
        <f>VLOOKUP($Q13,武学奇术!$A:$ZZ,28,FALSE)</f>
        <v>10.8553</v>
      </c>
      <c r="AP13" s="28">
        <f>VLOOKUP($Q13,武学奇术!$A:$ZZ,29,FALSE)*(1+IF(OR($AL13=$F$4,$AL13=$F$5),$B$22,0))</f>
        <v>1635</v>
      </c>
      <c r="AQ13" s="27" cm="1">
        <f t="array" ref="AQ13">$G$3+IFERROR(VLOOKUP($AL13,$F$4:$G$7,2,FALSE),0)+VLOOKUP($Q13,武学奇术!$A:$ZZ,2,FALSE)+SUM(_xlfn.XLOOKUP($R13:$AK13,增益!$A:$A,增益!$B:$B,0))</f>
        <v>1.0443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1785.2</v>
      </c>
      <c r="AT13" cm="1">
        <f t="array" ref="AT13">$E$10*(1+$AR13)+VLOOKUP($Q13,武学奇术!$A:$ZZ,4,FALSE)+SUM(_xlfn.XLOOKUP($R13:$AK13,增益!$A:$A,增益!$D:$D,0))-$I$2</f>
        <v>6804.8</v>
      </c>
      <c r="AU13" s="33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0.2585</v>
      </c>
      <c r="AV13" s="33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3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3" cm="1">
        <f t="array" ref="BA13">$G$11+VLOOKUP($Q13,武学奇术!$A:$ZZ,10,FALSE)+SUM(_xlfn.XLOOKUP($R13:$AK13,增益!$A:$A,增益!$J:$J,0))</f>
        <v>0</v>
      </c>
      <c r="BB13">
        <f t="shared" si="3"/>
        <v>662.4</v>
      </c>
      <c r="BC13">
        <f t="shared" si="4"/>
        <v>1260</v>
      </c>
      <c r="BD13" s="33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0.06</v>
      </c>
      <c r="BE13" s="33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3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-0.3</v>
      </c>
      <c r="BI13" s="33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3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3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0.8354</v>
      </c>
      <c r="BP13" s="27" cm="1">
        <f t="array" ref="BP13">1+$B$13+VLOOKUP($Q13,武学奇术!$A:$ZZ,18,FALSE)+SUM(_xlfn.XLOOKUP($R13:$AK13,增益!$A:$A,增益!$R:$R,0))</f>
        <v>2.014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0.1512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0.8354</v>
      </c>
      <c r="BT13" s="27">
        <f t="shared" si="10"/>
        <v>0.0134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ht="14.25" spans="1:74">
      <c r="A14" s="42" t="s">
        <v>123</v>
      </c>
      <c r="B14" s="70">
        <f>期望!B14</f>
        <v>0.35</v>
      </c>
      <c r="C14" s="13" t="s">
        <v>99</v>
      </c>
      <c r="D14" s="13">
        <f>期望!D14</f>
        <v>0</v>
      </c>
      <c r="E14" s="13">
        <f>期望!E14</f>
        <v>0</v>
      </c>
      <c r="F14" s="13">
        <f>期望!F14</f>
        <v>0</v>
      </c>
      <c r="G14" s="64">
        <f>期望!G14</f>
        <v>0</v>
      </c>
      <c r="H14" s="37" t="s">
        <v>124</v>
      </c>
      <c r="I14" s="73">
        <f>I12+120000*16%</f>
        <v>163525.262676668</v>
      </c>
      <c r="J14" s="74"/>
      <c r="K14" s="39">
        <f t="shared" si="0"/>
        <v>198673.280103139</v>
      </c>
      <c r="L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199085.42662705</v>
      </c>
      <c r="M14" s="39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204785.110329123</v>
      </c>
      <c r="N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104015.374413297</v>
      </c>
      <c r="O14" s="39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56338.0745087243</v>
      </c>
      <c r="P14" s="40">
        <v>1</v>
      </c>
      <c r="Q14" s="41" t="s">
        <v>117</v>
      </c>
      <c r="R14" s="41" t="s">
        <v>101</v>
      </c>
      <c r="S14" s="41" t="s">
        <v>114</v>
      </c>
      <c r="T14" s="41" t="s">
        <v>76</v>
      </c>
      <c r="U14" s="41" t="s">
        <v>76</v>
      </c>
      <c r="V14" s="41" t="s">
        <v>125</v>
      </c>
      <c r="W14" s="41" t="s">
        <v>76</v>
      </c>
      <c r="X14" s="41" t="s">
        <v>126</v>
      </c>
      <c r="Y14" s="41" t="s">
        <v>76</v>
      </c>
      <c r="Z14" s="41" t="s">
        <v>76</v>
      </c>
      <c r="AA14" s="41" t="s">
        <v>76</v>
      </c>
      <c r="AB14" s="41" t="s">
        <v>76</v>
      </c>
      <c r="AC14" s="41" t="s">
        <v>76</v>
      </c>
      <c r="AD14" s="41" t="s">
        <v>76</v>
      </c>
      <c r="AE14" s="41" t="s">
        <v>80</v>
      </c>
      <c r="AF14" s="41" t="s">
        <v>108</v>
      </c>
      <c r="AG14" s="41" t="s">
        <v>76</v>
      </c>
      <c r="AH14" s="41" t="s">
        <v>76</v>
      </c>
      <c r="AI14" s="41" t="s">
        <v>76</v>
      </c>
      <c r="AJ14" s="41" t="s">
        <v>76</v>
      </c>
      <c r="AK14" s="41" t="s">
        <v>76</v>
      </c>
      <c r="AL14" t="str">
        <f>VLOOKUP($Q14,武学奇术!$A:$ZZ,25,FALSE)</f>
        <v>陌刀</v>
      </c>
      <c r="AM14" s="27">
        <f>VLOOKUP($Q14,武学奇术!$A:$ZZ,26,FALSE)</f>
        <v>4.2807</v>
      </c>
      <c r="AN14" s="28">
        <f>VLOOKUP($Q14,武学奇术!$A:$ZZ,27,FALSE)*(1+IF(OR($AL14=$F$4,$AL14=$F$5),$B$22,0))</f>
        <v>1776</v>
      </c>
      <c r="AO14" s="27">
        <f>VLOOKUP($Q14,武学奇术!$A:$ZZ,28,FALSE)</f>
        <v>6.421</v>
      </c>
      <c r="AP14" s="28">
        <f>VLOOKUP($Q14,武学奇术!$A:$ZZ,29,FALSE)*(1+IF(OR($AL14=$F$4,$AL14=$F$5),$B$22,0))</f>
        <v>967.5</v>
      </c>
      <c r="AQ14" s="27" cm="1">
        <f t="array" ref="AQ14">$G$3+IFERROR(VLOOKUP($AL14,$F$4:$G$7,2,FALSE),0)+VLOOKUP($Q14,武学奇术!$A:$ZZ,2,FALSE)+SUM(_xlfn.XLOOKUP($R14:$AK14,增益!$A:$A,增益!$B:$B,0))</f>
        <v>1.0243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1785.2</v>
      </c>
      <c r="AT14" cm="1">
        <f t="array" ref="AT14">$E$10*(1+$AR14)+VLOOKUP($Q14,武学奇术!$A:$ZZ,4,FALSE)+SUM(_xlfn.XLOOKUP($R14:$AK14,增益!$A:$A,增益!$D:$D,0))-$I$2</f>
        <v>6804.8</v>
      </c>
      <c r="AU14" s="33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0.2785</v>
      </c>
      <c r="AV14" s="33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3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3" cm="1">
        <f t="array" ref="BA14">$G$11+VLOOKUP($Q14,武学奇术!$A:$ZZ,10,FALSE)+SUM(_xlfn.XLOOKUP($R14:$AK14,增益!$A:$A,增益!$J:$J,0))</f>
        <v>0</v>
      </c>
      <c r="BB14">
        <f t="shared" si="3"/>
        <v>662.4</v>
      </c>
      <c r="BC14">
        <f t="shared" si="4"/>
        <v>1260</v>
      </c>
      <c r="BD14" s="33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0.06</v>
      </c>
      <c r="BE14" s="33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3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-0.3</v>
      </c>
      <c r="BI14" s="33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3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3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0.8354</v>
      </c>
      <c r="BP14" s="27" cm="1">
        <f t="array" ref="BP14">1+$B$13+VLOOKUP($Q14,武学奇术!$A:$ZZ,18,FALSE)+SUM(_xlfn.XLOOKUP($R14:$AK14,增益!$A:$A,增益!$R:$R,0))</f>
        <v>1.914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0.1512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0.8354</v>
      </c>
      <c r="BT14" s="27">
        <f t="shared" si="10"/>
        <v>0.0134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ht="14.25" spans="1:74">
      <c r="A15" s="42" t="s">
        <v>127</v>
      </c>
      <c r="B15" s="70">
        <f>期望!B15</f>
        <v>0.0847</v>
      </c>
      <c r="C15" s="40" t="s">
        <v>128</v>
      </c>
      <c r="D15" s="40"/>
      <c r="F15" s="79"/>
      <c r="H15" s="80"/>
      <c r="I15" s="75"/>
      <c r="J15" s="76"/>
      <c r="K15" s="39">
        <f t="shared" si="0"/>
        <v>327619.90392215</v>
      </c>
      <c r="L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327480.96654599</v>
      </c>
      <c r="M15" s="39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342017.773835734</v>
      </c>
      <c r="N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173822.169079612</v>
      </c>
      <c r="O15" s="39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94297.8390216436</v>
      </c>
      <c r="P15" s="40">
        <v>1</v>
      </c>
      <c r="Q15" s="41" t="s">
        <v>106</v>
      </c>
      <c r="R15" s="41" t="s">
        <v>101</v>
      </c>
      <c r="S15" s="41" t="s">
        <v>114</v>
      </c>
      <c r="T15" s="41" t="s">
        <v>76</v>
      </c>
      <c r="U15" s="41" t="s">
        <v>76</v>
      </c>
      <c r="V15" s="41" t="s">
        <v>129</v>
      </c>
      <c r="W15" s="41" t="s">
        <v>76</v>
      </c>
      <c r="X15" s="41" t="s">
        <v>103</v>
      </c>
      <c r="Y15" s="41" t="s">
        <v>76</v>
      </c>
      <c r="Z15" s="41" t="s">
        <v>76</v>
      </c>
      <c r="AA15" s="41" t="s">
        <v>76</v>
      </c>
      <c r="AB15" s="41" t="s">
        <v>76</v>
      </c>
      <c r="AC15" s="41" t="s">
        <v>76</v>
      </c>
      <c r="AD15" s="41" t="s">
        <v>76</v>
      </c>
      <c r="AE15" s="41" t="s">
        <v>80</v>
      </c>
      <c r="AF15" s="41" t="s">
        <v>108</v>
      </c>
      <c r="AG15" s="41" t="s">
        <v>76</v>
      </c>
      <c r="AH15" s="41" t="s">
        <v>76</v>
      </c>
      <c r="AI15" s="41" t="s">
        <v>76</v>
      </c>
      <c r="AJ15" s="41" t="s">
        <v>76</v>
      </c>
      <c r="AK15" s="41" t="s">
        <v>76</v>
      </c>
      <c r="AL15" t="str">
        <f>VLOOKUP($Q15,武学奇术!$A:$ZZ,25,FALSE)</f>
        <v>陌刀</v>
      </c>
      <c r="AM15" s="27">
        <f>VLOOKUP($Q15,武学奇术!$A:$ZZ,26,FALSE)</f>
        <v>7.2368</v>
      </c>
      <c r="AN15" s="28">
        <f>VLOOKUP($Q15,武学奇术!$A:$ZZ,27,FALSE)*(1+IF(OR($AL15=$F$4,$AL15=$F$5),$B$22,0))</f>
        <v>3003</v>
      </c>
      <c r="AO15" s="27">
        <f>VLOOKUP($Q15,武学奇术!$A:$ZZ,28,FALSE)</f>
        <v>10.8553</v>
      </c>
      <c r="AP15" s="28">
        <f>VLOOKUP($Q15,武学奇术!$A:$ZZ,29,FALSE)*(1+IF(OR($AL15=$F$4,$AL15=$F$5),$B$22,0))</f>
        <v>1635</v>
      </c>
      <c r="AQ15" s="27" cm="1">
        <f t="array" ref="AQ15">$G$3+IFERROR(VLOOKUP($AL15,$F$4:$G$7,2,FALSE),0)+VLOOKUP($Q15,武学奇术!$A:$ZZ,2,FALSE)+SUM(_xlfn.XLOOKUP($R15:$AK15,增益!$A:$A,增益!$B:$B,0))</f>
        <v>1.0243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1785.2</v>
      </c>
      <c r="AT15" cm="1">
        <f t="array" ref="AT15">$E$10*(1+$AR15)+VLOOKUP($Q15,武学奇术!$A:$ZZ,4,FALSE)+SUM(_xlfn.XLOOKUP($R15:$AK15,增益!$A:$A,增益!$D:$D,0))-$I$2</f>
        <v>6804.8</v>
      </c>
      <c r="AU15" s="33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0.2585</v>
      </c>
      <c r="AV15" s="33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3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3" cm="1">
        <f t="array" ref="BA15">$G$11+VLOOKUP($Q15,武学奇术!$A:$ZZ,10,FALSE)+SUM(_xlfn.XLOOKUP($R15:$AK15,增益!$A:$A,增益!$J:$J,0))</f>
        <v>0</v>
      </c>
      <c r="BB15">
        <f t="shared" si="3"/>
        <v>662.4</v>
      </c>
      <c r="BC15">
        <f t="shared" si="4"/>
        <v>1260</v>
      </c>
      <c r="BD15" s="33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0.06</v>
      </c>
      <c r="BE15" s="33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3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-0.3</v>
      </c>
      <c r="BI15" s="33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3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3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0.8354</v>
      </c>
      <c r="BP15" s="27" cm="1">
        <f t="array" ref="BP15">1+$B$13+VLOOKUP($Q15,武学奇术!$A:$ZZ,18,FALSE)+SUM(_xlfn.XLOOKUP($R15:$AK15,增益!$A:$A,增益!$R:$R,0))</f>
        <v>1.884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0.1512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0.8354</v>
      </c>
      <c r="BT15" s="27">
        <f t="shared" si="10"/>
        <v>0.0134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2" t="s">
        <v>130</v>
      </c>
      <c r="B16" s="70">
        <f>期望!B16</f>
        <v>0.0892</v>
      </c>
      <c r="C16" s="40"/>
      <c r="D16" s="40"/>
      <c r="E16" s="40" t="s">
        <v>131</v>
      </c>
      <c r="F16" s="79" t="s">
        <v>132</v>
      </c>
      <c r="H16" s="68" t="s">
        <v>133</v>
      </c>
      <c r="I16" s="81"/>
      <c r="J16" s="82"/>
      <c r="K16" s="39">
        <f t="shared" si="0"/>
        <v>203905.961226583</v>
      </c>
      <c r="L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204998.762392269</v>
      </c>
      <c r="M16" s="39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206641.332175755</v>
      </c>
      <c r="N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104912.365605051</v>
      </c>
      <c r="O16" s="39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56757.077746579</v>
      </c>
      <c r="P16" s="40">
        <v>1</v>
      </c>
      <c r="Q16" s="41" t="s">
        <v>117</v>
      </c>
      <c r="R16" s="41" t="s">
        <v>101</v>
      </c>
      <c r="S16" s="41" t="s">
        <v>114</v>
      </c>
      <c r="T16" s="41" t="s">
        <v>76</v>
      </c>
      <c r="U16" s="41" t="s">
        <v>76</v>
      </c>
      <c r="V16" s="41" t="s">
        <v>129</v>
      </c>
      <c r="W16" s="41" t="s">
        <v>76</v>
      </c>
      <c r="X16" s="41" t="s">
        <v>134</v>
      </c>
      <c r="Y16" s="41" t="s">
        <v>76</v>
      </c>
      <c r="Z16" s="41" t="s">
        <v>76</v>
      </c>
      <c r="AA16" s="41" t="s">
        <v>76</v>
      </c>
      <c r="AB16" s="41" t="s">
        <v>76</v>
      </c>
      <c r="AC16" s="41" t="s">
        <v>76</v>
      </c>
      <c r="AD16" s="41" t="s">
        <v>76</v>
      </c>
      <c r="AE16" s="41" t="s">
        <v>80</v>
      </c>
      <c r="AF16" s="41" t="s">
        <v>108</v>
      </c>
      <c r="AG16" s="41" t="s">
        <v>76</v>
      </c>
      <c r="AH16" s="41" t="s">
        <v>76</v>
      </c>
      <c r="AI16" s="41" t="s">
        <v>76</v>
      </c>
      <c r="AJ16" s="41" t="s">
        <v>76</v>
      </c>
      <c r="AK16" s="41" t="s">
        <v>76</v>
      </c>
      <c r="AL16" t="str">
        <f>VLOOKUP($Q16,武学奇术!$A:$ZZ,25,FALSE)</f>
        <v>陌刀</v>
      </c>
      <c r="AM16" s="27">
        <f>VLOOKUP($Q16,武学奇术!$A:$ZZ,26,FALSE)</f>
        <v>4.2807</v>
      </c>
      <c r="AN16" s="28">
        <f>VLOOKUP($Q16,武学奇术!$A:$ZZ,27,FALSE)*(1+IF(OR($AL16=$F$4,$AL16=$F$5),$B$22,0))</f>
        <v>1776</v>
      </c>
      <c r="AO16" s="27">
        <f>VLOOKUP($Q16,武学奇术!$A:$ZZ,28,FALSE)</f>
        <v>6.421</v>
      </c>
      <c r="AP16" s="28">
        <f>VLOOKUP($Q16,武学奇术!$A:$ZZ,29,FALSE)*(1+IF(OR($AL16=$F$4,$AL16=$F$5),$B$22,0))</f>
        <v>967.5</v>
      </c>
      <c r="AQ16" s="27" cm="1">
        <f t="array" ref="AQ16">$G$3+IFERROR(VLOOKUP($AL16,$F$4:$G$7,2,FALSE),0)+VLOOKUP($Q16,武学奇术!$A:$ZZ,2,FALSE)+SUM(_xlfn.XLOOKUP($R16:$AK16,增益!$A:$A,增益!$B:$B,0))</f>
        <v>1.0243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1785.2</v>
      </c>
      <c r="AT16" cm="1">
        <f t="array" ref="AT16">$E$10*(1+$AR16)+VLOOKUP($Q16,武学奇术!$A:$ZZ,4,FALSE)+SUM(_xlfn.XLOOKUP($R16:$AK16,增益!$A:$A,增益!$D:$D,0))-$I$2</f>
        <v>6804.8</v>
      </c>
      <c r="AU16" s="33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0.2935</v>
      </c>
      <c r="AV16" s="33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3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3" cm="1">
        <f t="array" ref="BA16">$G$11+VLOOKUP($Q16,武学奇术!$A:$ZZ,10,FALSE)+SUM(_xlfn.XLOOKUP($R16:$AK16,增益!$A:$A,增益!$J:$J,0))</f>
        <v>0</v>
      </c>
      <c r="BB16">
        <f t="shared" si="3"/>
        <v>662.4</v>
      </c>
      <c r="BC16">
        <f t="shared" si="4"/>
        <v>1260</v>
      </c>
      <c r="BD16" s="33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3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3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3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3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3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0.8354</v>
      </c>
      <c r="BP16" s="27" cm="1">
        <f t="array" ref="BP16">1+$B$13+VLOOKUP($Q16,武学奇术!$A:$ZZ,18,FALSE)+SUM(_xlfn.XLOOKUP($R16:$AK16,增益!$A:$A,增益!$R:$R,0))</f>
        <v>1.954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0.1512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0.8354</v>
      </c>
      <c r="BT16" s="27">
        <f t="shared" si="10"/>
        <v>0.0134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ht="14.25" spans="1:74">
      <c r="A17" s="42" t="s">
        <v>135</v>
      </c>
      <c r="B17" s="70">
        <f>期望!B17</f>
        <v>0.0854</v>
      </c>
      <c r="C17" s="40" t="s">
        <v>136</v>
      </c>
      <c r="D17" s="79" t="s">
        <v>152</v>
      </c>
      <c r="E17" s="40" t="s">
        <v>137</v>
      </c>
      <c r="F17" s="79" t="s">
        <v>152</v>
      </c>
      <c r="H17" s="71"/>
      <c r="I17" s="83"/>
      <c r="J17" s="84"/>
      <c r="K17" s="39">
        <f t="shared" si="0"/>
        <v>304230.317195837</v>
      </c>
      <c r="L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304875.387678939</v>
      </c>
      <c r="M17" s="39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313511.719848052</v>
      </c>
      <c r="N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159287.036404879</v>
      </c>
      <c r="O17" s="39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86343.1692186089</v>
      </c>
      <c r="P17" s="40">
        <v>1</v>
      </c>
      <c r="Q17" s="41" t="s">
        <v>106</v>
      </c>
      <c r="R17" s="41" t="s">
        <v>101</v>
      </c>
      <c r="S17" s="41" t="s">
        <v>76</v>
      </c>
      <c r="T17" s="41" t="s">
        <v>76</v>
      </c>
      <c r="U17" s="41" t="s">
        <v>76</v>
      </c>
      <c r="V17" s="41" t="s">
        <v>138</v>
      </c>
      <c r="W17" s="41" t="s">
        <v>76</v>
      </c>
      <c r="X17" s="41" t="s">
        <v>139</v>
      </c>
      <c r="Y17" s="41" t="s">
        <v>76</v>
      </c>
      <c r="Z17" s="41" t="s">
        <v>76</v>
      </c>
      <c r="AA17" s="41" t="s">
        <v>76</v>
      </c>
      <c r="AB17" s="41" t="s">
        <v>76</v>
      </c>
      <c r="AC17" s="41" t="s">
        <v>76</v>
      </c>
      <c r="AD17" s="41" t="s">
        <v>76</v>
      </c>
      <c r="AE17" s="41" t="s">
        <v>80</v>
      </c>
      <c r="AF17" s="41" t="s">
        <v>108</v>
      </c>
      <c r="AG17" s="41" t="s">
        <v>76</v>
      </c>
      <c r="AH17" s="41" t="s">
        <v>76</v>
      </c>
      <c r="AI17" s="41" t="s">
        <v>76</v>
      </c>
      <c r="AJ17" s="41" t="s">
        <v>76</v>
      </c>
      <c r="AK17" s="41" t="s">
        <v>76</v>
      </c>
      <c r="AL17" t="str">
        <f>VLOOKUP($Q17,武学奇术!$A:$ZZ,25,FALSE)</f>
        <v>陌刀</v>
      </c>
      <c r="AM17" s="27">
        <f>VLOOKUP($Q17,武学奇术!$A:$ZZ,26,FALSE)</f>
        <v>7.2368</v>
      </c>
      <c r="AN17" s="28">
        <f>VLOOKUP($Q17,武学奇术!$A:$ZZ,27,FALSE)*(1+IF(OR($AL17=$F$4,$AL17=$F$5),$B$22,0))</f>
        <v>3003</v>
      </c>
      <c r="AO17" s="27">
        <f>VLOOKUP($Q17,武学奇术!$A:$ZZ,28,FALSE)</f>
        <v>10.8553</v>
      </c>
      <c r="AP17" s="28">
        <f>VLOOKUP($Q17,武学奇术!$A:$ZZ,29,FALSE)*(1+IF(OR($AL17=$F$4,$AL17=$F$5),$B$22,0))</f>
        <v>1635</v>
      </c>
      <c r="AQ17" s="27" cm="1">
        <f t="array" ref="AQ17">$G$3+IFERROR(VLOOKUP($AL17,$F$4:$G$7,2,FALSE),0)+VLOOKUP($Q17,武学奇术!$A:$ZZ,2,FALSE)+SUM(_xlfn.XLOOKUP($R17:$AK17,增益!$A:$A,增益!$B:$B,0))</f>
        <v>0.8443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1785.2</v>
      </c>
      <c r="AT17" cm="1">
        <f t="array" ref="AT17">$E$10*(1+$AR17)+VLOOKUP($Q17,武学奇术!$A:$ZZ,4,FALSE)+SUM(_xlfn.XLOOKUP($R17:$AK17,增益!$A:$A,增益!$D:$D,0))-$I$2</f>
        <v>6804.8</v>
      </c>
      <c r="AU17" s="33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0.2685</v>
      </c>
      <c r="AV17" s="33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3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3" cm="1">
        <f t="array" ref="BA17">$G$11+VLOOKUP($Q17,武学奇术!$A:$ZZ,10,FALSE)+SUM(_xlfn.XLOOKUP($R17:$AK17,增益!$A:$A,增益!$J:$J,0))</f>
        <v>0</v>
      </c>
      <c r="BB17">
        <f t="shared" si="3"/>
        <v>662.4</v>
      </c>
      <c r="BC17">
        <f t="shared" si="4"/>
        <v>1260</v>
      </c>
      <c r="BD17" s="33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3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3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3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3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3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0.8354</v>
      </c>
      <c r="BP17" s="27" cm="1">
        <f t="array" ref="BP17">1+$B$13+VLOOKUP($Q17,武学奇术!$A:$ZZ,18,FALSE)+SUM(_xlfn.XLOOKUP($R17:$AK17,增益!$A:$A,增益!$R:$R,0))</f>
        <v>1.914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0.1512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0.8354</v>
      </c>
      <c r="BT17" s="27">
        <f t="shared" si="10"/>
        <v>0.0134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spans="1:74">
      <c r="A18" s="42" t="s">
        <v>140</v>
      </c>
      <c r="B18" s="70">
        <f>期望!B18</f>
        <v>0</v>
      </c>
      <c r="C18" s="40" t="s">
        <v>141</v>
      </c>
      <c r="D18" s="79" t="s">
        <v>152</v>
      </c>
      <c r="E18" s="40" t="s">
        <v>142</v>
      </c>
      <c r="F18" s="79" t="s">
        <v>132</v>
      </c>
      <c r="K18" s="39">
        <f t="shared" si="0"/>
        <v>186573.224676843</v>
      </c>
      <c r="L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187726.184972047</v>
      </c>
      <c r="M18" s="39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188266.862091461</v>
      </c>
      <c r="N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95583.5972362767</v>
      </c>
      <c r="O18" s="39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51710.2595899894</v>
      </c>
      <c r="P18" s="40">
        <v>1</v>
      </c>
      <c r="Q18" s="41" t="s">
        <v>117</v>
      </c>
      <c r="R18" s="41" t="s">
        <v>101</v>
      </c>
      <c r="S18" s="41" t="s">
        <v>76</v>
      </c>
      <c r="T18" s="41" t="s">
        <v>76</v>
      </c>
      <c r="U18" s="41" t="s">
        <v>76</v>
      </c>
      <c r="V18" s="41" t="s">
        <v>138</v>
      </c>
      <c r="W18" s="41" t="s">
        <v>76</v>
      </c>
      <c r="X18" s="41" t="s">
        <v>134</v>
      </c>
      <c r="Y18" s="41" t="s">
        <v>76</v>
      </c>
      <c r="Z18" s="41" t="s">
        <v>76</v>
      </c>
      <c r="AA18" s="41" t="s">
        <v>76</v>
      </c>
      <c r="AB18" s="41" t="s">
        <v>76</v>
      </c>
      <c r="AC18" s="41" t="s">
        <v>76</v>
      </c>
      <c r="AD18" s="41" t="s">
        <v>76</v>
      </c>
      <c r="AE18" s="41" t="s">
        <v>80</v>
      </c>
      <c r="AF18" s="41" t="s">
        <v>108</v>
      </c>
      <c r="AG18" s="41" t="s">
        <v>76</v>
      </c>
      <c r="AH18" s="41" t="s">
        <v>76</v>
      </c>
      <c r="AI18" s="41" t="s">
        <v>76</v>
      </c>
      <c r="AJ18" s="41" t="s">
        <v>76</v>
      </c>
      <c r="AK18" s="41" t="s">
        <v>76</v>
      </c>
      <c r="AL18" t="str">
        <f>VLOOKUP($Q18,武学奇术!$A:$ZZ,25,FALSE)</f>
        <v>陌刀</v>
      </c>
      <c r="AM18" s="27">
        <f>VLOOKUP($Q18,武学奇术!$A:$ZZ,26,FALSE)</f>
        <v>4.2807</v>
      </c>
      <c r="AN18" s="28">
        <f>VLOOKUP($Q18,武学奇术!$A:$ZZ,27,FALSE)*(1+IF(OR($AL18=$F$4,$AL18=$F$5),$B$22,0))</f>
        <v>1776</v>
      </c>
      <c r="AO18" s="27">
        <f>VLOOKUP($Q18,武学奇术!$A:$ZZ,28,FALSE)</f>
        <v>6.421</v>
      </c>
      <c r="AP18" s="28">
        <f>VLOOKUP($Q18,武学奇术!$A:$ZZ,29,FALSE)*(1+IF(OR($AL18=$F$4,$AL18=$F$5),$B$22,0))</f>
        <v>967.5</v>
      </c>
      <c r="AQ18" s="27" cm="1">
        <f t="array" ref="AQ18">$G$3+IFERROR(VLOOKUP($AL18,$F$4:$G$7,2,FALSE),0)+VLOOKUP($Q18,武学奇术!$A:$ZZ,2,FALSE)+SUM(_xlfn.XLOOKUP($R18:$AK18,增益!$A:$A,增益!$B:$B,0))</f>
        <v>0.8443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1785.2</v>
      </c>
      <c r="AT18" cm="1">
        <f t="array" ref="AT18">$E$10*(1+$AR18)+VLOOKUP($Q18,武学奇术!$A:$ZZ,4,FALSE)+SUM(_xlfn.XLOOKUP($R18:$AK18,增益!$A:$A,增益!$D:$D,0))-$I$2</f>
        <v>6804.8</v>
      </c>
      <c r="AU18" s="33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0.2935</v>
      </c>
      <c r="AV18" s="33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3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3" cm="1">
        <f t="array" ref="BA18">$G$11+VLOOKUP($Q18,武学奇术!$A:$ZZ,10,FALSE)+SUM(_xlfn.XLOOKUP($R18:$AK18,增益!$A:$A,增益!$J:$J,0))</f>
        <v>0</v>
      </c>
      <c r="BB18">
        <f t="shared" si="3"/>
        <v>662.4</v>
      </c>
      <c r="BC18">
        <f t="shared" si="4"/>
        <v>1260</v>
      </c>
      <c r="BD18" s="33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3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3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3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3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3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0.8354</v>
      </c>
      <c r="BP18" s="27" cm="1">
        <f t="array" ref="BP18">1+$B$13+VLOOKUP($Q18,武学奇术!$A:$ZZ,18,FALSE)+SUM(_xlfn.XLOOKUP($R18:$AK18,增益!$A:$A,增益!$R:$R,0))</f>
        <v>1.964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0.1512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0.8354</v>
      </c>
      <c r="BT18" s="27">
        <f t="shared" si="10"/>
        <v>0.0134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2" t="s">
        <v>143</v>
      </c>
      <c r="B19" s="70">
        <f>期望!B19</f>
        <v>0</v>
      </c>
      <c r="C19" s="40" t="s">
        <v>144</v>
      </c>
      <c r="D19" s="79" t="s">
        <v>152</v>
      </c>
      <c r="E19" t="s">
        <v>145</v>
      </c>
      <c r="F19" s="79" t="s">
        <v>132</v>
      </c>
      <c r="K19" s="39">
        <f t="shared" si="0"/>
        <v>9437.84123419748</v>
      </c>
      <c r="L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10527.2128489656</v>
      </c>
      <c r="M19" s="39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11292.599482025</v>
      </c>
      <c r="N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5771.49827245923</v>
      </c>
      <c r="O19" s="39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3178.10803971479</v>
      </c>
      <c r="P19" s="40">
        <v>1</v>
      </c>
      <c r="Q19" s="41" t="s">
        <v>112</v>
      </c>
      <c r="R19" s="41" t="s">
        <v>101</v>
      </c>
      <c r="S19" s="41" t="s">
        <v>76</v>
      </c>
      <c r="T19" s="41" t="s">
        <v>76</v>
      </c>
      <c r="U19" s="41" t="s">
        <v>76</v>
      </c>
      <c r="V19" s="41" t="s">
        <v>146</v>
      </c>
      <c r="W19" s="41" t="s">
        <v>76</v>
      </c>
      <c r="X19" s="41" t="s">
        <v>139</v>
      </c>
      <c r="Y19" s="41" t="s">
        <v>76</v>
      </c>
      <c r="Z19" s="41" t="s">
        <v>76</v>
      </c>
      <c r="AA19" s="41" t="s">
        <v>76</v>
      </c>
      <c r="AB19" s="41" t="s">
        <v>76</v>
      </c>
      <c r="AC19" s="41" t="s">
        <v>76</v>
      </c>
      <c r="AD19" s="41" t="s">
        <v>76</v>
      </c>
      <c r="AE19" s="41" t="s">
        <v>80</v>
      </c>
      <c r="AF19" s="41" t="s">
        <v>76</v>
      </c>
      <c r="AG19" s="41" t="s">
        <v>76</v>
      </c>
      <c r="AH19" s="41" t="s">
        <v>76</v>
      </c>
      <c r="AI19" s="41" t="s">
        <v>76</v>
      </c>
      <c r="AJ19" s="41" t="s">
        <v>76</v>
      </c>
      <c r="AK19" s="41" t="s">
        <v>76</v>
      </c>
      <c r="AL19" t="str">
        <f>VLOOKUP($Q19,武学奇术!$A:$ZZ,25,FALSE)</f>
        <v>枪</v>
      </c>
      <c r="AM19" s="27">
        <f>VLOOKUP($Q19,武学奇术!$A:$ZZ,26,FALSE)</f>
        <v>0.4843</v>
      </c>
      <c r="AN19" s="28">
        <f>VLOOKUP($Q19,武学奇术!$A:$ZZ,27,FALSE)*(1+IF(OR($AL19=$F$4,$AL19=$F$5),$B$22,0))</f>
        <v>201</v>
      </c>
      <c r="AO19" s="27">
        <f>VLOOKUP($Q19,武学奇术!$A:$ZZ,28,FALSE)</f>
        <v>0.7264</v>
      </c>
      <c r="AP19" s="28">
        <f>VLOOKUP($Q19,武学奇术!$A:$ZZ,29,FALSE)*(1+IF(OR($AL19=$F$4,$AL19=$F$5),$B$22,0))</f>
        <v>109.5</v>
      </c>
      <c r="AQ19" s="27" cm="1">
        <f t="array" ref="AQ19">$G$3+IFERROR(VLOOKUP($AL19,$F$4:$G$7,2,FALSE),0)+VLOOKUP($Q19,武学奇术!$A:$ZZ,2,FALSE)+SUM(_xlfn.XLOOKUP($R19:$AK19,增益!$A:$A,增益!$B:$B,0))</f>
        <v>0.3389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1785.2</v>
      </c>
      <c r="AT19" cm="1">
        <f t="array" ref="AT19">$E$10*(1+$AR19)+VLOOKUP($Q19,武学奇术!$A:$ZZ,4,FALSE)+SUM(_xlfn.XLOOKUP($R19:$AK19,增益!$A:$A,增益!$D:$D,0))-$I$2</f>
        <v>6604.8</v>
      </c>
      <c r="AU19" s="33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0.2685</v>
      </c>
      <c r="AV19" s="33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3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3" cm="1">
        <f t="array" ref="BA19">$G$11+VLOOKUP($Q19,武学奇术!$A:$ZZ,10,FALSE)+SUM(_xlfn.XLOOKUP($R19:$AK19,增益!$A:$A,增益!$J:$J,0))</f>
        <v>0</v>
      </c>
      <c r="BB19">
        <f t="shared" si="3"/>
        <v>662.4</v>
      </c>
      <c r="BC19">
        <f t="shared" si="4"/>
        <v>1260</v>
      </c>
      <c r="BD19" s="33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3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3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3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3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3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0.5954</v>
      </c>
      <c r="BP19" s="27" cm="1">
        <f t="array" ref="BP19">1+$B$13+VLOOKUP($Q19,武学奇术!$A:$ZZ,18,FALSE)+SUM(_xlfn.XLOOKUP($R19:$AK19,增益!$A:$A,增益!$R:$R,0))</f>
        <v>1.824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0.1512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0.5954</v>
      </c>
      <c r="BT19" s="27">
        <f t="shared" si="10"/>
        <v>0.2534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spans="1:74">
      <c r="A20" s="42" t="s">
        <v>147</v>
      </c>
      <c r="B20" s="70">
        <f>期望!B20</f>
        <v>0</v>
      </c>
      <c r="C20" s="40" t="s">
        <v>148</v>
      </c>
      <c r="D20" s="79" t="s">
        <v>152</v>
      </c>
      <c r="K20" s="39">
        <f t="shared" si="0"/>
        <v>336843.701103769</v>
      </c>
      <c r="L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338127.2798538</v>
      </c>
      <c r="M20" s="39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344109.838143693</v>
      </c>
      <c r="N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174833.133326681</v>
      </c>
      <c r="O20" s="39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94770.0902506263</v>
      </c>
      <c r="P20" s="40">
        <v>1</v>
      </c>
      <c r="Q20" s="41" t="s">
        <v>106</v>
      </c>
      <c r="R20" s="41" t="s">
        <v>101</v>
      </c>
      <c r="S20" s="41" t="s">
        <v>114</v>
      </c>
      <c r="T20" s="41" t="s">
        <v>76</v>
      </c>
      <c r="U20" s="41" t="s">
        <v>76</v>
      </c>
      <c r="V20" s="41" t="s">
        <v>149</v>
      </c>
      <c r="W20" s="41" t="s">
        <v>76</v>
      </c>
      <c r="X20" s="41" t="s">
        <v>139</v>
      </c>
      <c r="Y20" s="41" t="s">
        <v>76</v>
      </c>
      <c r="Z20" s="41" t="s">
        <v>76</v>
      </c>
      <c r="AA20" s="41" t="s">
        <v>76</v>
      </c>
      <c r="AB20" s="41" t="s">
        <v>76</v>
      </c>
      <c r="AC20" s="41" t="s">
        <v>76</v>
      </c>
      <c r="AD20" s="41" t="s">
        <v>76</v>
      </c>
      <c r="AE20" s="41" t="s">
        <v>80</v>
      </c>
      <c r="AF20" s="41" t="s">
        <v>108</v>
      </c>
      <c r="AG20" s="41" t="s">
        <v>76</v>
      </c>
      <c r="AH20" s="41" t="s">
        <v>76</v>
      </c>
      <c r="AI20" s="41" t="s">
        <v>76</v>
      </c>
      <c r="AJ20" s="41" t="s">
        <v>76</v>
      </c>
      <c r="AK20" s="41" t="s">
        <v>76</v>
      </c>
      <c r="AL20" t="str">
        <f>VLOOKUP($Q20,武学奇术!$A:$ZZ,25,FALSE)</f>
        <v>陌刀</v>
      </c>
      <c r="AM20" s="27">
        <f>VLOOKUP($Q20,武学奇术!$A:$ZZ,26,FALSE)</f>
        <v>7.2368</v>
      </c>
      <c r="AN20" s="28">
        <f>VLOOKUP($Q20,武学奇术!$A:$ZZ,27,FALSE)*(1+IF(OR($AL20=$F$4,$AL20=$F$5),$B$22,0))</f>
        <v>3003</v>
      </c>
      <c r="AO20" s="27">
        <f>VLOOKUP($Q20,武学奇术!$A:$ZZ,28,FALSE)</f>
        <v>10.8553</v>
      </c>
      <c r="AP20" s="28">
        <f>VLOOKUP($Q20,武学奇术!$A:$ZZ,29,FALSE)*(1+IF(OR($AL20=$F$4,$AL20=$F$5),$B$22,0))</f>
        <v>1635</v>
      </c>
      <c r="AQ20" s="27" cm="1">
        <f t="array" ref="AQ20">$G$3+IFERROR(VLOOKUP($AL20,$F$4:$G$7,2,FALSE),0)+VLOOKUP($Q20,武学奇术!$A:$ZZ,2,FALSE)+SUM(_xlfn.XLOOKUP($R20:$AK20,增益!$A:$A,增益!$B:$B,0))</f>
        <v>1.0243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1785.2</v>
      </c>
      <c r="AT20" cm="1">
        <f t="array" ref="AT20">$E$10*(1+$AR20)+VLOOKUP($Q20,武学奇术!$A:$ZZ,4,FALSE)+SUM(_xlfn.XLOOKUP($R20:$AK20,增益!$A:$A,增益!$D:$D,0))-$I$2</f>
        <v>6804.8</v>
      </c>
      <c r="AU20" s="33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0.2685</v>
      </c>
      <c r="AV20" s="33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3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3" cm="1">
        <f t="array" ref="BA20">$G$11+VLOOKUP($Q20,武学奇术!$A:$ZZ,10,FALSE)+SUM(_xlfn.XLOOKUP($R20:$AK20,增益!$A:$A,增益!$J:$J,0))</f>
        <v>0</v>
      </c>
      <c r="BB20">
        <f t="shared" si="3"/>
        <v>662.4</v>
      </c>
      <c r="BC20">
        <f t="shared" si="4"/>
        <v>1260</v>
      </c>
      <c r="BD20" s="33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0.06</v>
      </c>
      <c r="BE20" s="33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3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-0.3</v>
      </c>
      <c r="BI20" s="33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3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3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0.8354</v>
      </c>
      <c r="BP20" s="27" cm="1">
        <f t="array" ref="BP20">1+$B$13+VLOOKUP($Q20,武学奇术!$A:$ZZ,18,FALSE)+SUM(_xlfn.XLOOKUP($R20:$AK20,增益!$A:$A,增益!$R:$R,0))</f>
        <v>1.934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0.1512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0.8354</v>
      </c>
      <c r="BT20" s="27">
        <f t="shared" si="10"/>
        <v>0.0134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ht="14.25" spans="1:74">
      <c r="A21" s="85" t="s">
        <v>150</v>
      </c>
      <c r="B21" s="86">
        <f>期望!B21</f>
        <v>0.32</v>
      </c>
      <c r="C21" s="40" t="s">
        <v>151</v>
      </c>
      <c r="D21" s="79" t="s">
        <v>152</v>
      </c>
      <c r="F21" s="40"/>
      <c r="K21" s="39">
        <f t="shared" si="0"/>
        <v>206535.274933377</v>
      </c>
      <c r="L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208146.13336042</v>
      </c>
      <c r="M21" s="39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206641.332175755</v>
      </c>
      <c r="N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104912.365605051</v>
      </c>
      <c r="O21" s="39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56757.077746579</v>
      </c>
      <c r="P21" s="40">
        <v>1</v>
      </c>
      <c r="Q21" s="41" t="s">
        <v>117</v>
      </c>
      <c r="R21" s="41" t="s">
        <v>101</v>
      </c>
      <c r="S21" s="41" t="s">
        <v>114</v>
      </c>
      <c r="T21" s="41" t="s">
        <v>76</v>
      </c>
      <c r="U21" s="41" t="s">
        <v>76</v>
      </c>
      <c r="V21" s="41" t="s">
        <v>149</v>
      </c>
      <c r="W21" s="41" t="s">
        <v>76</v>
      </c>
      <c r="X21" s="41" t="s">
        <v>134</v>
      </c>
      <c r="Y21" s="41" t="s">
        <v>76</v>
      </c>
      <c r="Z21" s="41" t="s">
        <v>76</v>
      </c>
      <c r="AA21" s="41" t="s">
        <v>76</v>
      </c>
      <c r="AB21" s="41" t="s">
        <v>76</v>
      </c>
      <c r="AC21" s="41" t="s">
        <v>76</v>
      </c>
      <c r="AD21" s="41" t="s">
        <v>76</v>
      </c>
      <c r="AE21" s="41" t="s">
        <v>80</v>
      </c>
      <c r="AF21" s="41" t="s">
        <v>108</v>
      </c>
      <c r="AG21" s="41" t="s">
        <v>76</v>
      </c>
      <c r="AH21" s="41" t="s">
        <v>76</v>
      </c>
      <c r="AI21" s="41" t="s">
        <v>76</v>
      </c>
      <c r="AJ21" s="41" t="s">
        <v>76</v>
      </c>
      <c r="AK21" s="41" t="s">
        <v>76</v>
      </c>
      <c r="AL21" t="str">
        <f>VLOOKUP($Q21,武学奇术!$A:$ZZ,25,FALSE)</f>
        <v>陌刀</v>
      </c>
      <c r="AM21" s="27">
        <f>VLOOKUP($Q21,武学奇术!$A:$ZZ,26,FALSE)</f>
        <v>4.2807</v>
      </c>
      <c r="AN21" s="28">
        <f>VLOOKUP($Q21,武学奇术!$A:$ZZ,27,FALSE)*(1+IF(OR($AL21=$F$4,$AL21=$F$5),$B$22,0))</f>
        <v>1776</v>
      </c>
      <c r="AO21" s="27">
        <f>VLOOKUP($Q21,武学奇术!$A:$ZZ,28,FALSE)</f>
        <v>6.421</v>
      </c>
      <c r="AP21" s="28">
        <f>VLOOKUP($Q21,武学奇术!$A:$ZZ,29,FALSE)*(1+IF(OR($AL21=$F$4,$AL21=$F$5),$B$22,0))</f>
        <v>967.5</v>
      </c>
      <c r="AQ21" s="27" cm="1">
        <f t="array" ref="AQ21">$G$3+IFERROR(VLOOKUP($AL21,$F$4:$G$7,2,FALSE),0)+VLOOKUP($Q21,武学奇术!$A:$ZZ,2,FALSE)+SUM(_xlfn.XLOOKUP($R21:$AK21,增益!$A:$A,增益!$B:$B,0))</f>
        <v>1.0243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1785.2</v>
      </c>
      <c r="AT21" cm="1">
        <f t="array" ref="AT21">$E$10*(1+$AR21)+VLOOKUP($Q21,武学奇术!$A:$ZZ,4,FALSE)+SUM(_xlfn.XLOOKUP($R21:$AK21,增益!$A:$A,增益!$D:$D,0))-$I$2</f>
        <v>6804.8</v>
      </c>
      <c r="AU21" s="33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0.2935</v>
      </c>
      <c r="AV21" s="33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3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3" cm="1">
        <f t="array" ref="BA21">$G$11+VLOOKUP($Q21,武学奇术!$A:$ZZ,10,FALSE)+SUM(_xlfn.XLOOKUP($R21:$AK21,增益!$A:$A,增益!$J:$J,0))</f>
        <v>0</v>
      </c>
      <c r="BB21">
        <f t="shared" si="3"/>
        <v>662.4</v>
      </c>
      <c r="BC21">
        <f t="shared" si="4"/>
        <v>1260</v>
      </c>
      <c r="BD21" s="33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0.06</v>
      </c>
      <c r="BE21" s="33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3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-0.3</v>
      </c>
      <c r="BI21" s="33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3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3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1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0.8354</v>
      </c>
      <c r="BP21" s="27" cm="1">
        <f t="array" ref="BP21">1+$B$13+VLOOKUP($Q21,武学奇术!$A:$ZZ,18,FALSE)+SUM(_xlfn.XLOOKUP($R21:$AK21,增益!$A:$A,增益!$R:$R,0))</f>
        <v>1.984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0.1512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0.8354</v>
      </c>
      <c r="BT21" s="27">
        <f t="shared" si="10"/>
        <v>0.0134</v>
      </c>
      <c r="BU21" s="27">
        <f>IF(VLOOKUP($Q21,武学奇术!$A:$ZZ,22,FALSE)=1,0,(1-$BN21))*(1-$BQ21)</f>
        <v>0</v>
      </c>
      <c r="BV21" s="27" cm="1">
        <f t="array" ref="BV21">SUM(_xlfn.XLOOKUP($R21:$AK21,增益!$A:$A,增益!$W:$W,0))+$I$5</f>
        <v>0.11</v>
      </c>
    </row>
    <row r="22" spans="1:74">
      <c r="A22" t="s">
        <v>153</v>
      </c>
      <c r="B22" s="29">
        <f>期望!B22</f>
        <v>0.5</v>
      </c>
      <c r="C22" s="40" t="s">
        <v>154</v>
      </c>
      <c r="D22" s="79" t="s">
        <v>152</v>
      </c>
      <c r="K22" s="39">
        <f t="shared" si="0"/>
        <v>338304.25709958</v>
      </c>
      <c r="L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339875.611187067</v>
      </c>
      <c r="M22" s="39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344109.838143693</v>
      </c>
      <c r="N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174833.133326681</v>
      </c>
      <c r="O22" s="39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94770.0902506263</v>
      </c>
      <c r="P22" s="40">
        <v>1</v>
      </c>
      <c r="Q22" s="41" t="s">
        <v>106</v>
      </c>
      <c r="R22" s="41" t="s">
        <v>101</v>
      </c>
      <c r="S22" s="41" t="s">
        <v>114</v>
      </c>
      <c r="T22" s="41" t="s">
        <v>76</v>
      </c>
      <c r="U22" s="41" t="s">
        <v>76</v>
      </c>
      <c r="V22" s="41" t="s">
        <v>155</v>
      </c>
      <c r="W22" s="41" t="s">
        <v>76</v>
      </c>
      <c r="X22" s="41" t="s">
        <v>139</v>
      </c>
      <c r="Y22" s="41" t="s">
        <v>76</v>
      </c>
      <c r="Z22" s="41" t="s">
        <v>76</v>
      </c>
      <c r="AA22" s="41" t="s">
        <v>76</v>
      </c>
      <c r="AB22" s="41" t="s">
        <v>76</v>
      </c>
      <c r="AC22" s="41" t="s">
        <v>76</v>
      </c>
      <c r="AD22" s="41" t="s">
        <v>76</v>
      </c>
      <c r="AE22" s="41" t="s">
        <v>80</v>
      </c>
      <c r="AF22" s="41" t="s">
        <v>108</v>
      </c>
      <c r="AG22" s="41" t="s">
        <v>76</v>
      </c>
      <c r="AH22" s="41" t="s">
        <v>76</v>
      </c>
      <c r="AI22" s="41" t="s">
        <v>76</v>
      </c>
      <c r="AJ22" s="41" t="s">
        <v>76</v>
      </c>
      <c r="AK22" s="41" t="s">
        <v>76</v>
      </c>
      <c r="AL22" t="str">
        <f>VLOOKUP($Q22,武学奇术!$A:$ZZ,25,FALSE)</f>
        <v>陌刀</v>
      </c>
      <c r="AM22" s="27">
        <f>VLOOKUP($Q22,武学奇术!$A:$ZZ,26,FALSE)</f>
        <v>7.2368</v>
      </c>
      <c r="AN22" s="28">
        <f>VLOOKUP($Q22,武学奇术!$A:$ZZ,27,FALSE)*(1+IF(OR($AL22=$F$4,$AL22=$F$5),$B$22,0))</f>
        <v>3003</v>
      </c>
      <c r="AO22" s="27">
        <f>VLOOKUP($Q22,武学奇术!$A:$ZZ,28,FALSE)</f>
        <v>10.8553</v>
      </c>
      <c r="AP22" s="28">
        <f>VLOOKUP($Q22,武学奇术!$A:$ZZ,29,FALSE)*(1+IF(OR($AL22=$F$4,$AL22=$F$5),$B$22,0))</f>
        <v>1635</v>
      </c>
      <c r="AQ22" s="27" cm="1">
        <f t="array" ref="AQ22">$G$3+IFERROR(VLOOKUP($AL22,$F$4:$G$7,2,FALSE),0)+VLOOKUP($Q22,武学奇术!$A:$ZZ,2,FALSE)+SUM(_xlfn.XLOOKUP($R22:$AK22,增益!$A:$A,增益!$B:$B,0))</f>
        <v>1.0243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1785.2</v>
      </c>
      <c r="AT22" cm="1">
        <f t="array" ref="AT22">$E$10*(1+$AR22)+VLOOKUP($Q22,武学奇术!$A:$ZZ,4,FALSE)+SUM(_xlfn.XLOOKUP($R22:$AK22,增益!$A:$A,增益!$D:$D,0))-$I$2</f>
        <v>6804.8</v>
      </c>
      <c r="AU22" s="33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0.2685</v>
      </c>
      <c r="AV22" s="33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3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3" cm="1">
        <f t="array" ref="BA22">$G$11+VLOOKUP($Q22,武学奇术!$A:$ZZ,10,FALSE)+SUM(_xlfn.XLOOKUP($R22:$AK22,增益!$A:$A,增益!$J:$J,0))</f>
        <v>0</v>
      </c>
      <c r="BB22">
        <f t="shared" si="3"/>
        <v>662.4</v>
      </c>
      <c r="BC22">
        <f t="shared" si="4"/>
        <v>1260</v>
      </c>
      <c r="BD22" s="33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0.06</v>
      </c>
      <c r="BE22" s="33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3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-0.3</v>
      </c>
      <c r="BI22" s="33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3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3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1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0.8354</v>
      </c>
      <c r="BP22" s="27" cm="1">
        <f t="array" ref="BP22">1+$B$13+VLOOKUP($Q22,武学奇术!$A:$ZZ,18,FALSE)+SUM(_xlfn.XLOOKUP($R22:$AK22,增益!$A:$A,增益!$R:$R,0))</f>
        <v>1.944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0.1512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0.8354</v>
      </c>
      <c r="BT22" s="27">
        <f t="shared" si="10"/>
        <v>0.0134</v>
      </c>
      <c r="BU22" s="27">
        <f>IF(VLOOKUP($Q22,武学奇术!$A:$ZZ,22,FALSE)=1,0,(1-$BN22))*(1-$BQ22)</f>
        <v>0</v>
      </c>
      <c r="BV22" s="27" cm="1">
        <f t="array" ref="BV22">SUM(_xlfn.XLOOKUP($R22:$AK22,增益!$A:$A,增益!$W:$W,0))+$I$5</f>
        <v>0.11</v>
      </c>
    </row>
    <row r="23" spans="1:74">
      <c r="A23" s="40" t="s">
        <v>156</v>
      </c>
      <c r="B23" s="87">
        <f>期望!B23</f>
        <v>240</v>
      </c>
      <c r="K23" s="39">
        <f t="shared" si="0"/>
        <v>207411.712835642</v>
      </c>
      <c r="L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209195.257016471</v>
      </c>
      <c r="M23" s="39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206641.332175755</v>
      </c>
      <c r="N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104912.365605051</v>
      </c>
      <c r="O23" s="39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56757.077746579</v>
      </c>
      <c r="P23" s="40">
        <v>1</v>
      </c>
      <c r="Q23" s="41" t="s">
        <v>117</v>
      </c>
      <c r="R23" s="41" t="s">
        <v>101</v>
      </c>
      <c r="S23" s="41" t="s">
        <v>114</v>
      </c>
      <c r="T23" s="41" t="s">
        <v>76</v>
      </c>
      <c r="U23" s="41" t="s">
        <v>76</v>
      </c>
      <c r="V23" s="41" t="s">
        <v>155</v>
      </c>
      <c r="W23" s="41" t="s">
        <v>76</v>
      </c>
      <c r="X23" s="41" t="s">
        <v>134</v>
      </c>
      <c r="Y23" s="41" t="s">
        <v>76</v>
      </c>
      <c r="Z23" s="41" t="s">
        <v>76</v>
      </c>
      <c r="AA23" s="41" t="s">
        <v>76</v>
      </c>
      <c r="AB23" s="41" t="s">
        <v>76</v>
      </c>
      <c r="AC23" s="41" t="s">
        <v>76</v>
      </c>
      <c r="AD23" s="41" t="s">
        <v>76</v>
      </c>
      <c r="AE23" s="41" t="s">
        <v>80</v>
      </c>
      <c r="AF23" s="41" t="s">
        <v>108</v>
      </c>
      <c r="AG23" s="41" t="s">
        <v>76</v>
      </c>
      <c r="AH23" s="41" t="s">
        <v>76</v>
      </c>
      <c r="AI23" s="41" t="s">
        <v>76</v>
      </c>
      <c r="AJ23" s="41" t="s">
        <v>76</v>
      </c>
      <c r="AK23" s="41" t="s">
        <v>76</v>
      </c>
      <c r="AL23" t="str">
        <f>VLOOKUP($Q23,武学奇术!$A:$ZZ,25,FALSE)</f>
        <v>陌刀</v>
      </c>
      <c r="AM23" s="27">
        <f>VLOOKUP($Q23,武学奇术!$A:$ZZ,26,FALSE)</f>
        <v>4.2807</v>
      </c>
      <c r="AN23" s="28">
        <f>VLOOKUP($Q23,武学奇术!$A:$ZZ,27,FALSE)*(1+IF(OR($AL23=$F$4,$AL23=$F$5),$B$22,0))</f>
        <v>1776</v>
      </c>
      <c r="AO23" s="27">
        <f>VLOOKUP($Q23,武学奇术!$A:$ZZ,28,FALSE)</f>
        <v>6.421</v>
      </c>
      <c r="AP23" s="28">
        <f>VLOOKUP($Q23,武学奇术!$A:$ZZ,29,FALSE)*(1+IF(OR($AL23=$F$4,$AL23=$F$5),$B$22,0))</f>
        <v>967.5</v>
      </c>
      <c r="AQ23" s="27" cm="1">
        <f t="array" ref="AQ23">$G$3+IFERROR(VLOOKUP($AL23,$F$4:$G$7,2,FALSE),0)+VLOOKUP($Q23,武学奇术!$A:$ZZ,2,FALSE)+SUM(_xlfn.XLOOKUP($R23:$AK23,增益!$A:$A,增益!$B:$B,0))</f>
        <v>1.0243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1785.2</v>
      </c>
      <c r="AT23" cm="1">
        <f t="array" ref="AT23">$E$10*(1+$AR23)+VLOOKUP($Q23,武学奇术!$A:$ZZ,4,FALSE)+SUM(_xlfn.XLOOKUP($R23:$AK23,增益!$A:$A,增益!$D:$D,0))-$I$2</f>
        <v>6804.8</v>
      </c>
      <c r="AU23" s="33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0.2935</v>
      </c>
      <c r="AV23" s="33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3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3" cm="1">
        <f t="array" ref="BA23">$G$11+VLOOKUP($Q23,武学奇术!$A:$ZZ,10,FALSE)+SUM(_xlfn.XLOOKUP($R23:$AK23,增益!$A:$A,增益!$J:$J,0))</f>
        <v>0</v>
      </c>
      <c r="BB23">
        <f t="shared" si="3"/>
        <v>662.4</v>
      </c>
      <c r="BC23">
        <f t="shared" si="4"/>
        <v>1260</v>
      </c>
      <c r="BD23" s="33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0.06</v>
      </c>
      <c r="BE23" s="33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3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-0.3</v>
      </c>
      <c r="BI23" s="33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3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3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1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0.8354</v>
      </c>
      <c r="BP23" s="27" cm="1">
        <f t="array" ref="BP23">1+$B$13+VLOOKUP($Q23,武学奇术!$A:$ZZ,18,FALSE)+SUM(_xlfn.XLOOKUP($R23:$AK23,增益!$A:$A,增益!$R:$R,0))</f>
        <v>1.994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0.1512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0.8354</v>
      </c>
      <c r="BT23" s="27">
        <f t="shared" si="10"/>
        <v>0.0134</v>
      </c>
      <c r="BU23" s="27">
        <f>IF(VLOOKUP($Q23,武学奇术!$A:$ZZ,22,FALSE)=1,0,(1-$BN23))*(1-$BQ23)</f>
        <v>0</v>
      </c>
      <c r="BV23" s="27" cm="1">
        <f t="array" ref="BV23">SUM(_xlfn.XLOOKUP($R23:$AK23,增益!$A:$A,增益!$W:$W,0))+$I$5</f>
        <v>0.11</v>
      </c>
    </row>
    <row r="24" spans="1:74">
      <c r="A24" s="40"/>
      <c r="B24" s="87">
        <f>期望!B24</f>
        <v>480</v>
      </c>
      <c r="K24" s="39">
        <f t="shared" si="0"/>
        <v>338304.25709958</v>
      </c>
      <c r="L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339875.611187067</v>
      </c>
      <c r="M24" s="39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344109.838143693</v>
      </c>
      <c r="N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174833.133326681</v>
      </c>
      <c r="O24" s="39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94770.0902506263</v>
      </c>
      <c r="P24" s="40">
        <v>1</v>
      </c>
      <c r="Q24" s="41" t="s">
        <v>106</v>
      </c>
      <c r="R24" s="41" t="s">
        <v>101</v>
      </c>
      <c r="S24" s="41" t="s">
        <v>114</v>
      </c>
      <c r="T24" s="41" t="s">
        <v>76</v>
      </c>
      <c r="U24" s="41" t="s">
        <v>76</v>
      </c>
      <c r="V24" s="41" t="s">
        <v>155</v>
      </c>
      <c r="W24" s="41" t="s">
        <v>76</v>
      </c>
      <c r="X24" s="41" t="s">
        <v>139</v>
      </c>
      <c r="Y24" s="41" t="s">
        <v>76</v>
      </c>
      <c r="Z24" s="41" t="s">
        <v>76</v>
      </c>
      <c r="AA24" s="41" t="s">
        <v>76</v>
      </c>
      <c r="AB24" s="41" t="s">
        <v>76</v>
      </c>
      <c r="AC24" s="41" t="s">
        <v>76</v>
      </c>
      <c r="AD24" s="41" t="s">
        <v>76</v>
      </c>
      <c r="AE24" s="41" t="s">
        <v>80</v>
      </c>
      <c r="AF24" s="41" t="s">
        <v>108</v>
      </c>
      <c r="AG24" s="41" t="s">
        <v>76</v>
      </c>
      <c r="AH24" s="41" t="s">
        <v>76</v>
      </c>
      <c r="AI24" s="41" t="s">
        <v>76</v>
      </c>
      <c r="AJ24" s="41" t="s">
        <v>76</v>
      </c>
      <c r="AK24" s="41" t="s">
        <v>76</v>
      </c>
      <c r="AL24" t="str">
        <f>VLOOKUP($Q24,武学奇术!$A:$ZZ,25,FALSE)</f>
        <v>陌刀</v>
      </c>
      <c r="AM24" s="27">
        <f>VLOOKUP($Q24,武学奇术!$A:$ZZ,26,FALSE)</f>
        <v>7.2368</v>
      </c>
      <c r="AN24" s="28">
        <f>VLOOKUP($Q24,武学奇术!$A:$ZZ,27,FALSE)*(1+IF(OR($AL24=$F$4,$AL24=$F$5),$B$22,0))</f>
        <v>3003</v>
      </c>
      <c r="AO24" s="27">
        <f>VLOOKUP($Q24,武学奇术!$A:$ZZ,28,FALSE)</f>
        <v>10.8553</v>
      </c>
      <c r="AP24" s="28">
        <f>VLOOKUP($Q24,武学奇术!$A:$ZZ,29,FALSE)*(1+IF(OR($AL24=$F$4,$AL24=$F$5),$B$22,0))</f>
        <v>1635</v>
      </c>
      <c r="AQ24" s="27" cm="1">
        <f t="array" ref="AQ24">$G$3+IFERROR(VLOOKUP($AL24,$F$4:$G$7,2,FALSE),0)+VLOOKUP($Q24,武学奇术!$A:$ZZ,2,FALSE)+SUM(_xlfn.XLOOKUP($R24:$AK24,增益!$A:$A,增益!$B:$B,0))</f>
        <v>1.0243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1785.2</v>
      </c>
      <c r="AT24" cm="1">
        <f t="array" ref="AT24">$E$10*(1+$AR24)+VLOOKUP($Q24,武学奇术!$A:$ZZ,4,FALSE)+SUM(_xlfn.XLOOKUP($R24:$AK24,增益!$A:$A,增益!$D:$D,0))-$I$2</f>
        <v>6804.8</v>
      </c>
      <c r="AU24" s="33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0.2685</v>
      </c>
      <c r="AV24" s="33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3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3" cm="1">
        <f t="array" ref="BA24">$G$11+VLOOKUP($Q24,武学奇术!$A:$ZZ,10,FALSE)+SUM(_xlfn.XLOOKUP($R24:$AK24,增益!$A:$A,增益!$J:$J,0))</f>
        <v>0</v>
      </c>
      <c r="BB24">
        <f t="shared" si="3"/>
        <v>662.4</v>
      </c>
      <c r="BC24">
        <f t="shared" si="4"/>
        <v>1260</v>
      </c>
      <c r="BD24" s="33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0.06</v>
      </c>
      <c r="BE24" s="33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3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-0.3</v>
      </c>
      <c r="BI24" s="33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3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3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1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0.8354</v>
      </c>
      <c r="BP24" s="27" cm="1">
        <f t="array" ref="BP24">1+$B$13+VLOOKUP($Q24,武学奇术!$A:$ZZ,18,FALSE)+SUM(_xlfn.XLOOKUP($R24:$AK24,增益!$A:$A,增益!$R:$R,0))</f>
        <v>1.944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0.1512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0.8354</v>
      </c>
      <c r="BT24" s="27">
        <f t="shared" si="10"/>
        <v>0.0134</v>
      </c>
      <c r="BU24" s="27">
        <f>IF(VLOOKUP($Q24,武学奇术!$A:$ZZ,22,FALSE)=1,0,(1-$BN24))*(1-$BQ24)</f>
        <v>0</v>
      </c>
      <c r="BV24" s="27" cm="1">
        <f t="array" ref="BV24">SUM(_xlfn.XLOOKUP($R24:$AK24,增益!$A:$A,增益!$W:$W,0))+$I$5</f>
        <v>0.11</v>
      </c>
    </row>
    <row r="25" spans="1:74">
      <c r="K25" s="39">
        <f t="shared" si="0"/>
        <v>207411.712835642</v>
      </c>
      <c r="L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209195.257016471</v>
      </c>
      <c r="M25" s="39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206641.332175755</v>
      </c>
      <c r="N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104912.365605051</v>
      </c>
      <c r="O25" s="39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56757.077746579</v>
      </c>
      <c r="P25" s="40">
        <v>1</v>
      </c>
      <c r="Q25" s="41" t="s">
        <v>117</v>
      </c>
      <c r="R25" s="41" t="s">
        <v>101</v>
      </c>
      <c r="S25" s="41" t="s">
        <v>114</v>
      </c>
      <c r="T25" s="41" t="s">
        <v>76</v>
      </c>
      <c r="U25" s="41" t="s">
        <v>76</v>
      </c>
      <c r="V25" s="41" t="s">
        <v>155</v>
      </c>
      <c r="W25" s="41" t="s">
        <v>76</v>
      </c>
      <c r="X25" s="41" t="s">
        <v>134</v>
      </c>
      <c r="Y25" s="41" t="s">
        <v>76</v>
      </c>
      <c r="Z25" s="41" t="s">
        <v>76</v>
      </c>
      <c r="AA25" s="41" t="s">
        <v>76</v>
      </c>
      <c r="AB25" s="41" t="s">
        <v>76</v>
      </c>
      <c r="AC25" s="41" t="s">
        <v>76</v>
      </c>
      <c r="AD25" s="41" t="s">
        <v>76</v>
      </c>
      <c r="AE25" s="41" t="s">
        <v>80</v>
      </c>
      <c r="AF25" s="41" t="s">
        <v>108</v>
      </c>
      <c r="AG25" s="41" t="s">
        <v>76</v>
      </c>
      <c r="AH25" s="41" t="s">
        <v>76</v>
      </c>
      <c r="AI25" s="41" t="s">
        <v>76</v>
      </c>
      <c r="AJ25" s="41" t="s">
        <v>76</v>
      </c>
      <c r="AK25" s="41" t="s">
        <v>76</v>
      </c>
      <c r="AL25" t="str">
        <f>VLOOKUP($Q25,武学奇术!$A:$ZZ,25,FALSE)</f>
        <v>陌刀</v>
      </c>
      <c r="AM25" s="27">
        <f>VLOOKUP($Q25,武学奇术!$A:$ZZ,26,FALSE)</f>
        <v>4.2807</v>
      </c>
      <c r="AN25" s="28">
        <f>VLOOKUP($Q25,武学奇术!$A:$ZZ,27,FALSE)*(1+IF(OR($AL25=$F$4,$AL25=$F$5),$B$22,0))</f>
        <v>1776</v>
      </c>
      <c r="AO25" s="27">
        <f>VLOOKUP($Q25,武学奇术!$A:$ZZ,28,FALSE)</f>
        <v>6.421</v>
      </c>
      <c r="AP25" s="28">
        <f>VLOOKUP($Q25,武学奇术!$A:$ZZ,29,FALSE)*(1+IF(OR($AL25=$F$4,$AL25=$F$5),$B$22,0))</f>
        <v>967.5</v>
      </c>
      <c r="AQ25" s="27" cm="1">
        <f t="array" ref="AQ25">$G$3+IFERROR(VLOOKUP($AL25,$F$4:$G$7,2,FALSE),0)+VLOOKUP($Q25,武学奇术!$A:$ZZ,2,FALSE)+SUM(_xlfn.XLOOKUP($R25:$AK25,增益!$A:$A,增益!$B:$B,0))</f>
        <v>1.0243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1785.2</v>
      </c>
      <c r="AT25" cm="1">
        <f t="array" ref="AT25">$E$10*(1+$AR25)+VLOOKUP($Q25,武学奇术!$A:$ZZ,4,FALSE)+SUM(_xlfn.XLOOKUP($R25:$AK25,增益!$A:$A,增益!$D:$D,0))-$I$2</f>
        <v>6804.8</v>
      </c>
      <c r="AU25" s="33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0.2935</v>
      </c>
      <c r="AV25" s="33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3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3" cm="1">
        <f t="array" ref="BA25">$G$11+VLOOKUP($Q25,武学奇术!$A:$ZZ,10,FALSE)+SUM(_xlfn.XLOOKUP($R25:$AK25,增益!$A:$A,增益!$J:$J,0))</f>
        <v>0</v>
      </c>
      <c r="BB25">
        <f t="shared" si="3"/>
        <v>662.4</v>
      </c>
      <c r="BC25">
        <f t="shared" si="4"/>
        <v>1260</v>
      </c>
      <c r="BD25" s="33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0.06</v>
      </c>
      <c r="BE25" s="33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3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3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3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3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1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0.8354</v>
      </c>
      <c r="BP25" s="27" cm="1">
        <f t="array" ref="BP25">1+$B$13+VLOOKUP($Q25,武学奇术!$A:$ZZ,18,FALSE)+SUM(_xlfn.XLOOKUP($R25:$AK25,增益!$A:$A,增益!$R:$R,0))</f>
        <v>1.994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0.1512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0.8354</v>
      </c>
      <c r="BT25" s="27">
        <f t="shared" si="10"/>
        <v>0.0134</v>
      </c>
      <c r="BU25" s="27">
        <f>IF(VLOOKUP($Q25,武学奇术!$A:$ZZ,22,FALSE)=1,0,(1-$BN25))*(1-$BQ25)</f>
        <v>0</v>
      </c>
      <c r="BV25" s="27" cm="1">
        <f t="array" ref="BV25">SUM(_xlfn.XLOOKUP($R25:$AK25,增益!$A:$A,增益!$W:$W,0))+$I$5</f>
        <v>0.11</v>
      </c>
    </row>
    <row r="26" spans="1:74">
      <c r="K26" s="39">
        <f t="shared" si="0"/>
        <v>360212.597036746</v>
      </c>
      <c r="L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366100.581186069</v>
      </c>
      <c r="M26" s="39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344109.838143693</v>
      </c>
      <c r="N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174833.133326681</v>
      </c>
      <c r="O26" s="39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94770.0902506263</v>
      </c>
      <c r="P26" s="40">
        <v>1</v>
      </c>
      <c r="Q26" s="41" t="s">
        <v>106</v>
      </c>
      <c r="R26" s="41" t="s">
        <v>101</v>
      </c>
      <c r="S26" s="41" t="s">
        <v>114</v>
      </c>
      <c r="T26" s="41" t="s">
        <v>77</v>
      </c>
      <c r="U26" s="41" t="s">
        <v>76</v>
      </c>
      <c r="V26" s="41" t="s">
        <v>155</v>
      </c>
      <c r="W26" s="41" t="s">
        <v>76</v>
      </c>
      <c r="X26" s="41" t="s">
        <v>139</v>
      </c>
      <c r="Y26" s="41" t="s">
        <v>76</v>
      </c>
      <c r="Z26" s="41" t="s">
        <v>76</v>
      </c>
      <c r="AA26" s="41" t="s">
        <v>76</v>
      </c>
      <c r="AB26" s="41" t="s">
        <v>76</v>
      </c>
      <c r="AC26" s="41" t="s">
        <v>76</v>
      </c>
      <c r="AD26" s="41" t="s">
        <v>76</v>
      </c>
      <c r="AE26" s="41" t="s">
        <v>80</v>
      </c>
      <c r="AF26" s="41" t="s">
        <v>108</v>
      </c>
      <c r="AG26" s="41" t="s">
        <v>76</v>
      </c>
      <c r="AH26" s="41" t="s">
        <v>76</v>
      </c>
      <c r="AI26" s="41" t="s">
        <v>76</v>
      </c>
      <c r="AJ26" s="41" t="s">
        <v>76</v>
      </c>
      <c r="AK26" s="41" t="s">
        <v>76</v>
      </c>
      <c r="AL26" t="str">
        <f>VLOOKUP($Q26,武学奇术!$A:$ZZ,25,FALSE)</f>
        <v>陌刀</v>
      </c>
      <c r="AM26" s="27">
        <f>VLOOKUP($Q26,武学奇术!$A:$ZZ,26,FALSE)</f>
        <v>7.2368</v>
      </c>
      <c r="AN26" s="28">
        <f>VLOOKUP($Q26,武学奇术!$A:$ZZ,27,FALSE)*(1+IF(OR($AL26=$F$4,$AL26=$F$5),$B$22,0))</f>
        <v>3003</v>
      </c>
      <c r="AO26" s="27">
        <f>VLOOKUP($Q26,武学奇术!$A:$ZZ,28,FALSE)</f>
        <v>10.8553</v>
      </c>
      <c r="AP26" s="28">
        <f>VLOOKUP($Q26,武学奇术!$A:$ZZ,29,FALSE)*(1+IF(OR($AL26=$F$4,$AL26=$F$5),$B$22,0))</f>
        <v>1635</v>
      </c>
      <c r="AQ26" s="27" cm="1">
        <f t="array" ref="AQ26">$G$3+IFERROR(VLOOKUP($AL26,$F$4:$G$7,2,FALSE),0)+VLOOKUP($Q26,武学奇术!$A:$ZZ,2,FALSE)+SUM(_xlfn.XLOOKUP($R26:$AK26,增益!$A:$A,增益!$B:$B,0))</f>
        <v>1.0243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1785.2</v>
      </c>
      <c r="AT26" cm="1">
        <f t="array" ref="AT26">$E$10*(1+$AR26)+VLOOKUP($Q26,武学奇术!$A:$ZZ,4,FALSE)+SUM(_xlfn.XLOOKUP($R26:$AK26,增益!$A:$A,增益!$D:$D,0))-$I$2</f>
        <v>6804.8</v>
      </c>
      <c r="AU26" s="33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0.2685</v>
      </c>
      <c r="AV26" s="33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3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3" cm="1">
        <f t="array" ref="BA26">$G$11+VLOOKUP($Q26,武学奇术!$A:$ZZ,10,FALSE)+SUM(_xlfn.XLOOKUP($R26:$AK26,增益!$A:$A,增益!$J:$J,0))</f>
        <v>0</v>
      </c>
      <c r="BB26">
        <f t="shared" si="3"/>
        <v>662.4</v>
      </c>
      <c r="BC26">
        <f t="shared" si="4"/>
        <v>1260</v>
      </c>
      <c r="BD26" s="33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0.06</v>
      </c>
      <c r="BE26" s="33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3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3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3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3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1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0.8354</v>
      </c>
      <c r="BP26" s="27" cm="1">
        <f t="array" ref="BP26">1+$B$13+VLOOKUP($Q26,武学奇术!$A:$ZZ,18,FALSE)+SUM(_xlfn.XLOOKUP($R26:$AK26,增益!$A:$A,增益!$R:$R,0))</f>
        <v>2.094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0.1512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0.8354</v>
      </c>
      <c r="BT26" s="27">
        <f t="shared" si="10"/>
        <v>0.0134</v>
      </c>
      <c r="BU26" s="27">
        <f>IF(VLOOKUP($Q26,武学奇术!$A:$ZZ,22,FALSE)=1,0,(1-$BN26))*(1-$BQ26)</f>
        <v>0</v>
      </c>
      <c r="BV26" s="27" cm="1">
        <f t="array" ref="BV26">SUM(_xlfn.XLOOKUP($R26:$AK26,增益!$A:$A,增益!$W:$W,0))+$I$5</f>
        <v>0.11</v>
      </c>
    </row>
    <row r="27" spans="1:74">
      <c r="K27" s="39">
        <f t="shared" si="0"/>
        <v>220558.281369611</v>
      </c>
      <c r="L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224932.111857229</v>
      </c>
      <c r="M27" s="39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206641.332175755</v>
      </c>
      <c r="N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104912.365605051</v>
      </c>
      <c r="O27" s="39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56757.077746579</v>
      </c>
      <c r="P27" s="40">
        <v>1</v>
      </c>
      <c r="Q27" s="41" t="s">
        <v>117</v>
      </c>
      <c r="R27" s="41" t="s">
        <v>101</v>
      </c>
      <c r="S27" s="41" t="s">
        <v>114</v>
      </c>
      <c r="T27" s="41" t="s">
        <v>77</v>
      </c>
      <c r="U27" s="41" t="s">
        <v>76</v>
      </c>
      <c r="V27" s="41" t="s">
        <v>155</v>
      </c>
      <c r="W27" s="41" t="s">
        <v>76</v>
      </c>
      <c r="X27" s="41" t="s">
        <v>134</v>
      </c>
      <c r="Y27" s="41" t="s">
        <v>76</v>
      </c>
      <c r="Z27" s="41" t="s">
        <v>76</v>
      </c>
      <c r="AA27" s="41" t="s">
        <v>76</v>
      </c>
      <c r="AB27" s="41" t="s">
        <v>76</v>
      </c>
      <c r="AC27" s="41" t="s">
        <v>76</v>
      </c>
      <c r="AD27" s="41" t="s">
        <v>76</v>
      </c>
      <c r="AE27" s="41" t="s">
        <v>80</v>
      </c>
      <c r="AF27" s="41" t="s">
        <v>108</v>
      </c>
      <c r="AG27" s="41" t="s">
        <v>76</v>
      </c>
      <c r="AH27" s="41" t="s">
        <v>76</v>
      </c>
      <c r="AI27" s="41" t="s">
        <v>76</v>
      </c>
      <c r="AJ27" s="41" t="s">
        <v>76</v>
      </c>
      <c r="AK27" s="41" t="s">
        <v>76</v>
      </c>
      <c r="AL27" t="str">
        <f>VLOOKUP($Q27,武学奇术!$A:$ZZ,25,FALSE)</f>
        <v>陌刀</v>
      </c>
      <c r="AM27" s="27">
        <f>VLOOKUP($Q27,武学奇术!$A:$ZZ,26,FALSE)</f>
        <v>4.2807</v>
      </c>
      <c r="AN27" s="28">
        <f>VLOOKUP($Q27,武学奇术!$A:$ZZ,27,FALSE)*(1+IF(OR($AL27=$F$4,$AL27=$F$5),$B$22,0))</f>
        <v>1776</v>
      </c>
      <c r="AO27" s="27">
        <f>VLOOKUP($Q27,武学奇术!$A:$ZZ,28,FALSE)</f>
        <v>6.421</v>
      </c>
      <c r="AP27" s="28">
        <f>VLOOKUP($Q27,武学奇术!$A:$ZZ,29,FALSE)*(1+IF(OR($AL27=$F$4,$AL27=$F$5),$B$22,0))</f>
        <v>967.5</v>
      </c>
      <c r="AQ27" s="27" cm="1">
        <f t="array" ref="AQ27">$G$3+IFERROR(VLOOKUP($AL27,$F$4:$G$7,2,FALSE),0)+VLOOKUP($Q27,武学奇术!$A:$ZZ,2,FALSE)+SUM(_xlfn.XLOOKUP($R27:$AK27,增益!$A:$A,增益!$B:$B,0))</f>
        <v>1.0243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1785.2</v>
      </c>
      <c r="AT27" cm="1">
        <f t="array" ref="AT27">$E$10*(1+$AR27)+VLOOKUP($Q27,武学奇术!$A:$ZZ,4,FALSE)+SUM(_xlfn.XLOOKUP($R27:$AK27,增益!$A:$A,增益!$D:$D,0))-$I$2</f>
        <v>6804.8</v>
      </c>
      <c r="AU27" s="33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0.2935</v>
      </c>
      <c r="AV27" s="33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3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3" cm="1">
        <f t="array" ref="BA27">$G$11+VLOOKUP($Q27,武学奇术!$A:$ZZ,10,FALSE)+SUM(_xlfn.XLOOKUP($R27:$AK27,增益!$A:$A,增益!$J:$J,0))</f>
        <v>0</v>
      </c>
      <c r="BB27">
        <f t="shared" si="3"/>
        <v>662.4</v>
      </c>
      <c r="BC27">
        <f t="shared" si="4"/>
        <v>1260</v>
      </c>
      <c r="BD27" s="33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3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3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3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3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3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1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0.8354</v>
      </c>
      <c r="BP27" s="27" cm="1">
        <f t="array" ref="BP27">1+$B$13+VLOOKUP($Q27,武学奇术!$A:$ZZ,18,FALSE)+SUM(_xlfn.XLOOKUP($R27:$AK27,增益!$A:$A,增益!$R:$R,0))</f>
        <v>2.144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0.1512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0.8354</v>
      </c>
      <c r="BT27" s="27">
        <f t="shared" si="10"/>
        <v>0.0134</v>
      </c>
      <c r="BU27" s="27">
        <f>IF(VLOOKUP($Q27,武学奇术!$A:$ZZ,22,FALSE)=1,0,(1-$BN27))*(1-$BQ27)</f>
        <v>0</v>
      </c>
      <c r="BV27" s="27" cm="1">
        <f t="array" ref="BV27">SUM(_xlfn.XLOOKUP($R27:$AK27,增益!$A:$A,增益!$W:$W,0))+$I$5</f>
        <v>0.11</v>
      </c>
    </row>
    <row r="28" spans="1:74">
      <c r="K28" s="39">
        <f t="shared" si="0"/>
        <v>10022.0207463393</v>
      </c>
      <c r="L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11508.3675552837</v>
      </c>
      <c r="M28" s="39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11292.599482025</v>
      </c>
      <c r="N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5771.49827245923</v>
      </c>
      <c r="O28" s="39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3178.10803971479</v>
      </c>
      <c r="P28" s="40">
        <v>1</v>
      </c>
      <c r="Q28" s="41" t="s">
        <v>112</v>
      </c>
      <c r="R28" s="41" t="s">
        <v>101</v>
      </c>
      <c r="S28" s="41" t="s">
        <v>76</v>
      </c>
      <c r="T28" s="41" t="s">
        <v>77</v>
      </c>
      <c r="U28" s="41" t="s">
        <v>76</v>
      </c>
      <c r="V28" s="41" t="s">
        <v>155</v>
      </c>
      <c r="W28" s="41" t="s">
        <v>76</v>
      </c>
      <c r="X28" s="41" t="s">
        <v>139</v>
      </c>
      <c r="Y28" s="41" t="s">
        <v>76</v>
      </c>
      <c r="Z28" s="41" t="s">
        <v>76</v>
      </c>
      <c r="AA28" s="41" t="s">
        <v>76</v>
      </c>
      <c r="AB28" s="41" t="s">
        <v>76</v>
      </c>
      <c r="AC28" s="41" t="s">
        <v>76</v>
      </c>
      <c r="AD28" s="41" t="s">
        <v>76</v>
      </c>
      <c r="AE28" s="41" t="s">
        <v>80</v>
      </c>
      <c r="AF28" s="41" t="s">
        <v>76</v>
      </c>
      <c r="AG28" s="41" t="s">
        <v>76</v>
      </c>
      <c r="AH28" s="41" t="s">
        <v>76</v>
      </c>
      <c r="AI28" s="41" t="s">
        <v>76</v>
      </c>
      <c r="AJ28" s="41" t="s">
        <v>76</v>
      </c>
      <c r="AK28" s="41" t="s">
        <v>76</v>
      </c>
      <c r="AL28" t="str">
        <f>VLOOKUP($Q28,武学奇术!$A:$ZZ,25,FALSE)</f>
        <v>枪</v>
      </c>
      <c r="AM28" s="27">
        <f>VLOOKUP($Q28,武学奇术!$A:$ZZ,26,FALSE)</f>
        <v>0.4843</v>
      </c>
      <c r="AN28" s="28">
        <f>VLOOKUP($Q28,武学奇术!$A:$ZZ,27,FALSE)*(1+IF(OR($AL28=$F$4,$AL28=$F$5),$B$22,0))</f>
        <v>201</v>
      </c>
      <c r="AO28" s="27">
        <f>VLOOKUP($Q28,武学奇术!$A:$ZZ,28,FALSE)</f>
        <v>0.7264</v>
      </c>
      <c r="AP28" s="28">
        <f>VLOOKUP($Q28,武学奇术!$A:$ZZ,29,FALSE)*(1+IF(OR($AL28=$F$4,$AL28=$F$5),$B$22,0))</f>
        <v>109.5</v>
      </c>
      <c r="AQ28" s="27" cm="1">
        <f t="array" ref="AQ28">$G$3+IFERROR(VLOOKUP($AL28,$F$4:$G$7,2,FALSE),0)+VLOOKUP($Q28,武学奇术!$A:$ZZ,2,FALSE)+SUM(_xlfn.XLOOKUP($R28:$AK28,增益!$A:$A,增益!$B:$B,0))</f>
        <v>0.3389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1785.2</v>
      </c>
      <c r="AT28" cm="1">
        <f t="array" ref="AT28">$E$10*(1+$AR28)+VLOOKUP($Q28,武学奇术!$A:$ZZ,4,FALSE)+SUM(_xlfn.XLOOKUP($R28:$AK28,增益!$A:$A,增益!$D:$D,0))-$I$2</f>
        <v>6604.8</v>
      </c>
      <c r="AU28" s="33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0.2685</v>
      </c>
      <c r="AV28" s="33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3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3" cm="1">
        <f t="array" ref="BA28">$G$11+VLOOKUP($Q28,武学奇术!$A:$ZZ,10,FALSE)+SUM(_xlfn.XLOOKUP($R28:$AK28,增益!$A:$A,增益!$J:$J,0))</f>
        <v>0</v>
      </c>
      <c r="BB28">
        <f t="shared" si="3"/>
        <v>662.4</v>
      </c>
      <c r="BC28">
        <f t="shared" si="4"/>
        <v>1260</v>
      </c>
      <c r="BD28" s="33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3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3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3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3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3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1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0.5954</v>
      </c>
      <c r="BP28" s="27" cm="1">
        <f t="array" ref="BP28">1+$B$13+VLOOKUP($Q28,武学奇术!$A:$ZZ,18,FALSE)+SUM(_xlfn.XLOOKUP($R28:$AK28,增益!$A:$A,增益!$R:$R,0))</f>
        <v>1.994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0.1512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0.5954</v>
      </c>
      <c r="BT28" s="27">
        <f t="shared" si="10"/>
        <v>0.2534</v>
      </c>
      <c r="BU28" s="27">
        <f>IF(VLOOKUP($Q28,武学奇术!$A:$ZZ,22,FALSE)=1,0,(1-$BN28))*(1-$BQ28)</f>
        <v>0</v>
      </c>
      <c r="BV28" s="27" cm="1">
        <f t="array" ref="BV28">SUM(_xlfn.XLOOKUP($R28:$AK28,增益!$A:$A,增益!$W:$W,0))+$I$5</f>
        <v>0.11</v>
      </c>
    </row>
    <row r="29" spans="1:74">
      <c r="K29" s="39">
        <f t="shared" si="0"/>
        <v>338304.25709958</v>
      </c>
      <c r="L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339875.611187067</v>
      </c>
      <c r="M29" s="39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344109.838143693</v>
      </c>
      <c r="N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174833.133326681</v>
      </c>
      <c r="O29" s="39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94770.0902506263</v>
      </c>
      <c r="P29" s="40">
        <v>1</v>
      </c>
      <c r="Q29" s="41" t="s">
        <v>106</v>
      </c>
      <c r="R29" s="41" t="s">
        <v>101</v>
      </c>
      <c r="S29" s="41" t="s">
        <v>114</v>
      </c>
      <c r="T29" s="41" t="s">
        <v>76</v>
      </c>
      <c r="U29" s="41" t="s">
        <v>76</v>
      </c>
      <c r="V29" s="41" t="s">
        <v>155</v>
      </c>
      <c r="W29" s="41" t="s">
        <v>76</v>
      </c>
      <c r="X29" s="41" t="s">
        <v>139</v>
      </c>
      <c r="Y29" s="41" t="s">
        <v>76</v>
      </c>
      <c r="Z29" s="41" t="s">
        <v>76</v>
      </c>
      <c r="AA29" s="41" t="s">
        <v>76</v>
      </c>
      <c r="AB29" s="41" t="s">
        <v>76</v>
      </c>
      <c r="AC29" s="41" t="s">
        <v>76</v>
      </c>
      <c r="AD29" s="41" t="s">
        <v>76</v>
      </c>
      <c r="AE29" s="41" t="s">
        <v>80</v>
      </c>
      <c r="AF29" s="41" t="s">
        <v>108</v>
      </c>
      <c r="AG29" s="41" t="s">
        <v>76</v>
      </c>
      <c r="AH29" s="41" t="s">
        <v>76</v>
      </c>
      <c r="AI29" s="41" t="s">
        <v>76</v>
      </c>
      <c r="AJ29" s="41" t="s">
        <v>76</v>
      </c>
      <c r="AK29" s="41" t="s">
        <v>76</v>
      </c>
      <c r="AL29" t="str">
        <f>VLOOKUP($Q29,武学奇术!$A:$ZZ,25,FALSE)</f>
        <v>陌刀</v>
      </c>
      <c r="AM29" s="27">
        <f>VLOOKUP($Q29,武学奇术!$A:$ZZ,26,FALSE)</f>
        <v>7.2368</v>
      </c>
      <c r="AN29" s="28">
        <f>VLOOKUP($Q29,武学奇术!$A:$ZZ,27,FALSE)*(1+IF(OR($AL29=$F$4,$AL29=$F$5),$B$22,0))</f>
        <v>3003</v>
      </c>
      <c r="AO29" s="27">
        <f>VLOOKUP($Q29,武学奇术!$A:$ZZ,28,FALSE)</f>
        <v>10.8553</v>
      </c>
      <c r="AP29" s="28">
        <f>VLOOKUP($Q29,武学奇术!$A:$ZZ,29,FALSE)*(1+IF(OR($AL29=$F$4,$AL29=$F$5),$B$22,0))</f>
        <v>1635</v>
      </c>
      <c r="AQ29" s="27" cm="1">
        <f t="array" ref="AQ29">$G$3+IFERROR(VLOOKUP($AL29,$F$4:$G$7,2,FALSE),0)+VLOOKUP($Q29,武学奇术!$A:$ZZ,2,FALSE)+SUM(_xlfn.XLOOKUP($R29:$AK29,增益!$A:$A,增益!$B:$B,0))</f>
        <v>1.0243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1785.2</v>
      </c>
      <c r="AT29" cm="1">
        <f t="array" ref="AT29">$E$10*(1+$AR29)+VLOOKUP($Q29,武学奇术!$A:$ZZ,4,FALSE)+SUM(_xlfn.XLOOKUP($R29:$AK29,增益!$A:$A,增益!$D:$D,0))-$I$2</f>
        <v>6804.8</v>
      </c>
      <c r="AU29" s="33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0.2685</v>
      </c>
      <c r="AV29" s="33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3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3" cm="1">
        <f t="array" ref="BA29">$G$11+VLOOKUP($Q29,武学奇术!$A:$ZZ,10,FALSE)+SUM(_xlfn.XLOOKUP($R29:$AK29,增益!$A:$A,增益!$J:$J,0))</f>
        <v>0</v>
      </c>
      <c r="BB29">
        <f t="shared" si="3"/>
        <v>662.4</v>
      </c>
      <c r="BC29">
        <f t="shared" si="4"/>
        <v>1260</v>
      </c>
      <c r="BD29" s="33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3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3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3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3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3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1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0.8354</v>
      </c>
      <c r="BP29" s="27" cm="1">
        <f t="array" ref="BP29">1+$B$13+VLOOKUP($Q29,武学奇术!$A:$ZZ,18,FALSE)+SUM(_xlfn.XLOOKUP($R29:$AK29,增益!$A:$A,增益!$R:$R,0))</f>
        <v>1.944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0.1512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0.8354</v>
      </c>
      <c r="BT29" s="27">
        <f t="shared" si="10"/>
        <v>0.0134</v>
      </c>
      <c r="BU29" s="27">
        <f>IF(VLOOKUP($Q29,武学奇术!$A:$ZZ,22,FALSE)=1,0,(1-$BN29))*(1-$BQ29)</f>
        <v>0</v>
      </c>
      <c r="BV29" s="27" cm="1">
        <f t="array" ref="BV29">SUM(_xlfn.XLOOKUP($R29:$AK29,增益!$A:$A,增益!$W:$W,0))+$I$5</f>
        <v>0.11</v>
      </c>
    </row>
    <row r="30" spans="1:74">
      <c r="K30" s="39">
        <f t="shared" si="0"/>
        <v>226097.452730744</v>
      </c>
      <c r="L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228041.676567504</v>
      </c>
      <c r="M30" s="39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225257.668407805</v>
      </c>
      <c r="N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114363.930073974</v>
      </c>
      <c r="O30" s="39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61870.3279940185</v>
      </c>
      <c r="P30" s="40">
        <v>1</v>
      </c>
      <c r="Q30" s="41" t="s">
        <v>117</v>
      </c>
      <c r="R30" s="41" t="s">
        <v>101</v>
      </c>
      <c r="S30" s="41" t="s">
        <v>114</v>
      </c>
      <c r="T30" s="41" t="s">
        <v>76</v>
      </c>
      <c r="U30" s="41" t="s">
        <v>76</v>
      </c>
      <c r="V30" s="41" t="s">
        <v>155</v>
      </c>
      <c r="W30" s="41" t="s">
        <v>76</v>
      </c>
      <c r="X30" s="41" t="s">
        <v>134</v>
      </c>
      <c r="Y30" s="41" t="s">
        <v>160</v>
      </c>
      <c r="Z30" s="41" t="s">
        <v>76</v>
      </c>
      <c r="AA30" s="41" t="s">
        <v>76</v>
      </c>
      <c r="AB30" s="41" t="s">
        <v>76</v>
      </c>
      <c r="AC30" s="41" t="s">
        <v>76</v>
      </c>
      <c r="AD30" s="41" t="s">
        <v>76</v>
      </c>
      <c r="AE30" s="41" t="s">
        <v>80</v>
      </c>
      <c r="AF30" s="41" t="s">
        <v>108</v>
      </c>
      <c r="AG30" s="41" t="s">
        <v>76</v>
      </c>
      <c r="AH30" s="41" t="s">
        <v>76</v>
      </c>
      <c r="AI30" s="41" t="s">
        <v>76</v>
      </c>
      <c r="AJ30" s="41" t="s">
        <v>76</v>
      </c>
      <c r="AK30" s="41" t="s">
        <v>76</v>
      </c>
      <c r="AL30" t="str">
        <f>VLOOKUP($Q30,武学奇术!$A:$ZZ,25,FALSE)</f>
        <v>陌刀</v>
      </c>
      <c r="AM30" s="27">
        <f>VLOOKUP($Q30,武学奇术!$A:$ZZ,26,FALSE)</f>
        <v>4.2807</v>
      </c>
      <c r="AN30" s="28">
        <f>VLOOKUP($Q30,武学奇术!$A:$ZZ,27,FALSE)*(1+IF(OR($AL30=$F$4,$AL30=$F$5),$B$22,0))</f>
        <v>1776</v>
      </c>
      <c r="AO30" s="27">
        <f>VLOOKUP($Q30,武学奇术!$A:$ZZ,28,FALSE)</f>
        <v>6.421</v>
      </c>
      <c r="AP30" s="28">
        <f>VLOOKUP($Q30,武学奇术!$A:$ZZ,29,FALSE)*(1+IF(OR($AL30=$F$4,$AL30=$F$5),$B$22,0))</f>
        <v>967.5</v>
      </c>
      <c r="AQ30" s="27" cm="1">
        <f t="array" ref="AQ30">$G$3+IFERROR(VLOOKUP($AL30,$F$4:$G$7,2,FALSE),0)+VLOOKUP($Q30,武学奇术!$A:$ZZ,2,FALSE)+SUM(_xlfn.XLOOKUP($R30:$AK30,增益!$A:$A,增益!$B:$B,0))</f>
        <v>1.0243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1785.2</v>
      </c>
      <c r="AT30" cm="1">
        <f t="array" ref="AT30">$E$10*(1+$AR30)+VLOOKUP($Q30,武学奇术!$A:$ZZ,4,FALSE)+SUM(_xlfn.XLOOKUP($R30:$AK30,增益!$A:$A,增益!$D:$D,0))-$I$2</f>
        <v>6804.8</v>
      </c>
      <c r="AU30" s="33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0.2935</v>
      </c>
      <c r="AV30" s="33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3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3" cm="1">
        <f t="array" ref="BA30">$G$11+VLOOKUP($Q30,武学奇术!$A:$ZZ,10,FALSE)+SUM(_xlfn.XLOOKUP($R30:$AK30,增益!$A:$A,增益!$J:$J,0))</f>
        <v>0</v>
      </c>
      <c r="BB30">
        <f t="shared" si="3"/>
        <v>662.4</v>
      </c>
      <c r="BC30">
        <f t="shared" si="4"/>
        <v>1260</v>
      </c>
      <c r="BD30" s="33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0.06</v>
      </c>
      <c r="BE30" s="33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3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-0.3</v>
      </c>
      <c r="BI30" s="33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3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3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1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0.8354</v>
      </c>
      <c r="BP30" s="27" cm="1">
        <f t="array" ref="BP30">1+$B$13+VLOOKUP($Q30,武学奇术!$A:$ZZ,18,FALSE)+SUM(_xlfn.XLOOKUP($R30:$AK30,增益!$A:$A,增益!$R:$R,0))</f>
        <v>1.994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0.1512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0.8354</v>
      </c>
      <c r="BT30" s="27">
        <f t="shared" si="10"/>
        <v>0.0134</v>
      </c>
      <c r="BU30" s="27">
        <f>IF(VLOOKUP($Q30,武学奇术!$A:$ZZ,22,FALSE)=1,0,(1-$BN30))*(1-$BQ30)</f>
        <v>0</v>
      </c>
      <c r="BV30" s="27" cm="1">
        <f t="array" ref="BV30">SUM(_xlfn.XLOOKUP($R30:$AK30,增益!$A:$A,增益!$W:$W,0))+$I$5</f>
        <v>0.21</v>
      </c>
    </row>
    <row r="31" spans="1:74">
      <c r="K31" s="39">
        <f t="shared" si="0"/>
        <v>226097.452730744</v>
      </c>
      <c r="L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228041.676567504</v>
      </c>
      <c r="M31" s="39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225257.668407805</v>
      </c>
      <c r="N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114363.930073974</v>
      </c>
      <c r="O31" s="39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61870.3279940185</v>
      </c>
      <c r="P31" s="40">
        <v>1</v>
      </c>
      <c r="Q31" s="41" t="s">
        <v>117</v>
      </c>
      <c r="R31" s="41" t="s">
        <v>101</v>
      </c>
      <c r="S31" s="41" t="s">
        <v>114</v>
      </c>
      <c r="T31" s="41" t="s">
        <v>76</v>
      </c>
      <c r="U31" s="41" t="s">
        <v>76</v>
      </c>
      <c r="V31" s="41" t="s">
        <v>155</v>
      </c>
      <c r="W31" s="41" t="s">
        <v>76</v>
      </c>
      <c r="X31" s="41" t="s">
        <v>134</v>
      </c>
      <c r="Y31" s="41" t="s">
        <v>160</v>
      </c>
      <c r="Z31" s="41" t="s">
        <v>76</v>
      </c>
      <c r="AA31" s="41" t="s">
        <v>76</v>
      </c>
      <c r="AB31" s="41" t="s">
        <v>76</v>
      </c>
      <c r="AC31" s="41" t="s">
        <v>76</v>
      </c>
      <c r="AD31" s="41" t="s">
        <v>76</v>
      </c>
      <c r="AE31" s="41" t="s">
        <v>80</v>
      </c>
      <c r="AF31" s="41" t="s">
        <v>108</v>
      </c>
      <c r="AG31" s="41" t="s">
        <v>76</v>
      </c>
      <c r="AH31" s="41" t="s">
        <v>76</v>
      </c>
      <c r="AI31" s="41" t="s">
        <v>76</v>
      </c>
      <c r="AJ31" s="41" t="s">
        <v>76</v>
      </c>
      <c r="AK31" s="41" t="s">
        <v>76</v>
      </c>
      <c r="AL31" t="str">
        <f>VLOOKUP($Q31,武学奇术!$A:$ZZ,25,FALSE)</f>
        <v>陌刀</v>
      </c>
      <c r="AM31" s="27">
        <f>VLOOKUP($Q31,武学奇术!$A:$ZZ,26,FALSE)</f>
        <v>4.2807</v>
      </c>
      <c r="AN31" s="28">
        <f>VLOOKUP($Q31,武学奇术!$A:$ZZ,27,FALSE)*(1+IF(OR($AL31=$F$4,$AL31=$F$5),$B$22,0))</f>
        <v>1776</v>
      </c>
      <c r="AO31" s="27">
        <f>VLOOKUP($Q31,武学奇术!$A:$ZZ,28,FALSE)</f>
        <v>6.421</v>
      </c>
      <c r="AP31" s="28">
        <f>VLOOKUP($Q31,武学奇术!$A:$ZZ,29,FALSE)*(1+IF(OR($AL31=$F$4,$AL31=$F$5),$B$22,0))</f>
        <v>967.5</v>
      </c>
      <c r="AQ31" s="27" cm="1">
        <f t="array" ref="AQ31">$G$3+IFERROR(VLOOKUP($AL31,$F$4:$G$7,2,FALSE),0)+VLOOKUP($Q31,武学奇术!$A:$ZZ,2,FALSE)+SUM(_xlfn.XLOOKUP($R31:$AK31,增益!$A:$A,增益!$B:$B,0))</f>
        <v>1.0243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1785.2</v>
      </c>
      <c r="AT31" cm="1">
        <f t="array" ref="AT31">$E$10*(1+$AR31)+VLOOKUP($Q31,武学奇术!$A:$ZZ,4,FALSE)+SUM(_xlfn.XLOOKUP($R31:$AK31,增益!$A:$A,增益!$D:$D,0))-$I$2</f>
        <v>6804.8</v>
      </c>
      <c r="AU31" s="33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0.2935</v>
      </c>
      <c r="AV31" s="33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3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3" cm="1">
        <f t="array" ref="BA31">$G$11+VLOOKUP($Q31,武学奇术!$A:$ZZ,10,FALSE)+SUM(_xlfn.XLOOKUP($R31:$AK31,增益!$A:$A,增益!$J:$J,0))</f>
        <v>0</v>
      </c>
      <c r="BB31">
        <f t="shared" si="3"/>
        <v>662.4</v>
      </c>
      <c r="BC31">
        <f t="shared" si="4"/>
        <v>1260</v>
      </c>
      <c r="BD31" s="33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0.06</v>
      </c>
      <c r="BE31" s="33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3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-0.3</v>
      </c>
      <c r="BI31" s="33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3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3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1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0.8354</v>
      </c>
      <c r="BP31" s="27" cm="1">
        <f t="array" ref="BP31">1+$B$13+VLOOKUP($Q31,武学奇术!$A:$ZZ,18,FALSE)+SUM(_xlfn.XLOOKUP($R31:$AK31,增益!$A:$A,增益!$R:$R,0))</f>
        <v>1.994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0.1512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0.8354</v>
      </c>
      <c r="BT31" s="27">
        <f t="shared" si="10"/>
        <v>0.0134</v>
      </c>
      <c r="BU31" s="27">
        <f>IF(VLOOKUP($Q31,武学奇术!$A:$ZZ,22,FALSE)=1,0,(1-$BN31))*(1-$BQ31)</f>
        <v>0</v>
      </c>
      <c r="BV31" s="27" cm="1">
        <f t="array" ref="BV31">SUM(_xlfn.XLOOKUP($R31:$AK31,增益!$A:$A,增益!$W:$W,0))+$I$5</f>
        <v>0.21</v>
      </c>
    </row>
    <row r="32" spans="1:74">
      <c r="K32" s="39">
        <f t="shared" si="0"/>
        <v>226097.452730744</v>
      </c>
      <c r="L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228041.676567504</v>
      </c>
      <c r="M32" s="39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225257.668407805</v>
      </c>
      <c r="N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114363.930073974</v>
      </c>
      <c r="O32" s="39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61870.3279940185</v>
      </c>
      <c r="P32" s="40">
        <v>1</v>
      </c>
      <c r="Q32" s="41" t="s">
        <v>117</v>
      </c>
      <c r="R32" s="41" t="s">
        <v>101</v>
      </c>
      <c r="S32" s="41" t="s">
        <v>114</v>
      </c>
      <c r="T32" s="41" t="s">
        <v>76</v>
      </c>
      <c r="U32" s="41" t="s">
        <v>76</v>
      </c>
      <c r="V32" s="41" t="s">
        <v>155</v>
      </c>
      <c r="W32" s="41" t="s">
        <v>76</v>
      </c>
      <c r="X32" s="41" t="s">
        <v>134</v>
      </c>
      <c r="Y32" s="41" t="s">
        <v>160</v>
      </c>
      <c r="Z32" s="41" t="s">
        <v>76</v>
      </c>
      <c r="AA32" s="41" t="s">
        <v>76</v>
      </c>
      <c r="AB32" s="41" t="s">
        <v>76</v>
      </c>
      <c r="AC32" s="41" t="s">
        <v>76</v>
      </c>
      <c r="AD32" s="41" t="s">
        <v>76</v>
      </c>
      <c r="AE32" s="41" t="s">
        <v>80</v>
      </c>
      <c r="AF32" s="41" t="s">
        <v>108</v>
      </c>
      <c r="AG32" s="41" t="s">
        <v>76</v>
      </c>
      <c r="AH32" s="41" t="s">
        <v>76</v>
      </c>
      <c r="AI32" s="41" t="s">
        <v>76</v>
      </c>
      <c r="AJ32" s="41" t="s">
        <v>76</v>
      </c>
      <c r="AK32" s="41" t="s">
        <v>76</v>
      </c>
      <c r="AL32" t="str">
        <f>VLOOKUP($Q32,武学奇术!$A:$ZZ,25,FALSE)</f>
        <v>陌刀</v>
      </c>
      <c r="AM32" s="27">
        <f>VLOOKUP($Q32,武学奇术!$A:$ZZ,26,FALSE)</f>
        <v>4.2807</v>
      </c>
      <c r="AN32" s="28">
        <f>VLOOKUP($Q32,武学奇术!$A:$ZZ,27,FALSE)*(1+IF(OR($AL32=$F$4,$AL32=$F$5),$B$22,0))</f>
        <v>1776</v>
      </c>
      <c r="AO32" s="27">
        <f>VLOOKUP($Q32,武学奇术!$A:$ZZ,28,FALSE)</f>
        <v>6.421</v>
      </c>
      <c r="AP32" s="28">
        <f>VLOOKUP($Q32,武学奇术!$A:$ZZ,29,FALSE)*(1+IF(OR($AL32=$F$4,$AL32=$F$5),$B$22,0))</f>
        <v>967.5</v>
      </c>
      <c r="AQ32" s="27" cm="1">
        <f t="array" ref="AQ32">$G$3+IFERROR(VLOOKUP($AL32,$F$4:$G$7,2,FALSE),0)+VLOOKUP($Q32,武学奇术!$A:$ZZ,2,FALSE)+SUM(_xlfn.XLOOKUP($R32:$AK32,增益!$A:$A,增益!$B:$B,0))</f>
        <v>1.0243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1785.2</v>
      </c>
      <c r="AT32" cm="1">
        <f t="array" ref="AT32">$E$10*(1+$AR32)+VLOOKUP($Q32,武学奇术!$A:$ZZ,4,FALSE)+SUM(_xlfn.XLOOKUP($R32:$AK32,增益!$A:$A,增益!$D:$D,0))-$I$2</f>
        <v>6804.8</v>
      </c>
      <c r="AU32" s="33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0.2935</v>
      </c>
      <c r="AV32" s="33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3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3" cm="1">
        <f t="array" ref="BA32">$G$11+VLOOKUP($Q32,武学奇术!$A:$ZZ,10,FALSE)+SUM(_xlfn.XLOOKUP($R32:$AK32,增益!$A:$A,增益!$J:$J,0))</f>
        <v>0</v>
      </c>
      <c r="BB32">
        <f t="shared" si="3"/>
        <v>662.4</v>
      </c>
      <c r="BC32">
        <f t="shared" si="4"/>
        <v>1260</v>
      </c>
      <c r="BD32" s="33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0.06</v>
      </c>
      <c r="BE32" s="33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3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-0.3</v>
      </c>
      <c r="BI32" s="33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3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3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0.8354</v>
      </c>
      <c r="BP32" s="27" cm="1">
        <f t="array" ref="BP32">1+$B$13+VLOOKUP($Q32,武学奇术!$A:$ZZ,18,FALSE)+SUM(_xlfn.XLOOKUP($R32:$AK32,增益!$A:$A,增益!$R:$R,0))</f>
        <v>1.994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0.1512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0.8354</v>
      </c>
      <c r="BT32" s="27">
        <f t="shared" si="10"/>
        <v>0.0134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0.21</v>
      </c>
    </row>
    <row r="33" spans="11:74">
      <c r="K33" s="39">
        <f t="shared" si="0"/>
        <v>368782.118099542</v>
      </c>
      <c r="L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370495.035618335</v>
      </c>
      <c r="M33" s="39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375110.724462944</v>
      </c>
      <c r="N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190583.866058814</v>
      </c>
      <c r="O33" s="39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103307.936219151</v>
      </c>
      <c r="P33" s="40">
        <v>1</v>
      </c>
      <c r="Q33" s="41" t="s">
        <v>106</v>
      </c>
      <c r="R33" s="41" t="s">
        <v>101</v>
      </c>
      <c r="S33" s="41" t="s">
        <v>114</v>
      </c>
      <c r="T33" s="41" t="s">
        <v>76</v>
      </c>
      <c r="U33" s="41" t="s">
        <v>76</v>
      </c>
      <c r="V33" s="41" t="s">
        <v>155</v>
      </c>
      <c r="W33" s="41" t="s">
        <v>76</v>
      </c>
      <c r="X33" s="41" t="s">
        <v>139</v>
      </c>
      <c r="Y33" s="41" t="s">
        <v>160</v>
      </c>
      <c r="Z33" s="41" t="s">
        <v>76</v>
      </c>
      <c r="AA33" s="41" t="s">
        <v>76</v>
      </c>
      <c r="AB33" s="41" t="s">
        <v>76</v>
      </c>
      <c r="AC33" s="41" t="s">
        <v>76</v>
      </c>
      <c r="AD33" s="41" t="s">
        <v>76</v>
      </c>
      <c r="AE33" s="41" t="s">
        <v>80</v>
      </c>
      <c r="AF33" s="41" t="s">
        <v>108</v>
      </c>
      <c r="AG33" s="41" t="s">
        <v>76</v>
      </c>
      <c r="AH33" s="41" t="s">
        <v>76</v>
      </c>
      <c r="AI33" s="41" t="s">
        <v>76</v>
      </c>
      <c r="AJ33" s="41" t="s">
        <v>76</v>
      </c>
      <c r="AK33" s="41" t="s">
        <v>76</v>
      </c>
      <c r="AL33" t="str">
        <f>VLOOKUP($Q33,武学奇术!$A:$ZZ,25,FALSE)</f>
        <v>陌刀</v>
      </c>
      <c r="AM33" s="27">
        <f>VLOOKUP($Q33,武学奇术!$A:$ZZ,26,FALSE)</f>
        <v>7.2368</v>
      </c>
      <c r="AN33" s="28">
        <f>VLOOKUP($Q33,武学奇术!$A:$ZZ,27,FALSE)*(1+IF(OR($AL33=$F$4,$AL33=$F$5),$B$22,0))</f>
        <v>3003</v>
      </c>
      <c r="AO33" s="27">
        <f>VLOOKUP($Q33,武学奇术!$A:$ZZ,28,FALSE)</f>
        <v>10.8553</v>
      </c>
      <c r="AP33" s="28">
        <f>VLOOKUP($Q33,武学奇术!$A:$ZZ,29,FALSE)*(1+IF(OR($AL33=$F$4,$AL33=$F$5),$B$22,0))</f>
        <v>1635</v>
      </c>
      <c r="AQ33" s="27" cm="1">
        <f t="array" ref="AQ33">$G$3+IFERROR(VLOOKUP($AL33,$F$4:$G$7,2,FALSE),0)+VLOOKUP($Q33,武学奇术!$A:$ZZ,2,FALSE)+SUM(_xlfn.XLOOKUP($R33:$AK33,增益!$A:$A,增益!$B:$B,0))</f>
        <v>1.0243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1785.2</v>
      </c>
      <c r="AT33" cm="1">
        <f t="array" ref="AT33">$E$10*(1+$AR33)+VLOOKUP($Q33,武学奇术!$A:$ZZ,4,FALSE)+SUM(_xlfn.XLOOKUP($R33:$AK33,增益!$A:$A,增益!$D:$D,0))-$I$2</f>
        <v>6804.8</v>
      </c>
      <c r="AU33" s="33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0.2685</v>
      </c>
      <c r="AV33" s="33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3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3" cm="1">
        <f t="array" ref="BA33">$G$11+VLOOKUP($Q33,武学奇术!$A:$ZZ,10,FALSE)+SUM(_xlfn.XLOOKUP($R33:$AK33,增益!$A:$A,增益!$J:$J,0))</f>
        <v>0</v>
      </c>
      <c r="BB33">
        <f t="shared" si="3"/>
        <v>662.4</v>
      </c>
      <c r="BC33">
        <f t="shared" si="4"/>
        <v>1260</v>
      </c>
      <c r="BD33" s="33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0.06</v>
      </c>
      <c r="BE33" s="33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3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-0.3</v>
      </c>
      <c r="BI33" s="33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3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3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0.8354</v>
      </c>
      <c r="BP33" s="27" cm="1">
        <f t="array" ref="BP33">1+$B$13+VLOOKUP($Q33,武学奇术!$A:$ZZ,18,FALSE)+SUM(_xlfn.XLOOKUP($R33:$AK33,增益!$A:$A,增益!$R:$R,0))</f>
        <v>1.944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0.1512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0.8354</v>
      </c>
      <c r="BT33" s="27">
        <f t="shared" si="10"/>
        <v>0.0134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0.21</v>
      </c>
    </row>
    <row r="34" spans="11:74">
      <c r="K34" s="39">
        <f t="shared" si="0"/>
        <v>226097.452730744</v>
      </c>
      <c r="L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228041.676567504</v>
      </c>
      <c r="M34" s="39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225257.668407805</v>
      </c>
      <c r="N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114363.930073974</v>
      </c>
      <c r="O34" s="39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61870.3279940185</v>
      </c>
      <c r="P34" s="40">
        <v>1</v>
      </c>
      <c r="Q34" s="41" t="s">
        <v>117</v>
      </c>
      <c r="R34" s="41" t="s">
        <v>101</v>
      </c>
      <c r="S34" s="41" t="s">
        <v>114</v>
      </c>
      <c r="T34" s="41" t="s">
        <v>76</v>
      </c>
      <c r="U34" s="41" t="s">
        <v>76</v>
      </c>
      <c r="V34" s="41" t="s">
        <v>155</v>
      </c>
      <c r="W34" s="41" t="s">
        <v>76</v>
      </c>
      <c r="X34" s="41" t="s">
        <v>134</v>
      </c>
      <c r="Y34" s="41" t="s">
        <v>160</v>
      </c>
      <c r="Z34" s="41" t="s">
        <v>76</v>
      </c>
      <c r="AA34" s="41" t="s">
        <v>76</v>
      </c>
      <c r="AB34" s="41" t="s">
        <v>76</v>
      </c>
      <c r="AC34" s="41" t="s">
        <v>76</v>
      </c>
      <c r="AD34" s="41" t="s">
        <v>76</v>
      </c>
      <c r="AE34" s="41" t="s">
        <v>80</v>
      </c>
      <c r="AF34" s="41" t="s">
        <v>108</v>
      </c>
      <c r="AG34" s="41" t="s">
        <v>76</v>
      </c>
      <c r="AH34" s="41" t="s">
        <v>76</v>
      </c>
      <c r="AI34" s="41" t="s">
        <v>76</v>
      </c>
      <c r="AJ34" s="41" t="s">
        <v>76</v>
      </c>
      <c r="AK34" s="41" t="s">
        <v>76</v>
      </c>
      <c r="AL34" t="str">
        <f>VLOOKUP($Q34,武学奇术!$A:$ZZ,25,FALSE)</f>
        <v>陌刀</v>
      </c>
      <c r="AM34" s="27">
        <f>VLOOKUP($Q34,武学奇术!$A:$ZZ,26,FALSE)</f>
        <v>4.2807</v>
      </c>
      <c r="AN34" s="28">
        <f>VLOOKUP($Q34,武学奇术!$A:$ZZ,27,FALSE)*(1+IF(OR($AL34=$F$4,$AL34=$F$5),$B$22,0))</f>
        <v>1776</v>
      </c>
      <c r="AO34" s="27">
        <f>VLOOKUP($Q34,武学奇术!$A:$ZZ,28,FALSE)</f>
        <v>6.421</v>
      </c>
      <c r="AP34" s="28">
        <f>VLOOKUP($Q34,武学奇术!$A:$ZZ,29,FALSE)*(1+IF(OR($AL34=$F$4,$AL34=$F$5),$B$22,0))</f>
        <v>967.5</v>
      </c>
      <c r="AQ34" s="27" cm="1">
        <f t="array" ref="AQ34">$G$3+IFERROR(VLOOKUP($AL34,$F$4:$G$7,2,FALSE),0)+VLOOKUP($Q34,武学奇术!$A:$ZZ,2,FALSE)+SUM(_xlfn.XLOOKUP($R34:$AK34,增益!$A:$A,增益!$B:$B,0))</f>
        <v>1.0243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1785.2</v>
      </c>
      <c r="AT34" cm="1">
        <f t="array" ref="AT34">$E$10*(1+$AR34)+VLOOKUP($Q34,武学奇术!$A:$ZZ,4,FALSE)+SUM(_xlfn.XLOOKUP($R34:$AK34,增益!$A:$A,增益!$D:$D,0))-$I$2</f>
        <v>6804.8</v>
      </c>
      <c r="AU34" s="33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0.2935</v>
      </c>
      <c r="AV34" s="33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3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3" cm="1">
        <f t="array" ref="BA34">$G$11+VLOOKUP($Q34,武学奇术!$A:$ZZ,10,FALSE)+SUM(_xlfn.XLOOKUP($R34:$AK34,增益!$A:$A,增益!$J:$J,0))</f>
        <v>0</v>
      </c>
      <c r="BB34">
        <f t="shared" si="3"/>
        <v>662.4</v>
      </c>
      <c r="BC34">
        <f t="shared" si="4"/>
        <v>1260</v>
      </c>
      <c r="BD34" s="33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0.06</v>
      </c>
      <c r="BE34" s="33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3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-0.3</v>
      </c>
      <c r="BI34" s="33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3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3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0.8354</v>
      </c>
      <c r="BP34" s="27" cm="1">
        <f t="array" ref="BP34">1+$B$13+VLOOKUP($Q34,武学奇术!$A:$ZZ,18,FALSE)+SUM(_xlfn.XLOOKUP($R34:$AK34,增益!$A:$A,增益!$R:$R,0))</f>
        <v>1.994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0.1512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0.8354</v>
      </c>
      <c r="BT34" s="27">
        <f t="shared" si="10"/>
        <v>0.0134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0.21</v>
      </c>
    </row>
    <row r="35" spans="11:74">
      <c r="K35" s="39">
        <f t="shared" si="0"/>
        <v>217102.14229427</v>
      </c>
      <c r="L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241769.537074457</v>
      </c>
      <c r="M35" s="39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264080.127591225</v>
      </c>
      <c r="N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131111.462621723</v>
      </c>
      <c r="O35" s="39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66608.0159166127</v>
      </c>
      <c r="P35" s="40">
        <v>1</v>
      </c>
      <c r="Q35" s="41" t="s">
        <v>167</v>
      </c>
      <c r="R35" s="41" t="s">
        <v>101</v>
      </c>
      <c r="S35" s="41" t="s">
        <v>114</v>
      </c>
      <c r="T35" s="41" t="s">
        <v>76</v>
      </c>
      <c r="U35" s="41" t="s">
        <v>76</v>
      </c>
      <c r="V35" s="41" t="s">
        <v>155</v>
      </c>
      <c r="W35" s="41" t="s">
        <v>76</v>
      </c>
      <c r="X35" s="41" t="s">
        <v>139</v>
      </c>
      <c r="Y35" s="41" t="s">
        <v>160</v>
      </c>
      <c r="Z35" s="41" t="s">
        <v>76</v>
      </c>
      <c r="AA35" s="41" t="s">
        <v>76</v>
      </c>
      <c r="AB35" s="41" t="s">
        <v>76</v>
      </c>
      <c r="AC35" s="41" t="s">
        <v>76</v>
      </c>
      <c r="AD35" s="41" t="s">
        <v>76</v>
      </c>
      <c r="AE35" s="41" t="s">
        <v>80</v>
      </c>
      <c r="AF35" s="41" t="s">
        <v>76</v>
      </c>
      <c r="AG35" s="41" t="s">
        <v>76</v>
      </c>
      <c r="AH35" s="41" t="s">
        <v>76</v>
      </c>
      <c r="AI35" s="41" t="s">
        <v>76</v>
      </c>
      <c r="AJ35" s="41" t="s">
        <v>76</v>
      </c>
      <c r="AK35" s="41" t="s">
        <v>76</v>
      </c>
      <c r="AL35" t="str">
        <f>VLOOKUP($Q35,武学奇术!$A:$ZZ,25,FALSE)</f>
        <v>群体奇术</v>
      </c>
      <c r="AM35" s="27">
        <f>VLOOKUP($Q35,武学奇术!$A:$ZZ,26,FALSE)</f>
        <v>10.315755</v>
      </c>
      <c r="AN35" s="28">
        <f>VLOOKUP($Q35,武学奇术!$A:$ZZ,27,FALSE)*(1+IF(OR($AL35=$F$4,$AL35=$F$5),$B$22,0))</f>
        <v>1992.6</v>
      </c>
      <c r="AO35" s="27">
        <f>VLOOKUP($Q35,武学奇术!$A:$ZZ,28,FALSE)</f>
        <v>15.4736325</v>
      </c>
      <c r="AP35" s="28">
        <f>VLOOKUP($Q35,武学奇术!$A:$ZZ,29,FALSE)*(1+IF(OR($AL35=$F$4,$AL35=$F$5),$B$22,0))</f>
        <v>0</v>
      </c>
      <c r="AQ35" s="27" cm="1">
        <f t="array" ref="AQ35">$G$3+IFERROR(VLOOKUP($AL35,$F$4:$G$7,2,FALSE),0)+VLOOKUP($Q35,武学奇术!$A:$ZZ,2,FALSE)+SUM(_xlfn.XLOOKUP($R35:$AK35,增益!$A:$A,增益!$B:$B,0))</f>
        <v>0.4342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1785.2</v>
      </c>
      <c r="AT35" cm="1">
        <f t="array" ref="AT35">$E$10*(1+$AR35)+VLOOKUP($Q35,武学奇术!$A:$ZZ,4,FALSE)+SUM(_xlfn.XLOOKUP($R35:$AK35,增益!$A:$A,增益!$D:$D,0))-$I$2</f>
        <v>6604.8</v>
      </c>
      <c r="AU35" s="33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0.2685</v>
      </c>
      <c r="AV35" s="33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3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3" cm="1">
        <f t="array" ref="BA35">$G$11+VLOOKUP($Q35,武学奇术!$A:$ZZ,10,FALSE)+SUM(_xlfn.XLOOKUP($R35:$AK35,增益!$A:$A,增益!$J:$J,0))</f>
        <v>0</v>
      </c>
      <c r="BB35">
        <f t="shared" si="3"/>
        <v>662.4</v>
      </c>
      <c r="BC35">
        <f t="shared" si="4"/>
        <v>1260</v>
      </c>
      <c r="BD35" s="33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0.06</v>
      </c>
      <c r="BE35" s="33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33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-0.3</v>
      </c>
      <c r="BI35" s="33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33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3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0.5954</v>
      </c>
      <c r="BP35" s="27" cm="1">
        <f t="array" ref="BP35">1+$B$13+VLOOKUP($Q35,武学奇术!$A:$ZZ,18,FALSE)+SUM(_xlfn.XLOOKUP($R35:$AK35,增益!$A:$A,增益!$R:$R,0))</f>
        <v>1.844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0.1512</v>
      </c>
      <c r="BR35" s="27" cm="1">
        <f t="array" ref="BR35">1+$B$14+VLOOKUP($Q35,武学奇术!$A:$ZZ,20,FALSE)+SUM(_xlfn.XLOOKUP($R35:$AK35,增益!$A:$A,增益!$T:$T,0))</f>
        <v>1.35</v>
      </c>
      <c r="BS35" s="27">
        <f t="shared" si="9"/>
        <v>0.5954</v>
      </c>
      <c r="BT35" s="27">
        <f t="shared" si="10"/>
        <v>0.2534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0.21</v>
      </c>
    </row>
    <row r="36" spans="11:74">
      <c r="K36" s="39">
        <f t="shared" si="0"/>
        <v>368782.118099542</v>
      </c>
      <c r="L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370495.035618335</v>
      </c>
      <c r="M36" s="39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375110.724462944</v>
      </c>
      <c r="N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190583.866058814</v>
      </c>
      <c r="O36" s="39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103307.936219151</v>
      </c>
      <c r="P36" s="40">
        <v>1</v>
      </c>
      <c r="Q36" s="41" t="s">
        <v>106</v>
      </c>
      <c r="R36" s="41" t="s">
        <v>101</v>
      </c>
      <c r="S36" s="41" t="s">
        <v>114</v>
      </c>
      <c r="T36" s="41" t="s">
        <v>76</v>
      </c>
      <c r="U36" s="41" t="s">
        <v>76</v>
      </c>
      <c r="V36" s="41" t="s">
        <v>155</v>
      </c>
      <c r="W36" s="41" t="s">
        <v>76</v>
      </c>
      <c r="X36" s="41" t="s">
        <v>139</v>
      </c>
      <c r="Y36" s="41" t="s">
        <v>160</v>
      </c>
      <c r="Z36" s="41" t="s">
        <v>76</v>
      </c>
      <c r="AA36" s="41" t="s">
        <v>76</v>
      </c>
      <c r="AB36" s="41" t="s">
        <v>76</v>
      </c>
      <c r="AC36" s="41" t="s">
        <v>76</v>
      </c>
      <c r="AD36" s="41" t="s">
        <v>76</v>
      </c>
      <c r="AE36" s="41" t="s">
        <v>80</v>
      </c>
      <c r="AF36" s="41" t="s">
        <v>108</v>
      </c>
      <c r="AG36" s="41" t="s">
        <v>76</v>
      </c>
      <c r="AH36" s="41" t="s">
        <v>76</v>
      </c>
      <c r="AI36" s="41" t="s">
        <v>76</v>
      </c>
      <c r="AJ36" s="41" t="s">
        <v>76</v>
      </c>
      <c r="AK36" s="41" t="s">
        <v>76</v>
      </c>
      <c r="AL36" t="str">
        <f>VLOOKUP($Q36,武学奇术!$A:$ZZ,25,FALSE)</f>
        <v>陌刀</v>
      </c>
      <c r="AM36" s="27">
        <f>VLOOKUP($Q36,武学奇术!$A:$ZZ,26,FALSE)</f>
        <v>7.2368</v>
      </c>
      <c r="AN36" s="28">
        <f>VLOOKUP($Q36,武学奇术!$A:$ZZ,27,FALSE)*(1+IF(OR($AL36=$F$4,$AL36=$F$5),$B$22,0))</f>
        <v>3003</v>
      </c>
      <c r="AO36" s="27">
        <f>VLOOKUP($Q36,武学奇术!$A:$ZZ,28,FALSE)</f>
        <v>10.8553</v>
      </c>
      <c r="AP36" s="28">
        <f>VLOOKUP($Q36,武学奇术!$A:$ZZ,29,FALSE)*(1+IF(OR($AL36=$F$4,$AL36=$F$5),$B$22,0))</f>
        <v>1635</v>
      </c>
      <c r="AQ36" s="27" cm="1">
        <f t="array" ref="AQ36">$G$3+IFERROR(VLOOKUP($AL36,$F$4:$G$7,2,FALSE),0)+VLOOKUP($Q36,武学奇术!$A:$ZZ,2,FALSE)+SUM(_xlfn.XLOOKUP($R36:$AK36,增益!$A:$A,增益!$B:$B,0))</f>
        <v>1.0243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1785.2</v>
      </c>
      <c r="AT36" cm="1">
        <f t="array" ref="AT36">$E$10*(1+$AR36)+VLOOKUP($Q36,武学奇术!$A:$ZZ,4,FALSE)+SUM(_xlfn.XLOOKUP($R36:$AK36,增益!$A:$A,增益!$D:$D,0))-$I$2</f>
        <v>6804.8</v>
      </c>
      <c r="AU36" s="33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0.2685</v>
      </c>
      <c r="AV36" s="33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3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3" cm="1">
        <f t="array" ref="BA36">$G$11+VLOOKUP($Q36,武学奇术!$A:$ZZ,10,FALSE)+SUM(_xlfn.XLOOKUP($R36:$AK36,增益!$A:$A,增益!$J:$J,0))</f>
        <v>0</v>
      </c>
      <c r="BB36">
        <f t="shared" si="3"/>
        <v>662.4</v>
      </c>
      <c r="BC36">
        <f t="shared" si="4"/>
        <v>1260</v>
      </c>
      <c r="BD36" s="33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0.06</v>
      </c>
      <c r="BE36" s="33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33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-0.3</v>
      </c>
      <c r="BI36" s="33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33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3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0.8354</v>
      </c>
      <c r="BP36" s="27" cm="1">
        <f t="array" ref="BP36">1+$B$13+VLOOKUP($Q36,武学奇术!$A:$ZZ,18,FALSE)+SUM(_xlfn.XLOOKUP($R36:$AK36,增益!$A:$A,增益!$R:$R,0))</f>
        <v>1.944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0.1512</v>
      </c>
      <c r="BR36" s="27" cm="1">
        <f t="array" ref="BR36">1+$B$14+VLOOKUP($Q36,武学奇术!$A:$ZZ,20,FALSE)+SUM(_xlfn.XLOOKUP($R36:$AK36,增益!$A:$A,增益!$T:$T,0))</f>
        <v>1.35</v>
      </c>
      <c r="BS36" s="27">
        <f t="shared" si="9"/>
        <v>0.8354</v>
      </c>
      <c r="BT36" s="27">
        <f t="shared" si="10"/>
        <v>0.0134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0.21</v>
      </c>
    </row>
    <row r="37" spans="11:74">
      <c r="K37" s="39">
        <f t="shared" si="0"/>
        <v>207411.712835642</v>
      </c>
      <c r="L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209195.257016471</v>
      </c>
      <c r="M37" s="39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206641.332175755</v>
      </c>
      <c r="N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104912.365605051</v>
      </c>
      <c r="O37" s="39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56757.077746579</v>
      </c>
      <c r="P37" s="40">
        <v>1</v>
      </c>
      <c r="Q37" s="41" t="s">
        <v>117</v>
      </c>
      <c r="R37" s="41" t="s">
        <v>101</v>
      </c>
      <c r="S37" s="41" t="s">
        <v>114</v>
      </c>
      <c r="T37" s="41" t="s">
        <v>76</v>
      </c>
      <c r="U37" s="41" t="s">
        <v>76</v>
      </c>
      <c r="V37" s="41" t="s">
        <v>155</v>
      </c>
      <c r="W37" s="41" t="s">
        <v>76</v>
      </c>
      <c r="X37" s="41" t="s">
        <v>134</v>
      </c>
      <c r="Y37" s="41" t="s">
        <v>76</v>
      </c>
      <c r="Z37" s="41" t="s">
        <v>76</v>
      </c>
      <c r="AA37" s="41" t="s">
        <v>76</v>
      </c>
      <c r="AB37" s="41" t="s">
        <v>76</v>
      </c>
      <c r="AC37" s="41" t="s">
        <v>76</v>
      </c>
      <c r="AD37" s="41" t="s">
        <v>76</v>
      </c>
      <c r="AE37" s="41" t="s">
        <v>80</v>
      </c>
      <c r="AF37" s="41" t="s">
        <v>108</v>
      </c>
      <c r="AG37" s="41" t="s">
        <v>76</v>
      </c>
      <c r="AH37" s="41" t="s">
        <v>76</v>
      </c>
      <c r="AI37" s="41" t="s">
        <v>76</v>
      </c>
      <c r="AJ37" s="41" t="s">
        <v>76</v>
      </c>
      <c r="AK37" s="41" t="s">
        <v>76</v>
      </c>
      <c r="AL37" t="str">
        <f>VLOOKUP($Q37,武学奇术!$A:$ZZ,25,FALSE)</f>
        <v>陌刀</v>
      </c>
      <c r="AM37" s="27">
        <f>VLOOKUP($Q37,武学奇术!$A:$ZZ,26,FALSE)</f>
        <v>4.2807</v>
      </c>
      <c r="AN37" s="28">
        <f>VLOOKUP($Q37,武学奇术!$A:$ZZ,27,FALSE)*(1+IF(OR($AL37=$F$4,$AL37=$F$5),$B$22,0))</f>
        <v>1776</v>
      </c>
      <c r="AO37" s="27">
        <f>VLOOKUP($Q37,武学奇术!$A:$ZZ,28,FALSE)</f>
        <v>6.421</v>
      </c>
      <c r="AP37" s="28">
        <f>VLOOKUP($Q37,武学奇术!$A:$ZZ,29,FALSE)*(1+IF(OR($AL37=$F$4,$AL37=$F$5),$B$22,0))</f>
        <v>967.5</v>
      </c>
      <c r="AQ37" s="27" cm="1">
        <f t="array" ref="AQ37">$G$3+IFERROR(VLOOKUP($AL37,$F$4:$G$7,2,FALSE),0)+VLOOKUP($Q37,武学奇术!$A:$ZZ,2,FALSE)+SUM(_xlfn.XLOOKUP($R37:$AK37,增益!$A:$A,增益!$B:$B,0))</f>
        <v>1.0243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1785.2</v>
      </c>
      <c r="AT37" cm="1">
        <f t="array" ref="AT37">$E$10*(1+$AR37)+VLOOKUP($Q37,武学奇术!$A:$ZZ,4,FALSE)+SUM(_xlfn.XLOOKUP($R37:$AK37,增益!$A:$A,增益!$D:$D,0))-$I$2</f>
        <v>6804.8</v>
      </c>
      <c r="AU37" s="33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0.2935</v>
      </c>
      <c r="AV37" s="33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3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3" cm="1">
        <f t="array" ref="BA37">$G$11+VLOOKUP($Q37,武学奇术!$A:$ZZ,10,FALSE)+SUM(_xlfn.XLOOKUP($R37:$AK37,增益!$A:$A,增益!$J:$J,0))</f>
        <v>0</v>
      </c>
      <c r="BB37">
        <f t="shared" si="3"/>
        <v>662.4</v>
      </c>
      <c r="BC37">
        <f t="shared" si="4"/>
        <v>1260</v>
      </c>
      <c r="BD37" s="33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0.06</v>
      </c>
      <c r="BE37" s="33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33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-0.3</v>
      </c>
      <c r="BI37" s="33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33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3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0.8354</v>
      </c>
      <c r="BP37" s="27" cm="1">
        <f t="array" ref="BP37">1+$B$13+VLOOKUP($Q37,武学奇术!$A:$ZZ,18,FALSE)+SUM(_xlfn.XLOOKUP($R37:$AK37,增益!$A:$A,增益!$R:$R,0))</f>
        <v>1.994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0.1512</v>
      </c>
      <c r="BR37" s="27" cm="1">
        <f t="array" ref="BR37">1+$B$14+VLOOKUP($Q37,武学奇术!$A:$ZZ,20,FALSE)+SUM(_xlfn.XLOOKUP($R37:$AK37,增益!$A:$A,增益!$T:$T,0))</f>
        <v>1.35</v>
      </c>
      <c r="BS37" s="27">
        <f t="shared" si="9"/>
        <v>0.8354</v>
      </c>
      <c r="BT37" s="27">
        <f t="shared" si="10"/>
        <v>0.0134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11:74">
      <c r="K38" s="39">
        <f t="shared" si="0"/>
        <v>0</v>
      </c>
      <c r="L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39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39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0">
        <v>1</v>
      </c>
      <c r="Q38" s="41" t="s">
        <v>76</v>
      </c>
      <c r="R38" s="41" t="s">
        <v>76</v>
      </c>
      <c r="S38" s="41" t="s">
        <v>76</v>
      </c>
      <c r="T38" s="41" t="s">
        <v>76</v>
      </c>
      <c r="U38" s="41" t="s">
        <v>76</v>
      </c>
      <c r="V38" s="41" t="s">
        <v>76</v>
      </c>
      <c r="W38" s="41" t="s">
        <v>76</v>
      </c>
      <c r="X38" s="41" t="s">
        <v>76</v>
      </c>
      <c r="Y38" s="41" t="s">
        <v>76</v>
      </c>
      <c r="Z38" s="41" t="s">
        <v>76</v>
      </c>
      <c r="AA38" s="41" t="s">
        <v>76</v>
      </c>
      <c r="AB38" s="41" t="s">
        <v>76</v>
      </c>
      <c r="AC38" s="41" t="s">
        <v>76</v>
      </c>
      <c r="AD38" s="41" t="s">
        <v>76</v>
      </c>
      <c r="AE38" s="41" t="s">
        <v>80</v>
      </c>
      <c r="AF38" s="41" t="s">
        <v>76</v>
      </c>
      <c r="AG38" s="41" t="s">
        <v>76</v>
      </c>
      <c r="AH38" s="41" t="s">
        <v>76</v>
      </c>
      <c r="AI38" s="41" t="s">
        <v>76</v>
      </c>
      <c r="AJ38" s="41" t="s">
        <v>76</v>
      </c>
      <c r="AK38" s="41" t="s">
        <v>76</v>
      </c>
      <c r="AL38" t="str">
        <f>VLOOKUP($Q38,武学奇术!$A:$ZZ,25,FALSE)</f>
        <v>心法</v>
      </c>
      <c r="AM38" s="27">
        <f>VLOOKUP($Q38,武学奇术!$A:$ZZ,26,FALSE)</f>
        <v>0</v>
      </c>
      <c r="AN38" s="28">
        <f>VLOOKUP($Q38,武学奇术!$A:$ZZ,27,FALSE)*(1+IF(OR($AL38=$F$4,$AL38=$F$5),$B$22,0))</f>
        <v>0</v>
      </c>
      <c r="AO38" s="27">
        <f>VLOOKUP($Q38,武学奇术!$A:$ZZ,28,FALSE)</f>
        <v>0</v>
      </c>
      <c r="AP38" s="28">
        <f>VLOOKUP($Q38,武学奇术!$A:$ZZ,29,FALSE)*(1+IF(OR($AL38=$F$4,$AL38=$F$5),$B$22,0))</f>
        <v>0</v>
      </c>
      <c r="AQ38" s="27" cm="1">
        <f t="array" ref="AQ38">$G$3+IFERROR(VLOOKUP($AL38,$F$4:$G$7,2,FALSE),0)+VLOOKUP($Q38,武学奇术!$A:$ZZ,2,FALSE)+SUM(_xlfn.XLOOKUP($R38:$AK38,增益!$A:$A,增益!$B:$B,0))</f>
        <v>0.2042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1785.2</v>
      </c>
      <c r="AT38" cm="1">
        <f t="array" ref="AT38">$E$10*(1+$AR38)+VLOOKUP($Q38,武学奇术!$A:$ZZ,4,FALSE)+SUM(_xlfn.XLOOKUP($R38:$AK38,增益!$A:$A,增益!$D:$D,0))-$I$2</f>
        <v>6604.8</v>
      </c>
      <c r="AU38" s="33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0.1685</v>
      </c>
      <c r="AV38" s="33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3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3" cm="1">
        <f t="array" ref="BA38">$G$11+VLOOKUP($Q38,武学奇术!$A:$ZZ,10,FALSE)+SUM(_xlfn.XLOOKUP($R38:$AK38,增益!$A:$A,增益!$J:$J,0))</f>
        <v>0</v>
      </c>
      <c r="BB38">
        <f t="shared" si="3"/>
        <v>662.4</v>
      </c>
      <c r="BC38">
        <f t="shared" si="4"/>
        <v>1260</v>
      </c>
      <c r="BD38" s="33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3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33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3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33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3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0.5954</v>
      </c>
      <c r="BP38" s="27" cm="1">
        <f t="array" ref="BP38">1+$B$13+VLOOKUP($Q38,武学奇术!$A:$ZZ,18,FALSE)+SUM(_xlfn.XLOOKUP($R38:$AK38,增益!$A:$A,增益!$R:$R,0))</f>
        <v>1.644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0.1512</v>
      </c>
      <c r="BR38" s="27" cm="1">
        <f t="array" ref="BR38">1+$B$14+VLOOKUP($Q38,武学奇术!$A:$ZZ,20,FALSE)+SUM(_xlfn.XLOOKUP($R38:$AK38,增益!$A:$A,增益!$T:$T,0))</f>
        <v>1.35</v>
      </c>
      <c r="BS38" s="27">
        <f t="shared" si="9"/>
        <v>0.5954</v>
      </c>
      <c r="BT38" s="27">
        <f t="shared" si="10"/>
        <v>0.2534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11:74">
      <c r="K39" s="39">
        <f t="shared" si="0"/>
        <v>360212.597036746</v>
      </c>
      <c r="L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366100.581186069</v>
      </c>
      <c r="M39" s="39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344109.838143693</v>
      </c>
      <c r="N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174833.133326681</v>
      </c>
      <c r="O39" s="39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94770.0902506263</v>
      </c>
      <c r="P39" s="40">
        <v>1</v>
      </c>
      <c r="Q39" s="41" t="s">
        <v>106</v>
      </c>
      <c r="R39" s="41" t="s">
        <v>101</v>
      </c>
      <c r="S39" s="41" t="s">
        <v>114</v>
      </c>
      <c r="T39" s="41" t="s">
        <v>77</v>
      </c>
      <c r="U39" s="41" t="s">
        <v>76</v>
      </c>
      <c r="V39" s="41" t="s">
        <v>155</v>
      </c>
      <c r="W39" s="41" t="s">
        <v>76</v>
      </c>
      <c r="X39" s="41" t="s">
        <v>139</v>
      </c>
      <c r="Y39" s="41" t="s">
        <v>76</v>
      </c>
      <c r="Z39" s="41" t="s">
        <v>76</v>
      </c>
      <c r="AA39" s="41" t="s">
        <v>76</v>
      </c>
      <c r="AB39" s="41" t="s">
        <v>76</v>
      </c>
      <c r="AC39" s="41" t="s">
        <v>76</v>
      </c>
      <c r="AD39" s="41" t="s">
        <v>76</v>
      </c>
      <c r="AE39" s="41" t="s">
        <v>80</v>
      </c>
      <c r="AF39" s="41" t="s">
        <v>108</v>
      </c>
      <c r="AG39" s="41" t="s">
        <v>76</v>
      </c>
      <c r="AH39" s="41" t="s">
        <v>76</v>
      </c>
      <c r="AI39" s="41" t="s">
        <v>76</v>
      </c>
      <c r="AJ39" s="41" t="s">
        <v>76</v>
      </c>
      <c r="AK39" s="41" t="s">
        <v>76</v>
      </c>
      <c r="AL39" t="str">
        <f>VLOOKUP($Q39,武学奇术!$A:$ZZ,25,FALSE)</f>
        <v>陌刀</v>
      </c>
      <c r="AM39" s="27">
        <f>VLOOKUP($Q39,武学奇术!$A:$ZZ,26,FALSE)</f>
        <v>7.2368</v>
      </c>
      <c r="AN39" s="28">
        <f>VLOOKUP($Q39,武学奇术!$A:$ZZ,27,FALSE)*(1+IF(OR($AL39=$F$4,$AL39=$F$5),$B$22,0))</f>
        <v>3003</v>
      </c>
      <c r="AO39" s="27">
        <f>VLOOKUP($Q39,武学奇术!$A:$ZZ,28,FALSE)</f>
        <v>10.8553</v>
      </c>
      <c r="AP39" s="28">
        <f>VLOOKUP($Q39,武学奇术!$A:$ZZ,29,FALSE)*(1+IF(OR($AL39=$F$4,$AL39=$F$5),$B$22,0))</f>
        <v>1635</v>
      </c>
      <c r="AQ39" s="27" cm="1">
        <f t="array" ref="AQ39">$G$3+IFERROR(VLOOKUP($AL39,$F$4:$G$7,2,FALSE),0)+VLOOKUP($Q39,武学奇术!$A:$ZZ,2,FALSE)+SUM(_xlfn.XLOOKUP($R39:$AK39,增益!$A:$A,增益!$B:$B,0))</f>
        <v>1.0243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1785.2</v>
      </c>
      <c r="AT39" cm="1">
        <f t="array" ref="AT39">$E$10*(1+$AR39)+VLOOKUP($Q39,武学奇术!$A:$ZZ,4,FALSE)+SUM(_xlfn.XLOOKUP($R39:$AK39,增益!$A:$A,增益!$D:$D,0))-$I$2</f>
        <v>6804.8</v>
      </c>
      <c r="AU39" s="33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0.2685</v>
      </c>
      <c r="AV39" s="33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3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3" cm="1">
        <f t="array" ref="BA39">$G$11+VLOOKUP($Q39,武学奇术!$A:$ZZ,10,FALSE)+SUM(_xlfn.XLOOKUP($R39:$AK39,增益!$A:$A,增益!$J:$J,0))</f>
        <v>0</v>
      </c>
      <c r="BB39">
        <f t="shared" si="3"/>
        <v>662.4</v>
      </c>
      <c r="BC39">
        <f t="shared" si="4"/>
        <v>1260</v>
      </c>
      <c r="BD39" s="33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3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33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3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33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3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0.8354</v>
      </c>
      <c r="BP39" s="27" cm="1">
        <f t="array" ref="BP39">1+$B$13+VLOOKUP($Q39,武学奇术!$A:$ZZ,18,FALSE)+SUM(_xlfn.XLOOKUP($R39:$AK39,增益!$A:$A,增益!$R:$R,0))</f>
        <v>2.094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0.1512</v>
      </c>
      <c r="BR39" s="27" cm="1">
        <f t="array" ref="BR39">1+$B$14+VLOOKUP($Q39,武学奇术!$A:$ZZ,20,FALSE)+SUM(_xlfn.XLOOKUP($R39:$AK39,增益!$A:$A,增益!$T:$T,0))</f>
        <v>1.35</v>
      </c>
      <c r="BS39" s="27">
        <f t="shared" si="9"/>
        <v>0.8354</v>
      </c>
      <c r="BT39" s="27">
        <f t="shared" si="10"/>
        <v>0.0134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11:74">
      <c r="K40" s="39">
        <f t="shared" si="0"/>
        <v>220558.281369611</v>
      </c>
      <c r="L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224932.111857229</v>
      </c>
      <c r="M40" s="39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206641.332175755</v>
      </c>
      <c r="N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104912.365605051</v>
      </c>
      <c r="O40" s="39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56757.077746579</v>
      </c>
      <c r="P40" s="40">
        <v>1</v>
      </c>
      <c r="Q40" s="41" t="s">
        <v>117</v>
      </c>
      <c r="R40" s="41" t="s">
        <v>101</v>
      </c>
      <c r="S40" s="41" t="s">
        <v>114</v>
      </c>
      <c r="T40" s="41" t="s">
        <v>77</v>
      </c>
      <c r="U40" s="41" t="s">
        <v>76</v>
      </c>
      <c r="V40" s="41" t="s">
        <v>155</v>
      </c>
      <c r="W40" s="41" t="s">
        <v>76</v>
      </c>
      <c r="X40" s="41" t="s">
        <v>134</v>
      </c>
      <c r="Y40" s="41" t="s">
        <v>76</v>
      </c>
      <c r="Z40" s="41" t="s">
        <v>76</v>
      </c>
      <c r="AA40" s="41" t="s">
        <v>76</v>
      </c>
      <c r="AB40" s="41" t="s">
        <v>76</v>
      </c>
      <c r="AC40" s="41" t="s">
        <v>76</v>
      </c>
      <c r="AD40" s="41" t="s">
        <v>76</v>
      </c>
      <c r="AE40" s="41" t="s">
        <v>80</v>
      </c>
      <c r="AF40" s="41" t="s">
        <v>108</v>
      </c>
      <c r="AG40" s="41" t="s">
        <v>76</v>
      </c>
      <c r="AH40" s="41" t="s">
        <v>76</v>
      </c>
      <c r="AI40" s="41" t="s">
        <v>76</v>
      </c>
      <c r="AJ40" s="41" t="s">
        <v>76</v>
      </c>
      <c r="AK40" s="41" t="s">
        <v>76</v>
      </c>
      <c r="AL40" t="str">
        <f>VLOOKUP($Q40,武学奇术!$A:$ZZ,25,FALSE)</f>
        <v>陌刀</v>
      </c>
      <c r="AM40" s="27">
        <f>VLOOKUP($Q40,武学奇术!$A:$ZZ,26,FALSE)</f>
        <v>4.2807</v>
      </c>
      <c r="AN40" s="28">
        <f>VLOOKUP($Q40,武学奇术!$A:$ZZ,27,FALSE)*(1+IF(OR($AL40=$F$4,$AL40=$F$5),$B$22,0))</f>
        <v>1776</v>
      </c>
      <c r="AO40" s="27">
        <f>VLOOKUP($Q40,武学奇术!$A:$ZZ,28,FALSE)</f>
        <v>6.421</v>
      </c>
      <c r="AP40" s="28">
        <f>VLOOKUP($Q40,武学奇术!$A:$ZZ,29,FALSE)*(1+IF(OR($AL40=$F$4,$AL40=$F$5),$B$22,0))</f>
        <v>967.5</v>
      </c>
      <c r="AQ40" s="27" cm="1">
        <f t="array" ref="AQ40">$G$3+IFERROR(VLOOKUP($AL40,$F$4:$G$7,2,FALSE),0)+VLOOKUP($Q40,武学奇术!$A:$ZZ,2,FALSE)+SUM(_xlfn.XLOOKUP($R40:$AK40,增益!$A:$A,增益!$B:$B,0))</f>
        <v>1.0243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1785.2</v>
      </c>
      <c r="AT40" cm="1">
        <f t="array" ref="AT40">$E$10*(1+$AR40)+VLOOKUP($Q40,武学奇术!$A:$ZZ,4,FALSE)+SUM(_xlfn.XLOOKUP($R40:$AK40,增益!$A:$A,增益!$D:$D,0))-$I$2</f>
        <v>6804.8</v>
      </c>
      <c r="AU40" s="33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0.2935</v>
      </c>
      <c r="AV40" s="33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3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3" cm="1">
        <f t="array" ref="BA40">$G$11+VLOOKUP($Q40,武学奇术!$A:$ZZ,10,FALSE)+SUM(_xlfn.XLOOKUP($R40:$AK40,增益!$A:$A,增益!$J:$J,0))</f>
        <v>0</v>
      </c>
      <c r="BB40">
        <f t="shared" si="3"/>
        <v>662.4</v>
      </c>
      <c r="BC40">
        <f t="shared" si="4"/>
        <v>1260</v>
      </c>
      <c r="BD40" s="33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0.06</v>
      </c>
      <c r="BE40" s="33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33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-0.3</v>
      </c>
      <c r="BI40" s="33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33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3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1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0.8354</v>
      </c>
      <c r="BP40" s="27" cm="1">
        <f t="array" ref="BP40">1+$B$13+VLOOKUP($Q40,武学奇术!$A:$ZZ,18,FALSE)+SUM(_xlfn.XLOOKUP($R40:$AK40,增益!$A:$A,增益!$R:$R,0))</f>
        <v>2.144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0.1512</v>
      </c>
      <c r="BR40" s="27" cm="1">
        <f t="array" ref="BR40">1+$B$14+VLOOKUP($Q40,武学奇术!$A:$ZZ,20,FALSE)+SUM(_xlfn.XLOOKUP($R40:$AK40,增益!$A:$A,增益!$T:$T,0))</f>
        <v>1.35</v>
      </c>
      <c r="BS40" s="27">
        <f t="shared" si="9"/>
        <v>0.8354</v>
      </c>
      <c r="BT40" s="27">
        <f t="shared" si="10"/>
        <v>0.0134</v>
      </c>
      <c r="BU40" s="27">
        <f>IF(VLOOKUP($Q40,武学奇术!$A:$ZZ,22,FALSE)=1,0,(1-$BN40))*(1-$BQ40)</f>
        <v>0</v>
      </c>
      <c r="BV40" s="27" cm="1">
        <f t="array" ref="BV40">SUM(_xlfn.XLOOKUP($R40:$AK40,增益!$A:$A,增益!$W:$W,0))+$I$5</f>
        <v>0.11</v>
      </c>
    </row>
    <row r="41" spans="11:74">
      <c r="K41" s="39">
        <f t="shared" si="0"/>
        <v>209901.648589527</v>
      </c>
      <c r="L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239829.954280301</v>
      </c>
      <c r="M41" s="39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242255.323658066</v>
      </c>
      <c r="N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120275.804553812</v>
      </c>
      <c r="O41" s="39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61103.2212127604</v>
      </c>
      <c r="P41" s="40">
        <v>1</v>
      </c>
      <c r="Q41" s="41" t="s">
        <v>167</v>
      </c>
      <c r="R41" s="41" t="s">
        <v>101</v>
      </c>
      <c r="S41" s="41" t="s">
        <v>114</v>
      </c>
      <c r="T41" s="41" t="s">
        <v>77</v>
      </c>
      <c r="U41" s="41" t="s">
        <v>76</v>
      </c>
      <c r="V41" s="41" t="s">
        <v>155</v>
      </c>
      <c r="W41" s="41" t="s">
        <v>76</v>
      </c>
      <c r="X41" s="41" t="s">
        <v>139</v>
      </c>
      <c r="Y41" s="41" t="s">
        <v>76</v>
      </c>
      <c r="Z41" s="41" t="s">
        <v>76</v>
      </c>
      <c r="AA41" s="41" t="s">
        <v>76</v>
      </c>
      <c r="AB41" s="41" t="s">
        <v>76</v>
      </c>
      <c r="AC41" s="41" t="s">
        <v>76</v>
      </c>
      <c r="AD41" s="41" t="s">
        <v>76</v>
      </c>
      <c r="AE41" s="41" t="s">
        <v>80</v>
      </c>
      <c r="AF41" s="41" t="s">
        <v>76</v>
      </c>
      <c r="AG41" s="41" t="s">
        <v>76</v>
      </c>
      <c r="AH41" s="41" t="s">
        <v>76</v>
      </c>
      <c r="AI41" s="41" t="s">
        <v>76</v>
      </c>
      <c r="AJ41" s="41" t="s">
        <v>76</v>
      </c>
      <c r="AK41" s="41" t="s">
        <v>76</v>
      </c>
      <c r="AL41" t="str">
        <f>VLOOKUP($Q41,武学奇术!$A:$ZZ,25,FALSE)</f>
        <v>群体奇术</v>
      </c>
      <c r="AM41" s="27">
        <f>VLOOKUP($Q41,武学奇术!$A:$ZZ,26,FALSE)</f>
        <v>10.315755</v>
      </c>
      <c r="AN41" s="28">
        <f>VLOOKUP($Q41,武学奇术!$A:$ZZ,27,FALSE)*(1+IF(OR($AL41=$F$4,$AL41=$F$5),$B$22,0))</f>
        <v>1992.6</v>
      </c>
      <c r="AO41" s="27">
        <f>VLOOKUP($Q41,武学奇术!$A:$ZZ,28,FALSE)</f>
        <v>15.4736325</v>
      </c>
      <c r="AP41" s="28">
        <f>VLOOKUP($Q41,武学奇术!$A:$ZZ,29,FALSE)*(1+IF(OR($AL41=$F$4,$AL41=$F$5),$B$22,0))</f>
        <v>0</v>
      </c>
      <c r="AQ41" s="27" cm="1">
        <f t="array" ref="AQ41">$G$3+IFERROR(VLOOKUP($AL41,$F$4:$G$7,2,FALSE),0)+VLOOKUP($Q41,武学奇术!$A:$ZZ,2,FALSE)+SUM(_xlfn.XLOOKUP($R41:$AK41,增益!$A:$A,增益!$B:$B,0))</f>
        <v>0.4342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1785.2</v>
      </c>
      <c r="AT41" cm="1">
        <f t="array" ref="AT41">$E$10*(1+$AR41)+VLOOKUP($Q41,武学奇术!$A:$ZZ,4,FALSE)+SUM(_xlfn.XLOOKUP($R41:$AK41,增益!$A:$A,增益!$D:$D,0))-$I$2</f>
        <v>6604.8</v>
      </c>
      <c r="AU41" s="33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0.2685</v>
      </c>
      <c r="AV41" s="33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3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3" cm="1">
        <f t="array" ref="BA41">$G$11+VLOOKUP($Q41,武学奇术!$A:$ZZ,10,FALSE)+SUM(_xlfn.XLOOKUP($R41:$AK41,增益!$A:$A,增益!$J:$J,0))</f>
        <v>0</v>
      </c>
      <c r="BB41">
        <f t="shared" si="3"/>
        <v>662.4</v>
      </c>
      <c r="BC41">
        <f t="shared" si="4"/>
        <v>1260</v>
      </c>
      <c r="BD41" s="33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0.06</v>
      </c>
      <c r="BE41" s="33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33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-0.3</v>
      </c>
      <c r="BI41" s="33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33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3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1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0.5954</v>
      </c>
      <c r="BP41" s="27" cm="1">
        <f t="array" ref="BP41">1+$B$13+VLOOKUP($Q41,武学奇术!$A:$ZZ,18,FALSE)+SUM(_xlfn.XLOOKUP($R41:$AK41,增益!$A:$A,增益!$R:$R,0))</f>
        <v>1.994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0.1512</v>
      </c>
      <c r="BR41" s="27" cm="1">
        <f t="array" ref="BR41">1+$B$14+VLOOKUP($Q41,武学奇术!$A:$ZZ,20,FALSE)+SUM(_xlfn.XLOOKUP($R41:$AK41,增益!$A:$A,增益!$T:$T,0))</f>
        <v>1.35</v>
      </c>
      <c r="BS41" s="27">
        <f t="shared" si="9"/>
        <v>0.5954</v>
      </c>
      <c r="BT41" s="27">
        <f t="shared" si="10"/>
        <v>0.2534</v>
      </c>
      <c r="BU41" s="27">
        <f>IF(VLOOKUP($Q41,武学奇术!$A:$ZZ,22,FALSE)=1,0,(1-$BN41))*(1-$BQ41)</f>
        <v>0</v>
      </c>
      <c r="BV41" s="27" cm="1">
        <f t="array" ref="BV41">SUM(_xlfn.XLOOKUP($R41:$AK41,增益!$A:$A,增益!$W:$W,0))+$I$5</f>
        <v>0.11</v>
      </c>
    </row>
    <row r="42" spans="11:74">
      <c r="K42" s="39">
        <f t="shared" si="0"/>
        <v>360212.597036746</v>
      </c>
      <c r="L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366100.581186069</v>
      </c>
      <c r="M42" s="39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344109.838143693</v>
      </c>
      <c r="N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174833.133326681</v>
      </c>
      <c r="O42" s="39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94770.0902506263</v>
      </c>
      <c r="P42" s="40">
        <v>1</v>
      </c>
      <c r="Q42" s="41" t="s">
        <v>106</v>
      </c>
      <c r="R42" s="41" t="s">
        <v>101</v>
      </c>
      <c r="S42" s="41" t="s">
        <v>114</v>
      </c>
      <c r="T42" s="41" t="s">
        <v>77</v>
      </c>
      <c r="U42" s="41" t="s">
        <v>76</v>
      </c>
      <c r="V42" s="41" t="s">
        <v>155</v>
      </c>
      <c r="W42" s="41" t="s">
        <v>76</v>
      </c>
      <c r="X42" s="41" t="s">
        <v>139</v>
      </c>
      <c r="Y42" s="41" t="s">
        <v>76</v>
      </c>
      <c r="Z42" s="41" t="s">
        <v>76</v>
      </c>
      <c r="AA42" s="41" t="s">
        <v>76</v>
      </c>
      <c r="AB42" s="41" t="s">
        <v>76</v>
      </c>
      <c r="AC42" s="41" t="s">
        <v>76</v>
      </c>
      <c r="AD42" s="41" t="s">
        <v>76</v>
      </c>
      <c r="AE42" s="41" t="s">
        <v>80</v>
      </c>
      <c r="AF42" s="41" t="s">
        <v>108</v>
      </c>
      <c r="AG42" s="41" t="s">
        <v>76</v>
      </c>
      <c r="AH42" s="41" t="s">
        <v>76</v>
      </c>
      <c r="AI42" s="41" t="s">
        <v>76</v>
      </c>
      <c r="AJ42" s="41" t="s">
        <v>76</v>
      </c>
      <c r="AK42" s="41" t="s">
        <v>76</v>
      </c>
      <c r="AL42" t="str">
        <f>VLOOKUP($Q42,武学奇术!$A:$ZZ,25,FALSE)</f>
        <v>陌刀</v>
      </c>
      <c r="AM42" s="27">
        <f>VLOOKUP($Q42,武学奇术!$A:$ZZ,26,FALSE)</f>
        <v>7.2368</v>
      </c>
      <c r="AN42" s="28">
        <f>VLOOKUP($Q42,武学奇术!$A:$ZZ,27,FALSE)*(1+IF(OR($AL42=$F$4,$AL42=$F$5),$B$22,0))</f>
        <v>3003</v>
      </c>
      <c r="AO42" s="27">
        <f>VLOOKUP($Q42,武学奇术!$A:$ZZ,28,FALSE)</f>
        <v>10.8553</v>
      </c>
      <c r="AP42" s="28">
        <f>VLOOKUP($Q42,武学奇术!$A:$ZZ,29,FALSE)*(1+IF(OR($AL42=$F$4,$AL42=$F$5),$B$22,0))</f>
        <v>1635</v>
      </c>
      <c r="AQ42" s="27" cm="1">
        <f t="array" ref="AQ42">$G$3+IFERROR(VLOOKUP($AL42,$F$4:$G$7,2,FALSE),0)+VLOOKUP($Q42,武学奇术!$A:$ZZ,2,FALSE)+SUM(_xlfn.XLOOKUP($R42:$AK42,增益!$A:$A,增益!$B:$B,0))</f>
        <v>1.0243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1785.2</v>
      </c>
      <c r="AT42" cm="1">
        <f t="array" ref="AT42">$E$10*(1+$AR42)+VLOOKUP($Q42,武学奇术!$A:$ZZ,4,FALSE)+SUM(_xlfn.XLOOKUP($R42:$AK42,增益!$A:$A,增益!$D:$D,0))-$I$2</f>
        <v>6804.8</v>
      </c>
      <c r="AU42" s="33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0.2685</v>
      </c>
      <c r="AV42" s="33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3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3" cm="1">
        <f t="array" ref="BA42">$G$11+VLOOKUP($Q42,武学奇术!$A:$ZZ,10,FALSE)+SUM(_xlfn.XLOOKUP($R42:$AK42,增益!$A:$A,增益!$J:$J,0))</f>
        <v>0</v>
      </c>
      <c r="BB42">
        <f t="shared" si="3"/>
        <v>662.4</v>
      </c>
      <c r="BC42">
        <f t="shared" si="4"/>
        <v>1260</v>
      </c>
      <c r="BD42" s="33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0.06</v>
      </c>
      <c r="BE42" s="33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33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3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33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3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1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0.8354</v>
      </c>
      <c r="BP42" s="27" cm="1">
        <f t="array" ref="BP42">1+$B$13+VLOOKUP($Q42,武学奇术!$A:$ZZ,18,FALSE)+SUM(_xlfn.XLOOKUP($R42:$AK42,增益!$A:$A,增益!$R:$R,0))</f>
        <v>2.094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0.1512</v>
      </c>
      <c r="BR42" s="27" cm="1">
        <f t="array" ref="BR42">1+$B$14+VLOOKUP($Q42,武学奇术!$A:$ZZ,20,FALSE)+SUM(_xlfn.XLOOKUP($R42:$AK42,增益!$A:$A,增益!$T:$T,0))</f>
        <v>1.35</v>
      </c>
      <c r="BS42" s="27">
        <f t="shared" si="9"/>
        <v>0.8354</v>
      </c>
      <c r="BT42" s="27">
        <f t="shared" si="10"/>
        <v>0.0134</v>
      </c>
      <c r="BU42" s="27">
        <f>IF(VLOOKUP($Q42,武学奇术!$A:$ZZ,22,FALSE)=1,0,(1-$BN42))*(1-$BQ42)</f>
        <v>0</v>
      </c>
      <c r="BV42" s="27" cm="1">
        <f t="array" ref="BV42">SUM(_xlfn.XLOOKUP($R42:$AK42,增益!$A:$A,增益!$W:$W,0))+$I$5</f>
        <v>0.11</v>
      </c>
    </row>
    <row r="43" spans="11:74">
      <c r="K43" s="39">
        <f t="shared" si="0"/>
        <v>220558.281369611</v>
      </c>
      <c r="L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224932.111857229</v>
      </c>
      <c r="M43" s="39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206641.332175755</v>
      </c>
      <c r="N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104912.365605051</v>
      </c>
      <c r="O43" s="39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56757.077746579</v>
      </c>
      <c r="P43" s="40">
        <v>1</v>
      </c>
      <c r="Q43" s="41" t="s">
        <v>117</v>
      </c>
      <c r="R43" s="41" t="s">
        <v>101</v>
      </c>
      <c r="S43" s="41" t="s">
        <v>114</v>
      </c>
      <c r="T43" s="41" t="s">
        <v>77</v>
      </c>
      <c r="U43" s="41" t="s">
        <v>76</v>
      </c>
      <c r="V43" s="41" t="s">
        <v>155</v>
      </c>
      <c r="W43" s="41" t="s">
        <v>76</v>
      </c>
      <c r="X43" s="41" t="s">
        <v>134</v>
      </c>
      <c r="Y43" s="41" t="s">
        <v>76</v>
      </c>
      <c r="Z43" s="41" t="s">
        <v>76</v>
      </c>
      <c r="AA43" s="41" t="s">
        <v>76</v>
      </c>
      <c r="AB43" s="41" t="s">
        <v>76</v>
      </c>
      <c r="AC43" s="41" t="s">
        <v>76</v>
      </c>
      <c r="AD43" s="41" t="s">
        <v>76</v>
      </c>
      <c r="AE43" s="41" t="s">
        <v>80</v>
      </c>
      <c r="AF43" s="41" t="s">
        <v>108</v>
      </c>
      <c r="AG43" s="41" t="s">
        <v>76</v>
      </c>
      <c r="AH43" s="41" t="s">
        <v>76</v>
      </c>
      <c r="AI43" s="41" t="s">
        <v>76</v>
      </c>
      <c r="AJ43" s="41" t="s">
        <v>76</v>
      </c>
      <c r="AK43" s="41" t="s">
        <v>76</v>
      </c>
      <c r="AL43" t="str">
        <f>VLOOKUP($Q43,武学奇术!$A:$ZZ,25,FALSE)</f>
        <v>陌刀</v>
      </c>
      <c r="AM43" s="27">
        <f>VLOOKUP($Q43,武学奇术!$A:$ZZ,26,FALSE)</f>
        <v>4.2807</v>
      </c>
      <c r="AN43" s="28">
        <f>VLOOKUP($Q43,武学奇术!$A:$ZZ,27,FALSE)*(1+IF(OR($AL43=$F$4,$AL43=$F$5),$B$22,0))</f>
        <v>1776</v>
      </c>
      <c r="AO43" s="27">
        <f>VLOOKUP($Q43,武学奇术!$A:$ZZ,28,FALSE)</f>
        <v>6.421</v>
      </c>
      <c r="AP43" s="28">
        <f>VLOOKUP($Q43,武学奇术!$A:$ZZ,29,FALSE)*(1+IF(OR($AL43=$F$4,$AL43=$F$5),$B$22,0))</f>
        <v>967.5</v>
      </c>
      <c r="AQ43" s="27" cm="1">
        <f t="array" ref="AQ43">$G$3+IFERROR(VLOOKUP($AL43,$F$4:$G$7,2,FALSE),0)+VLOOKUP($Q43,武学奇术!$A:$ZZ,2,FALSE)+SUM(_xlfn.XLOOKUP($R43:$AK43,增益!$A:$A,增益!$B:$B,0))</f>
        <v>1.0243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1785.2</v>
      </c>
      <c r="AT43" cm="1">
        <f t="array" ref="AT43">$E$10*(1+$AR43)+VLOOKUP($Q43,武学奇术!$A:$ZZ,4,FALSE)+SUM(_xlfn.XLOOKUP($R43:$AK43,增益!$A:$A,增益!$D:$D,0))-$I$2</f>
        <v>6804.8</v>
      </c>
      <c r="AU43" s="33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0.2935</v>
      </c>
      <c r="AV43" s="33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3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3" cm="1">
        <f t="array" ref="BA43">$G$11+VLOOKUP($Q43,武学奇术!$A:$ZZ,10,FALSE)+SUM(_xlfn.XLOOKUP($R43:$AK43,增益!$A:$A,增益!$J:$J,0))</f>
        <v>0</v>
      </c>
      <c r="BB43">
        <f t="shared" si="3"/>
        <v>662.4</v>
      </c>
      <c r="BC43">
        <f t="shared" si="4"/>
        <v>1260</v>
      </c>
      <c r="BD43" s="33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0.06</v>
      </c>
      <c r="BE43" s="33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33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3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33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3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1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0.8354</v>
      </c>
      <c r="BP43" s="27" cm="1">
        <f t="array" ref="BP43">1+$B$13+VLOOKUP($Q43,武学奇术!$A:$ZZ,18,FALSE)+SUM(_xlfn.XLOOKUP($R43:$AK43,增益!$A:$A,增益!$R:$R,0))</f>
        <v>2.144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0.1512</v>
      </c>
      <c r="BR43" s="27" cm="1">
        <f t="array" ref="BR43">1+$B$14+VLOOKUP($Q43,武学奇术!$A:$ZZ,20,FALSE)+SUM(_xlfn.XLOOKUP($R43:$AK43,增益!$A:$A,增益!$T:$T,0))</f>
        <v>1.35</v>
      </c>
      <c r="BS43" s="27">
        <f t="shared" si="9"/>
        <v>0.8354</v>
      </c>
      <c r="BT43" s="27">
        <f t="shared" si="10"/>
        <v>0.0134</v>
      </c>
      <c r="BU43" s="27">
        <f>IF(VLOOKUP($Q43,武学奇术!$A:$ZZ,22,FALSE)=1,0,(1-$BN43))*(1-$BQ43)</f>
        <v>0</v>
      </c>
      <c r="BV43" s="27" cm="1">
        <f t="array" ref="BV43">SUM(_xlfn.XLOOKUP($R43:$AK43,增益!$A:$A,增益!$W:$W,0))+$I$5</f>
        <v>0.11</v>
      </c>
    </row>
    <row r="44" spans="11:74">
      <c r="K44" s="39">
        <f t="shared" si="0"/>
        <v>338304.25709958</v>
      </c>
      <c r="L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339875.611187067</v>
      </c>
      <c r="M44" s="39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344109.838143693</v>
      </c>
      <c r="N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174833.133326681</v>
      </c>
      <c r="O44" s="39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94770.0902506263</v>
      </c>
      <c r="P44" s="40">
        <v>1</v>
      </c>
      <c r="Q44" s="41" t="s">
        <v>106</v>
      </c>
      <c r="R44" s="41" t="s">
        <v>101</v>
      </c>
      <c r="S44" s="41" t="s">
        <v>114</v>
      </c>
      <c r="T44" s="41" t="s">
        <v>76</v>
      </c>
      <c r="U44" s="41" t="s">
        <v>76</v>
      </c>
      <c r="V44" s="41" t="s">
        <v>155</v>
      </c>
      <c r="W44" s="41" t="s">
        <v>76</v>
      </c>
      <c r="X44" s="41" t="s">
        <v>139</v>
      </c>
      <c r="Y44" s="41" t="s">
        <v>76</v>
      </c>
      <c r="Z44" s="41" t="s">
        <v>76</v>
      </c>
      <c r="AA44" s="41" t="s">
        <v>76</v>
      </c>
      <c r="AB44" s="41" t="s">
        <v>76</v>
      </c>
      <c r="AC44" s="41" t="s">
        <v>76</v>
      </c>
      <c r="AD44" s="41" t="s">
        <v>76</v>
      </c>
      <c r="AE44" s="41" t="s">
        <v>80</v>
      </c>
      <c r="AF44" s="41" t="s">
        <v>108</v>
      </c>
      <c r="AG44" s="41" t="s">
        <v>76</v>
      </c>
      <c r="AH44" s="41" t="s">
        <v>76</v>
      </c>
      <c r="AI44" s="41" t="s">
        <v>76</v>
      </c>
      <c r="AJ44" s="41" t="s">
        <v>76</v>
      </c>
      <c r="AK44" s="41" t="s">
        <v>76</v>
      </c>
      <c r="AL44" t="str">
        <f>VLOOKUP($Q44,武学奇术!$A:$ZZ,25,FALSE)</f>
        <v>陌刀</v>
      </c>
      <c r="AM44" s="27">
        <f>VLOOKUP($Q44,武学奇术!$A:$ZZ,26,FALSE)</f>
        <v>7.2368</v>
      </c>
      <c r="AN44" s="28">
        <f>VLOOKUP($Q44,武学奇术!$A:$ZZ,27,FALSE)*(1+IF(OR($AL44=$F$4,$AL44=$F$5),$B$22,0))</f>
        <v>3003</v>
      </c>
      <c r="AO44" s="27">
        <f>VLOOKUP($Q44,武学奇术!$A:$ZZ,28,FALSE)</f>
        <v>10.8553</v>
      </c>
      <c r="AP44" s="28">
        <f>VLOOKUP($Q44,武学奇术!$A:$ZZ,29,FALSE)*(1+IF(OR($AL44=$F$4,$AL44=$F$5),$B$22,0))</f>
        <v>1635</v>
      </c>
      <c r="AQ44" s="27" cm="1">
        <f t="array" ref="AQ44">$G$3+IFERROR(VLOOKUP($AL44,$F$4:$G$7,2,FALSE),0)+VLOOKUP($Q44,武学奇术!$A:$ZZ,2,FALSE)+SUM(_xlfn.XLOOKUP($R44:$AK44,增益!$A:$A,增益!$B:$B,0))</f>
        <v>1.0243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1785.2</v>
      </c>
      <c r="AT44" cm="1">
        <f t="array" ref="AT44">$E$10*(1+$AR44)+VLOOKUP($Q44,武学奇术!$A:$ZZ,4,FALSE)+SUM(_xlfn.XLOOKUP($R44:$AK44,增益!$A:$A,增益!$D:$D,0))-$I$2</f>
        <v>6804.8</v>
      </c>
      <c r="AU44" s="33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0.2685</v>
      </c>
      <c r="AV44" s="33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3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3" cm="1">
        <f t="array" ref="BA44">$G$11+VLOOKUP($Q44,武学奇术!$A:$ZZ,10,FALSE)+SUM(_xlfn.XLOOKUP($R44:$AK44,增益!$A:$A,增益!$J:$J,0))</f>
        <v>0</v>
      </c>
      <c r="BB44">
        <f t="shared" si="3"/>
        <v>662.4</v>
      </c>
      <c r="BC44">
        <f t="shared" si="4"/>
        <v>1260</v>
      </c>
      <c r="BD44" s="33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0.06</v>
      </c>
      <c r="BE44" s="33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33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3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33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3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1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0.8354</v>
      </c>
      <c r="BP44" s="27" cm="1">
        <f t="array" ref="BP44">1+$B$13+VLOOKUP($Q44,武学奇术!$A:$ZZ,18,FALSE)+SUM(_xlfn.XLOOKUP($R44:$AK44,增益!$A:$A,增益!$R:$R,0))</f>
        <v>1.944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0.1512</v>
      </c>
      <c r="BR44" s="27" cm="1">
        <f t="array" ref="BR44">1+$B$14+VLOOKUP($Q44,武学奇术!$A:$ZZ,20,FALSE)+SUM(_xlfn.XLOOKUP($R44:$AK44,增益!$A:$A,增益!$T:$T,0))</f>
        <v>1.35</v>
      </c>
      <c r="BS44" s="27">
        <f t="shared" si="9"/>
        <v>0.8354</v>
      </c>
      <c r="BT44" s="27">
        <f t="shared" si="10"/>
        <v>0.0134</v>
      </c>
      <c r="BU44" s="27">
        <f>IF(VLOOKUP($Q44,武学奇术!$A:$ZZ,22,FALSE)=1,0,(1-$BN44))*(1-$BQ44)</f>
        <v>0</v>
      </c>
      <c r="BV44" s="27" cm="1">
        <f t="array" ref="BV44">SUM(_xlfn.XLOOKUP($R44:$AK44,增益!$A:$A,增益!$W:$W,0))+$I$5</f>
        <v>0.11</v>
      </c>
    </row>
    <row r="45" spans="11:74">
      <c r="K45" s="39">
        <f t="shared" si="0"/>
        <v>207411.712835642</v>
      </c>
      <c r="L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209195.257016471</v>
      </c>
      <c r="M45" s="39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206641.332175755</v>
      </c>
      <c r="N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104912.365605051</v>
      </c>
      <c r="O45" s="39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56757.077746579</v>
      </c>
      <c r="P45" s="40">
        <v>1</v>
      </c>
      <c r="Q45" s="41" t="s">
        <v>117</v>
      </c>
      <c r="R45" s="41" t="s">
        <v>101</v>
      </c>
      <c r="S45" s="41" t="s">
        <v>114</v>
      </c>
      <c r="T45" s="41" t="s">
        <v>76</v>
      </c>
      <c r="U45" s="41" t="s">
        <v>76</v>
      </c>
      <c r="V45" s="41" t="s">
        <v>155</v>
      </c>
      <c r="W45" s="41" t="s">
        <v>76</v>
      </c>
      <c r="X45" s="41" t="s">
        <v>134</v>
      </c>
      <c r="Y45" s="41" t="s">
        <v>76</v>
      </c>
      <c r="Z45" s="41" t="s">
        <v>76</v>
      </c>
      <c r="AA45" s="41" t="s">
        <v>76</v>
      </c>
      <c r="AB45" s="41" t="s">
        <v>76</v>
      </c>
      <c r="AC45" s="41" t="s">
        <v>76</v>
      </c>
      <c r="AD45" s="41" t="s">
        <v>76</v>
      </c>
      <c r="AE45" s="41" t="s">
        <v>80</v>
      </c>
      <c r="AF45" s="41" t="s">
        <v>108</v>
      </c>
      <c r="AG45" s="41" t="s">
        <v>76</v>
      </c>
      <c r="AH45" s="41" t="s">
        <v>76</v>
      </c>
      <c r="AI45" s="41" t="s">
        <v>76</v>
      </c>
      <c r="AJ45" s="41" t="s">
        <v>76</v>
      </c>
      <c r="AK45" s="41" t="s">
        <v>76</v>
      </c>
      <c r="AL45" t="str">
        <f>VLOOKUP($Q45,武学奇术!$A:$ZZ,25,FALSE)</f>
        <v>陌刀</v>
      </c>
      <c r="AM45" s="27">
        <f>VLOOKUP($Q45,武学奇术!$A:$ZZ,26,FALSE)</f>
        <v>4.2807</v>
      </c>
      <c r="AN45" s="28">
        <f>VLOOKUP($Q45,武学奇术!$A:$ZZ,27,FALSE)*(1+IF(OR($AL45=$F$4,$AL45=$F$5),$B$22,0))</f>
        <v>1776</v>
      </c>
      <c r="AO45" s="27">
        <f>VLOOKUP($Q45,武学奇术!$A:$ZZ,28,FALSE)</f>
        <v>6.421</v>
      </c>
      <c r="AP45" s="28">
        <f>VLOOKUP($Q45,武学奇术!$A:$ZZ,29,FALSE)*(1+IF(OR($AL45=$F$4,$AL45=$F$5),$B$22,0))</f>
        <v>967.5</v>
      </c>
      <c r="AQ45" s="27" cm="1">
        <f t="array" ref="AQ45">$G$3+IFERROR(VLOOKUP($AL45,$F$4:$G$7,2,FALSE),0)+VLOOKUP($Q45,武学奇术!$A:$ZZ,2,FALSE)+SUM(_xlfn.XLOOKUP($R45:$AK45,增益!$A:$A,增益!$B:$B,0))</f>
        <v>1.0243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1785.2</v>
      </c>
      <c r="AT45" cm="1">
        <f t="array" ref="AT45">$E$10*(1+$AR45)+VLOOKUP($Q45,武学奇术!$A:$ZZ,4,FALSE)+SUM(_xlfn.XLOOKUP($R45:$AK45,增益!$A:$A,增益!$D:$D,0))-$I$2</f>
        <v>6804.8</v>
      </c>
      <c r="AU45" s="33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0.2935</v>
      </c>
      <c r="AV45" s="33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3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3" cm="1">
        <f t="array" ref="BA45">$G$11+VLOOKUP($Q45,武学奇术!$A:$ZZ,10,FALSE)+SUM(_xlfn.XLOOKUP($R45:$AK45,增益!$A:$A,增益!$J:$J,0))</f>
        <v>0</v>
      </c>
      <c r="BB45">
        <f t="shared" si="3"/>
        <v>662.4</v>
      </c>
      <c r="BC45">
        <f t="shared" si="4"/>
        <v>1260</v>
      </c>
      <c r="BD45" s="33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0.06</v>
      </c>
      <c r="BE45" s="33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33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3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33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3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1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0.8354</v>
      </c>
      <c r="BP45" s="27" cm="1">
        <f t="array" ref="BP45">1+$B$13+VLOOKUP($Q45,武学奇术!$A:$ZZ,18,FALSE)+SUM(_xlfn.XLOOKUP($R45:$AK45,增益!$A:$A,增益!$R:$R,0))</f>
        <v>1.994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0.1512</v>
      </c>
      <c r="BR45" s="27" cm="1">
        <f t="array" ref="BR45">1+$B$14+VLOOKUP($Q45,武学奇术!$A:$ZZ,20,FALSE)+SUM(_xlfn.XLOOKUP($R45:$AK45,增益!$A:$A,增益!$T:$T,0))</f>
        <v>1.35</v>
      </c>
      <c r="BS45" s="27">
        <f t="shared" si="9"/>
        <v>0.8354</v>
      </c>
      <c r="BT45" s="27">
        <f t="shared" si="10"/>
        <v>0.0134</v>
      </c>
      <c r="BU45" s="27">
        <f>IF(VLOOKUP($Q45,武学奇术!$A:$ZZ,22,FALSE)=1,0,(1-$BN45))*(1-$BQ45)</f>
        <v>0</v>
      </c>
      <c r="BV45" s="27" cm="1">
        <f t="array" ref="BV45">SUM(_xlfn.XLOOKUP($R45:$AK45,增益!$A:$A,增益!$W:$W,0))+$I$5</f>
        <v>0.11</v>
      </c>
    </row>
    <row r="46" spans="11:74">
      <c r="K46" s="39">
        <f t="shared" si="0"/>
        <v>360212.597036746</v>
      </c>
      <c r="L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366100.581186069</v>
      </c>
      <c r="M46" s="39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344109.838143693</v>
      </c>
      <c r="N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174833.133326681</v>
      </c>
      <c r="O46" s="39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94770.0902506263</v>
      </c>
      <c r="P46" s="40">
        <v>1</v>
      </c>
      <c r="Q46" s="41" t="s">
        <v>106</v>
      </c>
      <c r="R46" s="41" t="s">
        <v>101</v>
      </c>
      <c r="S46" s="41" t="s">
        <v>114</v>
      </c>
      <c r="T46" s="41" t="s">
        <v>77</v>
      </c>
      <c r="U46" s="41" t="s">
        <v>76</v>
      </c>
      <c r="V46" s="41" t="s">
        <v>155</v>
      </c>
      <c r="W46" s="41" t="s">
        <v>76</v>
      </c>
      <c r="X46" s="41" t="s">
        <v>139</v>
      </c>
      <c r="Y46" s="41" t="s">
        <v>76</v>
      </c>
      <c r="Z46" s="41" t="s">
        <v>76</v>
      </c>
      <c r="AA46" s="41" t="s">
        <v>76</v>
      </c>
      <c r="AB46" s="41" t="s">
        <v>76</v>
      </c>
      <c r="AC46" s="41" t="s">
        <v>76</v>
      </c>
      <c r="AD46" s="41" t="s">
        <v>76</v>
      </c>
      <c r="AE46" s="41" t="s">
        <v>80</v>
      </c>
      <c r="AF46" s="41" t="s">
        <v>108</v>
      </c>
      <c r="AG46" s="41" t="s">
        <v>76</v>
      </c>
      <c r="AH46" s="41" t="s">
        <v>76</v>
      </c>
      <c r="AI46" s="41" t="s">
        <v>76</v>
      </c>
      <c r="AJ46" s="41" t="s">
        <v>76</v>
      </c>
      <c r="AK46" s="41" t="s">
        <v>76</v>
      </c>
      <c r="AL46" t="str">
        <f>VLOOKUP($Q46,武学奇术!$A:$ZZ,25,FALSE)</f>
        <v>陌刀</v>
      </c>
      <c r="AM46" s="27">
        <f>VLOOKUP($Q46,武学奇术!$A:$ZZ,26,FALSE)</f>
        <v>7.2368</v>
      </c>
      <c r="AN46" s="28">
        <f>VLOOKUP($Q46,武学奇术!$A:$ZZ,27,FALSE)*(1+IF(OR($AL46=$F$4,$AL46=$F$5),$B$22,0))</f>
        <v>3003</v>
      </c>
      <c r="AO46" s="27">
        <f>VLOOKUP($Q46,武学奇术!$A:$ZZ,28,FALSE)</f>
        <v>10.8553</v>
      </c>
      <c r="AP46" s="28">
        <f>VLOOKUP($Q46,武学奇术!$A:$ZZ,29,FALSE)*(1+IF(OR($AL46=$F$4,$AL46=$F$5),$B$22,0))</f>
        <v>1635</v>
      </c>
      <c r="AQ46" s="27" cm="1">
        <f t="array" ref="AQ46">$G$3+IFERROR(VLOOKUP($AL46,$F$4:$G$7,2,FALSE),0)+VLOOKUP($Q46,武学奇术!$A:$ZZ,2,FALSE)+SUM(_xlfn.XLOOKUP($R46:$AK46,增益!$A:$A,增益!$B:$B,0))</f>
        <v>1.0243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1785.2</v>
      </c>
      <c r="AT46" cm="1">
        <f t="array" ref="AT46">$E$10*(1+$AR46)+VLOOKUP($Q46,武学奇术!$A:$ZZ,4,FALSE)+SUM(_xlfn.XLOOKUP($R46:$AK46,增益!$A:$A,增益!$D:$D,0))-$I$2</f>
        <v>6804.8</v>
      </c>
      <c r="AU46" s="33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0.2685</v>
      </c>
      <c r="AV46" s="33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3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3" cm="1">
        <f t="array" ref="BA46">$G$11+VLOOKUP($Q46,武学奇术!$A:$ZZ,10,FALSE)+SUM(_xlfn.XLOOKUP($R46:$AK46,增益!$A:$A,增益!$J:$J,0))</f>
        <v>0</v>
      </c>
      <c r="BB46">
        <f t="shared" si="3"/>
        <v>662.4</v>
      </c>
      <c r="BC46">
        <f t="shared" si="4"/>
        <v>1260</v>
      </c>
      <c r="BD46" s="33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0.06</v>
      </c>
      <c r="BE46" s="33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33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3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33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3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1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0.8354</v>
      </c>
      <c r="BP46" s="27" cm="1">
        <f t="array" ref="BP46">1+$B$13+VLOOKUP($Q46,武学奇术!$A:$ZZ,18,FALSE)+SUM(_xlfn.XLOOKUP($R46:$AK46,增益!$A:$A,增益!$R:$R,0))</f>
        <v>2.094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0.1512</v>
      </c>
      <c r="BR46" s="27" cm="1">
        <f t="array" ref="BR46">1+$B$14+VLOOKUP($Q46,武学奇术!$A:$ZZ,20,FALSE)+SUM(_xlfn.XLOOKUP($R46:$AK46,增益!$A:$A,增益!$T:$T,0))</f>
        <v>1.35</v>
      </c>
      <c r="BS46" s="27">
        <f t="shared" si="9"/>
        <v>0.8354</v>
      </c>
      <c r="BT46" s="27">
        <f t="shared" si="10"/>
        <v>0.0134</v>
      </c>
      <c r="BU46" s="27">
        <f>IF(VLOOKUP($Q46,武学奇术!$A:$ZZ,22,FALSE)=1,0,(1-$BN46))*(1-$BQ46)</f>
        <v>0</v>
      </c>
      <c r="BV46" s="27" cm="1">
        <f t="array" ref="BV46">SUM(_xlfn.XLOOKUP($R46:$AK46,增益!$A:$A,增益!$W:$W,0))+$I$5</f>
        <v>0.11</v>
      </c>
    </row>
    <row r="47" spans="11:74">
      <c r="K47" s="39">
        <f t="shared" si="0"/>
        <v>220558.281369611</v>
      </c>
      <c r="L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224932.111857229</v>
      </c>
      <c r="M47" s="39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206641.332175755</v>
      </c>
      <c r="N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104912.365605051</v>
      </c>
      <c r="O47" s="39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56757.077746579</v>
      </c>
      <c r="P47" s="40">
        <v>1</v>
      </c>
      <c r="Q47" s="41" t="s">
        <v>117</v>
      </c>
      <c r="R47" s="41" t="s">
        <v>101</v>
      </c>
      <c r="S47" s="41" t="s">
        <v>114</v>
      </c>
      <c r="T47" s="41" t="s">
        <v>77</v>
      </c>
      <c r="U47" s="41" t="s">
        <v>76</v>
      </c>
      <c r="V47" s="41" t="s">
        <v>155</v>
      </c>
      <c r="W47" s="41" t="s">
        <v>76</v>
      </c>
      <c r="X47" s="41" t="s">
        <v>134</v>
      </c>
      <c r="Y47" s="41" t="s">
        <v>76</v>
      </c>
      <c r="Z47" s="41" t="s">
        <v>76</v>
      </c>
      <c r="AA47" s="41" t="s">
        <v>76</v>
      </c>
      <c r="AB47" s="41" t="s">
        <v>76</v>
      </c>
      <c r="AC47" s="41" t="s">
        <v>76</v>
      </c>
      <c r="AD47" s="41" t="s">
        <v>76</v>
      </c>
      <c r="AE47" s="41" t="s">
        <v>80</v>
      </c>
      <c r="AF47" s="41" t="s">
        <v>108</v>
      </c>
      <c r="AG47" s="41" t="s">
        <v>76</v>
      </c>
      <c r="AH47" s="41" t="s">
        <v>76</v>
      </c>
      <c r="AI47" s="41" t="s">
        <v>76</v>
      </c>
      <c r="AJ47" s="41" t="s">
        <v>76</v>
      </c>
      <c r="AK47" s="41" t="s">
        <v>76</v>
      </c>
      <c r="AL47" t="str">
        <f>VLOOKUP($Q47,武学奇术!$A:$ZZ,25,FALSE)</f>
        <v>陌刀</v>
      </c>
      <c r="AM47" s="27">
        <f>VLOOKUP($Q47,武学奇术!$A:$ZZ,26,FALSE)</f>
        <v>4.2807</v>
      </c>
      <c r="AN47" s="28">
        <f>VLOOKUP($Q47,武学奇术!$A:$ZZ,27,FALSE)*(1+IF(OR($AL47=$F$4,$AL47=$F$5),$B$22,0))</f>
        <v>1776</v>
      </c>
      <c r="AO47" s="27">
        <f>VLOOKUP($Q47,武学奇术!$A:$ZZ,28,FALSE)</f>
        <v>6.421</v>
      </c>
      <c r="AP47" s="28">
        <f>VLOOKUP($Q47,武学奇术!$A:$ZZ,29,FALSE)*(1+IF(OR($AL47=$F$4,$AL47=$F$5),$B$22,0))</f>
        <v>967.5</v>
      </c>
      <c r="AQ47" s="27" cm="1">
        <f t="array" ref="AQ47">$G$3+IFERROR(VLOOKUP($AL47,$F$4:$G$7,2,FALSE),0)+VLOOKUP($Q47,武学奇术!$A:$ZZ,2,FALSE)+SUM(_xlfn.XLOOKUP($R47:$AK47,增益!$A:$A,增益!$B:$B,0))</f>
        <v>1.0243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1785.2</v>
      </c>
      <c r="AT47" cm="1">
        <f t="array" ref="AT47">$E$10*(1+$AR47)+VLOOKUP($Q47,武学奇术!$A:$ZZ,4,FALSE)+SUM(_xlfn.XLOOKUP($R47:$AK47,增益!$A:$A,增益!$D:$D,0))-$I$2</f>
        <v>6804.8</v>
      </c>
      <c r="AU47" s="33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0.2935</v>
      </c>
      <c r="AV47" s="33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3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3" cm="1">
        <f t="array" ref="BA47">$G$11+VLOOKUP($Q47,武学奇术!$A:$ZZ,10,FALSE)+SUM(_xlfn.XLOOKUP($R47:$AK47,增益!$A:$A,增益!$J:$J,0))</f>
        <v>0</v>
      </c>
      <c r="BB47">
        <f t="shared" si="3"/>
        <v>662.4</v>
      </c>
      <c r="BC47">
        <f t="shared" si="4"/>
        <v>1260</v>
      </c>
      <c r="BD47" s="33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0.06</v>
      </c>
      <c r="BE47" s="33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33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3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33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3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1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0.8354</v>
      </c>
      <c r="BP47" s="27" cm="1">
        <f t="array" ref="BP47">1+$B$13+VLOOKUP($Q47,武学奇术!$A:$ZZ,18,FALSE)+SUM(_xlfn.XLOOKUP($R47:$AK47,增益!$A:$A,增益!$R:$R,0))</f>
        <v>2.144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0.1512</v>
      </c>
      <c r="BR47" s="27" cm="1">
        <f t="array" ref="BR47">1+$B$14+VLOOKUP($Q47,武学奇术!$A:$ZZ,20,FALSE)+SUM(_xlfn.XLOOKUP($R47:$AK47,增益!$A:$A,增益!$T:$T,0))</f>
        <v>1.35</v>
      </c>
      <c r="BS47" s="27">
        <f t="shared" si="9"/>
        <v>0.8354</v>
      </c>
      <c r="BT47" s="27">
        <f t="shared" si="10"/>
        <v>0.0134</v>
      </c>
      <c r="BU47" s="27">
        <f>IF(VLOOKUP($Q47,武学奇术!$A:$ZZ,22,FALSE)=1,0,(1-$BN47))*(1-$BQ47)</f>
        <v>0</v>
      </c>
      <c r="BV47" s="27" cm="1">
        <f t="array" ref="BV47">SUM(_xlfn.XLOOKUP($R47:$AK47,增益!$A:$A,增益!$W:$W,0))+$I$5</f>
        <v>0.11</v>
      </c>
    </row>
    <row r="48" spans="11:74">
      <c r="K48" s="39">
        <f t="shared" si="0"/>
        <v>0</v>
      </c>
      <c r="L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39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39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0">
        <v>1</v>
      </c>
      <c r="Q48" s="41" t="s">
        <v>76</v>
      </c>
      <c r="R48" s="41" t="s">
        <v>76</v>
      </c>
      <c r="S48" s="41" t="s">
        <v>76</v>
      </c>
      <c r="T48" s="41" t="s">
        <v>76</v>
      </c>
      <c r="U48" s="41" t="s">
        <v>76</v>
      </c>
      <c r="V48" s="41" t="s">
        <v>76</v>
      </c>
      <c r="W48" s="41" t="s">
        <v>76</v>
      </c>
      <c r="X48" s="41" t="s">
        <v>76</v>
      </c>
      <c r="Y48" s="41" t="s">
        <v>76</v>
      </c>
      <c r="Z48" s="41" t="s">
        <v>76</v>
      </c>
      <c r="AA48" s="41" t="s">
        <v>76</v>
      </c>
      <c r="AB48" s="41" t="s">
        <v>76</v>
      </c>
      <c r="AC48" s="41" t="s">
        <v>76</v>
      </c>
      <c r="AD48" s="41" t="s">
        <v>76</v>
      </c>
      <c r="AE48" s="41" t="s">
        <v>80</v>
      </c>
      <c r="AF48" s="41" t="s">
        <v>76</v>
      </c>
      <c r="AG48" s="41" t="s">
        <v>76</v>
      </c>
      <c r="AH48" s="41" t="s">
        <v>76</v>
      </c>
      <c r="AI48" s="41" t="s">
        <v>76</v>
      </c>
      <c r="AJ48" s="41" t="s">
        <v>76</v>
      </c>
      <c r="AK48" s="41" t="s">
        <v>76</v>
      </c>
      <c r="AL48" t="str">
        <f>VLOOKUP($Q48,武学奇术!$A:$ZZ,25,FALSE)</f>
        <v>心法</v>
      </c>
      <c r="AM48" s="27">
        <f>VLOOKUP($Q48,武学奇术!$A:$ZZ,26,FALSE)</f>
        <v>0</v>
      </c>
      <c r="AN48" s="28">
        <f>VLOOKUP($Q48,武学奇术!$A:$ZZ,27,FALSE)*(1+IF(OR($AL48=$F$4,$AL48=$F$5),$B$22,0))</f>
        <v>0</v>
      </c>
      <c r="AO48" s="27">
        <f>VLOOKUP($Q48,武学奇术!$A:$ZZ,28,FALSE)</f>
        <v>0</v>
      </c>
      <c r="AP48" s="28">
        <f>VLOOKUP($Q48,武学奇术!$A:$ZZ,29,FALSE)*(1+IF(OR($AL48=$F$4,$AL48=$F$5),$B$22,0))</f>
        <v>0</v>
      </c>
      <c r="AQ48" s="27" cm="1">
        <f t="array" ref="AQ48">$G$3+IFERROR(VLOOKUP($AL48,$F$4:$G$7,2,FALSE),0)+VLOOKUP($Q48,武学奇术!$A:$ZZ,2,FALSE)+SUM(_xlfn.XLOOKUP($R48:$AK48,增益!$A:$A,增益!$B:$B,0))</f>
        <v>0.2042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1785.2</v>
      </c>
      <c r="AT48" cm="1">
        <f t="array" ref="AT48">$E$10*(1+$AR48)+VLOOKUP($Q48,武学奇术!$A:$ZZ,4,FALSE)+SUM(_xlfn.XLOOKUP($R48:$AK48,增益!$A:$A,增益!$D:$D,0))-$I$2</f>
        <v>6604.8</v>
      </c>
      <c r="AU48" s="33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0.1685</v>
      </c>
      <c r="AV48" s="33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3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3" cm="1">
        <f t="array" ref="BA48">$G$11+VLOOKUP($Q48,武学奇术!$A:$ZZ,10,FALSE)+SUM(_xlfn.XLOOKUP($R48:$AK48,增益!$A:$A,增益!$J:$J,0))</f>
        <v>0</v>
      </c>
      <c r="BB48">
        <f t="shared" si="3"/>
        <v>662.4</v>
      </c>
      <c r="BC48">
        <f t="shared" si="4"/>
        <v>1260</v>
      </c>
      <c r="BD48" s="33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3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33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3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33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3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1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0.5954</v>
      </c>
      <c r="BP48" s="27" cm="1">
        <f t="array" ref="BP48">1+$B$13+VLOOKUP($Q48,武学奇术!$A:$ZZ,18,FALSE)+SUM(_xlfn.XLOOKUP($R48:$AK48,增益!$A:$A,增益!$R:$R,0))</f>
        <v>1.644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0.1512</v>
      </c>
      <c r="BR48" s="27" cm="1">
        <f t="array" ref="BR48">1+$B$14+VLOOKUP($Q48,武学奇术!$A:$ZZ,20,FALSE)+SUM(_xlfn.XLOOKUP($R48:$AK48,增益!$A:$A,增益!$T:$T,0))</f>
        <v>1.35</v>
      </c>
      <c r="BS48" s="27">
        <f t="shared" si="9"/>
        <v>0.5954</v>
      </c>
      <c r="BT48" s="27">
        <f t="shared" si="10"/>
        <v>0.2534</v>
      </c>
      <c r="BU48" s="27">
        <f>IF(VLOOKUP($Q48,武学奇术!$A:$ZZ,22,FALSE)=1,0,(1-$BN48))*(1-$BQ48)</f>
        <v>0</v>
      </c>
      <c r="BV48" s="27" cm="1">
        <f t="array" ref="BV48">SUM(_xlfn.XLOOKUP($R48:$AK48,增益!$A:$A,增益!$W:$W,0))+$I$5</f>
        <v>0.11</v>
      </c>
    </row>
    <row r="49" spans="11:74">
      <c r="K49" s="39">
        <f t="shared" si="0"/>
        <v>8308.85201580096</v>
      </c>
      <c r="L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9132.53976247161</v>
      </c>
      <c r="M49" s="39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10214.2630336768</v>
      </c>
      <c r="N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5236.54802894014</v>
      </c>
      <c r="O49" s="39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2906.9752921938</v>
      </c>
      <c r="P49" s="40">
        <v>1</v>
      </c>
      <c r="Q49" s="41" t="s">
        <v>112</v>
      </c>
      <c r="R49" s="41" t="s">
        <v>76</v>
      </c>
      <c r="S49" s="41" t="s">
        <v>76</v>
      </c>
      <c r="T49" s="41" t="s">
        <v>76</v>
      </c>
      <c r="U49" s="41" t="s">
        <v>76</v>
      </c>
      <c r="V49" s="41" t="s">
        <v>155</v>
      </c>
      <c r="W49" s="41" t="s">
        <v>76</v>
      </c>
      <c r="X49" s="41" t="s">
        <v>76</v>
      </c>
      <c r="Y49" s="41" t="s">
        <v>76</v>
      </c>
      <c r="Z49" s="41" t="s">
        <v>76</v>
      </c>
      <c r="AA49" s="41" t="s">
        <v>76</v>
      </c>
      <c r="AB49" s="41" t="s">
        <v>76</v>
      </c>
      <c r="AC49" s="41" t="s">
        <v>76</v>
      </c>
      <c r="AD49" s="41" t="s">
        <v>76</v>
      </c>
      <c r="AE49" s="41" t="s">
        <v>80</v>
      </c>
      <c r="AF49" s="41" t="s">
        <v>76</v>
      </c>
      <c r="AG49" s="41" t="s">
        <v>76</v>
      </c>
      <c r="AH49" s="41" t="s">
        <v>76</v>
      </c>
      <c r="AI49" s="41" t="s">
        <v>76</v>
      </c>
      <c r="AJ49" s="41" t="s">
        <v>76</v>
      </c>
      <c r="AK49" s="41" t="s">
        <v>76</v>
      </c>
      <c r="AL49" t="str">
        <f>VLOOKUP($Q49,武学奇术!$A:$ZZ,25,FALSE)</f>
        <v>枪</v>
      </c>
      <c r="AM49" s="27">
        <f>VLOOKUP($Q49,武学奇术!$A:$ZZ,26,FALSE)</f>
        <v>0.4843</v>
      </c>
      <c r="AN49" s="28">
        <f>VLOOKUP($Q49,武学奇术!$A:$ZZ,27,FALSE)*(1+IF(OR($AL49=$F$4,$AL49=$F$5),$B$22,0))</f>
        <v>201</v>
      </c>
      <c r="AO49" s="27">
        <f>VLOOKUP($Q49,武学奇术!$A:$ZZ,28,FALSE)</f>
        <v>0.7264</v>
      </c>
      <c r="AP49" s="28">
        <f>VLOOKUP($Q49,武学奇术!$A:$ZZ,29,FALSE)*(1+IF(OR($AL49=$F$4,$AL49=$F$5),$B$22,0))</f>
        <v>109.5</v>
      </c>
      <c r="AQ49" s="27" cm="1">
        <f t="array" ref="AQ49">$G$3+IFERROR(VLOOKUP($AL49,$F$4:$G$7,2,FALSE),0)+VLOOKUP($Q49,武学奇术!$A:$ZZ,2,FALSE)+SUM(_xlfn.XLOOKUP($R49:$AK49,增益!$A:$A,增益!$B:$B,0))</f>
        <v>0.2889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1785.2</v>
      </c>
      <c r="AT49" cm="1">
        <f t="array" ref="AT49">$E$10*(1+$AR49)+VLOOKUP($Q49,武学奇术!$A:$ZZ,4,FALSE)+SUM(_xlfn.XLOOKUP($R49:$AK49,增益!$A:$A,增益!$D:$D,0))-$I$2</f>
        <v>6604.8</v>
      </c>
      <c r="AU49" s="33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0.1685</v>
      </c>
      <c r="AV49" s="33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3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3" cm="1">
        <f t="array" ref="BA49">$G$11+VLOOKUP($Q49,武学奇术!$A:$ZZ,10,FALSE)+SUM(_xlfn.XLOOKUP($R49:$AK49,增益!$A:$A,增益!$J:$J,0))</f>
        <v>0</v>
      </c>
      <c r="BB49">
        <f t="shared" si="3"/>
        <v>662.4</v>
      </c>
      <c r="BC49">
        <f t="shared" si="4"/>
        <v>1260</v>
      </c>
      <c r="BD49" s="33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3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33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3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33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3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1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0.5954</v>
      </c>
      <c r="BP49" s="27" cm="1">
        <f t="array" ref="BP49">1+$B$13+VLOOKUP($Q49,武学奇术!$A:$ZZ,18,FALSE)+SUM(_xlfn.XLOOKUP($R49:$AK49,增益!$A:$A,增益!$R:$R,0))</f>
        <v>1.744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0.1512</v>
      </c>
      <c r="BR49" s="27" cm="1">
        <f t="array" ref="BR49">1+$B$14+VLOOKUP($Q49,武学奇术!$A:$ZZ,20,FALSE)+SUM(_xlfn.XLOOKUP($R49:$AK49,增益!$A:$A,增益!$T:$T,0))</f>
        <v>1.35</v>
      </c>
      <c r="BS49" s="27">
        <f t="shared" si="9"/>
        <v>0.5954</v>
      </c>
      <c r="BT49" s="27">
        <f t="shared" si="10"/>
        <v>0.2534</v>
      </c>
      <c r="BU49" s="27">
        <f>IF(VLOOKUP($Q49,武学奇术!$A:$ZZ,22,FALSE)=1,0,(1-$BN49))*(1-$BQ49)</f>
        <v>0</v>
      </c>
      <c r="BV49" s="27" cm="1">
        <f t="array" ref="BV49">SUM(_xlfn.XLOOKUP($R49:$AK49,增益!$A:$A,增益!$W:$W,0))+$I$5</f>
        <v>0.11</v>
      </c>
    </row>
    <row r="50" spans="11:74">
      <c r="K50" s="39">
        <f t="shared" si="0"/>
        <v>111842.441243</v>
      </c>
      <c r="L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125716.845006468</v>
      </c>
      <c r="M50" s="39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133405.155673606</v>
      </c>
      <c r="N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66376.3701195715</v>
      </c>
      <c r="O50" s="39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33934.1064068423</v>
      </c>
      <c r="P50" s="40">
        <v>1</v>
      </c>
      <c r="Q50" s="41" t="s">
        <v>170</v>
      </c>
      <c r="R50" s="41" t="s">
        <v>107</v>
      </c>
      <c r="S50" s="41" t="s">
        <v>76</v>
      </c>
      <c r="T50" s="41" t="s">
        <v>77</v>
      </c>
      <c r="U50" s="41" t="s">
        <v>76</v>
      </c>
      <c r="V50" s="41" t="s">
        <v>155</v>
      </c>
      <c r="W50" s="41" t="s">
        <v>76</v>
      </c>
      <c r="X50" s="41" t="s">
        <v>76</v>
      </c>
      <c r="Y50" s="41" t="s">
        <v>76</v>
      </c>
      <c r="Z50" s="41" t="s">
        <v>76</v>
      </c>
      <c r="AA50" s="41" t="s">
        <v>76</v>
      </c>
      <c r="AB50" s="41" t="s">
        <v>76</v>
      </c>
      <c r="AC50" s="41" t="s">
        <v>76</v>
      </c>
      <c r="AD50" s="41" t="s">
        <v>76</v>
      </c>
      <c r="AE50" s="41" t="s">
        <v>80</v>
      </c>
      <c r="AF50" s="41" t="s">
        <v>76</v>
      </c>
      <c r="AG50" s="41" t="s">
        <v>76</v>
      </c>
      <c r="AH50" s="41" t="s">
        <v>76</v>
      </c>
      <c r="AI50" s="41" t="s">
        <v>76</v>
      </c>
      <c r="AJ50" s="41" t="s">
        <v>76</v>
      </c>
      <c r="AK50" s="41" t="s">
        <v>76</v>
      </c>
      <c r="AL50" t="str">
        <f>VLOOKUP($Q50,武学奇术!$A:$ZZ,25,FALSE)</f>
        <v>单体奇术</v>
      </c>
      <c r="AM50" s="27">
        <f>VLOOKUP($Q50,武学奇术!$A:$ZZ,26,FALSE)</f>
        <v>7.1084</v>
      </c>
      <c r="AN50" s="28">
        <f>VLOOKUP($Q50,武学奇术!$A:$ZZ,27,FALSE)*(1+IF(OR($AL50=$F$4,$AL50=$F$5),$B$22,0))</f>
        <v>1369</v>
      </c>
      <c r="AO50" s="27">
        <f>VLOOKUP($Q50,武学奇术!$A:$ZZ,28,FALSE)</f>
        <v>10.6626</v>
      </c>
      <c r="AP50" s="28">
        <f>VLOOKUP($Q50,武学奇术!$A:$ZZ,29,FALSE)*(1+IF(OR($AL50=$F$4,$AL50=$F$5),$B$22,0))</f>
        <v>0</v>
      </c>
      <c r="AQ50" s="27" cm="1">
        <f t="array" ref="AQ50">$G$3+IFERROR(VLOOKUP($AL50,$F$4:$G$7,2,FALSE),0)+VLOOKUP($Q50,武学奇术!$A:$ZZ,2,FALSE)+SUM(_xlfn.XLOOKUP($R50:$AK50,增益!$A:$A,增益!$B:$B,0))</f>
        <v>0.2142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1785.2</v>
      </c>
      <c r="AT50" cm="1">
        <f t="array" ref="AT50">$E$10*(1+$AR50)+VLOOKUP($Q50,武学奇术!$A:$ZZ,4,FALSE)+SUM(_xlfn.XLOOKUP($R50:$AK50,增益!$A:$A,增益!$D:$D,0))-$I$2</f>
        <v>6604.8</v>
      </c>
      <c r="AU50" s="33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0.1785</v>
      </c>
      <c r="AV50" s="33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3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3" cm="1">
        <f t="array" ref="BA50">$G$11+VLOOKUP($Q50,武学奇术!$A:$ZZ,10,FALSE)+SUM(_xlfn.XLOOKUP($R50:$AK50,增益!$A:$A,增益!$J:$J,0))</f>
        <v>0</v>
      </c>
      <c r="BB50">
        <f t="shared" si="3"/>
        <v>662.4</v>
      </c>
      <c r="BC50">
        <f t="shared" si="4"/>
        <v>1260</v>
      </c>
      <c r="BD50" s="33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0.06</v>
      </c>
      <c r="BE50" s="33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33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-0.3</v>
      </c>
      <c r="BI50" s="33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33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3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1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0.5954</v>
      </c>
      <c r="BP50" s="27" cm="1">
        <f t="array" ref="BP50">1+$B$13+VLOOKUP($Q50,武学奇术!$A:$ZZ,18,FALSE)+SUM(_xlfn.XLOOKUP($R50:$AK50,增益!$A:$A,增益!$R:$R,0))</f>
        <v>1.894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0.1512</v>
      </c>
      <c r="BR50" s="27" cm="1">
        <f t="array" ref="BR50">1+$B$14+VLOOKUP($Q50,武学奇术!$A:$ZZ,20,FALSE)+SUM(_xlfn.XLOOKUP($R50:$AK50,增益!$A:$A,增益!$T:$T,0))</f>
        <v>1.35</v>
      </c>
      <c r="BS50" s="27">
        <f t="shared" si="9"/>
        <v>0.5954</v>
      </c>
      <c r="BT50" s="27">
        <f t="shared" si="10"/>
        <v>0.2534</v>
      </c>
      <c r="BU50" s="27">
        <f>IF(VLOOKUP($Q50,武学奇术!$A:$ZZ,22,FALSE)=1,0,(1-$BN50))*(1-$BQ50)</f>
        <v>0</v>
      </c>
      <c r="BV50" s="27" cm="1">
        <f t="array" ref="BV50">SUM(_xlfn.XLOOKUP($R50:$AK50,增益!$A:$A,增益!$W:$W,0))+$I$5</f>
        <v>0.11</v>
      </c>
    </row>
    <row r="51" spans="11:74">
      <c r="K51" s="39">
        <f t="shared" si="0"/>
        <v>324612.58149663</v>
      </c>
      <c r="L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327562.87965276</v>
      </c>
      <c r="M51" s="39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322521.671400029</v>
      </c>
      <c r="N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164274.262614222</v>
      </c>
      <c r="O51" s="39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89643.5834506458</v>
      </c>
      <c r="P51" s="40">
        <v>1</v>
      </c>
      <c r="Q51" s="41" t="s">
        <v>106</v>
      </c>
      <c r="R51" s="41" t="s">
        <v>83</v>
      </c>
      <c r="S51" s="41" t="s">
        <v>114</v>
      </c>
      <c r="T51" s="41" t="s">
        <v>77</v>
      </c>
      <c r="U51" s="41" t="s">
        <v>76</v>
      </c>
      <c r="V51" s="41" t="s">
        <v>155</v>
      </c>
      <c r="W51" s="41" t="s">
        <v>76</v>
      </c>
      <c r="X51" s="41" t="s">
        <v>76</v>
      </c>
      <c r="Y51" s="41" t="s">
        <v>76</v>
      </c>
      <c r="Z51" s="41" t="s">
        <v>76</v>
      </c>
      <c r="AA51" s="41" t="s">
        <v>76</v>
      </c>
      <c r="AB51" s="41" t="s">
        <v>76</v>
      </c>
      <c r="AC51" s="41" t="s">
        <v>76</v>
      </c>
      <c r="AD51" s="41" t="s">
        <v>76</v>
      </c>
      <c r="AE51" s="41" t="s">
        <v>80</v>
      </c>
      <c r="AF51" s="41" t="s">
        <v>108</v>
      </c>
      <c r="AG51" s="41" t="s">
        <v>76</v>
      </c>
      <c r="AH51" s="41" t="s">
        <v>76</v>
      </c>
      <c r="AI51" s="41" t="s">
        <v>76</v>
      </c>
      <c r="AJ51" s="41" t="s">
        <v>76</v>
      </c>
      <c r="AK51" s="41" t="s">
        <v>76</v>
      </c>
      <c r="AL51" t="str">
        <f>VLOOKUP($Q51,武学奇术!$A:$ZZ,25,FALSE)</f>
        <v>陌刀</v>
      </c>
      <c r="AM51" s="27">
        <f>VLOOKUP($Q51,武学奇术!$A:$ZZ,26,FALSE)</f>
        <v>7.2368</v>
      </c>
      <c r="AN51" s="28">
        <f>VLOOKUP($Q51,武学奇术!$A:$ZZ,27,FALSE)*(1+IF(OR($AL51=$F$4,$AL51=$F$5),$B$22,0))</f>
        <v>3003</v>
      </c>
      <c r="AO51" s="27">
        <f>VLOOKUP($Q51,武学奇术!$A:$ZZ,28,FALSE)</f>
        <v>10.8553</v>
      </c>
      <c r="AP51" s="28">
        <f>VLOOKUP($Q51,武学奇术!$A:$ZZ,29,FALSE)*(1+IF(OR($AL51=$F$4,$AL51=$F$5),$B$22,0))</f>
        <v>1635</v>
      </c>
      <c r="AQ51" s="27" cm="1">
        <f t="array" ref="AQ51">$G$3+IFERROR(VLOOKUP($AL51,$F$4:$G$7,2,FALSE),0)+VLOOKUP($Q51,武学奇术!$A:$ZZ,2,FALSE)+SUM(_xlfn.XLOOKUP($R51:$AK51,增益!$A:$A,增益!$B:$B,0))</f>
        <v>0.9943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1785.2</v>
      </c>
      <c r="AT51" cm="1">
        <f t="array" ref="AT51">$E$10*(1+$AR51)+VLOOKUP($Q51,武学奇术!$A:$ZZ,4,FALSE)+SUM(_xlfn.XLOOKUP($R51:$AK51,增益!$A:$A,增益!$D:$D,0))-$I$2</f>
        <v>6804.8</v>
      </c>
      <c r="AU51" s="33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0.1885</v>
      </c>
      <c r="AV51" s="33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3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3" cm="1">
        <f t="array" ref="BA51">$G$11+VLOOKUP($Q51,武学奇术!$A:$ZZ,10,FALSE)+SUM(_xlfn.XLOOKUP($R51:$AK51,增益!$A:$A,增益!$J:$J,0))</f>
        <v>0</v>
      </c>
      <c r="BB51">
        <f t="shared" si="3"/>
        <v>662.4</v>
      </c>
      <c r="BC51">
        <f t="shared" si="4"/>
        <v>1260</v>
      </c>
      <c r="BD51" s="33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0.06</v>
      </c>
      <c r="BE51" s="33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33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-0.3</v>
      </c>
      <c r="BI51" s="33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33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3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1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0.8354</v>
      </c>
      <c r="BP51" s="27" cm="1">
        <f t="array" ref="BP51">1+$B$13+VLOOKUP($Q51,武学奇术!$A:$ZZ,18,FALSE)+SUM(_xlfn.XLOOKUP($R51:$AK51,增益!$A:$A,增益!$R:$R,0))</f>
        <v>1.994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0.1512</v>
      </c>
      <c r="BR51" s="27" cm="1">
        <f t="array" ref="BR51">1+$B$14+VLOOKUP($Q51,武学奇术!$A:$ZZ,20,FALSE)+SUM(_xlfn.XLOOKUP($R51:$AK51,增益!$A:$A,增益!$T:$T,0))</f>
        <v>1.35</v>
      </c>
      <c r="BS51" s="27">
        <f t="shared" si="9"/>
        <v>0.8354</v>
      </c>
      <c r="BT51" s="27">
        <f t="shared" si="10"/>
        <v>0.0134</v>
      </c>
      <c r="BU51" s="27">
        <f>IF(VLOOKUP($Q51,武学奇术!$A:$ZZ,22,FALSE)=1,0,(1-$BN51))*(1-$BQ51)</f>
        <v>0</v>
      </c>
      <c r="BV51" s="27" cm="1">
        <f t="array" ref="BV51">SUM(_xlfn.XLOOKUP($R51:$AK51,增益!$A:$A,增益!$W:$W,0))+$I$5</f>
        <v>0.11</v>
      </c>
    </row>
    <row r="52" spans="11:74">
      <c r="K52" s="39">
        <f t="shared" si="0"/>
        <v>181845.579793914</v>
      </c>
      <c r="L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181174.879155784</v>
      </c>
      <c r="M52" s="39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192959.802193796</v>
      </c>
      <c r="N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98251.0190649587</v>
      </c>
      <c r="O52" s="39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53568.8513196983</v>
      </c>
      <c r="P52" s="40">
        <v>1</v>
      </c>
      <c r="Q52" s="41" t="s">
        <v>117</v>
      </c>
      <c r="R52" s="41" t="s">
        <v>90</v>
      </c>
      <c r="S52" s="41" t="s">
        <v>114</v>
      </c>
      <c r="T52" s="41" t="s">
        <v>76</v>
      </c>
      <c r="U52" s="41" t="s">
        <v>76</v>
      </c>
      <c r="V52" s="41" t="s">
        <v>155</v>
      </c>
      <c r="W52" s="41" t="s">
        <v>76</v>
      </c>
      <c r="X52" s="41" t="s">
        <v>76</v>
      </c>
      <c r="Y52" s="41" t="s">
        <v>76</v>
      </c>
      <c r="Z52" s="41" t="s">
        <v>76</v>
      </c>
      <c r="AA52" s="41" t="s">
        <v>76</v>
      </c>
      <c r="AB52" s="41" t="s">
        <v>76</v>
      </c>
      <c r="AC52" s="41" t="s">
        <v>76</v>
      </c>
      <c r="AD52" s="41" t="s">
        <v>76</v>
      </c>
      <c r="AE52" s="41" t="s">
        <v>80</v>
      </c>
      <c r="AF52" s="41" t="s">
        <v>108</v>
      </c>
      <c r="AG52" s="41" t="s">
        <v>76</v>
      </c>
      <c r="AH52" s="41" t="s">
        <v>76</v>
      </c>
      <c r="AI52" s="41" t="s">
        <v>76</v>
      </c>
      <c r="AJ52" s="41" t="s">
        <v>76</v>
      </c>
      <c r="AK52" s="41" t="s">
        <v>76</v>
      </c>
      <c r="AL52" t="str">
        <f>VLOOKUP($Q52,武学奇术!$A:$ZZ,25,FALSE)</f>
        <v>陌刀</v>
      </c>
      <c r="AM52" s="27">
        <f>VLOOKUP($Q52,武学奇术!$A:$ZZ,26,FALSE)</f>
        <v>4.2807</v>
      </c>
      <c r="AN52" s="28">
        <f>VLOOKUP($Q52,武学奇术!$A:$ZZ,27,FALSE)*(1+IF(OR($AL52=$F$4,$AL52=$F$5),$B$22,0))</f>
        <v>1776</v>
      </c>
      <c r="AO52" s="27">
        <f>VLOOKUP($Q52,武学奇术!$A:$ZZ,28,FALSE)</f>
        <v>6.421</v>
      </c>
      <c r="AP52" s="28">
        <f>VLOOKUP($Q52,武学奇术!$A:$ZZ,29,FALSE)*(1+IF(OR($AL52=$F$4,$AL52=$F$5),$B$22,0))</f>
        <v>967.5</v>
      </c>
      <c r="AQ52" s="27" cm="1">
        <f t="array" ref="AQ52">$G$3+IFERROR(VLOOKUP($AL52,$F$4:$G$7,2,FALSE),0)+VLOOKUP($Q52,武学奇术!$A:$ZZ,2,FALSE)+SUM(_xlfn.XLOOKUP($R52:$AK52,增益!$A:$A,增益!$B:$B,0))</f>
        <v>1.0043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1785.2</v>
      </c>
      <c r="AT52" cm="1">
        <f t="array" ref="AT52">$E$10*(1+$AR52)+VLOOKUP($Q52,武学奇术!$A:$ZZ,4,FALSE)+SUM(_xlfn.XLOOKUP($R52:$AK52,增益!$A:$A,增益!$D:$D,0))-$I$2</f>
        <v>6804.8</v>
      </c>
      <c r="AU52" s="33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0.1985</v>
      </c>
      <c r="AV52" s="33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3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3" cm="1">
        <f t="array" ref="BA52">$G$11+VLOOKUP($Q52,武学奇术!$A:$ZZ,10,FALSE)+SUM(_xlfn.XLOOKUP($R52:$AK52,增益!$A:$A,增益!$J:$J,0))</f>
        <v>0</v>
      </c>
      <c r="BB52">
        <f t="shared" si="3"/>
        <v>662.4</v>
      </c>
      <c r="BC52">
        <f t="shared" si="4"/>
        <v>1260</v>
      </c>
      <c r="BD52" s="33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0.06</v>
      </c>
      <c r="BE52" s="33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33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-0.3</v>
      </c>
      <c r="BI52" s="33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33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3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0.8354</v>
      </c>
      <c r="BP52" s="27" cm="1">
        <f t="array" ref="BP52">1+$B$13+VLOOKUP($Q52,武学奇术!$A:$ZZ,18,FALSE)+SUM(_xlfn.XLOOKUP($R52:$AK52,增益!$A:$A,增益!$R:$R,0))</f>
        <v>1.844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0.1512</v>
      </c>
      <c r="BR52" s="27" cm="1">
        <f t="array" ref="BR52">1+$B$14+VLOOKUP($Q52,武学奇术!$A:$ZZ,20,FALSE)+SUM(_xlfn.XLOOKUP($R52:$AK52,增益!$A:$A,增益!$T:$T,0))</f>
        <v>1.35</v>
      </c>
      <c r="BS52" s="27">
        <f t="shared" si="9"/>
        <v>0.8354</v>
      </c>
      <c r="BT52" s="27">
        <f t="shared" si="10"/>
        <v>0.0134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0.11</v>
      </c>
    </row>
    <row r="53" spans="11:74">
      <c r="K53" s="39">
        <f t="shared" si="0"/>
        <v>320266.886141883</v>
      </c>
      <c r="L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320177.474334242</v>
      </c>
      <c r="M53" s="39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334083.024468092</v>
      </c>
      <c r="N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169945.580856816</v>
      </c>
      <c r="O53" s="39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92422.2547002307</v>
      </c>
      <c r="P53" s="40">
        <v>1</v>
      </c>
      <c r="Q53" s="41" t="s">
        <v>106</v>
      </c>
      <c r="R53" s="41" t="s">
        <v>97</v>
      </c>
      <c r="S53" s="41" t="s">
        <v>114</v>
      </c>
      <c r="T53" s="41" t="s">
        <v>76</v>
      </c>
      <c r="U53" s="41" t="s">
        <v>76</v>
      </c>
      <c r="V53" s="41" t="s">
        <v>155</v>
      </c>
      <c r="W53" s="41" t="s">
        <v>76</v>
      </c>
      <c r="X53" s="41" t="s">
        <v>92</v>
      </c>
      <c r="Y53" s="41" t="s">
        <v>76</v>
      </c>
      <c r="Z53" s="41" t="s">
        <v>76</v>
      </c>
      <c r="AA53" s="41" t="s">
        <v>76</v>
      </c>
      <c r="AB53" s="41" t="s">
        <v>76</v>
      </c>
      <c r="AC53" s="41" t="s">
        <v>76</v>
      </c>
      <c r="AD53" s="41" t="s">
        <v>76</v>
      </c>
      <c r="AE53" s="41" t="s">
        <v>80</v>
      </c>
      <c r="AF53" s="41" t="s">
        <v>108</v>
      </c>
      <c r="AG53" s="41" t="s">
        <v>76</v>
      </c>
      <c r="AH53" s="41" t="s">
        <v>76</v>
      </c>
      <c r="AI53" s="41" t="s">
        <v>76</v>
      </c>
      <c r="AJ53" s="41" t="s">
        <v>76</v>
      </c>
      <c r="AK53" s="41" t="s">
        <v>76</v>
      </c>
      <c r="AL53" t="str">
        <f>VLOOKUP($Q53,武学奇术!$A:$ZZ,25,FALSE)</f>
        <v>陌刀</v>
      </c>
      <c r="AM53" s="27">
        <f>VLOOKUP($Q53,武学奇术!$A:$ZZ,26,FALSE)</f>
        <v>7.2368</v>
      </c>
      <c r="AN53" s="28">
        <f>VLOOKUP($Q53,武学奇术!$A:$ZZ,27,FALSE)*(1+IF(OR($AL53=$F$4,$AL53=$F$5),$B$22,0))</f>
        <v>3003</v>
      </c>
      <c r="AO53" s="27">
        <f>VLOOKUP($Q53,武学奇术!$A:$ZZ,28,FALSE)</f>
        <v>10.8553</v>
      </c>
      <c r="AP53" s="28">
        <f>VLOOKUP($Q53,武学奇术!$A:$ZZ,29,FALSE)*(1+IF(OR($AL53=$F$4,$AL53=$F$5),$B$22,0))</f>
        <v>1635</v>
      </c>
      <c r="AQ53" s="27" cm="1">
        <f t="array" ref="AQ53">$G$3+IFERROR(VLOOKUP($AL53,$F$4:$G$7,2,FALSE),0)+VLOOKUP($Q53,武学奇术!$A:$ZZ,2,FALSE)+SUM(_xlfn.XLOOKUP($R53:$AK53,增益!$A:$A,增益!$B:$B,0))</f>
        <v>1.0143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1785.2</v>
      </c>
      <c r="AT53" cm="1">
        <f t="array" ref="AT53">$E$10*(1+$AR53)+VLOOKUP($Q53,武学奇术!$A:$ZZ,4,FALSE)+SUM(_xlfn.XLOOKUP($R53:$AK53,增益!$A:$A,增益!$D:$D,0))-$I$2</f>
        <v>6804.8</v>
      </c>
      <c r="AU53" s="33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0.2285</v>
      </c>
      <c r="AV53" s="33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3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3" cm="1">
        <f t="array" ref="BA53">$G$11+VLOOKUP($Q53,武学奇术!$A:$ZZ,10,FALSE)+SUM(_xlfn.XLOOKUP($R53:$AK53,增益!$A:$A,增益!$J:$J,0))</f>
        <v>0</v>
      </c>
      <c r="BB53">
        <f t="shared" si="3"/>
        <v>662.4</v>
      </c>
      <c r="BC53">
        <f t="shared" si="4"/>
        <v>1260</v>
      </c>
      <c r="BD53" s="33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0.06</v>
      </c>
      <c r="BE53" s="33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33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-0.3</v>
      </c>
      <c r="BI53" s="33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33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3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0.8354</v>
      </c>
      <c r="BP53" s="27" cm="1">
        <f t="array" ref="BP53">1+$B$13+VLOOKUP($Q53,武学奇术!$A:$ZZ,18,FALSE)+SUM(_xlfn.XLOOKUP($R53:$AK53,增益!$A:$A,增益!$R:$R,0))</f>
        <v>1.884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0.1512</v>
      </c>
      <c r="BR53" s="27" cm="1">
        <f t="array" ref="BR53">1+$B$14+VLOOKUP($Q53,武学奇术!$A:$ZZ,20,FALSE)+SUM(_xlfn.XLOOKUP($R53:$AK53,增益!$A:$A,增益!$T:$T,0))</f>
        <v>1.35</v>
      </c>
      <c r="BS53" s="27">
        <f t="shared" si="9"/>
        <v>0.8354</v>
      </c>
      <c r="BT53" s="27">
        <f t="shared" si="10"/>
        <v>0.0134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0.11</v>
      </c>
    </row>
    <row r="54" spans="11:74">
      <c r="K54" s="39">
        <f t="shared" si="0"/>
        <v>194365.46356535</v>
      </c>
      <c r="L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194629.530424717</v>
      </c>
      <c r="M54" s="39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201072.666635858</v>
      </c>
      <c r="N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102221.392029788</v>
      </c>
      <c r="O54" s="39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55500.0680330151</v>
      </c>
      <c r="P54" s="40">
        <v>1</v>
      </c>
      <c r="Q54" s="41" t="s">
        <v>117</v>
      </c>
      <c r="R54" s="41" t="s">
        <v>101</v>
      </c>
      <c r="S54" s="41" t="s">
        <v>114</v>
      </c>
      <c r="T54" s="41" t="s">
        <v>76</v>
      </c>
      <c r="U54" s="41" t="s">
        <v>76</v>
      </c>
      <c r="V54" s="41" t="s">
        <v>155</v>
      </c>
      <c r="W54" s="41" t="s">
        <v>76</v>
      </c>
      <c r="X54" s="41" t="s">
        <v>121</v>
      </c>
      <c r="Y54" s="41" t="s">
        <v>76</v>
      </c>
      <c r="Z54" s="41" t="s">
        <v>76</v>
      </c>
      <c r="AA54" s="41" t="s">
        <v>76</v>
      </c>
      <c r="AB54" s="41" t="s">
        <v>76</v>
      </c>
      <c r="AC54" s="41" t="s">
        <v>76</v>
      </c>
      <c r="AD54" s="41" t="s">
        <v>76</v>
      </c>
      <c r="AE54" s="41" t="s">
        <v>80</v>
      </c>
      <c r="AF54" s="41" t="s">
        <v>108</v>
      </c>
      <c r="AG54" s="41" t="s">
        <v>76</v>
      </c>
      <c r="AH54" s="41" t="s">
        <v>76</v>
      </c>
      <c r="AI54" s="41" t="s">
        <v>76</v>
      </c>
      <c r="AJ54" s="41" t="s">
        <v>76</v>
      </c>
      <c r="AK54" s="41" t="s">
        <v>76</v>
      </c>
      <c r="AL54" t="str">
        <f>VLOOKUP($Q54,武学奇术!$A:$ZZ,25,FALSE)</f>
        <v>陌刀</v>
      </c>
      <c r="AM54" s="27">
        <f>VLOOKUP($Q54,武学奇术!$A:$ZZ,26,FALSE)</f>
        <v>4.2807</v>
      </c>
      <c r="AN54" s="28">
        <f>VLOOKUP($Q54,武学奇术!$A:$ZZ,27,FALSE)*(1+IF(OR($AL54=$F$4,$AL54=$F$5),$B$22,0))</f>
        <v>1776</v>
      </c>
      <c r="AO54" s="27">
        <f>VLOOKUP($Q54,武学奇术!$A:$ZZ,28,FALSE)</f>
        <v>6.421</v>
      </c>
      <c r="AP54" s="28">
        <f>VLOOKUP($Q54,武学奇术!$A:$ZZ,29,FALSE)*(1+IF(OR($AL54=$F$4,$AL54=$F$5),$B$22,0))</f>
        <v>967.5</v>
      </c>
      <c r="AQ54" s="27" cm="1">
        <f t="array" ref="AQ54">$G$3+IFERROR(VLOOKUP($AL54,$F$4:$G$7,2,FALSE),0)+VLOOKUP($Q54,武学奇术!$A:$ZZ,2,FALSE)+SUM(_xlfn.XLOOKUP($R54:$AK54,增益!$A:$A,增益!$B:$B,0))</f>
        <v>1.0243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1785.2</v>
      </c>
      <c r="AT54" cm="1">
        <f t="array" ref="AT54">$E$10*(1+$AR54)+VLOOKUP($Q54,武学奇术!$A:$ZZ,4,FALSE)+SUM(_xlfn.XLOOKUP($R54:$AK54,增益!$A:$A,增益!$D:$D,0))-$I$2</f>
        <v>6804.8</v>
      </c>
      <c r="AU54" s="33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0.2485</v>
      </c>
      <c r="AV54" s="33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3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3" cm="1">
        <f t="array" ref="BA54">$G$11+VLOOKUP($Q54,武学奇术!$A:$ZZ,10,FALSE)+SUM(_xlfn.XLOOKUP($R54:$AK54,增益!$A:$A,增益!$J:$J,0))</f>
        <v>0</v>
      </c>
      <c r="BB54">
        <f t="shared" si="3"/>
        <v>662.4</v>
      </c>
      <c r="BC54">
        <f t="shared" si="4"/>
        <v>1260</v>
      </c>
      <c r="BD54" s="33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0.06</v>
      </c>
      <c r="BE54" s="33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33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-0.3</v>
      </c>
      <c r="BI54" s="33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33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3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0.8354</v>
      </c>
      <c r="BP54" s="27" cm="1">
        <f t="array" ref="BP54">1+$B$13+VLOOKUP($Q54,武学奇术!$A:$ZZ,18,FALSE)+SUM(_xlfn.XLOOKUP($R54:$AK54,增益!$A:$A,增益!$R:$R,0))</f>
        <v>1.904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0.1512</v>
      </c>
      <c r="BR54" s="27" cm="1">
        <f t="array" ref="BR54">1+$B$14+VLOOKUP($Q54,武学奇术!$A:$ZZ,20,FALSE)+SUM(_xlfn.XLOOKUP($R54:$AK54,增益!$A:$A,增益!$T:$T,0))</f>
        <v>1.35</v>
      </c>
      <c r="BS54" s="27">
        <f t="shared" si="9"/>
        <v>0.8354</v>
      </c>
      <c r="BT54" s="27">
        <f t="shared" si="10"/>
        <v>0.0134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0.11</v>
      </c>
    </row>
    <row r="55" spans="11:74">
      <c r="K55" s="39">
        <f t="shared" si="0"/>
        <v>333428.345524114</v>
      </c>
      <c r="L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334433.853309174</v>
      </c>
      <c r="M55" s="39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342017.773835734</v>
      </c>
      <c r="N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173822.169079612</v>
      </c>
      <c r="O55" s="39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94297.8390216436</v>
      </c>
      <c r="P55" s="40">
        <v>1</v>
      </c>
      <c r="Q55" s="41" t="s">
        <v>106</v>
      </c>
      <c r="R55" s="41" t="s">
        <v>101</v>
      </c>
      <c r="S55" s="41" t="s">
        <v>114</v>
      </c>
      <c r="T55" s="41" t="s">
        <v>76</v>
      </c>
      <c r="U55" s="41" t="s">
        <v>76</v>
      </c>
      <c r="V55" s="41" t="s">
        <v>155</v>
      </c>
      <c r="W55" s="41" t="s">
        <v>76</v>
      </c>
      <c r="X55" s="41" t="s">
        <v>103</v>
      </c>
      <c r="Y55" s="41" t="s">
        <v>76</v>
      </c>
      <c r="Z55" s="41" t="s">
        <v>76</v>
      </c>
      <c r="AA55" s="41" t="s">
        <v>76</v>
      </c>
      <c r="AB55" s="41" t="s">
        <v>76</v>
      </c>
      <c r="AC55" s="41" t="s">
        <v>76</v>
      </c>
      <c r="AD55" s="41" t="s">
        <v>76</v>
      </c>
      <c r="AE55" s="41" t="s">
        <v>80</v>
      </c>
      <c r="AF55" s="41" t="s">
        <v>108</v>
      </c>
      <c r="AG55" s="41" t="s">
        <v>76</v>
      </c>
      <c r="AH55" s="41" t="s">
        <v>76</v>
      </c>
      <c r="AI55" s="41" t="s">
        <v>76</v>
      </c>
      <c r="AJ55" s="41" t="s">
        <v>76</v>
      </c>
      <c r="AK55" s="41" t="s">
        <v>76</v>
      </c>
      <c r="AL55" t="str">
        <f>VLOOKUP($Q55,武学奇术!$A:$ZZ,25,FALSE)</f>
        <v>陌刀</v>
      </c>
      <c r="AM55" s="27">
        <f>VLOOKUP($Q55,武学奇术!$A:$ZZ,26,FALSE)</f>
        <v>7.2368</v>
      </c>
      <c r="AN55" s="28">
        <f>VLOOKUP($Q55,武学奇术!$A:$ZZ,27,FALSE)*(1+IF(OR($AL55=$F$4,$AL55=$F$5),$B$22,0))</f>
        <v>3003</v>
      </c>
      <c r="AO55" s="27">
        <f>VLOOKUP($Q55,武学奇术!$A:$ZZ,28,FALSE)</f>
        <v>10.8553</v>
      </c>
      <c r="AP55" s="28">
        <f>VLOOKUP($Q55,武学奇术!$A:$ZZ,29,FALSE)*(1+IF(OR($AL55=$F$4,$AL55=$F$5),$B$22,0))</f>
        <v>1635</v>
      </c>
      <c r="AQ55" s="27" cm="1">
        <f t="array" ref="AQ55">$G$3+IFERROR(VLOOKUP($AL55,$F$4:$G$7,2,FALSE),0)+VLOOKUP($Q55,武学奇术!$A:$ZZ,2,FALSE)+SUM(_xlfn.XLOOKUP($R55:$AK55,增益!$A:$A,增益!$B:$B,0))</f>
        <v>1.0243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1785.2</v>
      </c>
      <c r="AT55" cm="1">
        <f t="array" ref="AT55">$E$10*(1+$AR55)+VLOOKUP($Q55,武学奇术!$A:$ZZ,4,FALSE)+SUM(_xlfn.XLOOKUP($R55:$AK55,增益!$A:$A,增益!$D:$D,0))-$I$2</f>
        <v>6804.8</v>
      </c>
      <c r="AU55" s="33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0.2585</v>
      </c>
      <c r="AV55" s="33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3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3" cm="1">
        <f t="array" ref="BA55">$G$11+VLOOKUP($Q55,武学奇术!$A:$ZZ,10,FALSE)+SUM(_xlfn.XLOOKUP($R55:$AK55,增益!$A:$A,增益!$J:$J,0))</f>
        <v>0</v>
      </c>
      <c r="BB55">
        <f t="shared" si="3"/>
        <v>662.4</v>
      </c>
      <c r="BC55">
        <f t="shared" si="4"/>
        <v>1260</v>
      </c>
      <c r="BD55" s="33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0.06</v>
      </c>
      <c r="BE55" s="33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33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-0.3</v>
      </c>
      <c r="BI55" s="33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33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3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0.8354</v>
      </c>
      <c r="BP55" s="27" cm="1">
        <f t="array" ref="BP55">1+$B$13+VLOOKUP($Q55,武学奇术!$A:$ZZ,18,FALSE)+SUM(_xlfn.XLOOKUP($R55:$AK55,增益!$A:$A,增益!$R:$R,0))</f>
        <v>1.924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0.1512</v>
      </c>
      <c r="BR55" s="27" cm="1">
        <f t="array" ref="BR55">1+$B$14+VLOOKUP($Q55,武学奇术!$A:$ZZ,20,FALSE)+SUM(_xlfn.XLOOKUP($R55:$AK55,增益!$A:$A,增益!$T:$T,0))</f>
        <v>1.35</v>
      </c>
      <c r="BS55" s="27">
        <f t="shared" si="9"/>
        <v>0.8354</v>
      </c>
      <c r="BT55" s="27">
        <f t="shared" si="10"/>
        <v>0.0134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0.11</v>
      </c>
    </row>
    <row r="56" spans="11:74">
      <c r="K56" s="39">
        <f t="shared" si="0"/>
        <v>203018.002292382</v>
      </c>
      <c r="L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204286.195347714</v>
      </c>
      <c r="M56" s="39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204785.110329123</v>
      </c>
      <c r="N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104015.374413297</v>
      </c>
      <c r="O56" s="39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56338.0745087243</v>
      </c>
      <c r="P56" s="40">
        <v>1</v>
      </c>
      <c r="Q56" s="41" t="s">
        <v>117</v>
      </c>
      <c r="R56" s="41" t="s">
        <v>101</v>
      </c>
      <c r="S56" s="41" t="s">
        <v>114</v>
      </c>
      <c r="T56" s="41" t="s">
        <v>76</v>
      </c>
      <c r="U56" s="41" t="s">
        <v>76</v>
      </c>
      <c r="V56" s="41" t="s">
        <v>155</v>
      </c>
      <c r="W56" s="41" t="s">
        <v>76</v>
      </c>
      <c r="X56" s="41" t="s">
        <v>126</v>
      </c>
      <c r="Y56" s="41" t="s">
        <v>76</v>
      </c>
      <c r="Z56" s="41" t="s">
        <v>76</v>
      </c>
      <c r="AA56" s="41" t="s">
        <v>76</v>
      </c>
      <c r="AB56" s="41" t="s">
        <v>76</v>
      </c>
      <c r="AC56" s="41" t="s">
        <v>76</v>
      </c>
      <c r="AD56" s="41" t="s">
        <v>76</v>
      </c>
      <c r="AE56" s="41" t="s">
        <v>80</v>
      </c>
      <c r="AF56" s="41" t="s">
        <v>108</v>
      </c>
      <c r="AG56" s="41" t="s">
        <v>76</v>
      </c>
      <c r="AH56" s="41" t="s">
        <v>76</v>
      </c>
      <c r="AI56" s="41" t="s">
        <v>76</v>
      </c>
      <c r="AJ56" s="41" t="s">
        <v>76</v>
      </c>
      <c r="AK56" s="41" t="s">
        <v>76</v>
      </c>
      <c r="AL56" t="str">
        <f>VLOOKUP($Q56,武学奇术!$A:$ZZ,25,FALSE)</f>
        <v>陌刀</v>
      </c>
      <c r="AM56" s="27">
        <f>VLOOKUP($Q56,武学奇术!$A:$ZZ,26,FALSE)</f>
        <v>4.2807</v>
      </c>
      <c r="AN56" s="28">
        <f>VLOOKUP($Q56,武学奇术!$A:$ZZ,27,FALSE)*(1+IF(OR($AL56=$F$4,$AL56=$F$5),$B$22,0))</f>
        <v>1776</v>
      </c>
      <c r="AO56" s="27">
        <f>VLOOKUP($Q56,武学奇术!$A:$ZZ,28,FALSE)</f>
        <v>6.421</v>
      </c>
      <c r="AP56" s="28">
        <f>VLOOKUP($Q56,武学奇术!$A:$ZZ,29,FALSE)*(1+IF(OR($AL56=$F$4,$AL56=$F$5),$B$22,0))</f>
        <v>967.5</v>
      </c>
      <c r="AQ56" s="27" cm="1">
        <f t="array" ref="AQ56">$G$3+IFERROR(VLOOKUP($AL56,$F$4:$G$7,2,FALSE),0)+VLOOKUP($Q56,武学奇术!$A:$ZZ,2,FALSE)+SUM(_xlfn.XLOOKUP($R56:$AK56,增益!$A:$A,增益!$B:$B,0))</f>
        <v>1.0243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1785.2</v>
      </c>
      <c r="AT56" cm="1">
        <f t="array" ref="AT56">$E$10*(1+$AR56)+VLOOKUP($Q56,武学奇术!$A:$ZZ,4,FALSE)+SUM(_xlfn.XLOOKUP($R56:$AK56,增益!$A:$A,增益!$D:$D,0))-$I$2</f>
        <v>6804.8</v>
      </c>
      <c r="AU56" s="33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0.2785</v>
      </c>
      <c r="AV56" s="33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3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3" cm="1">
        <f t="array" ref="BA56">$G$11+VLOOKUP($Q56,武学奇术!$A:$ZZ,10,FALSE)+SUM(_xlfn.XLOOKUP($R56:$AK56,增益!$A:$A,增益!$J:$J,0))</f>
        <v>0</v>
      </c>
      <c r="BB56">
        <f t="shared" si="3"/>
        <v>662.4</v>
      </c>
      <c r="BC56">
        <f t="shared" si="4"/>
        <v>1260</v>
      </c>
      <c r="BD56" s="33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0.06</v>
      </c>
      <c r="BE56" s="33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33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-0.3</v>
      </c>
      <c r="BI56" s="33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33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3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0.8354</v>
      </c>
      <c r="BP56" s="27" cm="1">
        <f t="array" ref="BP56">1+$B$13+VLOOKUP($Q56,武学奇术!$A:$ZZ,18,FALSE)+SUM(_xlfn.XLOOKUP($R56:$AK56,增益!$A:$A,增益!$R:$R,0))</f>
        <v>1.964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0.1512</v>
      </c>
      <c r="BR56" s="27" cm="1">
        <f t="array" ref="BR56">1+$B$14+VLOOKUP($Q56,武学奇术!$A:$ZZ,20,FALSE)+SUM(_xlfn.XLOOKUP($R56:$AK56,增益!$A:$A,增益!$T:$T,0))</f>
        <v>1.35</v>
      </c>
      <c r="BS56" s="27">
        <f t="shared" si="9"/>
        <v>0.8354</v>
      </c>
      <c r="BT56" s="27">
        <f t="shared" si="10"/>
        <v>0.0134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0.11</v>
      </c>
    </row>
    <row r="57" spans="11:74">
      <c r="K57" s="39">
        <f t="shared" si="0"/>
        <v>9506.56823562593</v>
      </c>
      <c r="L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10642.6428144148</v>
      </c>
      <c r="M57" s="39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11292.599482025</v>
      </c>
      <c r="N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5771.49827245923</v>
      </c>
      <c r="O57" s="39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3178.10803971479</v>
      </c>
      <c r="P57" s="40">
        <v>1</v>
      </c>
      <c r="Q57" s="41" t="s">
        <v>112</v>
      </c>
      <c r="R57" s="41" t="s">
        <v>101</v>
      </c>
      <c r="S57" s="41" t="s">
        <v>76</v>
      </c>
      <c r="T57" s="41" t="s">
        <v>76</v>
      </c>
      <c r="U57" s="41" t="s">
        <v>76</v>
      </c>
      <c r="V57" s="41" t="s">
        <v>155</v>
      </c>
      <c r="W57" s="41" t="s">
        <v>76</v>
      </c>
      <c r="X57" s="41" t="s">
        <v>139</v>
      </c>
      <c r="Y57" s="41" t="s">
        <v>76</v>
      </c>
      <c r="Z57" s="41" t="s">
        <v>76</v>
      </c>
      <c r="AA57" s="41" t="s">
        <v>76</v>
      </c>
      <c r="AB57" s="41" t="s">
        <v>76</v>
      </c>
      <c r="AC57" s="41" t="s">
        <v>76</v>
      </c>
      <c r="AD57" s="41" t="s">
        <v>76</v>
      </c>
      <c r="AE57" s="41" t="s">
        <v>80</v>
      </c>
      <c r="AF57" s="41" t="s">
        <v>76</v>
      </c>
      <c r="AG57" s="41" t="s">
        <v>76</v>
      </c>
      <c r="AH57" s="41" t="s">
        <v>76</v>
      </c>
      <c r="AI57" s="41" t="s">
        <v>76</v>
      </c>
      <c r="AJ57" s="41" t="s">
        <v>76</v>
      </c>
      <c r="AK57" s="41" t="s">
        <v>76</v>
      </c>
      <c r="AL57" t="str">
        <f>VLOOKUP($Q57,武学奇术!$A:$ZZ,25,FALSE)</f>
        <v>枪</v>
      </c>
      <c r="AM57" s="27">
        <f>VLOOKUP($Q57,武学奇术!$A:$ZZ,26,FALSE)</f>
        <v>0.4843</v>
      </c>
      <c r="AN57" s="28">
        <f>VLOOKUP($Q57,武学奇术!$A:$ZZ,27,FALSE)*(1+IF(OR($AL57=$F$4,$AL57=$F$5),$B$22,0))</f>
        <v>201</v>
      </c>
      <c r="AO57" s="27">
        <f>VLOOKUP($Q57,武学奇术!$A:$ZZ,28,FALSE)</f>
        <v>0.7264</v>
      </c>
      <c r="AP57" s="28">
        <f>VLOOKUP($Q57,武学奇术!$A:$ZZ,29,FALSE)*(1+IF(OR($AL57=$F$4,$AL57=$F$5),$B$22,0))</f>
        <v>109.5</v>
      </c>
      <c r="AQ57" s="27" cm="1">
        <f t="array" ref="AQ57">$G$3+IFERROR(VLOOKUP($AL57,$F$4:$G$7,2,FALSE),0)+VLOOKUP($Q57,武学奇术!$A:$ZZ,2,FALSE)+SUM(_xlfn.XLOOKUP($R57:$AK57,增益!$A:$A,增益!$B:$B,0))</f>
        <v>0.3389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1785.2</v>
      </c>
      <c r="AT57" cm="1">
        <f t="array" ref="AT57">$E$10*(1+$AR57)+VLOOKUP($Q57,武学奇术!$A:$ZZ,4,FALSE)+SUM(_xlfn.XLOOKUP($R57:$AK57,增益!$A:$A,增益!$D:$D,0))-$I$2</f>
        <v>6604.8</v>
      </c>
      <c r="AU57" s="33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0.2685</v>
      </c>
      <c r="AV57" s="33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3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3" cm="1">
        <f t="array" ref="BA57">$G$11+VLOOKUP($Q57,武学奇术!$A:$ZZ,10,FALSE)+SUM(_xlfn.XLOOKUP($R57:$AK57,增益!$A:$A,增益!$J:$J,0))</f>
        <v>0</v>
      </c>
      <c r="BB57">
        <f t="shared" si="3"/>
        <v>662.4</v>
      </c>
      <c r="BC57">
        <f t="shared" si="4"/>
        <v>1260</v>
      </c>
      <c r="BD57" s="33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0.06</v>
      </c>
      <c r="BE57" s="33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33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-0.3</v>
      </c>
      <c r="BI57" s="33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33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3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1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0.5954</v>
      </c>
      <c r="BP57" s="27" cm="1">
        <f t="array" ref="BP57">1+$B$13+VLOOKUP($Q57,武学奇术!$A:$ZZ,18,FALSE)+SUM(_xlfn.XLOOKUP($R57:$AK57,增益!$A:$A,增益!$R:$R,0))</f>
        <v>1.844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0.1512</v>
      </c>
      <c r="BR57" s="27" cm="1">
        <f t="array" ref="BR57">1+$B$14+VLOOKUP($Q57,武学奇术!$A:$ZZ,20,FALSE)+SUM(_xlfn.XLOOKUP($R57:$AK57,增益!$A:$A,增益!$T:$T,0))</f>
        <v>1.35</v>
      </c>
      <c r="BS57" s="27">
        <f t="shared" si="9"/>
        <v>0.5954</v>
      </c>
      <c r="BT57" s="27">
        <f t="shared" si="10"/>
        <v>0.2534</v>
      </c>
      <c r="BU57" s="27">
        <f>IF(VLOOKUP($Q57,武学奇术!$A:$ZZ,22,FALSE)=1,0,(1-$BN57))*(1-$BQ57)</f>
        <v>0</v>
      </c>
      <c r="BV57" s="27" cm="1">
        <f t="array" ref="BV57">SUM(_xlfn.XLOOKUP($R57:$AK57,增益!$A:$A,增益!$W:$W,0))+$I$5</f>
        <v>0.11</v>
      </c>
    </row>
    <row r="58" spans="11:74">
      <c r="K58" s="39">
        <f t="shared" si="0"/>
        <v>338304.25709958</v>
      </c>
      <c r="L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339875.611187067</v>
      </c>
      <c r="M58" s="39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344109.838143693</v>
      </c>
      <c r="N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174833.133326681</v>
      </c>
      <c r="O58" s="39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94770.0902506263</v>
      </c>
      <c r="P58" s="40">
        <v>1</v>
      </c>
      <c r="Q58" s="41" t="s">
        <v>106</v>
      </c>
      <c r="R58" s="41" t="s">
        <v>101</v>
      </c>
      <c r="S58" s="41" t="s">
        <v>114</v>
      </c>
      <c r="T58" s="41" t="s">
        <v>76</v>
      </c>
      <c r="U58" s="41" t="s">
        <v>76</v>
      </c>
      <c r="V58" s="41" t="s">
        <v>155</v>
      </c>
      <c r="W58" s="41" t="s">
        <v>76</v>
      </c>
      <c r="X58" s="41" t="s">
        <v>139</v>
      </c>
      <c r="Y58" s="41" t="s">
        <v>76</v>
      </c>
      <c r="Z58" s="41" t="s">
        <v>76</v>
      </c>
      <c r="AA58" s="41" t="s">
        <v>76</v>
      </c>
      <c r="AB58" s="41" t="s">
        <v>76</v>
      </c>
      <c r="AC58" s="41" t="s">
        <v>76</v>
      </c>
      <c r="AD58" s="41" t="s">
        <v>76</v>
      </c>
      <c r="AE58" s="41" t="s">
        <v>80</v>
      </c>
      <c r="AF58" s="41" t="s">
        <v>108</v>
      </c>
      <c r="AG58" s="41" t="s">
        <v>76</v>
      </c>
      <c r="AH58" s="41" t="s">
        <v>76</v>
      </c>
      <c r="AI58" s="41" t="s">
        <v>76</v>
      </c>
      <c r="AJ58" s="41" t="s">
        <v>76</v>
      </c>
      <c r="AK58" s="41" t="s">
        <v>76</v>
      </c>
      <c r="AL58" t="str">
        <f>VLOOKUP($Q58,武学奇术!$A:$ZZ,25,FALSE)</f>
        <v>陌刀</v>
      </c>
      <c r="AM58" s="27">
        <f>VLOOKUP($Q58,武学奇术!$A:$ZZ,26,FALSE)</f>
        <v>7.2368</v>
      </c>
      <c r="AN58" s="28">
        <f>VLOOKUP($Q58,武学奇术!$A:$ZZ,27,FALSE)*(1+IF(OR($AL58=$F$4,$AL58=$F$5),$B$22,0))</f>
        <v>3003</v>
      </c>
      <c r="AO58" s="27">
        <f>VLOOKUP($Q58,武学奇术!$A:$ZZ,28,FALSE)</f>
        <v>10.8553</v>
      </c>
      <c r="AP58" s="28">
        <f>VLOOKUP($Q58,武学奇术!$A:$ZZ,29,FALSE)*(1+IF(OR($AL58=$F$4,$AL58=$F$5),$B$22,0))</f>
        <v>1635</v>
      </c>
      <c r="AQ58" s="27" cm="1">
        <f t="array" ref="AQ58">$G$3+IFERROR(VLOOKUP($AL58,$F$4:$G$7,2,FALSE),0)+VLOOKUP($Q58,武学奇术!$A:$ZZ,2,FALSE)+SUM(_xlfn.XLOOKUP($R58:$AK58,增益!$A:$A,增益!$B:$B,0))</f>
        <v>1.0243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1785.2</v>
      </c>
      <c r="AT58" cm="1">
        <f t="array" ref="AT58">$E$10*(1+$AR58)+VLOOKUP($Q58,武学奇术!$A:$ZZ,4,FALSE)+SUM(_xlfn.XLOOKUP($R58:$AK58,增益!$A:$A,增益!$D:$D,0))-$I$2</f>
        <v>6804.8</v>
      </c>
      <c r="AU58" s="33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0.2685</v>
      </c>
      <c r="AV58" s="33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3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3" cm="1">
        <f t="array" ref="BA58">$G$11+VLOOKUP($Q58,武学奇术!$A:$ZZ,10,FALSE)+SUM(_xlfn.XLOOKUP($R58:$AK58,增益!$A:$A,增益!$J:$J,0))</f>
        <v>0</v>
      </c>
      <c r="BB58">
        <f t="shared" si="3"/>
        <v>662.4</v>
      </c>
      <c r="BC58">
        <f t="shared" si="4"/>
        <v>1260</v>
      </c>
      <c r="BD58" s="33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3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33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3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33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3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1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0.8354</v>
      </c>
      <c r="BP58" s="27" cm="1">
        <f t="array" ref="BP58">1+$B$13+VLOOKUP($Q58,武学奇术!$A:$ZZ,18,FALSE)+SUM(_xlfn.XLOOKUP($R58:$AK58,增益!$A:$A,增益!$R:$R,0))</f>
        <v>1.944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0.1512</v>
      </c>
      <c r="BR58" s="27" cm="1">
        <f t="array" ref="BR58">1+$B$14+VLOOKUP($Q58,武学奇术!$A:$ZZ,20,FALSE)+SUM(_xlfn.XLOOKUP($R58:$AK58,增益!$A:$A,增益!$T:$T,0))</f>
        <v>1.35</v>
      </c>
      <c r="BS58" s="27">
        <f t="shared" si="9"/>
        <v>0.8354</v>
      </c>
      <c r="BT58" s="27">
        <f t="shared" si="10"/>
        <v>0.0134</v>
      </c>
      <c r="BU58" s="27">
        <f>IF(VLOOKUP($Q58,武学奇术!$A:$ZZ,22,FALSE)=1,0,(1-$BN58))*(1-$BQ58)</f>
        <v>0</v>
      </c>
      <c r="BV58" s="27" cm="1">
        <f t="array" ref="BV58">SUM(_xlfn.XLOOKUP($R58:$AK58,增益!$A:$A,增益!$W:$W,0))+$I$5</f>
        <v>0.11</v>
      </c>
    </row>
    <row r="59" spans="11:74">
      <c r="K59" s="39">
        <f t="shared" si="0"/>
        <v>207411.712835642</v>
      </c>
      <c r="L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209195.257016471</v>
      </c>
      <c r="M59" s="39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206641.332175755</v>
      </c>
      <c r="N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104912.365605051</v>
      </c>
      <c r="O59" s="39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56757.077746579</v>
      </c>
      <c r="P59" s="40">
        <v>1</v>
      </c>
      <c r="Q59" s="41" t="s">
        <v>117</v>
      </c>
      <c r="R59" s="41" t="s">
        <v>101</v>
      </c>
      <c r="S59" s="41" t="s">
        <v>114</v>
      </c>
      <c r="T59" s="41" t="s">
        <v>76</v>
      </c>
      <c r="U59" s="41" t="s">
        <v>76</v>
      </c>
      <c r="V59" s="41" t="s">
        <v>155</v>
      </c>
      <c r="W59" s="41" t="s">
        <v>76</v>
      </c>
      <c r="X59" s="41" t="s">
        <v>134</v>
      </c>
      <c r="Y59" s="41" t="s">
        <v>76</v>
      </c>
      <c r="Z59" s="41" t="s">
        <v>76</v>
      </c>
      <c r="AA59" s="41" t="s">
        <v>76</v>
      </c>
      <c r="AB59" s="41" t="s">
        <v>76</v>
      </c>
      <c r="AC59" s="41" t="s">
        <v>76</v>
      </c>
      <c r="AD59" s="41" t="s">
        <v>76</v>
      </c>
      <c r="AE59" s="41" t="s">
        <v>80</v>
      </c>
      <c r="AF59" s="41" t="s">
        <v>108</v>
      </c>
      <c r="AG59" s="41" t="s">
        <v>76</v>
      </c>
      <c r="AH59" s="41" t="s">
        <v>76</v>
      </c>
      <c r="AI59" s="41" t="s">
        <v>76</v>
      </c>
      <c r="AJ59" s="41" t="s">
        <v>76</v>
      </c>
      <c r="AK59" s="41" t="s">
        <v>76</v>
      </c>
      <c r="AL59" t="str">
        <f>VLOOKUP($Q59,武学奇术!$A:$ZZ,25,FALSE)</f>
        <v>陌刀</v>
      </c>
      <c r="AM59" s="27">
        <f>VLOOKUP($Q59,武学奇术!$A:$ZZ,26,FALSE)</f>
        <v>4.2807</v>
      </c>
      <c r="AN59" s="28">
        <f>VLOOKUP($Q59,武学奇术!$A:$ZZ,27,FALSE)*(1+IF(OR($AL59=$F$4,$AL59=$F$5),$B$22,0))</f>
        <v>1776</v>
      </c>
      <c r="AO59" s="27">
        <f>VLOOKUP($Q59,武学奇术!$A:$ZZ,28,FALSE)</f>
        <v>6.421</v>
      </c>
      <c r="AP59" s="28">
        <f>VLOOKUP($Q59,武学奇术!$A:$ZZ,29,FALSE)*(1+IF(OR($AL59=$F$4,$AL59=$F$5),$B$22,0))</f>
        <v>967.5</v>
      </c>
      <c r="AQ59" s="27" cm="1">
        <f t="array" ref="AQ59">$G$3+IFERROR(VLOOKUP($AL59,$F$4:$G$7,2,FALSE),0)+VLOOKUP($Q59,武学奇术!$A:$ZZ,2,FALSE)+SUM(_xlfn.XLOOKUP($R59:$AK59,增益!$A:$A,增益!$B:$B,0))</f>
        <v>1.0243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1785.2</v>
      </c>
      <c r="AT59" cm="1">
        <f t="array" ref="AT59">$E$10*(1+$AR59)+VLOOKUP($Q59,武学奇术!$A:$ZZ,4,FALSE)+SUM(_xlfn.XLOOKUP($R59:$AK59,增益!$A:$A,增益!$D:$D,0))-$I$2</f>
        <v>6804.8</v>
      </c>
      <c r="AU59" s="33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0.2935</v>
      </c>
      <c r="AV59" s="33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3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3" cm="1">
        <f t="array" ref="BA59">$G$11+VLOOKUP($Q59,武学奇术!$A:$ZZ,10,FALSE)+SUM(_xlfn.XLOOKUP($R59:$AK59,增益!$A:$A,增益!$J:$J,0))</f>
        <v>0</v>
      </c>
      <c r="BB59">
        <f t="shared" si="3"/>
        <v>662.4</v>
      </c>
      <c r="BC59">
        <f t="shared" si="4"/>
        <v>1260</v>
      </c>
      <c r="BD59" s="33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3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33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3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33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3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1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0.8354</v>
      </c>
      <c r="BP59" s="27" cm="1">
        <f t="array" ref="BP59">1+$B$13+VLOOKUP($Q59,武学奇术!$A:$ZZ,18,FALSE)+SUM(_xlfn.XLOOKUP($R59:$AK59,增益!$A:$A,增益!$R:$R,0))</f>
        <v>1.994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0.1512</v>
      </c>
      <c r="BR59" s="27" cm="1">
        <f t="array" ref="BR59">1+$B$14+VLOOKUP($Q59,武学奇术!$A:$ZZ,20,FALSE)+SUM(_xlfn.XLOOKUP($R59:$AK59,增益!$A:$A,增益!$T:$T,0))</f>
        <v>1.35</v>
      </c>
      <c r="BS59" s="27">
        <f t="shared" si="9"/>
        <v>0.8354</v>
      </c>
      <c r="BT59" s="27">
        <f t="shared" si="10"/>
        <v>0.0134</v>
      </c>
      <c r="BU59" s="27">
        <f>IF(VLOOKUP($Q59,武学奇术!$A:$ZZ,22,FALSE)=1,0,(1-$BN59))*(1-$BQ59)</f>
        <v>0</v>
      </c>
      <c r="BV59" s="27" cm="1">
        <f t="array" ref="BV59">SUM(_xlfn.XLOOKUP($R59:$AK59,增益!$A:$A,增益!$W:$W,0))+$I$5</f>
        <v>0.11</v>
      </c>
    </row>
    <row r="60" spans="11:74">
      <c r="K60" s="39">
        <f t="shared" si="0"/>
        <v>360212.597036746</v>
      </c>
      <c r="L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366100.581186069</v>
      </c>
      <c r="M60" s="39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344109.838143693</v>
      </c>
      <c r="N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174833.133326681</v>
      </c>
      <c r="O60" s="39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94770.0902506263</v>
      </c>
      <c r="P60" s="40">
        <v>1</v>
      </c>
      <c r="Q60" s="41" t="s">
        <v>106</v>
      </c>
      <c r="R60" s="41" t="s">
        <v>101</v>
      </c>
      <c r="S60" s="41" t="s">
        <v>114</v>
      </c>
      <c r="T60" s="41" t="s">
        <v>77</v>
      </c>
      <c r="U60" s="41" t="s">
        <v>76</v>
      </c>
      <c r="V60" s="41" t="s">
        <v>155</v>
      </c>
      <c r="W60" s="41" t="s">
        <v>76</v>
      </c>
      <c r="X60" s="41" t="s">
        <v>139</v>
      </c>
      <c r="Y60" s="41" t="s">
        <v>76</v>
      </c>
      <c r="Z60" s="41" t="s">
        <v>76</v>
      </c>
      <c r="AA60" s="41" t="s">
        <v>76</v>
      </c>
      <c r="AB60" s="41" t="s">
        <v>76</v>
      </c>
      <c r="AC60" s="41" t="s">
        <v>76</v>
      </c>
      <c r="AD60" s="41" t="s">
        <v>76</v>
      </c>
      <c r="AE60" s="41" t="s">
        <v>80</v>
      </c>
      <c r="AF60" s="41" t="s">
        <v>108</v>
      </c>
      <c r="AG60" s="41" t="s">
        <v>76</v>
      </c>
      <c r="AH60" s="41" t="s">
        <v>76</v>
      </c>
      <c r="AI60" s="41" t="s">
        <v>76</v>
      </c>
      <c r="AJ60" s="41" t="s">
        <v>76</v>
      </c>
      <c r="AK60" s="41" t="s">
        <v>76</v>
      </c>
      <c r="AL60" t="str">
        <f>VLOOKUP($Q60,武学奇术!$A:$ZZ,25,FALSE)</f>
        <v>陌刀</v>
      </c>
      <c r="AM60" s="27">
        <f>VLOOKUP($Q60,武学奇术!$A:$ZZ,26,FALSE)</f>
        <v>7.2368</v>
      </c>
      <c r="AN60" s="28">
        <f>VLOOKUP($Q60,武学奇术!$A:$ZZ,27,FALSE)*(1+IF(OR($AL60=$F$4,$AL60=$F$5),$B$22,0))</f>
        <v>3003</v>
      </c>
      <c r="AO60" s="27">
        <f>VLOOKUP($Q60,武学奇术!$A:$ZZ,28,FALSE)</f>
        <v>10.8553</v>
      </c>
      <c r="AP60" s="28">
        <f>VLOOKUP($Q60,武学奇术!$A:$ZZ,29,FALSE)*(1+IF(OR($AL60=$F$4,$AL60=$F$5),$B$22,0))</f>
        <v>1635</v>
      </c>
      <c r="AQ60" s="27" cm="1">
        <f t="array" ref="AQ60">$G$3+IFERROR(VLOOKUP($AL60,$F$4:$G$7,2,FALSE),0)+VLOOKUP($Q60,武学奇术!$A:$ZZ,2,FALSE)+SUM(_xlfn.XLOOKUP($R60:$AK60,增益!$A:$A,增益!$B:$B,0))</f>
        <v>1.0243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1785.2</v>
      </c>
      <c r="AT60" cm="1">
        <f t="array" ref="AT60">$E$10*(1+$AR60)+VLOOKUP($Q60,武学奇术!$A:$ZZ,4,FALSE)+SUM(_xlfn.XLOOKUP($R60:$AK60,增益!$A:$A,增益!$D:$D,0))-$I$2</f>
        <v>6804.8</v>
      </c>
      <c r="AU60" s="33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0.2685</v>
      </c>
      <c r="AV60" s="33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3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3" cm="1">
        <f t="array" ref="BA60">$G$11+VLOOKUP($Q60,武学奇术!$A:$ZZ,10,FALSE)+SUM(_xlfn.XLOOKUP($R60:$AK60,增益!$A:$A,增益!$J:$J,0))</f>
        <v>0</v>
      </c>
      <c r="BB60">
        <f t="shared" si="3"/>
        <v>662.4</v>
      </c>
      <c r="BC60">
        <f t="shared" si="4"/>
        <v>1260</v>
      </c>
      <c r="BD60" s="33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0.06</v>
      </c>
      <c r="BE60" s="33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33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3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33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3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1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0.8354</v>
      </c>
      <c r="BP60" s="27" cm="1">
        <f t="array" ref="BP60">1+$B$13+VLOOKUP($Q60,武学奇术!$A:$ZZ,18,FALSE)+SUM(_xlfn.XLOOKUP($R60:$AK60,增益!$A:$A,增益!$R:$R,0))</f>
        <v>2.094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0.1512</v>
      </c>
      <c r="BR60" s="27" cm="1">
        <f t="array" ref="BR60">1+$B$14+VLOOKUP($Q60,武学奇术!$A:$ZZ,20,FALSE)+SUM(_xlfn.XLOOKUP($R60:$AK60,增益!$A:$A,增益!$T:$T,0))</f>
        <v>1.35</v>
      </c>
      <c r="BS60" s="27">
        <f t="shared" si="9"/>
        <v>0.8354</v>
      </c>
      <c r="BT60" s="27">
        <f t="shared" si="10"/>
        <v>0.0134</v>
      </c>
      <c r="BU60" s="27">
        <f>IF(VLOOKUP($Q60,武学奇术!$A:$ZZ,22,FALSE)=1,0,(1-$BN60))*(1-$BQ60)</f>
        <v>0</v>
      </c>
      <c r="BV60" s="27" cm="1">
        <f t="array" ref="BV60">SUM(_xlfn.XLOOKUP($R60:$AK60,增益!$A:$A,增益!$W:$W,0))+$I$5</f>
        <v>0.11</v>
      </c>
    </row>
    <row r="61" spans="11:74">
      <c r="K61" s="39">
        <f t="shared" si="0"/>
        <v>220558.281369611</v>
      </c>
      <c r="L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224932.111857229</v>
      </c>
      <c r="M61" s="39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206641.332175755</v>
      </c>
      <c r="N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104912.365605051</v>
      </c>
      <c r="O61" s="39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56757.077746579</v>
      </c>
      <c r="P61" s="40">
        <v>1</v>
      </c>
      <c r="Q61" s="41" t="s">
        <v>117</v>
      </c>
      <c r="R61" s="41" t="s">
        <v>101</v>
      </c>
      <c r="S61" s="41" t="s">
        <v>114</v>
      </c>
      <c r="T61" s="41" t="s">
        <v>77</v>
      </c>
      <c r="U61" s="41" t="s">
        <v>76</v>
      </c>
      <c r="V61" s="41" t="s">
        <v>155</v>
      </c>
      <c r="W61" s="41" t="s">
        <v>76</v>
      </c>
      <c r="X61" s="41" t="s">
        <v>134</v>
      </c>
      <c r="Y61" s="41" t="s">
        <v>76</v>
      </c>
      <c r="Z61" s="41" t="s">
        <v>76</v>
      </c>
      <c r="AA61" s="41" t="s">
        <v>76</v>
      </c>
      <c r="AB61" s="41" t="s">
        <v>76</v>
      </c>
      <c r="AC61" s="41" t="s">
        <v>76</v>
      </c>
      <c r="AD61" s="41" t="s">
        <v>76</v>
      </c>
      <c r="AE61" s="41" t="s">
        <v>80</v>
      </c>
      <c r="AF61" s="41" t="s">
        <v>108</v>
      </c>
      <c r="AG61" s="41" t="s">
        <v>76</v>
      </c>
      <c r="AH61" s="41" t="s">
        <v>76</v>
      </c>
      <c r="AI61" s="41" t="s">
        <v>76</v>
      </c>
      <c r="AJ61" s="41" t="s">
        <v>76</v>
      </c>
      <c r="AK61" s="41" t="s">
        <v>76</v>
      </c>
      <c r="AL61" t="str">
        <f>VLOOKUP($Q61,武学奇术!$A:$ZZ,25,FALSE)</f>
        <v>陌刀</v>
      </c>
      <c r="AM61" s="27">
        <f>VLOOKUP($Q61,武学奇术!$A:$ZZ,26,FALSE)</f>
        <v>4.2807</v>
      </c>
      <c r="AN61" s="28">
        <f>VLOOKUP($Q61,武学奇术!$A:$ZZ,27,FALSE)*(1+IF(OR($AL61=$F$4,$AL61=$F$5),$B$22,0))</f>
        <v>1776</v>
      </c>
      <c r="AO61" s="27">
        <f>VLOOKUP($Q61,武学奇术!$A:$ZZ,28,FALSE)</f>
        <v>6.421</v>
      </c>
      <c r="AP61" s="28">
        <f>VLOOKUP($Q61,武学奇术!$A:$ZZ,29,FALSE)*(1+IF(OR($AL61=$F$4,$AL61=$F$5),$B$22,0))</f>
        <v>967.5</v>
      </c>
      <c r="AQ61" s="27" cm="1">
        <f t="array" ref="AQ61">$G$3+IFERROR(VLOOKUP($AL61,$F$4:$G$7,2,FALSE),0)+VLOOKUP($Q61,武学奇术!$A:$ZZ,2,FALSE)+SUM(_xlfn.XLOOKUP($R61:$AK61,增益!$A:$A,增益!$B:$B,0))</f>
        <v>1.0243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1785.2</v>
      </c>
      <c r="AT61" cm="1">
        <f t="array" ref="AT61">$E$10*(1+$AR61)+VLOOKUP($Q61,武学奇术!$A:$ZZ,4,FALSE)+SUM(_xlfn.XLOOKUP($R61:$AK61,增益!$A:$A,增益!$D:$D,0))-$I$2</f>
        <v>6804.8</v>
      </c>
      <c r="AU61" s="33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0.2935</v>
      </c>
      <c r="AV61" s="33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3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3" cm="1">
        <f t="array" ref="BA61">$G$11+VLOOKUP($Q61,武学奇术!$A:$ZZ,10,FALSE)+SUM(_xlfn.XLOOKUP($R61:$AK61,增益!$A:$A,增益!$J:$J,0))</f>
        <v>0</v>
      </c>
      <c r="BB61">
        <f t="shared" si="3"/>
        <v>662.4</v>
      </c>
      <c r="BC61">
        <f t="shared" si="4"/>
        <v>1260</v>
      </c>
      <c r="BD61" s="33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0.06</v>
      </c>
      <c r="BE61" s="33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33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-0.3</v>
      </c>
      <c r="BI61" s="33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33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3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1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0.8354</v>
      </c>
      <c r="BP61" s="27" cm="1">
        <f t="array" ref="BP61">1+$B$13+VLOOKUP($Q61,武学奇术!$A:$ZZ,18,FALSE)+SUM(_xlfn.XLOOKUP($R61:$AK61,增益!$A:$A,增益!$R:$R,0))</f>
        <v>2.144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0.1512</v>
      </c>
      <c r="BR61" s="27" cm="1">
        <f t="array" ref="BR61">1+$B$14+VLOOKUP($Q61,武学奇术!$A:$ZZ,20,FALSE)+SUM(_xlfn.XLOOKUP($R61:$AK61,增益!$A:$A,增益!$T:$T,0))</f>
        <v>1.35</v>
      </c>
      <c r="BS61" s="27">
        <f t="shared" si="9"/>
        <v>0.8354</v>
      </c>
      <c r="BT61" s="27">
        <f t="shared" si="10"/>
        <v>0.0134</v>
      </c>
      <c r="BU61" s="27">
        <f>IF(VLOOKUP($Q61,武学奇术!$A:$ZZ,22,FALSE)=1,0,(1-$BN61))*(1-$BQ61)</f>
        <v>0</v>
      </c>
      <c r="BV61" s="27" cm="1">
        <f t="array" ref="BV61">SUM(_xlfn.XLOOKUP($R61:$AK61,增益!$A:$A,增益!$W:$W,0))+$I$5</f>
        <v>0.11</v>
      </c>
    </row>
    <row r="62" spans="11:74">
      <c r="K62" s="39">
        <f t="shared" si="0"/>
        <v>360212.597036746</v>
      </c>
      <c r="L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366100.581186069</v>
      </c>
      <c r="M62" s="39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344109.838143693</v>
      </c>
      <c r="N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174833.133326681</v>
      </c>
      <c r="O62" s="39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94770.0902506263</v>
      </c>
      <c r="P62" s="40">
        <v>1</v>
      </c>
      <c r="Q62" s="41" t="s">
        <v>106</v>
      </c>
      <c r="R62" s="41" t="s">
        <v>101</v>
      </c>
      <c r="S62" s="41" t="s">
        <v>114</v>
      </c>
      <c r="T62" s="41" t="s">
        <v>77</v>
      </c>
      <c r="U62" s="41" t="s">
        <v>76</v>
      </c>
      <c r="V62" s="41" t="s">
        <v>155</v>
      </c>
      <c r="W62" s="41" t="s">
        <v>76</v>
      </c>
      <c r="X62" s="41" t="s">
        <v>139</v>
      </c>
      <c r="Y62" s="41" t="s">
        <v>76</v>
      </c>
      <c r="Z62" s="41" t="s">
        <v>76</v>
      </c>
      <c r="AA62" s="41" t="s">
        <v>76</v>
      </c>
      <c r="AB62" s="41" t="s">
        <v>76</v>
      </c>
      <c r="AC62" s="41" t="s">
        <v>76</v>
      </c>
      <c r="AD62" s="41" t="s">
        <v>76</v>
      </c>
      <c r="AE62" s="41" t="s">
        <v>80</v>
      </c>
      <c r="AF62" s="41" t="s">
        <v>108</v>
      </c>
      <c r="AG62" s="41" t="s">
        <v>76</v>
      </c>
      <c r="AH62" s="41" t="s">
        <v>76</v>
      </c>
      <c r="AI62" s="41" t="s">
        <v>76</v>
      </c>
      <c r="AJ62" s="41" t="s">
        <v>76</v>
      </c>
      <c r="AK62" s="41" t="s">
        <v>76</v>
      </c>
      <c r="AL62" t="str">
        <f>VLOOKUP($Q62,武学奇术!$A:$ZZ,25,FALSE)</f>
        <v>陌刀</v>
      </c>
      <c r="AM62" s="27">
        <f>VLOOKUP($Q62,武学奇术!$A:$ZZ,26,FALSE)</f>
        <v>7.2368</v>
      </c>
      <c r="AN62" s="28">
        <f>VLOOKUP($Q62,武学奇术!$A:$ZZ,27,FALSE)*(1+IF(OR($AL62=$F$4,$AL62=$F$5),$B$22,0))</f>
        <v>3003</v>
      </c>
      <c r="AO62" s="27">
        <f>VLOOKUP($Q62,武学奇术!$A:$ZZ,28,FALSE)</f>
        <v>10.8553</v>
      </c>
      <c r="AP62" s="28">
        <f>VLOOKUP($Q62,武学奇术!$A:$ZZ,29,FALSE)*(1+IF(OR($AL62=$F$4,$AL62=$F$5),$B$22,0))</f>
        <v>1635</v>
      </c>
      <c r="AQ62" s="27" cm="1">
        <f t="array" ref="AQ62">$G$3+IFERROR(VLOOKUP($AL62,$F$4:$G$7,2,FALSE),0)+VLOOKUP($Q62,武学奇术!$A:$ZZ,2,FALSE)+SUM(_xlfn.XLOOKUP($R62:$AK62,增益!$A:$A,增益!$B:$B,0))</f>
        <v>1.0243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1785.2</v>
      </c>
      <c r="AT62" cm="1">
        <f t="array" ref="AT62">$E$10*(1+$AR62)+VLOOKUP($Q62,武学奇术!$A:$ZZ,4,FALSE)+SUM(_xlfn.XLOOKUP($R62:$AK62,增益!$A:$A,增益!$D:$D,0))-$I$2</f>
        <v>6804.8</v>
      </c>
      <c r="AU62" s="33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0.2685</v>
      </c>
      <c r="AV62" s="33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3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3" cm="1">
        <f t="array" ref="BA62">$G$11+VLOOKUP($Q62,武学奇术!$A:$ZZ,10,FALSE)+SUM(_xlfn.XLOOKUP($R62:$AK62,增益!$A:$A,增益!$J:$J,0))</f>
        <v>0</v>
      </c>
      <c r="BB62">
        <f t="shared" si="3"/>
        <v>662.4</v>
      </c>
      <c r="BC62">
        <f t="shared" si="4"/>
        <v>1260</v>
      </c>
      <c r="BD62" s="33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0.06</v>
      </c>
      <c r="BE62" s="33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33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-0.3</v>
      </c>
      <c r="BI62" s="33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33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3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1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0.8354</v>
      </c>
      <c r="BP62" s="27" cm="1">
        <f t="array" ref="BP62">1+$B$13+VLOOKUP($Q62,武学奇术!$A:$ZZ,18,FALSE)+SUM(_xlfn.XLOOKUP($R62:$AK62,增益!$A:$A,增益!$R:$R,0))</f>
        <v>2.094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0.1512</v>
      </c>
      <c r="BR62" s="27" cm="1">
        <f t="array" ref="BR62">1+$B$14+VLOOKUP($Q62,武学奇术!$A:$ZZ,20,FALSE)+SUM(_xlfn.XLOOKUP($R62:$AK62,增益!$A:$A,增益!$T:$T,0))</f>
        <v>1.35</v>
      </c>
      <c r="BS62" s="27">
        <f t="shared" si="9"/>
        <v>0.8354</v>
      </c>
      <c r="BT62" s="27">
        <f t="shared" si="10"/>
        <v>0.0134</v>
      </c>
      <c r="BU62" s="27">
        <f>IF(VLOOKUP($Q62,武学奇术!$A:$ZZ,22,FALSE)=1,0,(1-$BN62))*(1-$BQ62)</f>
        <v>0</v>
      </c>
      <c r="BV62" s="27" cm="1">
        <f t="array" ref="BV62">SUM(_xlfn.XLOOKUP($R62:$AK62,增益!$A:$A,增益!$W:$W,0))+$I$5</f>
        <v>0.11</v>
      </c>
    </row>
    <row r="63" spans="11:74">
      <c r="K63" s="39">
        <f t="shared" si="0"/>
        <v>240428.396808314</v>
      </c>
      <c r="L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245196.2660786</v>
      </c>
      <c r="M63" s="39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225257.668407805</v>
      </c>
      <c r="N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114363.930073974</v>
      </c>
      <c r="O63" s="39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61870.3279940185</v>
      </c>
      <c r="P63" s="40">
        <v>1</v>
      </c>
      <c r="Q63" s="41" t="s">
        <v>117</v>
      </c>
      <c r="R63" s="41" t="s">
        <v>101</v>
      </c>
      <c r="S63" s="41" t="s">
        <v>114</v>
      </c>
      <c r="T63" s="41" t="s">
        <v>77</v>
      </c>
      <c r="U63" s="41" t="s">
        <v>76</v>
      </c>
      <c r="V63" s="41" t="s">
        <v>155</v>
      </c>
      <c r="W63" s="41" t="s">
        <v>76</v>
      </c>
      <c r="X63" s="41" t="s">
        <v>134</v>
      </c>
      <c r="Y63" s="41" t="s">
        <v>160</v>
      </c>
      <c r="Z63" s="41" t="s">
        <v>76</v>
      </c>
      <c r="AA63" s="41" t="s">
        <v>76</v>
      </c>
      <c r="AB63" s="41" t="s">
        <v>76</v>
      </c>
      <c r="AC63" s="41" t="s">
        <v>76</v>
      </c>
      <c r="AD63" s="41" t="s">
        <v>76</v>
      </c>
      <c r="AE63" s="41" t="s">
        <v>80</v>
      </c>
      <c r="AF63" s="41" t="s">
        <v>108</v>
      </c>
      <c r="AG63" s="41" t="s">
        <v>76</v>
      </c>
      <c r="AH63" s="41" t="s">
        <v>76</v>
      </c>
      <c r="AI63" s="41" t="s">
        <v>76</v>
      </c>
      <c r="AJ63" s="41" t="s">
        <v>76</v>
      </c>
      <c r="AK63" s="41" t="s">
        <v>76</v>
      </c>
      <c r="AL63" t="str">
        <f>VLOOKUP($Q63,武学奇术!$A:$ZZ,25,FALSE)</f>
        <v>陌刀</v>
      </c>
      <c r="AM63" s="27">
        <f>VLOOKUP($Q63,武学奇术!$A:$ZZ,26,FALSE)</f>
        <v>4.2807</v>
      </c>
      <c r="AN63" s="28">
        <f>VLOOKUP($Q63,武学奇术!$A:$ZZ,27,FALSE)*(1+IF(OR($AL63=$F$4,$AL63=$F$5),$B$22,0))</f>
        <v>1776</v>
      </c>
      <c r="AO63" s="27">
        <f>VLOOKUP($Q63,武学奇术!$A:$ZZ,28,FALSE)</f>
        <v>6.421</v>
      </c>
      <c r="AP63" s="28">
        <f>VLOOKUP($Q63,武学奇术!$A:$ZZ,29,FALSE)*(1+IF(OR($AL63=$F$4,$AL63=$F$5),$B$22,0))</f>
        <v>967.5</v>
      </c>
      <c r="AQ63" s="27" cm="1">
        <f t="array" ref="AQ63">$G$3+IFERROR(VLOOKUP($AL63,$F$4:$G$7,2,FALSE),0)+VLOOKUP($Q63,武学奇术!$A:$ZZ,2,FALSE)+SUM(_xlfn.XLOOKUP($R63:$AK63,增益!$A:$A,增益!$B:$B,0))</f>
        <v>1.0243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1785.2</v>
      </c>
      <c r="AT63" cm="1">
        <f t="array" ref="AT63">$E$10*(1+$AR63)+VLOOKUP($Q63,武学奇术!$A:$ZZ,4,FALSE)+SUM(_xlfn.XLOOKUP($R63:$AK63,增益!$A:$A,增益!$D:$D,0))-$I$2</f>
        <v>6804.8</v>
      </c>
      <c r="AU63" s="33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0.2935</v>
      </c>
      <c r="AV63" s="33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3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3" cm="1">
        <f t="array" ref="BA63">$G$11+VLOOKUP($Q63,武学奇术!$A:$ZZ,10,FALSE)+SUM(_xlfn.XLOOKUP($R63:$AK63,增益!$A:$A,增益!$J:$J,0))</f>
        <v>0</v>
      </c>
      <c r="BB63">
        <f t="shared" si="3"/>
        <v>662.4</v>
      </c>
      <c r="BC63">
        <f t="shared" si="4"/>
        <v>1260</v>
      </c>
      <c r="BD63" s="33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0.06</v>
      </c>
      <c r="BE63" s="33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33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-0.3</v>
      </c>
      <c r="BI63" s="33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33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3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0.8354</v>
      </c>
      <c r="BP63" s="27" cm="1">
        <f t="array" ref="BP63">1+$B$13+VLOOKUP($Q63,武学奇术!$A:$ZZ,18,FALSE)+SUM(_xlfn.XLOOKUP($R63:$AK63,增益!$A:$A,增益!$R:$R,0))</f>
        <v>2.144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0.1512</v>
      </c>
      <c r="BR63" s="27" cm="1">
        <f t="array" ref="BR63">1+$B$14+VLOOKUP($Q63,武学奇术!$A:$ZZ,20,FALSE)+SUM(_xlfn.XLOOKUP($R63:$AK63,增益!$A:$A,增益!$T:$T,0))</f>
        <v>1.35</v>
      </c>
      <c r="BS63" s="27">
        <f t="shared" si="9"/>
        <v>0.8354</v>
      </c>
      <c r="BT63" s="27">
        <f t="shared" si="10"/>
        <v>0.0134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0.21</v>
      </c>
    </row>
    <row r="64" spans="11:74">
      <c r="K64" s="39">
        <f t="shared" si="0"/>
        <v>240428.396808314</v>
      </c>
      <c r="L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245196.2660786</v>
      </c>
      <c r="M64" s="39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225257.668407805</v>
      </c>
      <c r="N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114363.930073974</v>
      </c>
      <c r="O64" s="39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61870.3279940185</v>
      </c>
      <c r="P64" s="40">
        <v>1</v>
      </c>
      <c r="Q64" s="41" t="s">
        <v>117</v>
      </c>
      <c r="R64" s="41" t="s">
        <v>101</v>
      </c>
      <c r="S64" s="41" t="s">
        <v>114</v>
      </c>
      <c r="T64" s="41" t="s">
        <v>77</v>
      </c>
      <c r="U64" s="41" t="s">
        <v>76</v>
      </c>
      <c r="V64" s="41" t="s">
        <v>155</v>
      </c>
      <c r="W64" s="41" t="s">
        <v>76</v>
      </c>
      <c r="X64" s="41" t="s">
        <v>134</v>
      </c>
      <c r="Y64" s="41" t="s">
        <v>160</v>
      </c>
      <c r="Z64" s="41" t="s">
        <v>76</v>
      </c>
      <c r="AA64" s="41" t="s">
        <v>76</v>
      </c>
      <c r="AB64" s="41" t="s">
        <v>76</v>
      </c>
      <c r="AC64" s="41" t="s">
        <v>76</v>
      </c>
      <c r="AD64" s="41" t="s">
        <v>76</v>
      </c>
      <c r="AE64" s="41" t="s">
        <v>80</v>
      </c>
      <c r="AF64" s="41" t="s">
        <v>108</v>
      </c>
      <c r="AG64" s="41" t="s">
        <v>76</v>
      </c>
      <c r="AH64" s="41" t="s">
        <v>76</v>
      </c>
      <c r="AI64" s="41" t="s">
        <v>76</v>
      </c>
      <c r="AJ64" s="41" t="s">
        <v>76</v>
      </c>
      <c r="AK64" s="41" t="s">
        <v>76</v>
      </c>
      <c r="AL64" t="str">
        <f>VLOOKUP($Q64,武学奇术!$A:$ZZ,25,FALSE)</f>
        <v>陌刀</v>
      </c>
      <c r="AM64" s="27">
        <f>VLOOKUP($Q64,武学奇术!$A:$ZZ,26,FALSE)</f>
        <v>4.2807</v>
      </c>
      <c r="AN64" s="28">
        <f>VLOOKUP($Q64,武学奇术!$A:$ZZ,27,FALSE)*(1+IF(OR($AL64=$F$4,$AL64=$F$5),$B$22,0))</f>
        <v>1776</v>
      </c>
      <c r="AO64" s="27">
        <f>VLOOKUP($Q64,武学奇术!$A:$ZZ,28,FALSE)</f>
        <v>6.421</v>
      </c>
      <c r="AP64" s="28">
        <f>VLOOKUP($Q64,武学奇术!$A:$ZZ,29,FALSE)*(1+IF(OR($AL64=$F$4,$AL64=$F$5),$B$22,0))</f>
        <v>967.5</v>
      </c>
      <c r="AQ64" s="27" cm="1">
        <f t="array" ref="AQ64">$G$3+IFERROR(VLOOKUP($AL64,$F$4:$G$7,2,FALSE),0)+VLOOKUP($Q64,武学奇术!$A:$ZZ,2,FALSE)+SUM(_xlfn.XLOOKUP($R64:$AK64,增益!$A:$A,增益!$B:$B,0))</f>
        <v>1.0243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1785.2</v>
      </c>
      <c r="AT64" cm="1">
        <f t="array" ref="AT64">$E$10*(1+$AR64)+VLOOKUP($Q64,武学奇术!$A:$ZZ,4,FALSE)+SUM(_xlfn.XLOOKUP($R64:$AK64,增益!$A:$A,增益!$D:$D,0))-$I$2</f>
        <v>6804.8</v>
      </c>
      <c r="AU64" s="33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0.2935</v>
      </c>
      <c r="AV64" s="33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3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3" cm="1">
        <f t="array" ref="BA64">$G$11+VLOOKUP($Q64,武学奇术!$A:$ZZ,10,FALSE)+SUM(_xlfn.XLOOKUP($R64:$AK64,增益!$A:$A,增益!$J:$J,0))</f>
        <v>0</v>
      </c>
      <c r="BB64">
        <f t="shared" si="3"/>
        <v>662.4</v>
      </c>
      <c r="BC64">
        <f t="shared" si="4"/>
        <v>1260</v>
      </c>
      <c r="BD64" s="33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0.06</v>
      </c>
      <c r="BE64" s="33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33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-0.3</v>
      </c>
      <c r="BI64" s="33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33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3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0.8354</v>
      </c>
      <c r="BP64" s="27" cm="1">
        <f t="array" ref="BP64">1+$B$13+VLOOKUP($Q64,武学奇术!$A:$ZZ,18,FALSE)+SUM(_xlfn.XLOOKUP($R64:$AK64,增益!$A:$A,增益!$R:$R,0))</f>
        <v>2.144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0.1512</v>
      </c>
      <c r="BR64" s="27" cm="1">
        <f t="array" ref="BR64">1+$B$14+VLOOKUP($Q64,武学奇术!$A:$ZZ,20,FALSE)+SUM(_xlfn.XLOOKUP($R64:$AK64,增益!$A:$A,增益!$T:$T,0))</f>
        <v>1.35</v>
      </c>
      <c r="BS64" s="27">
        <f t="shared" si="9"/>
        <v>0.8354</v>
      </c>
      <c r="BT64" s="27">
        <f t="shared" si="10"/>
        <v>0.0134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0.21</v>
      </c>
    </row>
    <row r="65" spans="11:74">
      <c r="K65" s="39">
        <f t="shared" si="0"/>
        <v>240428.396808314</v>
      </c>
      <c r="L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245196.2660786</v>
      </c>
      <c r="M65" s="39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225257.668407805</v>
      </c>
      <c r="N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114363.930073974</v>
      </c>
      <c r="O65" s="39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61870.3279940185</v>
      </c>
      <c r="P65" s="40">
        <v>1</v>
      </c>
      <c r="Q65" s="41" t="s">
        <v>117</v>
      </c>
      <c r="R65" s="41" t="s">
        <v>101</v>
      </c>
      <c r="S65" s="41" t="s">
        <v>114</v>
      </c>
      <c r="T65" s="41" t="s">
        <v>77</v>
      </c>
      <c r="U65" s="41" t="s">
        <v>76</v>
      </c>
      <c r="V65" s="41" t="s">
        <v>155</v>
      </c>
      <c r="W65" s="41" t="s">
        <v>76</v>
      </c>
      <c r="X65" s="41" t="s">
        <v>134</v>
      </c>
      <c r="Y65" s="41" t="s">
        <v>160</v>
      </c>
      <c r="Z65" s="41" t="s">
        <v>76</v>
      </c>
      <c r="AA65" s="41" t="s">
        <v>76</v>
      </c>
      <c r="AB65" s="41" t="s">
        <v>76</v>
      </c>
      <c r="AC65" s="41" t="s">
        <v>76</v>
      </c>
      <c r="AD65" s="41" t="s">
        <v>76</v>
      </c>
      <c r="AE65" s="41" t="s">
        <v>80</v>
      </c>
      <c r="AF65" s="41" t="s">
        <v>108</v>
      </c>
      <c r="AG65" s="41" t="s">
        <v>76</v>
      </c>
      <c r="AH65" s="41" t="s">
        <v>76</v>
      </c>
      <c r="AI65" s="41" t="s">
        <v>76</v>
      </c>
      <c r="AJ65" s="41" t="s">
        <v>76</v>
      </c>
      <c r="AK65" s="41" t="s">
        <v>76</v>
      </c>
      <c r="AL65" t="str">
        <f>VLOOKUP($Q65,武学奇术!$A:$ZZ,25,FALSE)</f>
        <v>陌刀</v>
      </c>
      <c r="AM65" s="27">
        <f>VLOOKUP($Q65,武学奇术!$A:$ZZ,26,FALSE)</f>
        <v>4.2807</v>
      </c>
      <c r="AN65" s="28">
        <f>VLOOKUP($Q65,武学奇术!$A:$ZZ,27,FALSE)*(1+IF(OR($AL65=$F$4,$AL65=$F$5),$B$22,0))</f>
        <v>1776</v>
      </c>
      <c r="AO65" s="27">
        <f>VLOOKUP($Q65,武学奇术!$A:$ZZ,28,FALSE)</f>
        <v>6.421</v>
      </c>
      <c r="AP65" s="28">
        <f>VLOOKUP($Q65,武学奇术!$A:$ZZ,29,FALSE)*(1+IF(OR($AL65=$F$4,$AL65=$F$5),$B$22,0))</f>
        <v>967.5</v>
      </c>
      <c r="AQ65" s="27" cm="1">
        <f t="array" ref="AQ65">$G$3+IFERROR(VLOOKUP($AL65,$F$4:$G$7,2,FALSE),0)+VLOOKUP($Q65,武学奇术!$A:$ZZ,2,FALSE)+SUM(_xlfn.XLOOKUP($R65:$AK65,增益!$A:$A,增益!$B:$B,0))</f>
        <v>1.0243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1785.2</v>
      </c>
      <c r="AT65" cm="1">
        <f t="array" ref="AT65">$E$10*(1+$AR65)+VLOOKUP($Q65,武学奇术!$A:$ZZ,4,FALSE)+SUM(_xlfn.XLOOKUP($R65:$AK65,增益!$A:$A,增益!$D:$D,0))-$I$2</f>
        <v>6804.8</v>
      </c>
      <c r="AU65" s="33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0.2935</v>
      </c>
      <c r="AV65" s="33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3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3" cm="1">
        <f t="array" ref="BA65">$G$11+VLOOKUP($Q65,武学奇术!$A:$ZZ,10,FALSE)+SUM(_xlfn.XLOOKUP($R65:$AK65,增益!$A:$A,增益!$J:$J,0))</f>
        <v>0</v>
      </c>
      <c r="BB65">
        <f t="shared" si="3"/>
        <v>662.4</v>
      </c>
      <c r="BC65">
        <f t="shared" si="4"/>
        <v>1260</v>
      </c>
      <c r="BD65" s="33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0.06</v>
      </c>
      <c r="BE65" s="33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33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-0.3</v>
      </c>
      <c r="BI65" s="33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33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3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0.8354</v>
      </c>
      <c r="BP65" s="27" cm="1">
        <f t="array" ref="BP65">1+$B$13+VLOOKUP($Q65,武学奇术!$A:$ZZ,18,FALSE)+SUM(_xlfn.XLOOKUP($R65:$AK65,增益!$A:$A,增益!$R:$R,0))</f>
        <v>2.144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0.1512</v>
      </c>
      <c r="BR65" s="27" cm="1">
        <f t="array" ref="BR65">1+$B$14+VLOOKUP($Q65,武学奇术!$A:$ZZ,20,FALSE)+SUM(_xlfn.XLOOKUP($R65:$AK65,增益!$A:$A,增益!$T:$T,0))</f>
        <v>1.35</v>
      </c>
      <c r="BS65" s="27">
        <f t="shared" si="9"/>
        <v>0.8354</v>
      </c>
      <c r="BT65" s="27">
        <f t="shared" si="10"/>
        <v>0.0134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0.21</v>
      </c>
    </row>
    <row r="66" spans="11:74">
      <c r="K66" s="39">
        <f t="shared" ref="K66:K102" si="11">($L66*$BS66+$M66*$BQ66+$N66*$BT66+$O66*$BU66)</f>
        <v>392664.182355372</v>
      </c>
      <c r="L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399082.615527157</v>
      </c>
      <c r="M66" s="39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375110.724462944</v>
      </c>
      <c r="N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190583.866058814</v>
      </c>
      <c r="O66" s="39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103307.936219151</v>
      </c>
      <c r="P66" s="40">
        <v>1</v>
      </c>
      <c r="Q66" s="41" t="s">
        <v>106</v>
      </c>
      <c r="R66" s="41" t="s">
        <v>101</v>
      </c>
      <c r="S66" s="41" t="s">
        <v>114</v>
      </c>
      <c r="T66" s="41" t="s">
        <v>77</v>
      </c>
      <c r="U66" s="41" t="s">
        <v>76</v>
      </c>
      <c r="V66" s="41" t="s">
        <v>155</v>
      </c>
      <c r="W66" s="41" t="s">
        <v>76</v>
      </c>
      <c r="X66" s="41" t="s">
        <v>139</v>
      </c>
      <c r="Y66" s="41" t="s">
        <v>160</v>
      </c>
      <c r="Z66" s="41" t="s">
        <v>76</v>
      </c>
      <c r="AA66" s="41" t="s">
        <v>76</v>
      </c>
      <c r="AB66" s="41" t="s">
        <v>76</v>
      </c>
      <c r="AC66" s="41" t="s">
        <v>76</v>
      </c>
      <c r="AD66" s="41" t="s">
        <v>76</v>
      </c>
      <c r="AE66" s="41" t="s">
        <v>80</v>
      </c>
      <c r="AF66" s="41" t="s">
        <v>108</v>
      </c>
      <c r="AG66" s="41" t="s">
        <v>76</v>
      </c>
      <c r="AH66" s="41" t="s">
        <v>76</v>
      </c>
      <c r="AI66" s="41" t="s">
        <v>76</v>
      </c>
      <c r="AJ66" s="41" t="s">
        <v>76</v>
      </c>
      <c r="AK66" s="41" t="s">
        <v>76</v>
      </c>
      <c r="AL66" t="str">
        <f>VLOOKUP($Q66,武学奇术!$A:$ZZ,25,FALSE)</f>
        <v>陌刀</v>
      </c>
      <c r="AM66" s="27">
        <f>VLOOKUP($Q66,武学奇术!$A:$ZZ,26,FALSE)</f>
        <v>7.2368</v>
      </c>
      <c r="AN66" s="28">
        <f>VLOOKUP($Q66,武学奇术!$A:$ZZ,27,FALSE)*(1+IF(OR($AL66=$F$4,$AL66=$F$5),$B$22,0))</f>
        <v>3003</v>
      </c>
      <c r="AO66" s="27">
        <f>VLOOKUP($Q66,武学奇术!$A:$ZZ,28,FALSE)</f>
        <v>10.8553</v>
      </c>
      <c r="AP66" s="28">
        <f>VLOOKUP($Q66,武学奇术!$A:$ZZ,29,FALSE)*(1+IF(OR($AL66=$F$4,$AL66=$F$5),$B$22,0))</f>
        <v>1635</v>
      </c>
      <c r="AQ66" s="27" cm="1">
        <f t="array" ref="AQ66">$G$3+IFERROR(VLOOKUP($AL66,$F$4:$G$7,2,FALSE),0)+VLOOKUP($Q66,武学奇术!$A:$ZZ,2,FALSE)+SUM(_xlfn.XLOOKUP($R66:$AK66,增益!$A:$A,增益!$B:$B,0))</f>
        <v>1.0243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1785.2</v>
      </c>
      <c r="AT66" cm="1">
        <f t="array" ref="AT66">$E$10*(1+$AR66)+VLOOKUP($Q66,武学奇术!$A:$ZZ,4,FALSE)+SUM(_xlfn.XLOOKUP($R66:$AK66,增益!$A:$A,增益!$D:$D,0))-$I$2</f>
        <v>6804.8</v>
      </c>
      <c r="AU66" s="33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0.2685</v>
      </c>
      <c r="AV66" s="33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ref="AX66:AX102" si="12">$D$11*(1+$AW66)</f>
        <v>0</v>
      </c>
      <c r="AY66">
        <f t="shared" ref="AY66:AY102" si="13">$E$11*(1+$AW66)</f>
        <v>0</v>
      </c>
      <c r="AZ66" s="33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3" cm="1">
        <f t="array" ref="BA66">$G$11+VLOOKUP($Q66,武学奇术!$A:$ZZ,10,FALSE)+SUM(_xlfn.XLOOKUP($R66:$AK66,增益!$A:$A,增益!$J:$J,0))</f>
        <v>0</v>
      </c>
      <c r="BB66">
        <f t="shared" ref="BB66:BB102" si="14">$D$12*(1+$AW66)</f>
        <v>662.4</v>
      </c>
      <c r="BC66">
        <f t="shared" ref="BC66:BC102" si="15">$E$12*(1+$AW66)</f>
        <v>1260</v>
      </c>
      <c r="BD66" s="33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0.06</v>
      </c>
      <c r="BE66" s="33" cm="1">
        <f t="array" ref="BE66">$G$12+VLOOKUP($Q66,武学奇术!$A:$ZZ,12,FALSE)+SUM(_xlfn.XLOOKUP($R66:$AK66,增益!$A:$A,增益!$L:$L,0))</f>
        <v>0.15</v>
      </c>
      <c r="BF66">
        <f t="shared" ref="BF66:BF102" si="16">$D$13*(1+$AW66)</f>
        <v>0</v>
      </c>
      <c r="BG66">
        <f t="shared" ref="BG66:BG102" si="17">$E$13*(1+$AW66)</f>
        <v>0</v>
      </c>
      <c r="BH66" s="33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-0.3</v>
      </c>
      <c r="BI66" s="33" cm="1">
        <f t="array" ref="BI66">$G$13+VLOOKUP($Q66,武学奇术!$A:$ZZ,14,FALSE)+SUM(_xlfn.XLOOKUP($R66:$AK66,增益!$A:$A,增益!$N:$N,0))</f>
        <v>0</v>
      </c>
      <c r="BJ66">
        <f t="shared" ref="BJ66:BJ102" si="18">$D$14*(1+$AW66)</f>
        <v>0</v>
      </c>
      <c r="BK66">
        <f t="shared" ref="BK66:BK102" si="19">$E$14*(1+$AW66)</f>
        <v>0</v>
      </c>
      <c r="BL66" s="33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3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0.8354</v>
      </c>
      <c r="BP66" s="27" cm="1">
        <f t="array" ref="BP66">1+$B$13+VLOOKUP($Q66,武学奇术!$A:$ZZ,18,FALSE)+SUM(_xlfn.XLOOKUP($R66:$AK66,增益!$A:$A,增益!$R:$R,0))</f>
        <v>2.094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0.1512</v>
      </c>
      <c r="BR66" s="27" cm="1">
        <f t="array" ref="BR66">1+$B$14+VLOOKUP($Q66,武学奇术!$A:$ZZ,20,FALSE)+SUM(_xlfn.XLOOKUP($R66:$AK66,增益!$A:$A,增益!$T:$T,0))</f>
        <v>1.35</v>
      </c>
      <c r="BS66" s="27">
        <f t="shared" ref="BS66:BS102" si="20">MIN((1-BQ66)*BN66,BN66*BO66)</f>
        <v>0.8354</v>
      </c>
      <c r="BT66" s="27">
        <f t="shared" ref="BT66:BT102" si="21">1-BQ66-BS66-BU66</f>
        <v>0.0134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0.21</v>
      </c>
    </row>
    <row r="67" spans="11:74">
      <c r="K67" s="39">
        <f t="shared" si="11"/>
        <v>0</v>
      </c>
      <c r="L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39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39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0">
        <v>1</v>
      </c>
      <c r="Q67" s="41" t="s">
        <v>76</v>
      </c>
      <c r="R67" s="41" t="s">
        <v>76</v>
      </c>
      <c r="S67" s="41" t="s">
        <v>76</v>
      </c>
      <c r="T67" s="41" t="s">
        <v>76</v>
      </c>
      <c r="U67" s="41" t="s">
        <v>76</v>
      </c>
      <c r="V67" s="41" t="s">
        <v>76</v>
      </c>
      <c r="W67" s="41" t="s">
        <v>76</v>
      </c>
      <c r="X67" s="41" t="s">
        <v>76</v>
      </c>
      <c r="Y67" s="41" t="s">
        <v>76</v>
      </c>
      <c r="Z67" s="41" t="s">
        <v>76</v>
      </c>
      <c r="AA67" s="41" t="s">
        <v>76</v>
      </c>
      <c r="AB67" s="41" t="s">
        <v>76</v>
      </c>
      <c r="AC67" s="41" t="s">
        <v>76</v>
      </c>
      <c r="AD67" s="41" t="s">
        <v>76</v>
      </c>
      <c r="AE67" s="41" t="s">
        <v>80</v>
      </c>
      <c r="AF67" s="41" t="s">
        <v>76</v>
      </c>
      <c r="AG67" s="41" t="s">
        <v>76</v>
      </c>
      <c r="AH67" s="41" t="s">
        <v>76</v>
      </c>
      <c r="AI67" s="41" t="s">
        <v>76</v>
      </c>
      <c r="AJ67" s="41" t="s">
        <v>76</v>
      </c>
      <c r="AK67" s="41" t="s">
        <v>76</v>
      </c>
      <c r="AL67" t="str">
        <f>VLOOKUP($Q67,武学奇术!$A:$ZZ,25,FALSE)</f>
        <v>心法</v>
      </c>
      <c r="AM67" s="27">
        <f>VLOOKUP($Q67,武学奇术!$A:$ZZ,26,FALSE)</f>
        <v>0</v>
      </c>
      <c r="AN67" s="28">
        <f>VLOOKUP($Q67,武学奇术!$A:$ZZ,27,FALSE)*(1+IF(OR($AL67=$F$4,$AL67=$F$5),$B$22,0))</f>
        <v>0</v>
      </c>
      <c r="AO67" s="27">
        <f>VLOOKUP($Q67,武学奇术!$A:$ZZ,28,FALSE)</f>
        <v>0</v>
      </c>
      <c r="AP67" s="28">
        <f>VLOOKUP($Q67,武学奇术!$A:$ZZ,29,FALSE)*(1+IF(OR($AL67=$F$4,$AL67=$F$5),$B$22,0))</f>
        <v>0</v>
      </c>
      <c r="AQ67" s="27" cm="1">
        <f t="array" ref="AQ67">$G$3+IFERROR(VLOOKUP($AL67,$F$4:$G$7,2,FALSE),0)+VLOOKUP($Q67,武学奇术!$A:$ZZ,2,FALSE)+SUM(_xlfn.XLOOKUP($R67:$AK67,增益!$A:$A,增益!$B:$B,0))</f>
        <v>0.2042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1785.2</v>
      </c>
      <c r="AT67" cm="1">
        <f t="array" ref="AT67">$E$10*(1+$AR67)+VLOOKUP($Q67,武学奇术!$A:$ZZ,4,FALSE)+SUM(_xlfn.XLOOKUP($R67:$AK67,增益!$A:$A,增益!$D:$D,0))-$I$2</f>
        <v>6604.8</v>
      </c>
      <c r="AU67" s="33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0.1685</v>
      </c>
      <c r="AV67" s="33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3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3" cm="1">
        <f t="array" ref="BA67">$G$11+VLOOKUP($Q67,武学奇术!$A:$ZZ,10,FALSE)+SUM(_xlfn.XLOOKUP($R67:$AK67,增益!$A:$A,增益!$J:$J,0))</f>
        <v>0</v>
      </c>
      <c r="BB67">
        <f t="shared" si="14"/>
        <v>662.4</v>
      </c>
      <c r="BC67">
        <f t="shared" si="15"/>
        <v>1260</v>
      </c>
      <c r="BD67" s="33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3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33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3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33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3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0.5954</v>
      </c>
      <c r="BP67" s="27" cm="1">
        <f t="array" ref="BP67">1+$B$13+VLOOKUP($Q67,武学奇术!$A:$ZZ,18,FALSE)+SUM(_xlfn.XLOOKUP($R67:$AK67,增益!$A:$A,增益!$R:$R,0))</f>
        <v>1.644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0.1512</v>
      </c>
      <c r="BR67" s="27" cm="1">
        <f t="array" ref="BR67">1+$B$14+VLOOKUP($Q67,武学奇术!$A:$ZZ,20,FALSE)+SUM(_xlfn.XLOOKUP($R67:$AK67,增益!$A:$A,增益!$T:$T,0))</f>
        <v>1.35</v>
      </c>
      <c r="BS67" s="27">
        <f t="shared" si="20"/>
        <v>0.5954</v>
      </c>
      <c r="BT67" s="27">
        <f t="shared" si="21"/>
        <v>0.2534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1:74">
      <c r="K68" s="39">
        <f t="shared" si="11"/>
        <v>0</v>
      </c>
      <c r="L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39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39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0">
        <v>1</v>
      </c>
      <c r="Q68" s="41" t="s">
        <v>76</v>
      </c>
      <c r="R68" s="41" t="s">
        <v>76</v>
      </c>
      <c r="S68" s="41" t="s">
        <v>76</v>
      </c>
      <c r="T68" s="41" t="s">
        <v>76</v>
      </c>
      <c r="U68" s="41" t="s">
        <v>76</v>
      </c>
      <c r="V68" s="41" t="s">
        <v>76</v>
      </c>
      <c r="W68" s="41" t="s">
        <v>76</v>
      </c>
      <c r="X68" s="41" t="s">
        <v>76</v>
      </c>
      <c r="Y68" s="41" t="s">
        <v>76</v>
      </c>
      <c r="Z68" s="41" t="s">
        <v>76</v>
      </c>
      <c r="AA68" s="41" t="s">
        <v>76</v>
      </c>
      <c r="AB68" s="41" t="s">
        <v>76</v>
      </c>
      <c r="AC68" s="41" t="s">
        <v>76</v>
      </c>
      <c r="AD68" s="41" t="s">
        <v>76</v>
      </c>
      <c r="AE68" s="41" t="s">
        <v>80</v>
      </c>
      <c r="AF68" s="41" t="s">
        <v>76</v>
      </c>
      <c r="AG68" s="41" t="s">
        <v>76</v>
      </c>
      <c r="AH68" s="41" t="s">
        <v>76</v>
      </c>
      <c r="AI68" s="41" t="s">
        <v>76</v>
      </c>
      <c r="AJ68" s="41" t="s">
        <v>76</v>
      </c>
      <c r="AK68" s="41" t="s">
        <v>76</v>
      </c>
      <c r="AL68" t="str">
        <f>VLOOKUP($Q68,武学奇术!$A:$ZZ,25,FALSE)</f>
        <v>心法</v>
      </c>
      <c r="AM68" s="27">
        <f>VLOOKUP($Q68,武学奇术!$A:$ZZ,26,FALSE)</f>
        <v>0</v>
      </c>
      <c r="AN68" s="28">
        <f>VLOOKUP($Q68,武学奇术!$A:$ZZ,27,FALSE)*(1+IF(OR($AL68=$F$4,$AL68=$F$5),$B$22,0))</f>
        <v>0</v>
      </c>
      <c r="AO68" s="27">
        <f>VLOOKUP($Q68,武学奇术!$A:$ZZ,28,FALSE)</f>
        <v>0</v>
      </c>
      <c r="AP68" s="28">
        <f>VLOOKUP($Q68,武学奇术!$A:$ZZ,29,FALSE)*(1+IF(OR($AL68=$F$4,$AL68=$F$5),$B$22,0))</f>
        <v>0</v>
      </c>
      <c r="AQ68" s="27" cm="1">
        <f t="array" ref="AQ68">$G$3+IFERROR(VLOOKUP($AL68,$F$4:$G$7,2,FALSE),0)+VLOOKUP($Q68,武学奇术!$A:$ZZ,2,FALSE)+SUM(_xlfn.XLOOKUP($R68:$AK68,增益!$A:$A,增益!$B:$B,0))</f>
        <v>0.2042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1785.2</v>
      </c>
      <c r="AT68" cm="1">
        <f t="array" ref="AT68">$E$10*(1+$AR68)+VLOOKUP($Q68,武学奇术!$A:$ZZ,4,FALSE)+SUM(_xlfn.XLOOKUP($R68:$AK68,增益!$A:$A,增益!$D:$D,0))-$I$2</f>
        <v>6604.8</v>
      </c>
      <c r="AU68" s="33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0.1685</v>
      </c>
      <c r="AV68" s="33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3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3" cm="1">
        <f t="array" ref="BA68">$G$11+VLOOKUP($Q68,武学奇术!$A:$ZZ,10,FALSE)+SUM(_xlfn.XLOOKUP($R68:$AK68,增益!$A:$A,增益!$J:$J,0))</f>
        <v>0</v>
      </c>
      <c r="BB68">
        <f t="shared" si="14"/>
        <v>662.4</v>
      </c>
      <c r="BC68">
        <f t="shared" si="15"/>
        <v>1260</v>
      </c>
      <c r="BD68" s="33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3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33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3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33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3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0.5954</v>
      </c>
      <c r="BP68" s="27" cm="1">
        <f t="array" ref="BP68">1+$B$13+VLOOKUP($Q68,武学奇术!$A:$ZZ,18,FALSE)+SUM(_xlfn.XLOOKUP($R68:$AK68,增益!$A:$A,增益!$R:$R,0))</f>
        <v>1.644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0.1512</v>
      </c>
      <c r="BR68" s="27" cm="1">
        <f t="array" ref="BR68">1+$B$14+VLOOKUP($Q68,武学奇术!$A:$ZZ,20,FALSE)+SUM(_xlfn.XLOOKUP($R68:$AK68,增益!$A:$A,增益!$T:$T,0))</f>
        <v>1.35</v>
      </c>
      <c r="BS68" s="27">
        <f t="shared" si="20"/>
        <v>0.5954</v>
      </c>
      <c r="BT68" s="27">
        <f t="shared" si="21"/>
        <v>0.2534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1:74">
      <c r="K69" s="39">
        <f t="shared" si="11"/>
        <v>0</v>
      </c>
      <c r="L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39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39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0">
        <v>1</v>
      </c>
      <c r="Q69" s="41" t="s">
        <v>76</v>
      </c>
      <c r="R69" s="41" t="s">
        <v>76</v>
      </c>
      <c r="S69" s="41" t="s">
        <v>76</v>
      </c>
      <c r="T69" s="41" t="s">
        <v>76</v>
      </c>
      <c r="U69" s="41" t="s">
        <v>76</v>
      </c>
      <c r="V69" s="41" t="s">
        <v>76</v>
      </c>
      <c r="W69" s="41" t="s">
        <v>76</v>
      </c>
      <c r="X69" s="41" t="s">
        <v>76</v>
      </c>
      <c r="Y69" s="41" t="s">
        <v>76</v>
      </c>
      <c r="Z69" s="41" t="s">
        <v>76</v>
      </c>
      <c r="AA69" s="41" t="s">
        <v>76</v>
      </c>
      <c r="AB69" s="41" t="s">
        <v>76</v>
      </c>
      <c r="AC69" s="41" t="s">
        <v>76</v>
      </c>
      <c r="AD69" s="41" t="s">
        <v>76</v>
      </c>
      <c r="AE69" s="41" t="s">
        <v>80</v>
      </c>
      <c r="AF69" s="41" t="s">
        <v>76</v>
      </c>
      <c r="AG69" s="41" t="s">
        <v>76</v>
      </c>
      <c r="AH69" s="41" t="s">
        <v>76</v>
      </c>
      <c r="AI69" s="41" t="s">
        <v>76</v>
      </c>
      <c r="AJ69" s="41" t="s">
        <v>76</v>
      </c>
      <c r="AK69" s="41" t="s">
        <v>76</v>
      </c>
      <c r="AL69" t="str">
        <f>VLOOKUP($Q69,武学奇术!$A:$ZZ,25,FALSE)</f>
        <v>心法</v>
      </c>
      <c r="AM69" s="27">
        <f>VLOOKUP($Q69,武学奇术!$A:$ZZ,26,FALSE)</f>
        <v>0</v>
      </c>
      <c r="AN69" s="28">
        <f>VLOOKUP($Q69,武学奇术!$A:$ZZ,27,FALSE)*(1+IF(OR($AL69=$F$4,$AL69=$F$5),$B$22,0))</f>
        <v>0</v>
      </c>
      <c r="AO69" s="27">
        <f>VLOOKUP($Q69,武学奇术!$A:$ZZ,28,FALSE)</f>
        <v>0</v>
      </c>
      <c r="AP69" s="28">
        <f>VLOOKUP($Q69,武学奇术!$A:$ZZ,29,FALSE)*(1+IF(OR($AL69=$F$4,$AL69=$F$5),$B$22,0))</f>
        <v>0</v>
      </c>
      <c r="AQ69" s="27" cm="1">
        <f t="array" ref="AQ69">$G$3+IFERROR(VLOOKUP($AL69,$F$4:$G$7,2,FALSE),0)+VLOOKUP($Q69,武学奇术!$A:$ZZ,2,FALSE)+SUM(_xlfn.XLOOKUP($R69:$AK69,增益!$A:$A,增益!$B:$B,0))</f>
        <v>0.2042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1785.2</v>
      </c>
      <c r="AT69" cm="1">
        <f t="array" ref="AT69">$E$10*(1+$AR69)+VLOOKUP($Q69,武学奇术!$A:$ZZ,4,FALSE)+SUM(_xlfn.XLOOKUP($R69:$AK69,增益!$A:$A,增益!$D:$D,0))-$I$2</f>
        <v>6604.8</v>
      </c>
      <c r="AU69" s="33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0.1685</v>
      </c>
      <c r="AV69" s="33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3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3" cm="1">
        <f t="array" ref="BA69">$G$11+VLOOKUP($Q69,武学奇术!$A:$ZZ,10,FALSE)+SUM(_xlfn.XLOOKUP($R69:$AK69,增益!$A:$A,增益!$J:$J,0))</f>
        <v>0</v>
      </c>
      <c r="BB69">
        <f t="shared" si="14"/>
        <v>662.4</v>
      </c>
      <c r="BC69">
        <f t="shared" si="15"/>
        <v>1260</v>
      </c>
      <c r="BD69" s="33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3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33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3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33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3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0.5954</v>
      </c>
      <c r="BP69" s="27" cm="1">
        <f t="array" ref="BP69">1+$B$13+VLOOKUP($Q69,武学奇术!$A:$ZZ,18,FALSE)+SUM(_xlfn.XLOOKUP($R69:$AK69,增益!$A:$A,增益!$R:$R,0))</f>
        <v>1.644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0.1512</v>
      </c>
      <c r="BR69" s="27" cm="1">
        <f t="array" ref="BR69">1+$B$14+VLOOKUP($Q69,武学奇术!$A:$ZZ,20,FALSE)+SUM(_xlfn.XLOOKUP($R69:$AK69,增益!$A:$A,增益!$T:$T,0))</f>
        <v>1.35</v>
      </c>
      <c r="BS69" s="27">
        <f t="shared" si="20"/>
        <v>0.5954</v>
      </c>
      <c r="BT69" s="27">
        <f t="shared" si="21"/>
        <v>0.2534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1:74">
      <c r="K70" s="39">
        <f t="shared" si="11"/>
        <v>0</v>
      </c>
      <c r="L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39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39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0">
        <v>1</v>
      </c>
      <c r="Q70" s="41" t="s">
        <v>76</v>
      </c>
      <c r="R70" s="41" t="s">
        <v>76</v>
      </c>
      <c r="S70" s="41" t="s">
        <v>76</v>
      </c>
      <c r="T70" s="41" t="s">
        <v>76</v>
      </c>
      <c r="U70" s="41" t="s">
        <v>76</v>
      </c>
      <c r="V70" s="41" t="s">
        <v>76</v>
      </c>
      <c r="W70" s="41" t="s">
        <v>76</v>
      </c>
      <c r="X70" s="41" t="s">
        <v>76</v>
      </c>
      <c r="Y70" s="41" t="s">
        <v>76</v>
      </c>
      <c r="Z70" s="41" t="s">
        <v>76</v>
      </c>
      <c r="AA70" s="41" t="s">
        <v>76</v>
      </c>
      <c r="AB70" s="41" t="s">
        <v>76</v>
      </c>
      <c r="AC70" s="41" t="s">
        <v>76</v>
      </c>
      <c r="AD70" s="41" t="s">
        <v>76</v>
      </c>
      <c r="AE70" s="41" t="s">
        <v>80</v>
      </c>
      <c r="AF70" s="41" t="s">
        <v>76</v>
      </c>
      <c r="AG70" s="41" t="s">
        <v>76</v>
      </c>
      <c r="AH70" s="41" t="s">
        <v>76</v>
      </c>
      <c r="AI70" s="41" t="s">
        <v>76</v>
      </c>
      <c r="AJ70" s="41" t="s">
        <v>76</v>
      </c>
      <c r="AK70" s="41" t="s">
        <v>76</v>
      </c>
      <c r="AL70" t="str">
        <f>VLOOKUP($Q70,武学奇术!$A:$ZZ,25,FALSE)</f>
        <v>心法</v>
      </c>
      <c r="AM70" s="27">
        <f>VLOOKUP($Q70,武学奇术!$A:$ZZ,26,FALSE)</f>
        <v>0</v>
      </c>
      <c r="AN70" s="28">
        <f>VLOOKUP($Q70,武学奇术!$A:$ZZ,27,FALSE)*(1+IF(OR($AL70=$F$4,$AL70=$F$5),$B$22,0))</f>
        <v>0</v>
      </c>
      <c r="AO70" s="27">
        <f>VLOOKUP($Q70,武学奇术!$A:$ZZ,28,FALSE)</f>
        <v>0</v>
      </c>
      <c r="AP70" s="28">
        <f>VLOOKUP($Q70,武学奇术!$A:$ZZ,29,FALSE)*(1+IF(OR($AL70=$F$4,$AL70=$F$5),$B$22,0))</f>
        <v>0</v>
      </c>
      <c r="AQ70" s="27" cm="1">
        <f t="array" ref="AQ70">$G$3+IFERROR(VLOOKUP($AL70,$F$4:$G$7,2,FALSE),0)+VLOOKUP($Q70,武学奇术!$A:$ZZ,2,FALSE)+SUM(_xlfn.XLOOKUP($R70:$AK70,增益!$A:$A,增益!$B:$B,0))</f>
        <v>0.2042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1785.2</v>
      </c>
      <c r="AT70" cm="1">
        <f t="array" ref="AT70">$E$10*(1+$AR70)+VLOOKUP($Q70,武学奇术!$A:$ZZ,4,FALSE)+SUM(_xlfn.XLOOKUP($R70:$AK70,增益!$A:$A,增益!$D:$D,0))-$I$2</f>
        <v>6604.8</v>
      </c>
      <c r="AU70" s="33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0.1685</v>
      </c>
      <c r="AV70" s="33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3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3" cm="1">
        <f t="array" ref="BA70">$G$11+VLOOKUP($Q70,武学奇术!$A:$ZZ,10,FALSE)+SUM(_xlfn.XLOOKUP($R70:$AK70,增益!$A:$A,增益!$J:$J,0))</f>
        <v>0</v>
      </c>
      <c r="BB70">
        <f t="shared" si="14"/>
        <v>662.4</v>
      </c>
      <c r="BC70">
        <f t="shared" si="15"/>
        <v>1260</v>
      </c>
      <c r="BD70" s="33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3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33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3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33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3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0.5954</v>
      </c>
      <c r="BP70" s="27" cm="1">
        <f t="array" ref="BP70">1+$B$13+VLOOKUP($Q70,武学奇术!$A:$ZZ,18,FALSE)+SUM(_xlfn.XLOOKUP($R70:$AK70,增益!$A:$A,增益!$R:$R,0))</f>
        <v>1.644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0.1512</v>
      </c>
      <c r="BR70" s="27" cm="1">
        <f t="array" ref="BR70">1+$B$14+VLOOKUP($Q70,武学奇术!$A:$ZZ,20,FALSE)+SUM(_xlfn.XLOOKUP($R70:$AK70,增益!$A:$A,增益!$T:$T,0))</f>
        <v>1.35</v>
      </c>
      <c r="BS70" s="27">
        <f t="shared" si="20"/>
        <v>0.5954</v>
      </c>
      <c r="BT70" s="27">
        <f t="shared" si="21"/>
        <v>0.2534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1:74">
      <c r="K71" s="39">
        <f t="shared" si="11"/>
        <v>0</v>
      </c>
      <c r="L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39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39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0">
        <v>1</v>
      </c>
      <c r="Q71" s="41" t="s">
        <v>76</v>
      </c>
      <c r="R71" s="41" t="s">
        <v>76</v>
      </c>
      <c r="S71" s="41" t="s">
        <v>76</v>
      </c>
      <c r="T71" s="41" t="s">
        <v>76</v>
      </c>
      <c r="U71" s="41" t="s">
        <v>76</v>
      </c>
      <c r="V71" s="41" t="s">
        <v>76</v>
      </c>
      <c r="W71" s="41" t="s">
        <v>76</v>
      </c>
      <c r="X71" s="41" t="s">
        <v>76</v>
      </c>
      <c r="Y71" s="41" t="s">
        <v>76</v>
      </c>
      <c r="Z71" s="41" t="s">
        <v>76</v>
      </c>
      <c r="AA71" s="41" t="s">
        <v>76</v>
      </c>
      <c r="AB71" s="41" t="s">
        <v>76</v>
      </c>
      <c r="AC71" s="41" t="s">
        <v>76</v>
      </c>
      <c r="AD71" s="41" t="s">
        <v>76</v>
      </c>
      <c r="AE71" s="41" t="s">
        <v>80</v>
      </c>
      <c r="AF71" s="41" t="s">
        <v>76</v>
      </c>
      <c r="AG71" s="41" t="s">
        <v>76</v>
      </c>
      <c r="AH71" s="41" t="s">
        <v>76</v>
      </c>
      <c r="AI71" s="41" t="s">
        <v>76</v>
      </c>
      <c r="AJ71" s="41" t="s">
        <v>76</v>
      </c>
      <c r="AK71" s="41" t="s">
        <v>76</v>
      </c>
      <c r="AL71" t="str">
        <f>VLOOKUP($Q71,武学奇术!$A:$ZZ,25,FALSE)</f>
        <v>心法</v>
      </c>
      <c r="AM71" s="27">
        <f>VLOOKUP($Q71,武学奇术!$A:$ZZ,26,FALSE)</f>
        <v>0</v>
      </c>
      <c r="AN71" s="28">
        <f>VLOOKUP($Q71,武学奇术!$A:$ZZ,27,FALSE)*(1+IF(OR($AL71=$F$4,$AL71=$F$5),$B$22,0))</f>
        <v>0</v>
      </c>
      <c r="AO71" s="27">
        <f>VLOOKUP($Q71,武学奇术!$A:$ZZ,28,FALSE)</f>
        <v>0</v>
      </c>
      <c r="AP71" s="28">
        <f>VLOOKUP($Q71,武学奇术!$A:$ZZ,29,FALSE)*(1+IF(OR($AL71=$F$4,$AL71=$F$5),$B$22,0))</f>
        <v>0</v>
      </c>
      <c r="AQ71" s="27" cm="1">
        <f t="array" ref="AQ71">$G$3+IFERROR(VLOOKUP($AL71,$F$4:$G$7,2,FALSE),0)+VLOOKUP($Q71,武学奇术!$A:$ZZ,2,FALSE)+SUM(_xlfn.XLOOKUP($R71:$AK71,增益!$A:$A,增益!$B:$B,0))</f>
        <v>0.2042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1785.2</v>
      </c>
      <c r="AT71" cm="1">
        <f t="array" ref="AT71">$E$10*(1+$AR71)+VLOOKUP($Q71,武学奇术!$A:$ZZ,4,FALSE)+SUM(_xlfn.XLOOKUP($R71:$AK71,增益!$A:$A,增益!$D:$D,0))-$I$2</f>
        <v>6604.8</v>
      </c>
      <c r="AU71" s="33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0.1685</v>
      </c>
      <c r="AV71" s="33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3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3" cm="1">
        <f t="array" ref="BA71">$G$11+VLOOKUP($Q71,武学奇术!$A:$ZZ,10,FALSE)+SUM(_xlfn.XLOOKUP($R71:$AK71,增益!$A:$A,增益!$J:$J,0))</f>
        <v>0</v>
      </c>
      <c r="BB71">
        <f t="shared" si="14"/>
        <v>662.4</v>
      </c>
      <c r="BC71">
        <f t="shared" si="15"/>
        <v>1260</v>
      </c>
      <c r="BD71" s="33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3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33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3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33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3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1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0.5954</v>
      </c>
      <c r="BP71" s="27" cm="1">
        <f t="array" ref="BP71">1+$B$13+VLOOKUP($Q71,武学奇术!$A:$ZZ,18,FALSE)+SUM(_xlfn.XLOOKUP($R71:$AK71,增益!$A:$A,增益!$R:$R,0))</f>
        <v>1.644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0.1512</v>
      </c>
      <c r="BR71" s="27" cm="1">
        <f t="array" ref="BR71">1+$B$14+VLOOKUP($Q71,武学奇术!$A:$ZZ,20,FALSE)+SUM(_xlfn.XLOOKUP($R71:$AK71,增益!$A:$A,增益!$T:$T,0))</f>
        <v>1.35</v>
      </c>
      <c r="BS71" s="27">
        <f t="shared" si="20"/>
        <v>0.5954</v>
      </c>
      <c r="BT71" s="27">
        <f t="shared" si="21"/>
        <v>0.2534</v>
      </c>
      <c r="BU71" s="27">
        <f>IF(VLOOKUP($Q71,武学奇术!$A:$ZZ,22,FALSE)=1,0,(1-$BN71))*(1-$BQ71)</f>
        <v>0</v>
      </c>
      <c r="BV71" s="27" cm="1">
        <f t="array" ref="BV71">SUM(_xlfn.XLOOKUP($R71:$AK71,增益!$A:$A,增益!$W:$W,0))+$I$5</f>
        <v>0.11</v>
      </c>
    </row>
    <row r="72" spans="11:74">
      <c r="K72" s="39">
        <f t="shared" si="11"/>
        <v>0</v>
      </c>
      <c r="L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39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39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0">
        <v>1</v>
      </c>
      <c r="Q72" s="41" t="s">
        <v>76</v>
      </c>
      <c r="R72" s="41" t="s">
        <v>76</v>
      </c>
      <c r="S72" s="41" t="s">
        <v>76</v>
      </c>
      <c r="T72" s="41" t="s">
        <v>76</v>
      </c>
      <c r="U72" s="41" t="s">
        <v>76</v>
      </c>
      <c r="V72" s="41" t="s">
        <v>76</v>
      </c>
      <c r="W72" s="41" t="s">
        <v>76</v>
      </c>
      <c r="X72" s="41" t="s">
        <v>76</v>
      </c>
      <c r="Y72" s="41" t="s">
        <v>76</v>
      </c>
      <c r="Z72" s="41" t="s">
        <v>76</v>
      </c>
      <c r="AA72" s="41" t="s">
        <v>76</v>
      </c>
      <c r="AB72" s="41" t="s">
        <v>76</v>
      </c>
      <c r="AC72" s="41" t="s">
        <v>76</v>
      </c>
      <c r="AD72" s="41" t="s">
        <v>76</v>
      </c>
      <c r="AE72" s="41" t="s">
        <v>80</v>
      </c>
      <c r="AF72" s="41" t="s">
        <v>76</v>
      </c>
      <c r="AG72" s="41" t="s">
        <v>76</v>
      </c>
      <c r="AH72" s="41" t="s">
        <v>76</v>
      </c>
      <c r="AI72" s="41" t="s">
        <v>76</v>
      </c>
      <c r="AJ72" s="41" t="s">
        <v>76</v>
      </c>
      <c r="AK72" s="41" t="s">
        <v>76</v>
      </c>
      <c r="AL72" t="str">
        <f>VLOOKUP($Q72,武学奇术!$A:$ZZ,25,FALSE)</f>
        <v>心法</v>
      </c>
      <c r="AM72" s="27">
        <f>VLOOKUP($Q72,武学奇术!$A:$ZZ,26,FALSE)</f>
        <v>0</v>
      </c>
      <c r="AN72" s="28">
        <f>VLOOKUP($Q72,武学奇术!$A:$ZZ,27,FALSE)*(1+IF(OR($AL72=$F$4,$AL72=$F$5),$B$22,0))</f>
        <v>0</v>
      </c>
      <c r="AO72" s="27">
        <f>VLOOKUP($Q72,武学奇术!$A:$ZZ,28,FALSE)</f>
        <v>0</v>
      </c>
      <c r="AP72" s="28">
        <f>VLOOKUP($Q72,武学奇术!$A:$ZZ,29,FALSE)*(1+IF(OR($AL72=$F$4,$AL72=$F$5),$B$22,0))</f>
        <v>0</v>
      </c>
      <c r="AQ72" s="27" cm="1">
        <f t="array" ref="AQ72">$G$3+IFERROR(VLOOKUP($AL72,$F$4:$G$7,2,FALSE),0)+VLOOKUP($Q72,武学奇术!$A:$ZZ,2,FALSE)+SUM(_xlfn.XLOOKUP($R72:$AK72,增益!$A:$A,增益!$B:$B,0))</f>
        <v>0.2042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1785.2</v>
      </c>
      <c r="AT72" cm="1">
        <f t="array" ref="AT72">$E$10*(1+$AR72)+VLOOKUP($Q72,武学奇术!$A:$ZZ,4,FALSE)+SUM(_xlfn.XLOOKUP($R72:$AK72,增益!$A:$A,增益!$D:$D,0))-$I$2</f>
        <v>6604.8</v>
      </c>
      <c r="AU72" s="33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0.1685</v>
      </c>
      <c r="AV72" s="33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3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3" cm="1">
        <f t="array" ref="BA72">$G$11+VLOOKUP($Q72,武学奇术!$A:$ZZ,10,FALSE)+SUM(_xlfn.XLOOKUP($R72:$AK72,增益!$A:$A,增益!$J:$J,0))</f>
        <v>0</v>
      </c>
      <c r="BB72">
        <f t="shared" si="14"/>
        <v>662.4</v>
      </c>
      <c r="BC72">
        <f t="shared" si="15"/>
        <v>1260</v>
      </c>
      <c r="BD72" s="33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3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33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3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33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3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1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0.5954</v>
      </c>
      <c r="BP72" s="27" cm="1">
        <f t="array" ref="BP72">1+$B$13+VLOOKUP($Q72,武学奇术!$A:$ZZ,18,FALSE)+SUM(_xlfn.XLOOKUP($R72:$AK72,增益!$A:$A,增益!$R:$R,0))</f>
        <v>1.644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0.1512</v>
      </c>
      <c r="BR72" s="27" cm="1">
        <f t="array" ref="BR72">1+$B$14+VLOOKUP($Q72,武学奇术!$A:$ZZ,20,FALSE)+SUM(_xlfn.XLOOKUP($R72:$AK72,增益!$A:$A,增益!$T:$T,0))</f>
        <v>1.35</v>
      </c>
      <c r="BS72" s="27">
        <f t="shared" si="20"/>
        <v>0.5954</v>
      </c>
      <c r="BT72" s="27">
        <f t="shared" si="21"/>
        <v>0.2534</v>
      </c>
      <c r="BU72" s="27">
        <f>IF(VLOOKUP($Q72,武学奇术!$A:$ZZ,22,FALSE)=1,0,(1-$BN72))*(1-$BQ72)</f>
        <v>0</v>
      </c>
      <c r="BV72" s="27" cm="1">
        <f t="array" ref="BV72">SUM(_xlfn.XLOOKUP($R72:$AK72,增益!$A:$A,增益!$W:$W,0))+$I$5</f>
        <v>0.11</v>
      </c>
    </row>
    <row r="73" spans="11:74">
      <c r="K73" s="39">
        <f t="shared" si="11"/>
        <v>0</v>
      </c>
      <c r="L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39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39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0">
        <v>1</v>
      </c>
      <c r="Q73" s="41" t="s">
        <v>76</v>
      </c>
      <c r="R73" s="41" t="s">
        <v>76</v>
      </c>
      <c r="S73" s="41" t="s">
        <v>76</v>
      </c>
      <c r="T73" s="41" t="s">
        <v>76</v>
      </c>
      <c r="U73" s="41" t="s">
        <v>76</v>
      </c>
      <c r="V73" s="41" t="s">
        <v>76</v>
      </c>
      <c r="W73" s="41" t="s">
        <v>76</v>
      </c>
      <c r="X73" s="41" t="s">
        <v>76</v>
      </c>
      <c r="Y73" s="41" t="s">
        <v>76</v>
      </c>
      <c r="Z73" s="41" t="s">
        <v>76</v>
      </c>
      <c r="AA73" s="41" t="s">
        <v>76</v>
      </c>
      <c r="AB73" s="41" t="s">
        <v>76</v>
      </c>
      <c r="AC73" s="41" t="s">
        <v>76</v>
      </c>
      <c r="AD73" s="41" t="s">
        <v>76</v>
      </c>
      <c r="AE73" s="41" t="s">
        <v>80</v>
      </c>
      <c r="AF73" s="41" t="s">
        <v>76</v>
      </c>
      <c r="AG73" s="41" t="s">
        <v>76</v>
      </c>
      <c r="AH73" s="41" t="s">
        <v>76</v>
      </c>
      <c r="AI73" s="41" t="s">
        <v>76</v>
      </c>
      <c r="AJ73" s="41" t="s">
        <v>76</v>
      </c>
      <c r="AK73" s="41" t="s">
        <v>76</v>
      </c>
      <c r="AL73" t="str">
        <f>VLOOKUP($Q73,武学奇术!$A:$ZZ,25,FALSE)</f>
        <v>心法</v>
      </c>
      <c r="AM73" s="27">
        <f>VLOOKUP($Q73,武学奇术!$A:$ZZ,26,FALSE)</f>
        <v>0</v>
      </c>
      <c r="AN73" s="28">
        <f>VLOOKUP($Q73,武学奇术!$A:$ZZ,27,FALSE)*(1+IF(OR($AL73=$F$4,$AL73=$F$5),$B$22,0))</f>
        <v>0</v>
      </c>
      <c r="AO73" s="27">
        <f>VLOOKUP($Q73,武学奇术!$A:$ZZ,28,FALSE)</f>
        <v>0</v>
      </c>
      <c r="AP73" s="28">
        <f>VLOOKUP($Q73,武学奇术!$A:$ZZ,29,FALSE)*(1+IF(OR($AL73=$F$4,$AL73=$F$5),$B$22,0))</f>
        <v>0</v>
      </c>
      <c r="AQ73" s="27" cm="1">
        <f t="array" ref="AQ73">$G$3+IFERROR(VLOOKUP($AL73,$F$4:$G$7,2,FALSE),0)+VLOOKUP($Q73,武学奇术!$A:$ZZ,2,FALSE)+SUM(_xlfn.XLOOKUP($R73:$AK73,增益!$A:$A,增益!$B:$B,0))</f>
        <v>0.2042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1785.2</v>
      </c>
      <c r="AT73" cm="1">
        <f t="array" ref="AT73">$E$10*(1+$AR73)+VLOOKUP($Q73,武学奇术!$A:$ZZ,4,FALSE)+SUM(_xlfn.XLOOKUP($R73:$AK73,增益!$A:$A,增益!$D:$D,0))-$I$2</f>
        <v>6604.8</v>
      </c>
      <c r="AU73" s="33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0.1685</v>
      </c>
      <c r="AV73" s="33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3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3" cm="1">
        <f t="array" ref="BA73">$G$11+VLOOKUP($Q73,武学奇术!$A:$ZZ,10,FALSE)+SUM(_xlfn.XLOOKUP($R73:$AK73,增益!$A:$A,增益!$J:$J,0))</f>
        <v>0</v>
      </c>
      <c r="BB73">
        <f t="shared" si="14"/>
        <v>662.4</v>
      </c>
      <c r="BC73">
        <f t="shared" si="15"/>
        <v>1260</v>
      </c>
      <c r="BD73" s="33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3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33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3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33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3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1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0.5954</v>
      </c>
      <c r="BP73" s="27" cm="1">
        <f t="array" ref="BP73">1+$B$13+VLOOKUP($Q73,武学奇术!$A:$ZZ,18,FALSE)+SUM(_xlfn.XLOOKUP($R73:$AK73,增益!$A:$A,增益!$R:$R,0))</f>
        <v>1.644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0.1512</v>
      </c>
      <c r="BR73" s="27" cm="1">
        <f t="array" ref="BR73">1+$B$14+VLOOKUP($Q73,武学奇术!$A:$ZZ,20,FALSE)+SUM(_xlfn.XLOOKUP($R73:$AK73,增益!$A:$A,增益!$T:$T,0))</f>
        <v>1.35</v>
      </c>
      <c r="BS73" s="27">
        <f t="shared" si="20"/>
        <v>0.5954</v>
      </c>
      <c r="BT73" s="27">
        <f t="shared" si="21"/>
        <v>0.2534</v>
      </c>
      <c r="BU73" s="27">
        <f>IF(VLOOKUP($Q73,武学奇术!$A:$ZZ,22,FALSE)=1,0,(1-$BN73))*(1-$BQ73)</f>
        <v>0</v>
      </c>
      <c r="BV73" s="27" cm="1">
        <f t="array" ref="BV73">SUM(_xlfn.XLOOKUP($R73:$AK73,增益!$A:$A,增益!$W:$W,0))+$I$5</f>
        <v>0.11</v>
      </c>
    </row>
    <row r="74" spans="11:74">
      <c r="K74" s="39">
        <f t="shared" si="11"/>
        <v>0</v>
      </c>
      <c r="L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39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39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0">
        <v>1</v>
      </c>
      <c r="Q74" s="41" t="s">
        <v>76</v>
      </c>
      <c r="R74" s="41" t="s">
        <v>76</v>
      </c>
      <c r="S74" s="41" t="s">
        <v>76</v>
      </c>
      <c r="T74" s="41" t="s">
        <v>76</v>
      </c>
      <c r="U74" s="41" t="s">
        <v>76</v>
      </c>
      <c r="V74" s="41" t="s">
        <v>76</v>
      </c>
      <c r="W74" s="41" t="s">
        <v>76</v>
      </c>
      <c r="X74" s="41" t="s">
        <v>76</v>
      </c>
      <c r="Y74" s="41" t="s">
        <v>76</v>
      </c>
      <c r="Z74" s="41" t="s">
        <v>76</v>
      </c>
      <c r="AA74" s="41" t="s">
        <v>76</v>
      </c>
      <c r="AB74" s="41" t="s">
        <v>76</v>
      </c>
      <c r="AC74" s="41" t="s">
        <v>76</v>
      </c>
      <c r="AD74" s="41" t="s">
        <v>76</v>
      </c>
      <c r="AE74" s="41" t="s">
        <v>80</v>
      </c>
      <c r="AF74" s="41" t="s">
        <v>76</v>
      </c>
      <c r="AG74" s="41" t="s">
        <v>76</v>
      </c>
      <c r="AH74" s="41" t="s">
        <v>76</v>
      </c>
      <c r="AI74" s="41" t="s">
        <v>76</v>
      </c>
      <c r="AJ74" s="41" t="s">
        <v>76</v>
      </c>
      <c r="AK74" s="41" t="s">
        <v>76</v>
      </c>
      <c r="AL74" t="str">
        <f>VLOOKUP($Q74,武学奇术!$A:$ZZ,25,FALSE)</f>
        <v>心法</v>
      </c>
      <c r="AM74" s="27">
        <f>VLOOKUP($Q74,武学奇术!$A:$ZZ,26,FALSE)</f>
        <v>0</v>
      </c>
      <c r="AN74" s="28">
        <f>VLOOKUP($Q74,武学奇术!$A:$ZZ,27,FALSE)*(1+IF(OR($AL74=$F$4,$AL74=$F$5),$B$22,0))</f>
        <v>0</v>
      </c>
      <c r="AO74" s="27">
        <f>VLOOKUP($Q74,武学奇术!$A:$ZZ,28,FALSE)</f>
        <v>0</v>
      </c>
      <c r="AP74" s="28">
        <f>VLOOKUP($Q74,武学奇术!$A:$ZZ,29,FALSE)*(1+IF(OR($AL74=$F$4,$AL74=$F$5),$B$22,0))</f>
        <v>0</v>
      </c>
      <c r="AQ74" s="27" cm="1">
        <f t="array" ref="AQ74">$G$3+IFERROR(VLOOKUP($AL74,$F$4:$G$7,2,FALSE),0)+VLOOKUP($Q74,武学奇术!$A:$ZZ,2,FALSE)+SUM(_xlfn.XLOOKUP($R74:$AK74,增益!$A:$A,增益!$B:$B,0))</f>
        <v>0.2042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1785.2</v>
      </c>
      <c r="AT74" cm="1">
        <f t="array" ref="AT74">$E$10*(1+$AR74)+VLOOKUP($Q74,武学奇术!$A:$ZZ,4,FALSE)+SUM(_xlfn.XLOOKUP($R74:$AK74,增益!$A:$A,增益!$D:$D,0))-$I$2</f>
        <v>6604.8</v>
      </c>
      <c r="AU74" s="33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0.1685</v>
      </c>
      <c r="AV74" s="33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3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3" cm="1">
        <f t="array" ref="BA74">$G$11+VLOOKUP($Q74,武学奇术!$A:$ZZ,10,FALSE)+SUM(_xlfn.XLOOKUP($R74:$AK74,增益!$A:$A,增益!$J:$J,0))</f>
        <v>0</v>
      </c>
      <c r="BB74">
        <f t="shared" si="14"/>
        <v>662.4</v>
      </c>
      <c r="BC74">
        <f t="shared" si="15"/>
        <v>1260</v>
      </c>
      <c r="BD74" s="33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3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33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3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33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3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1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0.5954</v>
      </c>
      <c r="BP74" s="27" cm="1">
        <f t="array" ref="BP74">1+$B$13+VLOOKUP($Q74,武学奇术!$A:$ZZ,18,FALSE)+SUM(_xlfn.XLOOKUP($R74:$AK74,增益!$A:$A,增益!$R:$R,0))</f>
        <v>1.644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0.1512</v>
      </c>
      <c r="BR74" s="27" cm="1">
        <f t="array" ref="BR74">1+$B$14+VLOOKUP($Q74,武学奇术!$A:$ZZ,20,FALSE)+SUM(_xlfn.XLOOKUP($R74:$AK74,增益!$A:$A,增益!$T:$T,0))</f>
        <v>1.35</v>
      </c>
      <c r="BS74" s="27">
        <f t="shared" si="20"/>
        <v>0.5954</v>
      </c>
      <c r="BT74" s="27">
        <f t="shared" si="21"/>
        <v>0.2534</v>
      </c>
      <c r="BU74" s="27">
        <f>IF(VLOOKUP($Q74,武学奇术!$A:$ZZ,22,FALSE)=1,0,(1-$BN74))*(1-$BQ74)</f>
        <v>0</v>
      </c>
      <c r="BV74" s="27" cm="1">
        <f t="array" ref="BV74">SUM(_xlfn.XLOOKUP($R74:$AK74,增益!$A:$A,增益!$W:$W,0))+$I$5</f>
        <v>0.11</v>
      </c>
    </row>
    <row r="75" spans="11:74">
      <c r="K75" s="39">
        <f t="shared" si="11"/>
        <v>0</v>
      </c>
      <c r="L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39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39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0">
        <v>1</v>
      </c>
      <c r="Q75" s="41" t="s">
        <v>76</v>
      </c>
      <c r="R75" s="41" t="s">
        <v>76</v>
      </c>
      <c r="S75" s="41" t="s">
        <v>76</v>
      </c>
      <c r="T75" s="41" t="s">
        <v>76</v>
      </c>
      <c r="U75" s="41" t="s">
        <v>76</v>
      </c>
      <c r="V75" s="41" t="s">
        <v>76</v>
      </c>
      <c r="W75" s="41" t="s">
        <v>76</v>
      </c>
      <c r="X75" s="41" t="s">
        <v>76</v>
      </c>
      <c r="Y75" s="41" t="s">
        <v>76</v>
      </c>
      <c r="Z75" s="41" t="s">
        <v>76</v>
      </c>
      <c r="AA75" s="41" t="s">
        <v>76</v>
      </c>
      <c r="AB75" s="41" t="s">
        <v>76</v>
      </c>
      <c r="AC75" s="41" t="s">
        <v>76</v>
      </c>
      <c r="AD75" s="41" t="s">
        <v>76</v>
      </c>
      <c r="AE75" s="41" t="s">
        <v>80</v>
      </c>
      <c r="AF75" s="41" t="s">
        <v>76</v>
      </c>
      <c r="AG75" s="41" t="s">
        <v>76</v>
      </c>
      <c r="AH75" s="41" t="s">
        <v>76</v>
      </c>
      <c r="AI75" s="41" t="s">
        <v>76</v>
      </c>
      <c r="AJ75" s="41" t="s">
        <v>76</v>
      </c>
      <c r="AK75" s="41" t="s">
        <v>76</v>
      </c>
      <c r="AL75" t="str">
        <f>VLOOKUP($Q75,武学奇术!$A:$ZZ,25,FALSE)</f>
        <v>心法</v>
      </c>
      <c r="AM75" s="27">
        <f>VLOOKUP($Q75,武学奇术!$A:$ZZ,26,FALSE)</f>
        <v>0</v>
      </c>
      <c r="AN75" s="28">
        <f>VLOOKUP($Q75,武学奇术!$A:$ZZ,27,FALSE)*(1+IF(OR($AL75=$F$4,$AL75=$F$5),$B$22,0))</f>
        <v>0</v>
      </c>
      <c r="AO75" s="27">
        <f>VLOOKUP($Q75,武学奇术!$A:$ZZ,28,FALSE)</f>
        <v>0</v>
      </c>
      <c r="AP75" s="28">
        <f>VLOOKUP($Q75,武学奇术!$A:$ZZ,29,FALSE)*(1+IF(OR($AL75=$F$4,$AL75=$F$5),$B$22,0))</f>
        <v>0</v>
      </c>
      <c r="AQ75" s="27" cm="1">
        <f t="array" ref="AQ75">$G$3+IFERROR(VLOOKUP($AL75,$F$4:$G$7,2,FALSE),0)+VLOOKUP($Q75,武学奇术!$A:$ZZ,2,FALSE)+SUM(_xlfn.XLOOKUP($R75:$AK75,增益!$A:$A,增益!$B:$B,0))</f>
        <v>0.2042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1785.2</v>
      </c>
      <c r="AT75" cm="1">
        <f t="array" ref="AT75">$E$10*(1+$AR75)+VLOOKUP($Q75,武学奇术!$A:$ZZ,4,FALSE)+SUM(_xlfn.XLOOKUP($R75:$AK75,增益!$A:$A,增益!$D:$D,0))-$I$2</f>
        <v>6604.8</v>
      </c>
      <c r="AU75" s="33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0.1685</v>
      </c>
      <c r="AV75" s="33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3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3" cm="1">
        <f t="array" ref="BA75">$G$11+VLOOKUP($Q75,武学奇术!$A:$ZZ,10,FALSE)+SUM(_xlfn.XLOOKUP($R75:$AK75,增益!$A:$A,增益!$J:$J,0))</f>
        <v>0</v>
      </c>
      <c r="BB75">
        <f t="shared" si="14"/>
        <v>662.4</v>
      </c>
      <c r="BC75">
        <f t="shared" si="15"/>
        <v>1260</v>
      </c>
      <c r="BD75" s="33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3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33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3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33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3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1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0.5954</v>
      </c>
      <c r="BP75" s="27" cm="1">
        <f t="array" ref="BP75">1+$B$13+VLOOKUP($Q75,武学奇术!$A:$ZZ,18,FALSE)+SUM(_xlfn.XLOOKUP($R75:$AK75,增益!$A:$A,增益!$R:$R,0))</f>
        <v>1.644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0.1512</v>
      </c>
      <c r="BR75" s="27" cm="1">
        <f t="array" ref="BR75">1+$B$14+VLOOKUP($Q75,武学奇术!$A:$ZZ,20,FALSE)+SUM(_xlfn.XLOOKUP($R75:$AK75,增益!$A:$A,增益!$T:$T,0))</f>
        <v>1.35</v>
      </c>
      <c r="BS75" s="27">
        <f t="shared" si="20"/>
        <v>0.5954</v>
      </c>
      <c r="BT75" s="27">
        <f t="shared" si="21"/>
        <v>0.2534</v>
      </c>
      <c r="BU75" s="27">
        <f>IF(VLOOKUP($Q75,武学奇术!$A:$ZZ,22,FALSE)=1,0,(1-$BN75))*(1-$BQ75)</f>
        <v>0</v>
      </c>
      <c r="BV75" s="27" cm="1">
        <f t="array" ref="BV75">SUM(_xlfn.XLOOKUP($R75:$AK75,增益!$A:$A,增益!$W:$W,0))+$I$5</f>
        <v>0.11</v>
      </c>
    </row>
    <row r="76" spans="11:74">
      <c r="K76" s="39">
        <f t="shared" si="11"/>
        <v>0</v>
      </c>
      <c r="L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39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39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0">
        <v>1</v>
      </c>
      <c r="Q76" s="41" t="s">
        <v>76</v>
      </c>
      <c r="R76" s="41" t="s">
        <v>76</v>
      </c>
      <c r="S76" s="41" t="s">
        <v>76</v>
      </c>
      <c r="T76" s="41" t="s">
        <v>76</v>
      </c>
      <c r="U76" s="41" t="s">
        <v>76</v>
      </c>
      <c r="V76" s="41" t="s">
        <v>76</v>
      </c>
      <c r="W76" s="41" t="s">
        <v>76</v>
      </c>
      <c r="X76" s="41" t="s">
        <v>76</v>
      </c>
      <c r="Y76" s="41" t="s">
        <v>76</v>
      </c>
      <c r="Z76" s="41" t="s">
        <v>76</v>
      </c>
      <c r="AA76" s="41" t="s">
        <v>76</v>
      </c>
      <c r="AB76" s="41" t="s">
        <v>76</v>
      </c>
      <c r="AC76" s="41" t="s">
        <v>76</v>
      </c>
      <c r="AD76" s="41" t="s">
        <v>76</v>
      </c>
      <c r="AE76" s="41" t="s">
        <v>80</v>
      </c>
      <c r="AF76" s="41" t="s">
        <v>76</v>
      </c>
      <c r="AG76" s="41" t="s">
        <v>76</v>
      </c>
      <c r="AH76" s="41" t="s">
        <v>76</v>
      </c>
      <c r="AI76" s="41" t="s">
        <v>76</v>
      </c>
      <c r="AJ76" s="41" t="s">
        <v>76</v>
      </c>
      <c r="AK76" s="41" t="s">
        <v>76</v>
      </c>
      <c r="AL76" t="str">
        <f>VLOOKUP($Q76,武学奇术!$A:$ZZ,25,FALSE)</f>
        <v>心法</v>
      </c>
      <c r="AM76" s="27">
        <f>VLOOKUP($Q76,武学奇术!$A:$ZZ,26,FALSE)</f>
        <v>0</v>
      </c>
      <c r="AN76" s="28">
        <f>VLOOKUP($Q76,武学奇术!$A:$ZZ,27,FALSE)*(1+IF(OR($AL76=$F$4,$AL76=$F$5),$B$22,0))</f>
        <v>0</v>
      </c>
      <c r="AO76" s="27">
        <f>VLOOKUP($Q76,武学奇术!$A:$ZZ,28,FALSE)</f>
        <v>0</v>
      </c>
      <c r="AP76" s="28">
        <f>VLOOKUP($Q76,武学奇术!$A:$ZZ,29,FALSE)*(1+IF(OR($AL76=$F$4,$AL76=$F$5),$B$22,0))</f>
        <v>0</v>
      </c>
      <c r="AQ76" s="27" cm="1">
        <f t="array" ref="AQ76">$G$3+IFERROR(VLOOKUP($AL76,$F$4:$G$7,2,FALSE),0)+VLOOKUP($Q76,武学奇术!$A:$ZZ,2,FALSE)+SUM(_xlfn.XLOOKUP($R76:$AK76,增益!$A:$A,增益!$B:$B,0))</f>
        <v>0.2042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1785.2</v>
      </c>
      <c r="AT76" cm="1">
        <f t="array" ref="AT76">$E$10*(1+$AR76)+VLOOKUP($Q76,武学奇术!$A:$ZZ,4,FALSE)+SUM(_xlfn.XLOOKUP($R76:$AK76,增益!$A:$A,增益!$D:$D,0))-$I$2</f>
        <v>6604.8</v>
      </c>
      <c r="AU76" s="33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0.1685</v>
      </c>
      <c r="AV76" s="33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3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3" cm="1">
        <f t="array" ref="BA76">$G$11+VLOOKUP($Q76,武学奇术!$A:$ZZ,10,FALSE)+SUM(_xlfn.XLOOKUP($R76:$AK76,增益!$A:$A,增益!$J:$J,0))</f>
        <v>0</v>
      </c>
      <c r="BB76">
        <f t="shared" si="14"/>
        <v>662.4</v>
      </c>
      <c r="BC76">
        <f t="shared" si="15"/>
        <v>1260</v>
      </c>
      <c r="BD76" s="33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3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33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3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33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3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1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0.5954</v>
      </c>
      <c r="BP76" s="27" cm="1">
        <f t="array" ref="BP76">1+$B$13+VLOOKUP($Q76,武学奇术!$A:$ZZ,18,FALSE)+SUM(_xlfn.XLOOKUP($R76:$AK76,增益!$A:$A,增益!$R:$R,0))</f>
        <v>1.644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0.1512</v>
      </c>
      <c r="BR76" s="27" cm="1">
        <f t="array" ref="BR76">1+$B$14+VLOOKUP($Q76,武学奇术!$A:$ZZ,20,FALSE)+SUM(_xlfn.XLOOKUP($R76:$AK76,增益!$A:$A,增益!$T:$T,0))</f>
        <v>1.35</v>
      </c>
      <c r="BS76" s="27">
        <f t="shared" si="20"/>
        <v>0.5954</v>
      </c>
      <c r="BT76" s="27">
        <f t="shared" si="21"/>
        <v>0.2534</v>
      </c>
      <c r="BU76" s="27">
        <f>IF(VLOOKUP($Q76,武学奇术!$A:$ZZ,22,FALSE)=1,0,(1-$BN76))*(1-$BQ76)</f>
        <v>0</v>
      </c>
      <c r="BV76" s="27" cm="1">
        <f t="array" ref="BV76">SUM(_xlfn.XLOOKUP($R76:$AK76,增益!$A:$A,增益!$W:$W,0))+$I$5</f>
        <v>0.11</v>
      </c>
    </row>
    <row r="77" spans="11:74">
      <c r="K77" s="39">
        <f t="shared" si="11"/>
        <v>0</v>
      </c>
      <c r="L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39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39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0">
        <v>1</v>
      </c>
      <c r="Q77" s="41" t="s">
        <v>76</v>
      </c>
      <c r="R77" s="41" t="s">
        <v>76</v>
      </c>
      <c r="S77" s="41" t="s">
        <v>76</v>
      </c>
      <c r="T77" s="41" t="s">
        <v>76</v>
      </c>
      <c r="U77" s="41" t="s">
        <v>76</v>
      </c>
      <c r="V77" s="41" t="s">
        <v>76</v>
      </c>
      <c r="W77" s="41" t="s">
        <v>76</v>
      </c>
      <c r="X77" s="41" t="s">
        <v>76</v>
      </c>
      <c r="Y77" s="41" t="s">
        <v>76</v>
      </c>
      <c r="Z77" s="41" t="s">
        <v>76</v>
      </c>
      <c r="AA77" s="41" t="s">
        <v>76</v>
      </c>
      <c r="AB77" s="41" t="s">
        <v>76</v>
      </c>
      <c r="AC77" s="41" t="s">
        <v>76</v>
      </c>
      <c r="AD77" s="41" t="s">
        <v>76</v>
      </c>
      <c r="AE77" s="41" t="s">
        <v>80</v>
      </c>
      <c r="AF77" s="41" t="s">
        <v>76</v>
      </c>
      <c r="AG77" s="41" t="s">
        <v>76</v>
      </c>
      <c r="AH77" s="41" t="s">
        <v>76</v>
      </c>
      <c r="AI77" s="41" t="s">
        <v>76</v>
      </c>
      <c r="AJ77" s="41" t="s">
        <v>76</v>
      </c>
      <c r="AK77" s="41" t="s">
        <v>76</v>
      </c>
      <c r="AL77" t="str">
        <f>VLOOKUP($Q77,武学奇术!$A:$ZZ,25,FALSE)</f>
        <v>心法</v>
      </c>
      <c r="AM77" s="27">
        <f>VLOOKUP($Q77,武学奇术!$A:$ZZ,26,FALSE)</f>
        <v>0</v>
      </c>
      <c r="AN77" s="28">
        <f>VLOOKUP($Q77,武学奇术!$A:$ZZ,27,FALSE)*(1+IF(OR($AL77=$F$4,$AL77=$F$5),$B$22,0))</f>
        <v>0</v>
      </c>
      <c r="AO77" s="27">
        <f>VLOOKUP($Q77,武学奇术!$A:$ZZ,28,FALSE)</f>
        <v>0</v>
      </c>
      <c r="AP77" s="28">
        <f>VLOOKUP($Q77,武学奇术!$A:$ZZ,29,FALSE)*(1+IF(OR($AL77=$F$4,$AL77=$F$5),$B$22,0))</f>
        <v>0</v>
      </c>
      <c r="AQ77" s="27" cm="1">
        <f t="array" ref="AQ77">$G$3+IFERROR(VLOOKUP($AL77,$F$4:$G$7,2,FALSE),0)+VLOOKUP($Q77,武学奇术!$A:$ZZ,2,FALSE)+SUM(_xlfn.XLOOKUP($R77:$AK77,增益!$A:$A,增益!$B:$B,0))</f>
        <v>0.2042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1785.2</v>
      </c>
      <c r="AT77" cm="1">
        <f t="array" ref="AT77">$E$10*(1+$AR77)+VLOOKUP($Q77,武学奇术!$A:$ZZ,4,FALSE)+SUM(_xlfn.XLOOKUP($R77:$AK77,增益!$A:$A,增益!$D:$D,0))-$I$2</f>
        <v>6604.8</v>
      </c>
      <c r="AU77" s="33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0.1685</v>
      </c>
      <c r="AV77" s="33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3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3" cm="1">
        <f t="array" ref="BA77">$G$11+VLOOKUP($Q77,武学奇术!$A:$ZZ,10,FALSE)+SUM(_xlfn.XLOOKUP($R77:$AK77,增益!$A:$A,增益!$J:$J,0))</f>
        <v>0</v>
      </c>
      <c r="BB77">
        <f t="shared" si="14"/>
        <v>662.4</v>
      </c>
      <c r="BC77">
        <f t="shared" si="15"/>
        <v>1260</v>
      </c>
      <c r="BD77" s="33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3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33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3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33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3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1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0.5954</v>
      </c>
      <c r="BP77" s="27" cm="1">
        <f t="array" ref="BP77">1+$B$13+VLOOKUP($Q77,武学奇术!$A:$ZZ,18,FALSE)+SUM(_xlfn.XLOOKUP($R77:$AK77,增益!$A:$A,增益!$R:$R,0))</f>
        <v>1.644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0.1512</v>
      </c>
      <c r="BR77" s="27" cm="1">
        <f t="array" ref="BR77">1+$B$14+VLOOKUP($Q77,武学奇术!$A:$ZZ,20,FALSE)+SUM(_xlfn.XLOOKUP($R77:$AK77,增益!$A:$A,增益!$T:$T,0))</f>
        <v>1.35</v>
      </c>
      <c r="BS77" s="27">
        <f t="shared" si="20"/>
        <v>0.5954</v>
      </c>
      <c r="BT77" s="27">
        <f t="shared" si="21"/>
        <v>0.2534</v>
      </c>
      <c r="BU77" s="27">
        <f>IF(VLOOKUP($Q77,武学奇术!$A:$ZZ,22,FALSE)=1,0,(1-$BN77))*(1-$BQ77)</f>
        <v>0</v>
      </c>
      <c r="BV77" s="27" cm="1">
        <f t="array" ref="BV77">SUM(_xlfn.XLOOKUP($R77:$AK77,增益!$A:$A,增益!$W:$W,0))+$I$5</f>
        <v>0.11</v>
      </c>
    </row>
    <row r="78" spans="11:74">
      <c r="K78" s="39">
        <f t="shared" si="11"/>
        <v>0</v>
      </c>
      <c r="L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39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39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0">
        <v>1</v>
      </c>
      <c r="Q78" s="41" t="s">
        <v>76</v>
      </c>
      <c r="R78" s="41" t="s">
        <v>76</v>
      </c>
      <c r="S78" s="41" t="s">
        <v>76</v>
      </c>
      <c r="T78" s="41" t="s">
        <v>76</v>
      </c>
      <c r="U78" s="41" t="s">
        <v>76</v>
      </c>
      <c r="V78" s="41" t="s">
        <v>76</v>
      </c>
      <c r="W78" s="41" t="s">
        <v>76</v>
      </c>
      <c r="X78" s="41" t="s">
        <v>76</v>
      </c>
      <c r="Y78" s="41" t="s">
        <v>76</v>
      </c>
      <c r="Z78" s="41" t="s">
        <v>76</v>
      </c>
      <c r="AA78" s="41" t="s">
        <v>76</v>
      </c>
      <c r="AB78" s="41" t="s">
        <v>76</v>
      </c>
      <c r="AC78" s="41" t="s">
        <v>76</v>
      </c>
      <c r="AD78" s="41" t="s">
        <v>76</v>
      </c>
      <c r="AE78" s="41" t="s">
        <v>80</v>
      </c>
      <c r="AF78" s="41" t="s">
        <v>76</v>
      </c>
      <c r="AG78" s="41" t="s">
        <v>76</v>
      </c>
      <c r="AH78" s="41" t="s">
        <v>76</v>
      </c>
      <c r="AI78" s="41" t="s">
        <v>76</v>
      </c>
      <c r="AJ78" s="41" t="s">
        <v>76</v>
      </c>
      <c r="AK78" s="41" t="s">
        <v>76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VLOOKUP($Q78,武学奇术!$A:$ZZ,27,FALSE)*(1+IF(OR($AL78=$F$4,$AL78=$F$5),$B$22,0))</f>
        <v>0</v>
      </c>
      <c r="AO78" s="27">
        <f>VLOOKUP($Q78,武学奇术!$A:$ZZ,28,FALSE)</f>
        <v>0</v>
      </c>
      <c r="AP78" s="28">
        <f>VLOOKUP($Q78,武学奇术!$A:$ZZ,29,FALSE)*(1+IF(OR($AL78=$F$4,$AL78=$F$5),$B$22,0))</f>
        <v>0</v>
      </c>
      <c r="AQ78" s="27" cm="1">
        <f t="array" ref="AQ78">$G$3+IFERROR(VLOOKUP($AL78,$F$4:$G$7,2,FALSE),0)+VLOOKUP($Q78,武学奇术!$A:$ZZ,2,FALSE)+SUM(_xlfn.XLOOKUP($R78:$AK78,增益!$A:$A,增益!$B:$B,0))</f>
        <v>0.2042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1785.2</v>
      </c>
      <c r="AT78" cm="1">
        <f t="array" ref="AT78">$E$10*(1+$AR78)+VLOOKUP($Q78,武学奇术!$A:$ZZ,4,FALSE)+SUM(_xlfn.XLOOKUP($R78:$AK78,增益!$A:$A,增益!$D:$D,0))-$I$2</f>
        <v>6604.8</v>
      </c>
      <c r="AU78" s="33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0.1685</v>
      </c>
      <c r="AV78" s="33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3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3" cm="1">
        <f t="array" ref="BA78">$G$11+VLOOKUP($Q78,武学奇术!$A:$ZZ,10,FALSE)+SUM(_xlfn.XLOOKUP($R78:$AK78,增益!$A:$A,增益!$J:$J,0))</f>
        <v>0</v>
      </c>
      <c r="BB78">
        <f t="shared" si="14"/>
        <v>662.4</v>
      </c>
      <c r="BC78">
        <f t="shared" si="15"/>
        <v>1260</v>
      </c>
      <c r="BD78" s="33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3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33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3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33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3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1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0.5954</v>
      </c>
      <c r="BP78" s="27" cm="1">
        <f t="array" ref="BP78">1+$B$13+VLOOKUP($Q78,武学奇术!$A:$ZZ,18,FALSE)+SUM(_xlfn.XLOOKUP($R78:$AK78,增益!$A:$A,增益!$R:$R,0))</f>
        <v>1.644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0.1512</v>
      </c>
      <c r="BR78" s="27" cm="1">
        <f t="array" ref="BR78">1+$B$14+VLOOKUP($Q78,武学奇术!$A:$ZZ,20,FALSE)+SUM(_xlfn.XLOOKUP($R78:$AK78,增益!$A:$A,增益!$T:$T,0))</f>
        <v>1.35</v>
      </c>
      <c r="BS78" s="27">
        <f t="shared" si="20"/>
        <v>0.5954</v>
      </c>
      <c r="BT78" s="27">
        <f t="shared" si="21"/>
        <v>0.2534</v>
      </c>
      <c r="BU78" s="27">
        <f>IF(VLOOKUP($Q78,武学奇术!$A:$ZZ,22,FALSE)=1,0,(1-$BN78))*(1-$BQ78)</f>
        <v>0</v>
      </c>
      <c r="BV78" s="27" cm="1">
        <f t="array" ref="BV78">SUM(_xlfn.XLOOKUP($R78:$AK78,增益!$A:$A,增益!$W:$W,0))+$I$5</f>
        <v>0.11</v>
      </c>
    </row>
    <row r="79" spans="11:74">
      <c r="K79" s="39">
        <f t="shared" si="11"/>
        <v>0</v>
      </c>
      <c r="L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39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39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0">
        <v>1</v>
      </c>
      <c r="Q79" s="41" t="s">
        <v>76</v>
      </c>
      <c r="R79" s="41" t="s">
        <v>76</v>
      </c>
      <c r="S79" s="41" t="s">
        <v>76</v>
      </c>
      <c r="T79" s="41" t="s">
        <v>76</v>
      </c>
      <c r="U79" s="41" t="s">
        <v>76</v>
      </c>
      <c r="V79" s="41" t="s">
        <v>76</v>
      </c>
      <c r="W79" s="41" t="s">
        <v>76</v>
      </c>
      <c r="X79" s="41" t="s">
        <v>76</v>
      </c>
      <c r="Y79" s="41" t="s">
        <v>76</v>
      </c>
      <c r="Z79" s="41" t="s">
        <v>76</v>
      </c>
      <c r="AA79" s="41" t="s">
        <v>76</v>
      </c>
      <c r="AB79" s="41" t="s">
        <v>76</v>
      </c>
      <c r="AC79" s="41" t="s">
        <v>76</v>
      </c>
      <c r="AD79" s="41" t="s">
        <v>76</v>
      </c>
      <c r="AE79" s="41" t="s">
        <v>80</v>
      </c>
      <c r="AF79" s="41" t="s">
        <v>76</v>
      </c>
      <c r="AG79" s="41" t="s">
        <v>76</v>
      </c>
      <c r="AH79" s="41" t="s">
        <v>76</v>
      </c>
      <c r="AI79" s="41" t="s">
        <v>76</v>
      </c>
      <c r="AJ79" s="41" t="s">
        <v>76</v>
      </c>
      <c r="AK79" s="41" t="s">
        <v>76</v>
      </c>
      <c r="AL79" t="str">
        <f>VLOOKUP($Q79,武学奇术!$A:$ZZ,25,FALSE)</f>
        <v>心法</v>
      </c>
      <c r="AM79" s="27">
        <f>VLOOKUP($Q79,武学奇术!$A:$ZZ,26,FALSE)</f>
        <v>0</v>
      </c>
      <c r="AN79" s="28">
        <f>VLOOKUP($Q79,武学奇术!$A:$ZZ,27,FALSE)*(1+IF(OR($AL79=$F$4,$AL79=$F$5),$B$22,0))</f>
        <v>0</v>
      </c>
      <c r="AO79" s="27">
        <f>VLOOKUP($Q79,武学奇术!$A:$ZZ,28,FALSE)</f>
        <v>0</v>
      </c>
      <c r="AP79" s="28">
        <f>VLOOKUP($Q79,武学奇术!$A:$ZZ,29,FALSE)*(1+IF(OR($AL79=$F$4,$AL79=$F$5),$B$22,0))</f>
        <v>0</v>
      </c>
      <c r="AQ79" s="27" cm="1">
        <f t="array" ref="AQ79">$G$3+IFERROR(VLOOKUP($AL79,$F$4:$G$7,2,FALSE),0)+VLOOKUP($Q79,武学奇术!$A:$ZZ,2,FALSE)+SUM(_xlfn.XLOOKUP($R79:$AK79,增益!$A:$A,增益!$B:$B,0))</f>
        <v>0.2042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1785.2</v>
      </c>
      <c r="AT79" cm="1">
        <f t="array" ref="AT79">$E$10*(1+$AR79)+VLOOKUP($Q79,武学奇术!$A:$ZZ,4,FALSE)+SUM(_xlfn.XLOOKUP($R79:$AK79,增益!$A:$A,增益!$D:$D,0))-$I$2</f>
        <v>6604.8</v>
      </c>
      <c r="AU79" s="33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0.1685</v>
      </c>
      <c r="AV79" s="33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3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3" cm="1">
        <f t="array" ref="BA79">$G$11+VLOOKUP($Q79,武学奇术!$A:$ZZ,10,FALSE)+SUM(_xlfn.XLOOKUP($R79:$AK79,增益!$A:$A,增益!$J:$J,0))</f>
        <v>0</v>
      </c>
      <c r="BB79">
        <f t="shared" si="14"/>
        <v>662.4</v>
      </c>
      <c r="BC79">
        <f t="shared" si="15"/>
        <v>1260</v>
      </c>
      <c r="BD79" s="33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3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33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3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33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3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1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0.5954</v>
      </c>
      <c r="BP79" s="27" cm="1">
        <f t="array" ref="BP79">1+$B$13+VLOOKUP($Q79,武学奇术!$A:$ZZ,18,FALSE)+SUM(_xlfn.XLOOKUP($R79:$AK79,增益!$A:$A,增益!$R:$R,0))</f>
        <v>1.644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0.1512</v>
      </c>
      <c r="BR79" s="27" cm="1">
        <f t="array" ref="BR79">1+$B$14+VLOOKUP($Q79,武学奇术!$A:$ZZ,20,FALSE)+SUM(_xlfn.XLOOKUP($R79:$AK79,增益!$A:$A,增益!$T:$T,0))</f>
        <v>1.35</v>
      </c>
      <c r="BS79" s="27">
        <f t="shared" si="20"/>
        <v>0.5954</v>
      </c>
      <c r="BT79" s="27">
        <f t="shared" si="21"/>
        <v>0.2534</v>
      </c>
      <c r="BU79" s="27">
        <f>IF(VLOOKUP($Q79,武学奇术!$A:$ZZ,22,FALSE)=1,0,(1-$BN79))*(1-$BQ79)</f>
        <v>0</v>
      </c>
      <c r="BV79" s="27" cm="1">
        <f t="array" ref="BV79">SUM(_xlfn.XLOOKUP($R79:$AK79,增益!$A:$A,增益!$W:$W,0))+$I$5</f>
        <v>0.11</v>
      </c>
    </row>
    <row r="80" spans="11:74">
      <c r="K80" s="39">
        <f t="shared" si="11"/>
        <v>0</v>
      </c>
      <c r="L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39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39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0">
        <v>1</v>
      </c>
      <c r="Q80" s="41" t="s">
        <v>76</v>
      </c>
      <c r="R80" s="41" t="s">
        <v>76</v>
      </c>
      <c r="S80" s="41" t="s">
        <v>76</v>
      </c>
      <c r="T80" s="41" t="s">
        <v>76</v>
      </c>
      <c r="U80" s="41" t="s">
        <v>76</v>
      </c>
      <c r="V80" s="41" t="s">
        <v>76</v>
      </c>
      <c r="W80" s="41" t="s">
        <v>76</v>
      </c>
      <c r="X80" s="41" t="s">
        <v>76</v>
      </c>
      <c r="Y80" s="41" t="s">
        <v>76</v>
      </c>
      <c r="Z80" s="41" t="s">
        <v>76</v>
      </c>
      <c r="AA80" s="41" t="s">
        <v>76</v>
      </c>
      <c r="AB80" s="41" t="s">
        <v>76</v>
      </c>
      <c r="AC80" s="41" t="s">
        <v>76</v>
      </c>
      <c r="AD80" s="41" t="s">
        <v>76</v>
      </c>
      <c r="AE80" s="41" t="s">
        <v>80</v>
      </c>
      <c r="AF80" s="41" t="s">
        <v>76</v>
      </c>
      <c r="AG80" s="41" t="s">
        <v>76</v>
      </c>
      <c r="AH80" s="41" t="s">
        <v>76</v>
      </c>
      <c r="AI80" s="41" t="s">
        <v>76</v>
      </c>
      <c r="AJ80" s="41" t="s">
        <v>76</v>
      </c>
      <c r="AK80" s="41" t="s">
        <v>76</v>
      </c>
      <c r="AL80" t="str">
        <f>VLOOKUP($Q80,武学奇术!$A:$ZZ,25,FALSE)</f>
        <v>心法</v>
      </c>
      <c r="AM80" s="27">
        <f>VLOOKUP($Q80,武学奇术!$A:$ZZ,26,FALSE)</f>
        <v>0</v>
      </c>
      <c r="AN80" s="28">
        <f>VLOOKUP($Q80,武学奇术!$A:$ZZ,27,FALSE)*(1+IF(OR($AL80=$F$4,$AL80=$F$5),$B$22,0))</f>
        <v>0</v>
      </c>
      <c r="AO80" s="27">
        <f>VLOOKUP($Q80,武学奇术!$A:$ZZ,28,FALSE)</f>
        <v>0</v>
      </c>
      <c r="AP80" s="28">
        <f>VLOOKUP($Q80,武学奇术!$A:$ZZ,29,FALSE)*(1+IF(OR($AL80=$F$4,$AL80=$F$5),$B$22,0))</f>
        <v>0</v>
      </c>
      <c r="AQ80" s="27" cm="1">
        <f t="array" ref="AQ80">$G$3+IFERROR(VLOOKUP($AL80,$F$4:$G$7,2,FALSE),0)+VLOOKUP($Q80,武学奇术!$A:$ZZ,2,FALSE)+SUM(_xlfn.XLOOKUP($R80:$AK80,增益!$A:$A,增益!$B:$B,0))</f>
        <v>0.2042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1785.2</v>
      </c>
      <c r="AT80" cm="1">
        <f t="array" ref="AT80">$E$10*(1+$AR80)+VLOOKUP($Q80,武学奇术!$A:$ZZ,4,FALSE)+SUM(_xlfn.XLOOKUP($R80:$AK80,增益!$A:$A,增益!$D:$D,0))-$I$2</f>
        <v>6604.8</v>
      </c>
      <c r="AU80" s="33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0.1685</v>
      </c>
      <c r="AV80" s="33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3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3" cm="1">
        <f t="array" ref="BA80">$G$11+VLOOKUP($Q80,武学奇术!$A:$ZZ,10,FALSE)+SUM(_xlfn.XLOOKUP($R80:$AK80,增益!$A:$A,增益!$J:$J,0))</f>
        <v>0</v>
      </c>
      <c r="BB80">
        <f t="shared" si="14"/>
        <v>662.4</v>
      </c>
      <c r="BC80">
        <f t="shared" si="15"/>
        <v>1260</v>
      </c>
      <c r="BD80" s="33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3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33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3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33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3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1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0.5954</v>
      </c>
      <c r="BP80" s="27" cm="1">
        <f t="array" ref="BP80">1+$B$13+VLOOKUP($Q80,武学奇术!$A:$ZZ,18,FALSE)+SUM(_xlfn.XLOOKUP($R80:$AK80,增益!$A:$A,增益!$R:$R,0))</f>
        <v>1.644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0.1512</v>
      </c>
      <c r="BR80" s="27" cm="1">
        <f t="array" ref="BR80">1+$B$14+VLOOKUP($Q80,武学奇术!$A:$ZZ,20,FALSE)+SUM(_xlfn.XLOOKUP($R80:$AK80,增益!$A:$A,增益!$T:$T,0))</f>
        <v>1.35</v>
      </c>
      <c r="BS80" s="27">
        <f t="shared" si="20"/>
        <v>0.5954</v>
      </c>
      <c r="BT80" s="27">
        <f t="shared" si="21"/>
        <v>0.2534</v>
      </c>
      <c r="BU80" s="27">
        <f>IF(VLOOKUP($Q80,武学奇术!$A:$ZZ,22,FALSE)=1,0,(1-$BN80))*(1-$BQ80)</f>
        <v>0</v>
      </c>
      <c r="BV80" s="27" cm="1">
        <f t="array" ref="BV80">SUM(_xlfn.XLOOKUP($R80:$AK80,增益!$A:$A,增益!$W:$W,0))+$I$5</f>
        <v>0.11</v>
      </c>
    </row>
    <row r="81" spans="11:74">
      <c r="K81" s="39">
        <f t="shared" si="11"/>
        <v>0</v>
      </c>
      <c r="L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39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39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0">
        <v>1</v>
      </c>
      <c r="Q81" s="41" t="s">
        <v>76</v>
      </c>
      <c r="R81" s="41" t="s">
        <v>76</v>
      </c>
      <c r="S81" s="41" t="s">
        <v>76</v>
      </c>
      <c r="T81" s="41" t="s">
        <v>76</v>
      </c>
      <c r="U81" s="41" t="s">
        <v>76</v>
      </c>
      <c r="V81" s="41" t="s">
        <v>76</v>
      </c>
      <c r="W81" s="41" t="s">
        <v>76</v>
      </c>
      <c r="X81" s="41" t="s">
        <v>76</v>
      </c>
      <c r="Y81" s="41" t="s">
        <v>76</v>
      </c>
      <c r="Z81" s="41" t="s">
        <v>76</v>
      </c>
      <c r="AA81" s="41" t="s">
        <v>76</v>
      </c>
      <c r="AB81" s="41" t="s">
        <v>76</v>
      </c>
      <c r="AC81" s="41" t="s">
        <v>76</v>
      </c>
      <c r="AD81" s="41" t="s">
        <v>76</v>
      </c>
      <c r="AE81" s="41" t="s">
        <v>80</v>
      </c>
      <c r="AF81" s="41" t="s">
        <v>76</v>
      </c>
      <c r="AG81" s="41" t="s">
        <v>76</v>
      </c>
      <c r="AH81" s="41" t="s">
        <v>76</v>
      </c>
      <c r="AI81" s="41" t="s">
        <v>76</v>
      </c>
      <c r="AJ81" s="41" t="s">
        <v>76</v>
      </c>
      <c r="AK81" s="41" t="s">
        <v>76</v>
      </c>
      <c r="AL81" t="str">
        <f>VLOOKUP($Q81,武学奇术!$A:$ZZ,25,FALSE)</f>
        <v>心法</v>
      </c>
      <c r="AM81" s="27">
        <f>VLOOKUP($Q81,武学奇术!$A:$ZZ,26,FALSE)</f>
        <v>0</v>
      </c>
      <c r="AN81" s="28">
        <f>VLOOKUP($Q81,武学奇术!$A:$ZZ,27,FALSE)*(1+IF(OR($AL81=$F$4,$AL81=$F$5),$B$22,0))</f>
        <v>0</v>
      </c>
      <c r="AO81" s="27">
        <f>VLOOKUP($Q81,武学奇术!$A:$ZZ,28,FALSE)</f>
        <v>0</v>
      </c>
      <c r="AP81" s="28">
        <f>VLOOKUP($Q81,武学奇术!$A:$ZZ,29,FALSE)*(1+IF(OR($AL81=$F$4,$AL81=$F$5),$B$22,0))</f>
        <v>0</v>
      </c>
      <c r="AQ81" s="27" cm="1">
        <f t="array" ref="AQ81">$G$3+IFERROR(VLOOKUP($AL81,$F$4:$G$7,2,FALSE),0)+VLOOKUP($Q81,武学奇术!$A:$ZZ,2,FALSE)+SUM(_xlfn.XLOOKUP($R81:$AK81,增益!$A:$A,增益!$B:$B,0))</f>
        <v>0.2042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1785.2</v>
      </c>
      <c r="AT81" cm="1">
        <f t="array" ref="AT81">$E$10*(1+$AR81)+VLOOKUP($Q81,武学奇术!$A:$ZZ,4,FALSE)+SUM(_xlfn.XLOOKUP($R81:$AK81,增益!$A:$A,增益!$D:$D,0))-$I$2</f>
        <v>6604.8</v>
      </c>
      <c r="AU81" s="33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0.1685</v>
      </c>
      <c r="AV81" s="33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3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3" cm="1">
        <f t="array" ref="BA81">$G$11+VLOOKUP($Q81,武学奇术!$A:$ZZ,10,FALSE)+SUM(_xlfn.XLOOKUP($R81:$AK81,增益!$A:$A,增益!$J:$J,0))</f>
        <v>0</v>
      </c>
      <c r="BB81">
        <f t="shared" si="14"/>
        <v>662.4</v>
      </c>
      <c r="BC81">
        <f t="shared" si="15"/>
        <v>1260</v>
      </c>
      <c r="BD81" s="33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3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33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3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33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3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1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0.5954</v>
      </c>
      <c r="BP81" s="27" cm="1">
        <f t="array" ref="BP81">1+$B$13+VLOOKUP($Q81,武学奇术!$A:$ZZ,18,FALSE)+SUM(_xlfn.XLOOKUP($R81:$AK81,增益!$A:$A,增益!$R:$R,0))</f>
        <v>1.644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0.1512</v>
      </c>
      <c r="BR81" s="27" cm="1">
        <f t="array" ref="BR81">1+$B$14+VLOOKUP($Q81,武学奇术!$A:$ZZ,20,FALSE)+SUM(_xlfn.XLOOKUP($R81:$AK81,增益!$A:$A,增益!$T:$T,0))</f>
        <v>1.35</v>
      </c>
      <c r="BS81" s="27">
        <f t="shared" si="20"/>
        <v>0.5954</v>
      </c>
      <c r="BT81" s="27">
        <f t="shared" si="21"/>
        <v>0.2534</v>
      </c>
      <c r="BU81" s="27">
        <f>IF(VLOOKUP($Q81,武学奇术!$A:$ZZ,22,FALSE)=1,0,(1-$BN81))*(1-$BQ81)</f>
        <v>0</v>
      </c>
      <c r="BV81" s="27" cm="1">
        <f t="array" ref="BV81">SUM(_xlfn.XLOOKUP($R81:$AK81,增益!$A:$A,增益!$W:$W,0))+$I$5</f>
        <v>0.11</v>
      </c>
    </row>
    <row r="82" spans="11:74">
      <c r="K82" s="39">
        <f t="shared" si="11"/>
        <v>0</v>
      </c>
      <c r="L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39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39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0">
        <v>1</v>
      </c>
      <c r="Q82" s="41" t="s">
        <v>76</v>
      </c>
      <c r="R82" s="41" t="s">
        <v>76</v>
      </c>
      <c r="S82" s="41" t="s">
        <v>76</v>
      </c>
      <c r="T82" s="41" t="s">
        <v>76</v>
      </c>
      <c r="U82" s="41" t="s">
        <v>76</v>
      </c>
      <c r="V82" s="41" t="s">
        <v>76</v>
      </c>
      <c r="W82" s="41" t="s">
        <v>76</v>
      </c>
      <c r="X82" s="41" t="s">
        <v>76</v>
      </c>
      <c r="Y82" s="41" t="s">
        <v>76</v>
      </c>
      <c r="Z82" s="41" t="s">
        <v>76</v>
      </c>
      <c r="AA82" s="41" t="s">
        <v>76</v>
      </c>
      <c r="AB82" s="41" t="s">
        <v>76</v>
      </c>
      <c r="AC82" s="41" t="s">
        <v>76</v>
      </c>
      <c r="AD82" s="41" t="s">
        <v>76</v>
      </c>
      <c r="AE82" s="41" t="s">
        <v>80</v>
      </c>
      <c r="AF82" s="41" t="s">
        <v>76</v>
      </c>
      <c r="AG82" s="41" t="s">
        <v>76</v>
      </c>
      <c r="AH82" s="41" t="s">
        <v>76</v>
      </c>
      <c r="AI82" s="41" t="s">
        <v>76</v>
      </c>
      <c r="AJ82" s="41" t="s">
        <v>76</v>
      </c>
      <c r="AK82" s="41" t="s">
        <v>76</v>
      </c>
      <c r="AL82" t="str">
        <f>VLOOKUP($Q82,武学奇术!$A:$ZZ,25,FALSE)</f>
        <v>心法</v>
      </c>
      <c r="AM82" s="27">
        <f>VLOOKUP($Q82,武学奇术!$A:$ZZ,26,FALSE)</f>
        <v>0</v>
      </c>
      <c r="AN82" s="28">
        <f>VLOOKUP($Q82,武学奇术!$A:$ZZ,27,FALSE)*(1+IF(OR($AL82=$F$4,$AL82=$F$5),$B$22,0))</f>
        <v>0</v>
      </c>
      <c r="AO82" s="27">
        <f>VLOOKUP($Q82,武学奇术!$A:$ZZ,28,FALSE)</f>
        <v>0</v>
      </c>
      <c r="AP82" s="28">
        <f>VLOOKUP($Q82,武学奇术!$A:$ZZ,29,FALSE)*(1+IF(OR($AL82=$F$4,$AL82=$F$5),$B$22,0))</f>
        <v>0</v>
      </c>
      <c r="AQ82" s="27" cm="1">
        <f t="array" ref="AQ82">$G$3+IFERROR(VLOOKUP($AL82,$F$4:$G$7,2,FALSE),0)+VLOOKUP($Q82,武学奇术!$A:$ZZ,2,FALSE)+SUM(_xlfn.XLOOKUP($R82:$AK82,增益!$A:$A,增益!$B:$B,0))</f>
        <v>0.2042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1785.2</v>
      </c>
      <c r="AT82" cm="1">
        <f t="array" ref="AT82">$E$10*(1+$AR82)+VLOOKUP($Q82,武学奇术!$A:$ZZ,4,FALSE)+SUM(_xlfn.XLOOKUP($R82:$AK82,增益!$A:$A,增益!$D:$D,0))-$I$2</f>
        <v>6604.8</v>
      </c>
      <c r="AU82" s="33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0.1685</v>
      </c>
      <c r="AV82" s="33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3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3" cm="1">
        <f t="array" ref="BA82">$G$11+VLOOKUP($Q82,武学奇术!$A:$ZZ,10,FALSE)+SUM(_xlfn.XLOOKUP($R82:$AK82,增益!$A:$A,增益!$J:$J,0))</f>
        <v>0</v>
      </c>
      <c r="BB82">
        <f t="shared" si="14"/>
        <v>662.4</v>
      </c>
      <c r="BC82">
        <f t="shared" si="15"/>
        <v>1260</v>
      </c>
      <c r="BD82" s="33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3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33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3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33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3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1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0.5954</v>
      </c>
      <c r="BP82" s="27" cm="1">
        <f t="array" ref="BP82">1+$B$13+VLOOKUP($Q82,武学奇术!$A:$ZZ,18,FALSE)+SUM(_xlfn.XLOOKUP($R82:$AK82,增益!$A:$A,增益!$R:$R,0))</f>
        <v>1.644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0.1512</v>
      </c>
      <c r="BR82" s="27" cm="1">
        <f t="array" ref="BR82">1+$B$14+VLOOKUP($Q82,武学奇术!$A:$ZZ,20,FALSE)+SUM(_xlfn.XLOOKUP($R82:$AK82,增益!$A:$A,增益!$T:$T,0))</f>
        <v>1.35</v>
      </c>
      <c r="BS82" s="27">
        <f t="shared" si="20"/>
        <v>0.5954</v>
      </c>
      <c r="BT82" s="27">
        <f t="shared" si="21"/>
        <v>0.2534</v>
      </c>
      <c r="BU82" s="27">
        <f>IF(VLOOKUP($Q82,武学奇术!$A:$ZZ,22,FALSE)=1,0,(1-$BN82))*(1-$BQ82)</f>
        <v>0</v>
      </c>
      <c r="BV82" s="27" cm="1">
        <f t="array" ref="BV82">SUM(_xlfn.XLOOKUP($R82:$AK82,增益!$A:$A,增益!$W:$W,0))+$I$5</f>
        <v>0.11</v>
      </c>
    </row>
    <row r="83" spans="11:74">
      <c r="K83" s="39">
        <f t="shared" si="11"/>
        <v>0</v>
      </c>
      <c r="L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39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39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0">
        <v>1</v>
      </c>
      <c r="Q83" s="41" t="s">
        <v>76</v>
      </c>
      <c r="R83" s="41" t="s">
        <v>76</v>
      </c>
      <c r="S83" s="41" t="s">
        <v>76</v>
      </c>
      <c r="T83" s="41" t="s">
        <v>76</v>
      </c>
      <c r="U83" s="41" t="s">
        <v>76</v>
      </c>
      <c r="V83" s="41" t="s">
        <v>76</v>
      </c>
      <c r="W83" s="41" t="s">
        <v>76</v>
      </c>
      <c r="X83" s="41" t="s">
        <v>76</v>
      </c>
      <c r="Y83" s="41" t="s">
        <v>76</v>
      </c>
      <c r="Z83" s="41" t="s">
        <v>76</v>
      </c>
      <c r="AA83" s="41" t="s">
        <v>76</v>
      </c>
      <c r="AB83" s="41" t="s">
        <v>76</v>
      </c>
      <c r="AC83" s="41" t="s">
        <v>76</v>
      </c>
      <c r="AD83" s="41" t="s">
        <v>76</v>
      </c>
      <c r="AE83" s="41" t="s">
        <v>80</v>
      </c>
      <c r="AF83" s="41" t="s">
        <v>76</v>
      </c>
      <c r="AG83" s="41" t="s">
        <v>76</v>
      </c>
      <c r="AH83" s="41" t="s">
        <v>76</v>
      </c>
      <c r="AI83" s="41" t="s">
        <v>76</v>
      </c>
      <c r="AJ83" s="41" t="s">
        <v>76</v>
      </c>
      <c r="AK83" s="41" t="s">
        <v>76</v>
      </c>
      <c r="AL83" t="str">
        <f>VLOOKUP($Q83,武学奇术!$A:$ZZ,25,FALSE)</f>
        <v>心法</v>
      </c>
      <c r="AM83" s="27">
        <f>VLOOKUP($Q83,武学奇术!$A:$ZZ,26,FALSE)</f>
        <v>0</v>
      </c>
      <c r="AN83" s="28">
        <f>VLOOKUP($Q83,武学奇术!$A:$ZZ,27,FALSE)*(1+IF(OR($AL83=$F$4,$AL83=$F$5),$B$22,0))</f>
        <v>0</v>
      </c>
      <c r="AO83" s="27">
        <f>VLOOKUP($Q83,武学奇术!$A:$ZZ,28,FALSE)</f>
        <v>0</v>
      </c>
      <c r="AP83" s="28">
        <f>VLOOKUP($Q83,武学奇术!$A:$ZZ,29,FALSE)*(1+IF(OR($AL83=$F$4,$AL83=$F$5),$B$22,0))</f>
        <v>0</v>
      </c>
      <c r="AQ83" s="27" cm="1">
        <f t="array" ref="AQ83">$G$3+IFERROR(VLOOKUP($AL83,$F$4:$G$7,2,FALSE),0)+VLOOKUP($Q83,武学奇术!$A:$ZZ,2,FALSE)+SUM(_xlfn.XLOOKUP($R83:$AK83,增益!$A:$A,增益!$B:$B,0))</f>
        <v>0.2042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1785.2</v>
      </c>
      <c r="AT83" cm="1">
        <f t="array" ref="AT83">$E$10*(1+$AR83)+VLOOKUP($Q83,武学奇术!$A:$ZZ,4,FALSE)+SUM(_xlfn.XLOOKUP($R83:$AK83,增益!$A:$A,增益!$D:$D,0))-$I$2</f>
        <v>6604.8</v>
      </c>
      <c r="AU83" s="33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0.1685</v>
      </c>
      <c r="AV83" s="33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3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3" cm="1">
        <f t="array" ref="BA83">$G$11+VLOOKUP($Q83,武学奇术!$A:$ZZ,10,FALSE)+SUM(_xlfn.XLOOKUP($R83:$AK83,增益!$A:$A,增益!$J:$J,0))</f>
        <v>0</v>
      </c>
      <c r="BB83">
        <f t="shared" si="14"/>
        <v>662.4</v>
      </c>
      <c r="BC83">
        <f t="shared" si="15"/>
        <v>1260</v>
      </c>
      <c r="BD83" s="33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3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33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3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33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3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0.5954</v>
      </c>
      <c r="BP83" s="27" cm="1">
        <f t="array" ref="BP83">1+$B$13+VLOOKUP($Q83,武学奇术!$A:$ZZ,18,FALSE)+SUM(_xlfn.XLOOKUP($R83:$AK83,增益!$A:$A,增益!$R:$R,0))</f>
        <v>1.644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0.1512</v>
      </c>
      <c r="BR83" s="27" cm="1">
        <f t="array" ref="BR83">1+$B$14+VLOOKUP($Q83,武学奇术!$A:$ZZ,20,FALSE)+SUM(_xlfn.XLOOKUP($R83:$AK83,增益!$A:$A,增益!$T:$T,0))</f>
        <v>1.35</v>
      </c>
      <c r="BS83" s="27">
        <f t="shared" si="20"/>
        <v>0.5954</v>
      </c>
      <c r="BT83" s="27">
        <f t="shared" si="21"/>
        <v>0.2534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1:74">
      <c r="K84" s="39">
        <f t="shared" si="11"/>
        <v>0</v>
      </c>
      <c r="L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39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39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0">
        <v>1</v>
      </c>
      <c r="Q84" s="41" t="s">
        <v>76</v>
      </c>
      <c r="R84" s="41" t="s">
        <v>76</v>
      </c>
      <c r="S84" s="41" t="s">
        <v>76</v>
      </c>
      <c r="T84" s="41" t="s">
        <v>76</v>
      </c>
      <c r="U84" s="41" t="s">
        <v>76</v>
      </c>
      <c r="V84" s="41" t="s">
        <v>76</v>
      </c>
      <c r="W84" s="41" t="s">
        <v>76</v>
      </c>
      <c r="X84" s="41" t="s">
        <v>76</v>
      </c>
      <c r="Y84" s="41" t="s">
        <v>76</v>
      </c>
      <c r="Z84" s="41" t="s">
        <v>76</v>
      </c>
      <c r="AA84" s="41" t="s">
        <v>76</v>
      </c>
      <c r="AB84" s="41" t="s">
        <v>76</v>
      </c>
      <c r="AC84" s="41" t="s">
        <v>76</v>
      </c>
      <c r="AD84" s="41" t="s">
        <v>76</v>
      </c>
      <c r="AE84" s="41" t="s">
        <v>80</v>
      </c>
      <c r="AF84" s="41" t="s">
        <v>76</v>
      </c>
      <c r="AG84" s="41" t="s">
        <v>76</v>
      </c>
      <c r="AH84" s="41" t="s">
        <v>76</v>
      </c>
      <c r="AI84" s="41" t="s">
        <v>76</v>
      </c>
      <c r="AJ84" s="41" t="s">
        <v>76</v>
      </c>
      <c r="AK84" s="41" t="s">
        <v>76</v>
      </c>
      <c r="AL84" t="str">
        <f>VLOOKUP($Q84,武学奇术!$A:$ZZ,25,FALSE)</f>
        <v>心法</v>
      </c>
      <c r="AM84" s="27">
        <f>VLOOKUP($Q84,武学奇术!$A:$ZZ,26,FALSE)</f>
        <v>0</v>
      </c>
      <c r="AN84" s="28">
        <f>VLOOKUP($Q84,武学奇术!$A:$ZZ,27,FALSE)*(1+IF(OR($AL84=$F$4,$AL84=$F$5),$B$22,0))</f>
        <v>0</v>
      </c>
      <c r="AO84" s="27">
        <f>VLOOKUP($Q84,武学奇术!$A:$ZZ,28,FALSE)</f>
        <v>0</v>
      </c>
      <c r="AP84" s="28">
        <f>VLOOKUP($Q84,武学奇术!$A:$ZZ,29,FALSE)*(1+IF(OR($AL84=$F$4,$AL84=$F$5),$B$22,0))</f>
        <v>0</v>
      </c>
      <c r="AQ84" s="27" cm="1">
        <f t="array" ref="AQ84">$G$3+IFERROR(VLOOKUP($AL84,$F$4:$G$7,2,FALSE),0)+VLOOKUP($Q84,武学奇术!$A:$ZZ,2,FALSE)+SUM(_xlfn.XLOOKUP($R84:$AK84,增益!$A:$A,增益!$B:$B,0))</f>
        <v>0.2042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1785.2</v>
      </c>
      <c r="AT84" cm="1">
        <f t="array" ref="AT84">$E$10*(1+$AR84)+VLOOKUP($Q84,武学奇术!$A:$ZZ,4,FALSE)+SUM(_xlfn.XLOOKUP($R84:$AK84,增益!$A:$A,增益!$D:$D,0))-$I$2</f>
        <v>6604.8</v>
      </c>
      <c r="AU84" s="33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0.1685</v>
      </c>
      <c r="AV84" s="33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3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3" cm="1">
        <f t="array" ref="BA84">$G$11+VLOOKUP($Q84,武学奇术!$A:$ZZ,10,FALSE)+SUM(_xlfn.XLOOKUP($R84:$AK84,增益!$A:$A,增益!$J:$J,0))</f>
        <v>0</v>
      </c>
      <c r="BB84">
        <f t="shared" si="14"/>
        <v>662.4</v>
      </c>
      <c r="BC84">
        <f t="shared" si="15"/>
        <v>1260</v>
      </c>
      <c r="BD84" s="33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3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33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3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33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3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0.5954</v>
      </c>
      <c r="BP84" s="27" cm="1">
        <f t="array" ref="BP84">1+$B$13+VLOOKUP($Q84,武学奇术!$A:$ZZ,18,FALSE)+SUM(_xlfn.XLOOKUP($R84:$AK84,增益!$A:$A,增益!$R:$R,0))</f>
        <v>1.644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0.1512</v>
      </c>
      <c r="BR84" s="27" cm="1">
        <f t="array" ref="BR84">1+$B$14+VLOOKUP($Q84,武学奇术!$A:$ZZ,20,FALSE)+SUM(_xlfn.XLOOKUP($R84:$AK84,增益!$A:$A,增益!$T:$T,0))</f>
        <v>1.35</v>
      </c>
      <c r="BS84" s="27">
        <f t="shared" si="20"/>
        <v>0.5954</v>
      </c>
      <c r="BT84" s="27">
        <f t="shared" si="21"/>
        <v>0.2534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1:74">
      <c r="K85" s="39">
        <f t="shared" si="11"/>
        <v>0</v>
      </c>
      <c r="L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39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39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0">
        <v>1</v>
      </c>
      <c r="Q85" s="41" t="s">
        <v>76</v>
      </c>
      <c r="R85" s="41" t="s">
        <v>76</v>
      </c>
      <c r="S85" s="41" t="s">
        <v>76</v>
      </c>
      <c r="T85" s="41" t="s">
        <v>76</v>
      </c>
      <c r="U85" s="41" t="s">
        <v>76</v>
      </c>
      <c r="V85" s="41" t="s">
        <v>76</v>
      </c>
      <c r="W85" s="41" t="s">
        <v>76</v>
      </c>
      <c r="X85" s="41" t="s">
        <v>76</v>
      </c>
      <c r="Y85" s="41" t="s">
        <v>76</v>
      </c>
      <c r="Z85" s="41" t="s">
        <v>76</v>
      </c>
      <c r="AA85" s="41" t="s">
        <v>76</v>
      </c>
      <c r="AB85" s="41" t="s">
        <v>76</v>
      </c>
      <c r="AC85" s="41" t="s">
        <v>76</v>
      </c>
      <c r="AD85" s="41" t="s">
        <v>76</v>
      </c>
      <c r="AE85" s="41" t="s">
        <v>80</v>
      </c>
      <c r="AF85" s="41" t="s">
        <v>76</v>
      </c>
      <c r="AG85" s="41" t="s">
        <v>76</v>
      </c>
      <c r="AH85" s="41" t="s">
        <v>76</v>
      </c>
      <c r="AI85" s="41" t="s">
        <v>76</v>
      </c>
      <c r="AJ85" s="41" t="s">
        <v>76</v>
      </c>
      <c r="AK85" s="41" t="s">
        <v>76</v>
      </c>
      <c r="AL85" t="str">
        <f>VLOOKUP($Q85,武学奇术!$A:$ZZ,25,FALSE)</f>
        <v>心法</v>
      </c>
      <c r="AM85" s="27">
        <f>VLOOKUP($Q85,武学奇术!$A:$ZZ,26,FALSE)</f>
        <v>0</v>
      </c>
      <c r="AN85" s="28">
        <f>VLOOKUP($Q85,武学奇术!$A:$ZZ,27,FALSE)*(1+IF(OR($AL85=$F$4,$AL85=$F$5),$B$22,0))</f>
        <v>0</v>
      </c>
      <c r="AO85" s="27">
        <f>VLOOKUP($Q85,武学奇术!$A:$ZZ,28,FALSE)</f>
        <v>0</v>
      </c>
      <c r="AP85" s="28">
        <f>VLOOKUP($Q85,武学奇术!$A:$ZZ,29,FALSE)*(1+IF(OR($AL85=$F$4,$AL85=$F$5),$B$22,0))</f>
        <v>0</v>
      </c>
      <c r="AQ85" s="27" cm="1">
        <f t="array" ref="AQ85">$G$3+IFERROR(VLOOKUP($AL85,$F$4:$G$7,2,FALSE),0)+VLOOKUP($Q85,武学奇术!$A:$ZZ,2,FALSE)+SUM(_xlfn.XLOOKUP($R85:$AK85,增益!$A:$A,增益!$B:$B,0))</f>
        <v>0.2042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1785.2</v>
      </c>
      <c r="AT85" cm="1">
        <f t="array" ref="AT85">$E$10*(1+$AR85)+VLOOKUP($Q85,武学奇术!$A:$ZZ,4,FALSE)+SUM(_xlfn.XLOOKUP($R85:$AK85,增益!$A:$A,增益!$D:$D,0))-$I$2</f>
        <v>6604.8</v>
      </c>
      <c r="AU85" s="33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0.1685</v>
      </c>
      <c r="AV85" s="33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3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3" cm="1">
        <f t="array" ref="BA85">$G$11+VLOOKUP($Q85,武学奇术!$A:$ZZ,10,FALSE)+SUM(_xlfn.XLOOKUP($R85:$AK85,增益!$A:$A,增益!$J:$J,0))</f>
        <v>0</v>
      </c>
      <c r="BB85">
        <f t="shared" si="14"/>
        <v>662.4</v>
      </c>
      <c r="BC85">
        <f t="shared" si="15"/>
        <v>1260</v>
      </c>
      <c r="BD85" s="33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3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33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3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33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3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0.5954</v>
      </c>
      <c r="BP85" s="27" cm="1">
        <f t="array" ref="BP85">1+$B$13+VLOOKUP($Q85,武学奇术!$A:$ZZ,18,FALSE)+SUM(_xlfn.XLOOKUP($R85:$AK85,增益!$A:$A,增益!$R:$R,0))</f>
        <v>1.644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0.1512</v>
      </c>
      <c r="BR85" s="27" cm="1">
        <f t="array" ref="BR85">1+$B$14+VLOOKUP($Q85,武学奇术!$A:$ZZ,20,FALSE)+SUM(_xlfn.XLOOKUP($R85:$AK85,增益!$A:$A,增益!$T:$T,0))</f>
        <v>1.35</v>
      </c>
      <c r="BS85" s="27">
        <f t="shared" si="20"/>
        <v>0.5954</v>
      </c>
      <c r="BT85" s="27">
        <f t="shared" si="21"/>
        <v>0.2534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1:74">
      <c r="K86" s="39">
        <f t="shared" si="11"/>
        <v>0</v>
      </c>
      <c r="L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39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39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0">
        <v>1</v>
      </c>
      <c r="Q86" s="41" t="s">
        <v>76</v>
      </c>
      <c r="R86" s="41" t="s">
        <v>76</v>
      </c>
      <c r="S86" s="41" t="s">
        <v>76</v>
      </c>
      <c r="T86" s="41" t="s">
        <v>76</v>
      </c>
      <c r="U86" s="41" t="s">
        <v>76</v>
      </c>
      <c r="V86" s="41" t="s">
        <v>76</v>
      </c>
      <c r="W86" s="41" t="s">
        <v>76</v>
      </c>
      <c r="X86" s="41" t="s">
        <v>76</v>
      </c>
      <c r="Y86" s="41" t="s">
        <v>76</v>
      </c>
      <c r="Z86" s="41" t="s">
        <v>76</v>
      </c>
      <c r="AA86" s="41" t="s">
        <v>76</v>
      </c>
      <c r="AB86" s="41" t="s">
        <v>76</v>
      </c>
      <c r="AC86" s="41" t="s">
        <v>76</v>
      </c>
      <c r="AD86" s="41" t="s">
        <v>76</v>
      </c>
      <c r="AE86" s="41" t="s">
        <v>80</v>
      </c>
      <c r="AF86" s="41" t="s">
        <v>76</v>
      </c>
      <c r="AG86" s="41" t="s">
        <v>76</v>
      </c>
      <c r="AH86" s="41" t="s">
        <v>76</v>
      </c>
      <c r="AI86" s="41" t="s">
        <v>76</v>
      </c>
      <c r="AJ86" s="41" t="s">
        <v>76</v>
      </c>
      <c r="AK86" s="41" t="s">
        <v>76</v>
      </c>
      <c r="AL86" t="str">
        <f>VLOOKUP($Q86,武学奇术!$A:$ZZ,25,FALSE)</f>
        <v>心法</v>
      </c>
      <c r="AM86" s="27">
        <f>VLOOKUP($Q86,武学奇术!$A:$ZZ,26,FALSE)</f>
        <v>0</v>
      </c>
      <c r="AN86" s="28">
        <f>VLOOKUP($Q86,武学奇术!$A:$ZZ,27,FALSE)*(1+IF(OR($AL86=$F$4,$AL86=$F$5),$B$22,0))</f>
        <v>0</v>
      </c>
      <c r="AO86" s="27">
        <f>VLOOKUP($Q86,武学奇术!$A:$ZZ,28,FALSE)</f>
        <v>0</v>
      </c>
      <c r="AP86" s="28">
        <f>VLOOKUP($Q86,武学奇术!$A:$ZZ,29,FALSE)*(1+IF(OR($AL86=$F$4,$AL86=$F$5),$B$22,0))</f>
        <v>0</v>
      </c>
      <c r="AQ86" s="27" cm="1">
        <f t="array" ref="AQ86">$G$3+IFERROR(VLOOKUP($AL86,$F$4:$G$7,2,FALSE),0)+VLOOKUP($Q86,武学奇术!$A:$ZZ,2,FALSE)+SUM(_xlfn.XLOOKUP($R86:$AK86,增益!$A:$A,增益!$B:$B,0))</f>
        <v>0.2042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1785.2</v>
      </c>
      <c r="AT86" cm="1">
        <f t="array" ref="AT86">$E$10*(1+$AR86)+VLOOKUP($Q86,武学奇术!$A:$ZZ,4,FALSE)+SUM(_xlfn.XLOOKUP($R86:$AK86,增益!$A:$A,增益!$D:$D,0))-$I$2</f>
        <v>6604.8</v>
      </c>
      <c r="AU86" s="33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0.1685</v>
      </c>
      <c r="AV86" s="33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3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3" cm="1">
        <f t="array" ref="BA86">$G$11+VLOOKUP($Q86,武学奇术!$A:$ZZ,10,FALSE)+SUM(_xlfn.XLOOKUP($R86:$AK86,增益!$A:$A,增益!$J:$J,0))</f>
        <v>0</v>
      </c>
      <c r="BB86">
        <f t="shared" si="14"/>
        <v>662.4</v>
      </c>
      <c r="BC86">
        <f t="shared" si="15"/>
        <v>1260</v>
      </c>
      <c r="BD86" s="33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3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33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3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33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3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0.5954</v>
      </c>
      <c r="BP86" s="27" cm="1">
        <f t="array" ref="BP86">1+$B$13+VLOOKUP($Q86,武学奇术!$A:$ZZ,18,FALSE)+SUM(_xlfn.XLOOKUP($R86:$AK86,增益!$A:$A,增益!$R:$R,0))</f>
        <v>1.644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0.1512</v>
      </c>
      <c r="BR86" s="27" cm="1">
        <f t="array" ref="BR86">1+$B$14+VLOOKUP($Q86,武学奇术!$A:$ZZ,20,FALSE)+SUM(_xlfn.XLOOKUP($R86:$AK86,增益!$A:$A,增益!$T:$T,0))</f>
        <v>1.35</v>
      </c>
      <c r="BS86" s="27">
        <f t="shared" si="20"/>
        <v>0.5954</v>
      </c>
      <c r="BT86" s="27">
        <f t="shared" si="21"/>
        <v>0.2534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1:74">
      <c r="K87" s="39">
        <f t="shared" si="11"/>
        <v>0</v>
      </c>
      <c r="L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39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39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0">
        <v>1</v>
      </c>
      <c r="Q87" s="41" t="s">
        <v>76</v>
      </c>
      <c r="R87" s="41" t="s">
        <v>76</v>
      </c>
      <c r="S87" s="41" t="s">
        <v>76</v>
      </c>
      <c r="T87" s="41" t="s">
        <v>76</v>
      </c>
      <c r="U87" s="41" t="s">
        <v>76</v>
      </c>
      <c r="V87" s="41" t="s">
        <v>76</v>
      </c>
      <c r="W87" s="41" t="s">
        <v>76</v>
      </c>
      <c r="X87" s="41" t="s">
        <v>76</v>
      </c>
      <c r="Y87" s="41" t="s">
        <v>76</v>
      </c>
      <c r="Z87" s="41" t="s">
        <v>76</v>
      </c>
      <c r="AA87" s="41" t="s">
        <v>76</v>
      </c>
      <c r="AB87" s="41" t="s">
        <v>76</v>
      </c>
      <c r="AC87" s="41" t="s">
        <v>76</v>
      </c>
      <c r="AD87" s="41" t="s">
        <v>76</v>
      </c>
      <c r="AE87" s="41" t="s">
        <v>80</v>
      </c>
      <c r="AF87" s="41" t="s">
        <v>76</v>
      </c>
      <c r="AG87" s="41" t="s">
        <v>76</v>
      </c>
      <c r="AH87" s="41" t="s">
        <v>76</v>
      </c>
      <c r="AI87" s="41" t="s">
        <v>76</v>
      </c>
      <c r="AJ87" s="41" t="s">
        <v>76</v>
      </c>
      <c r="AK87" s="41" t="s">
        <v>76</v>
      </c>
      <c r="AL87" t="str">
        <f>VLOOKUP($Q87,武学奇术!$A:$ZZ,25,FALSE)</f>
        <v>心法</v>
      </c>
      <c r="AM87" s="27">
        <f>VLOOKUP($Q87,武学奇术!$A:$ZZ,26,FALSE)</f>
        <v>0</v>
      </c>
      <c r="AN87" s="28">
        <f>VLOOKUP($Q87,武学奇术!$A:$ZZ,27,FALSE)*(1+IF(OR($AL87=$F$4,$AL87=$F$5),$B$22,0))</f>
        <v>0</v>
      </c>
      <c r="AO87" s="27">
        <f>VLOOKUP($Q87,武学奇术!$A:$ZZ,28,FALSE)</f>
        <v>0</v>
      </c>
      <c r="AP87" s="28">
        <f>VLOOKUP($Q87,武学奇术!$A:$ZZ,29,FALSE)*(1+IF(OR($AL87=$F$4,$AL87=$F$5),$B$22,0))</f>
        <v>0</v>
      </c>
      <c r="AQ87" s="27" cm="1">
        <f t="array" ref="AQ87">$G$3+IFERROR(VLOOKUP($AL87,$F$4:$G$7,2,FALSE),0)+VLOOKUP($Q87,武学奇术!$A:$ZZ,2,FALSE)+SUM(_xlfn.XLOOKUP($R87:$AK87,增益!$A:$A,增益!$B:$B,0))</f>
        <v>0.2042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1785.2</v>
      </c>
      <c r="AT87" cm="1">
        <f t="array" ref="AT87">$E$10*(1+$AR87)+VLOOKUP($Q87,武学奇术!$A:$ZZ,4,FALSE)+SUM(_xlfn.XLOOKUP($R87:$AK87,增益!$A:$A,增益!$D:$D,0))-$I$2</f>
        <v>6604.8</v>
      </c>
      <c r="AU87" s="33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0.1685</v>
      </c>
      <c r="AV87" s="33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3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3" cm="1">
        <f t="array" ref="BA87">$G$11+VLOOKUP($Q87,武学奇术!$A:$ZZ,10,FALSE)+SUM(_xlfn.XLOOKUP($R87:$AK87,增益!$A:$A,增益!$J:$J,0))</f>
        <v>0</v>
      </c>
      <c r="BB87">
        <f t="shared" si="14"/>
        <v>662.4</v>
      </c>
      <c r="BC87">
        <f t="shared" si="15"/>
        <v>1260</v>
      </c>
      <c r="BD87" s="33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3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33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3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33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3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0.5954</v>
      </c>
      <c r="BP87" s="27" cm="1">
        <f t="array" ref="BP87">1+$B$13+VLOOKUP($Q87,武学奇术!$A:$ZZ,18,FALSE)+SUM(_xlfn.XLOOKUP($R87:$AK87,增益!$A:$A,增益!$R:$R,0))</f>
        <v>1.644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0.1512</v>
      </c>
      <c r="BR87" s="27" cm="1">
        <f t="array" ref="BR87">1+$B$14+VLOOKUP($Q87,武学奇术!$A:$ZZ,20,FALSE)+SUM(_xlfn.XLOOKUP($R87:$AK87,增益!$A:$A,增益!$T:$T,0))</f>
        <v>1.35</v>
      </c>
      <c r="BS87" s="27">
        <f t="shared" si="20"/>
        <v>0.5954</v>
      </c>
      <c r="BT87" s="27">
        <f t="shared" si="21"/>
        <v>0.2534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1:74">
      <c r="K88" s="39">
        <f t="shared" si="11"/>
        <v>0</v>
      </c>
      <c r="L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39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39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0">
        <v>1</v>
      </c>
      <c r="Q88" s="41" t="s">
        <v>76</v>
      </c>
      <c r="R88" s="41" t="s">
        <v>76</v>
      </c>
      <c r="S88" s="41" t="s">
        <v>76</v>
      </c>
      <c r="T88" s="41" t="s">
        <v>76</v>
      </c>
      <c r="U88" s="41" t="s">
        <v>76</v>
      </c>
      <c r="V88" s="41" t="s">
        <v>76</v>
      </c>
      <c r="W88" s="41" t="s">
        <v>76</v>
      </c>
      <c r="X88" s="41" t="s">
        <v>76</v>
      </c>
      <c r="Y88" s="41" t="s">
        <v>76</v>
      </c>
      <c r="Z88" s="41" t="s">
        <v>76</v>
      </c>
      <c r="AA88" s="41" t="s">
        <v>76</v>
      </c>
      <c r="AB88" s="41" t="s">
        <v>76</v>
      </c>
      <c r="AC88" s="41" t="s">
        <v>76</v>
      </c>
      <c r="AD88" s="41" t="s">
        <v>76</v>
      </c>
      <c r="AE88" s="41" t="s">
        <v>80</v>
      </c>
      <c r="AF88" s="41" t="s">
        <v>76</v>
      </c>
      <c r="AG88" s="41" t="s">
        <v>76</v>
      </c>
      <c r="AH88" s="41" t="s">
        <v>76</v>
      </c>
      <c r="AI88" s="41" t="s">
        <v>76</v>
      </c>
      <c r="AJ88" s="41" t="s">
        <v>76</v>
      </c>
      <c r="AK88" s="41" t="s">
        <v>76</v>
      </c>
      <c r="AL88" t="str">
        <f>VLOOKUP($Q88,武学奇术!$A:$ZZ,25,FALSE)</f>
        <v>心法</v>
      </c>
      <c r="AM88" s="27">
        <f>VLOOKUP($Q88,武学奇术!$A:$ZZ,26,FALSE)</f>
        <v>0</v>
      </c>
      <c r="AN88" s="28">
        <f>VLOOKUP($Q88,武学奇术!$A:$ZZ,27,FALSE)*(1+IF(OR($AL88=$F$4,$AL88=$F$5),$B$22,0))</f>
        <v>0</v>
      </c>
      <c r="AO88" s="27">
        <f>VLOOKUP($Q88,武学奇术!$A:$ZZ,28,FALSE)</f>
        <v>0</v>
      </c>
      <c r="AP88" s="28">
        <f>VLOOKUP($Q88,武学奇术!$A:$ZZ,29,FALSE)*(1+IF(OR($AL88=$F$4,$AL88=$F$5),$B$22,0))</f>
        <v>0</v>
      </c>
      <c r="AQ88" s="27" cm="1">
        <f t="array" ref="AQ88">$G$3+IFERROR(VLOOKUP($AL88,$F$4:$G$7,2,FALSE),0)+VLOOKUP($Q88,武学奇术!$A:$ZZ,2,FALSE)+SUM(_xlfn.XLOOKUP($R88:$AK88,增益!$A:$A,增益!$B:$B,0))</f>
        <v>0.2042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1785.2</v>
      </c>
      <c r="AT88" cm="1">
        <f t="array" ref="AT88">$E$10*(1+$AR88)+VLOOKUP($Q88,武学奇术!$A:$ZZ,4,FALSE)+SUM(_xlfn.XLOOKUP($R88:$AK88,增益!$A:$A,增益!$D:$D,0))-$I$2</f>
        <v>6604.8</v>
      </c>
      <c r="AU88" s="33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0.1685</v>
      </c>
      <c r="AV88" s="33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3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3" cm="1">
        <f t="array" ref="BA88">$G$11+VLOOKUP($Q88,武学奇术!$A:$ZZ,10,FALSE)+SUM(_xlfn.XLOOKUP($R88:$AK88,增益!$A:$A,增益!$J:$J,0))</f>
        <v>0</v>
      </c>
      <c r="BB88">
        <f t="shared" si="14"/>
        <v>662.4</v>
      </c>
      <c r="BC88">
        <f t="shared" si="15"/>
        <v>1260</v>
      </c>
      <c r="BD88" s="33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3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33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3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33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3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0.5954</v>
      </c>
      <c r="BP88" s="27" cm="1">
        <f t="array" ref="BP88">1+$B$13+VLOOKUP($Q88,武学奇术!$A:$ZZ,18,FALSE)+SUM(_xlfn.XLOOKUP($R88:$AK88,增益!$A:$A,增益!$R:$R,0))</f>
        <v>1.644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0.1512</v>
      </c>
      <c r="BR88" s="27" cm="1">
        <f t="array" ref="BR88">1+$B$14+VLOOKUP($Q88,武学奇术!$A:$ZZ,20,FALSE)+SUM(_xlfn.XLOOKUP($R88:$AK88,增益!$A:$A,增益!$T:$T,0))</f>
        <v>1.35</v>
      </c>
      <c r="BS88" s="27">
        <f t="shared" si="20"/>
        <v>0.5954</v>
      </c>
      <c r="BT88" s="27">
        <f t="shared" si="21"/>
        <v>0.2534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1:74">
      <c r="K89" s="39">
        <f t="shared" si="11"/>
        <v>0</v>
      </c>
      <c r="L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39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39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0">
        <v>1</v>
      </c>
      <c r="Q89" s="41" t="s">
        <v>76</v>
      </c>
      <c r="R89" s="41" t="s">
        <v>76</v>
      </c>
      <c r="S89" s="41" t="s">
        <v>76</v>
      </c>
      <c r="T89" s="41" t="s">
        <v>76</v>
      </c>
      <c r="U89" s="41" t="s">
        <v>76</v>
      </c>
      <c r="V89" s="41" t="s">
        <v>76</v>
      </c>
      <c r="W89" s="41" t="s">
        <v>76</v>
      </c>
      <c r="X89" s="41" t="s">
        <v>76</v>
      </c>
      <c r="Y89" s="41" t="s">
        <v>76</v>
      </c>
      <c r="Z89" s="41" t="s">
        <v>76</v>
      </c>
      <c r="AA89" s="41" t="s">
        <v>76</v>
      </c>
      <c r="AB89" s="41" t="s">
        <v>76</v>
      </c>
      <c r="AC89" s="41" t="s">
        <v>76</v>
      </c>
      <c r="AD89" s="41" t="s">
        <v>76</v>
      </c>
      <c r="AE89" s="41" t="s">
        <v>80</v>
      </c>
      <c r="AF89" s="41" t="s">
        <v>76</v>
      </c>
      <c r="AG89" s="41" t="s">
        <v>76</v>
      </c>
      <c r="AH89" s="41" t="s">
        <v>76</v>
      </c>
      <c r="AI89" s="41" t="s">
        <v>76</v>
      </c>
      <c r="AJ89" s="41" t="s">
        <v>76</v>
      </c>
      <c r="AK89" s="41" t="s">
        <v>76</v>
      </c>
      <c r="AL89" t="str">
        <f>VLOOKUP($Q89,武学奇术!$A:$ZZ,25,FALSE)</f>
        <v>心法</v>
      </c>
      <c r="AM89" s="27">
        <f>VLOOKUP($Q89,武学奇术!$A:$ZZ,26,FALSE)</f>
        <v>0</v>
      </c>
      <c r="AN89" s="28">
        <f>VLOOKUP($Q89,武学奇术!$A:$ZZ,27,FALSE)*(1+IF(OR($AL89=$F$4,$AL89=$F$5),$B$22,0))</f>
        <v>0</v>
      </c>
      <c r="AO89" s="27">
        <f>VLOOKUP($Q89,武学奇术!$A:$ZZ,28,FALSE)</f>
        <v>0</v>
      </c>
      <c r="AP89" s="28">
        <f>VLOOKUP($Q89,武学奇术!$A:$ZZ,29,FALSE)*(1+IF(OR($AL89=$F$4,$AL89=$F$5),$B$22,0))</f>
        <v>0</v>
      </c>
      <c r="AQ89" s="27" cm="1">
        <f t="array" ref="AQ89">$G$3+IFERROR(VLOOKUP($AL89,$F$4:$G$7,2,FALSE),0)+VLOOKUP($Q89,武学奇术!$A:$ZZ,2,FALSE)+SUM(_xlfn.XLOOKUP($R89:$AK89,增益!$A:$A,增益!$B:$B,0))</f>
        <v>0.2042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1785.2</v>
      </c>
      <c r="AT89" cm="1">
        <f t="array" ref="AT89">$E$10*(1+$AR89)+VLOOKUP($Q89,武学奇术!$A:$ZZ,4,FALSE)+SUM(_xlfn.XLOOKUP($R89:$AK89,增益!$A:$A,增益!$D:$D,0))-$I$2</f>
        <v>6604.8</v>
      </c>
      <c r="AU89" s="33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0.1685</v>
      </c>
      <c r="AV89" s="33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3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3" cm="1">
        <f t="array" ref="BA89">$G$11+VLOOKUP($Q89,武学奇术!$A:$ZZ,10,FALSE)+SUM(_xlfn.XLOOKUP($R89:$AK89,增益!$A:$A,增益!$J:$J,0))</f>
        <v>0</v>
      </c>
      <c r="BB89">
        <f t="shared" si="14"/>
        <v>662.4</v>
      </c>
      <c r="BC89">
        <f t="shared" si="15"/>
        <v>1260</v>
      </c>
      <c r="BD89" s="33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3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33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3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33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3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0.5954</v>
      </c>
      <c r="BP89" s="27" cm="1">
        <f t="array" ref="BP89">1+$B$13+VLOOKUP($Q89,武学奇术!$A:$ZZ,18,FALSE)+SUM(_xlfn.XLOOKUP($R89:$AK89,增益!$A:$A,增益!$R:$R,0))</f>
        <v>1.644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0.1512</v>
      </c>
      <c r="BR89" s="27" cm="1">
        <f t="array" ref="BR89">1+$B$14+VLOOKUP($Q89,武学奇术!$A:$ZZ,20,FALSE)+SUM(_xlfn.XLOOKUP($R89:$AK89,增益!$A:$A,增益!$T:$T,0))</f>
        <v>1.35</v>
      </c>
      <c r="BS89" s="27">
        <f t="shared" si="20"/>
        <v>0.5954</v>
      </c>
      <c r="BT89" s="27">
        <f t="shared" si="21"/>
        <v>0.2534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1:74">
      <c r="K90" s="39">
        <f t="shared" si="11"/>
        <v>0</v>
      </c>
      <c r="L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39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39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0">
        <v>1</v>
      </c>
      <c r="Q90" s="41" t="s">
        <v>76</v>
      </c>
      <c r="R90" s="41" t="s">
        <v>76</v>
      </c>
      <c r="S90" s="41" t="s">
        <v>76</v>
      </c>
      <c r="T90" s="41" t="s">
        <v>76</v>
      </c>
      <c r="U90" s="41" t="s">
        <v>76</v>
      </c>
      <c r="V90" s="41" t="s">
        <v>76</v>
      </c>
      <c r="W90" s="41" t="s">
        <v>76</v>
      </c>
      <c r="X90" s="41" t="s">
        <v>76</v>
      </c>
      <c r="Y90" s="41" t="s">
        <v>76</v>
      </c>
      <c r="Z90" s="41" t="s">
        <v>76</v>
      </c>
      <c r="AA90" s="41" t="s">
        <v>76</v>
      </c>
      <c r="AB90" s="41" t="s">
        <v>76</v>
      </c>
      <c r="AC90" s="41" t="s">
        <v>76</v>
      </c>
      <c r="AD90" s="41" t="s">
        <v>76</v>
      </c>
      <c r="AE90" s="41" t="s">
        <v>80</v>
      </c>
      <c r="AF90" s="41" t="s">
        <v>76</v>
      </c>
      <c r="AG90" s="41" t="s">
        <v>76</v>
      </c>
      <c r="AH90" s="41" t="s">
        <v>76</v>
      </c>
      <c r="AI90" s="41" t="s">
        <v>76</v>
      </c>
      <c r="AJ90" s="41" t="s">
        <v>76</v>
      </c>
      <c r="AK90" s="41" t="s">
        <v>76</v>
      </c>
      <c r="AL90" t="str">
        <f>VLOOKUP($Q90,武学奇术!$A:$ZZ,25,FALSE)</f>
        <v>心法</v>
      </c>
      <c r="AM90" s="27">
        <f>VLOOKUP($Q90,武学奇术!$A:$ZZ,26,FALSE)</f>
        <v>0</v>
      </c>
      <c r="AN90" s="28">
        <f>VLOOKUP($Q90,武学奇术!$A:$ZZ,27,FALSE)*(1+IF(OR($AL90=$F$4,$AL90=$F$5),$B$22,0))</f>
        <v>0</v>
      </c>
      <c r="AO90" s="27">
        <f>VLOOKUP($Q90,武学奇术!$A:$ZZ,28,FALSE)</f>
        <v>0</v>
      </c>
      <c r="AP90" s="28">
        <f>VLOOKUP($Q90,武学奇术!$A:$ZZ,29,FALSE)*(1+IF(OR($AL90=$F$4,$AL90=$F$5),$B$22,0))</f>
        <v>0</v>
      </c>
      <c r="AQ90" s="27" cm="1">
        <f t="array" ref="AQ90">$G$3+IFERROR(VLOOKUP($AL90,$F$4:$G$7,2,FALSE),0)+VLOOKUP($Q90,武学奇术!$A:$ZZ,2,FALSE)+SUM(_xlfn.XLOOKUP($R90:$AK90,增益!$A:$A,增益!$B:$B,0))</f>
        <v>0.2042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1785.2</v>
      </c>
      <c r="AT90" cm="1">
        <f t="array" ref="AT90">$E$10*(1+$AR90)+VLOOKUP($Q90,武学奇术!$A:$ZZ,4,FALSE)+SUM(_xlfn.XLOOKUP($R90:$AK90,增益!$A:$A,增益!$D:$D,0))-$I$2</f>
        <v>6604.8</v>
      </c>
      <c r="AU90" s="33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0.1685</v>
      </c>
      <c r="AV90" s="33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3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3" cm="1">
        <f t="array" ref="BA90">$G$11+VLOOKUP($Q90,武学奇术!$A:$ZZ,10,FALSE)+SUM(_xlfn.XLOOKUP($R90:$AK90,增益!$A:$A,增益!$J:$J,0))</f>
        <v>0</v>
      </c>
      <c r="BB90">
        <f t="shared" si="14"/>
        <v>662.4</v>
      </c>
      <c r="BC90">
        <f t="shared" si="15"/>
        <v>1260</v>
      </c>
      <c r="BD90" s="33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3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33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3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33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3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0.5954</v>
      </c>
      <c r="BP90" s="27" cm="1">
        <f t="array" ref="BP90">1+$B$13+VLOOKUP($Q90,武学奇术!$A:$ZZ,18,FALSE)+SUM(_xlfn.XLOOKUP($R90:$AK90,增益!$A:$A,增益!$R:$R,0))</f>
        <v>1.644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0.1512</v>
      </c>
      <c r="BR90" s="27" cm="1">
        <f t="array" ref="BR90">1+$B$14+VLOOKUP($Q90,武学奇术!$A:$ZZ,20,FALSE)+SUM(_xlfn.XLOOKUP($R90:$AK90,增益!$A:$A,增益!$T:$T,0))</f>
        <v>1.35</v>
      </c>
      <c r="BS90" s="27">
        <f t="shared" si="20"/>
        <v>0.5954</v>
      </c>
      <c r="BT90" s="27">
        <f t="shared" si="21"/>
        <v>0.2534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1:74">
      <c r="K91" s="39">
        <f t="shared" si="11"/>
        <v>0</v>
      </c>
      <c r="L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39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39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0">
        <v>1</v>
      </c>
      <c r="Q91" s="41" t="s">
        <v>76</v>
      </c>
      <c r="R91" s="41" t="s">
        <v>76</v>
      </c>
      <c r="S91" s="41" t="s">
        <v>76</v>
      </c>
      <c r="T91" s="41" t="s">
        <v>76</v>
      </c>
      <c r="U91" s="41" t="s">
        <v>76</v>
      </c>
      <c r="V91" s="41" t="s">
        <v>76</v>
      </c>
      <c r="W91" s="41" t="s">
        <v>76</v>
      </c>
      <c r="X91" s="41" t="s">
        <v>76</v>
      </c>
      <c r="Y91" s="41" t="s">
        <v>76</v>
      </c>
      <c r="Z91" s="41" t="s">
        <v>76</v>
      </c>
      <c r="AA91" s="41" t="s">
        <v>76</v>
      </c>
      <c r="AB91" s="41" t="s">
        <v>76</v>
      </c>
      <c r="AC91" s="41" t="s">
        <v>76</v>
      </c>
      <c r="AD91" s="41" t="s">
        <v>76</v>
      </c>
      <c r="AE91" s="41" t="s">
        <v>80</v>
      </c>
      <c r="AF91" s="41" t="s">
        <v>76</v>
      </c>
      <c r="AG91" s="41" t="s">
        <v>76</v>
      </c>
      <c r="AH91" s="41" t="s">
        <v>76</v>
      </c>
      <c r="AI91" s="41" t="s">
        <v>76</v>
      </c>
      <c r="AJ91" s="41" t="s">
        <v>76</v>
      </c>
      <c r="AK91" s="41" t="s">
        <v>76</v>
      </c>
      <c r="AL91" t="str">
        <f>VLOOKUP($Q91,武学奇术!$A:$ZZ,25,FALSE)</f>
        <v>心法</v>
      </c>
      <c r="AM91" s="27">
        <f>VLOOKUP($Q91,武学奇术!$A:$ZZ,26,FALSE)</f>
        <v>0</v>
      </c>
      <c r="AN91" s="28">
        <f>VLOOKUP($Q91,武学奇术!$A:$ZZ,27,FALSE)*(1+IF(OR($AL91=$F$4,$AL91=$F$5),$B$22,0))</f>
        <v>0</v>
      </c>
      <c r="AO91" s="27">
        <f>VLOOKUP($Q91,武学奇术!$A:$ZZ,28,FALSE)</f>
        <v>0</v>
      </c>
      <c r="AP91" s="28">
        <f>VLOOKUP($Q91,武学奇术!$A:$ZZ,29,FALSE)*(1+IF(OR($AL91=$F$4,$AL91=$F$5),$B$22,0))</f>
        <v>0</v>
      </c>
      <c r="AQ91" s="27" cm="1">
        <f t="array" ref="AQ91">$G$3+IFERROR(VLOOKUP($AL91,$F$4:$G$7,2,FALSE),0)+VLOOKUP($Q91,武学奇术!$A:$ZZ,2,FALSE)+SUM(_xlfn.XLOOKUP($R91:$AK91,增益!$A:$A,增益!$B:$B,0))</f>
        <v>0.2042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1785.2</v>
      </c>
      <c r="AT91" cm="1">
        <f t="array" ref="AT91">$E$10*(1+$AR91)+VLOOKUP($Q91,武学奇术!$A:$ZZ,4,FALSE)+SUM(_xlfn.XLOOKUP($R91:$AK91,增益!$A:$A,增益!$D:$D,0))-$I$2</f>
        <v>6604.8</v>
      </c>
      <c r="AU91" s="33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0.1685</v>
      </c>
      <c r="AV91" s="33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3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3" cm="1">
        <f t="array" ref="BA91">$G$11+VLOOKUP($Q91,武学奇术!$A:$ZZ,10,FALSE)+SUM(_xlfn.XLOOKUP($R91:$AK91,增益!$A:$A,增益!$J:$J,0))</f>
        <v>0</v>
      </c>
      <c r="BB91">
        <f t="shared" si="14"/>
        <v>662.4</v>
      </c>
      <c r="BC91">
        <f t="shared" si="15"/>
        <v>1260</v>
      </c>
      <c r="BD91" s="33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3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33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3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33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3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1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0.5954</v>
      </c>
      <c r="BP91" s="27" cm="1">
        <f t="array" ref="BP91">1+$B$13+VLOOKUP($Q91,武学奇术!$A:$ZZ,18,FALSE)+SUM(_xlfn.XLOOKUP($R91:$AK91,增益!$A:$A,增益!$R:$R,0))</f>
        <v>1.644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0.1512</v>
      </c>
      <c r="BR91" s="27" cm="1">
        <f t="array" ref="BR91">1+$B$14+VLOOKUP($Q91,武学奇术!$A:$ZZ,20,FALSE)+SUM(_xlfn.XLOOKUP($R91:$AK91,增益!$A:$A,增益!$T:$T,0))</f>
        <v>1.35</v>
      </c>
      <c r="BS91" s="27">
        <f t="shared" si="20"/>
        <v>0.5954</v>
      </c>
      <c r="BT91" s="27">
        <f t="shared" si="21"/>
        <v>0.2534</v>
      </c>
      <c r="BU91" s="27">
        <f>IF(VLOOKUP($Q91,武学奇术!$A:$ZZ,22,FALSE)=1,0,(1-$BN91))*(1-$BQ91)</f>
        <v>0</v>
      </c>
      <c r="BV91" s="27" cm="1">
        <f t="array" ref="BV91">SUM(_xlfn.XLOOKUP($R91:$AK91,增益!$A:$A,增益!$W:$W,0))+$I$5</f>
        <v>0.11</v>
      </c>
    </row>
    <row r="92" spans="11:74">
      <c r="K92" s="39">
        <f t="shared" si="11"/>
        <v>17212.085264542</v>
      </c>
      <c r="L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19157.6494124687</v>
      </c>
      <c r="M92" s="39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21172.2841665958</v>
      </c>
      <c r="N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10277.7089122686</v>
      </c>
      <c r="O92" s="39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4872.2443677996</v>
      </c>
      <c r="P92" s="40">
        <v>1</v>
      </c>
      <c r="Q92" s="41" t="s">
        <v>177</v>
      </c>
      <c r="R92" s="41" t="s">
        <v>101</v>
      </c>
      <c r="S92" s="41" t="s">
        <v>114</v>
      </c>
      <c r="T92" s="41" t="s">
        <v>77</v>
      </c>
      <c r="U92" s="41" t="s">
        <v>76</v>
      </c>
      <c r="V92" s="41" t="s">
        <v>98</v>
      </c>
      <c r="W92" s="41" t="s">
        <v>78</v>
      </c>
      <c r="X92" s="41" t="s">
        <v>92</v>
      </c>
      <c r="Y92" s="41" t="s">
        <v>76</v>
      </c>
      <c r="Z92" s="41" t="s">
        <v>76</v>
      </c>
      <c r="AA92" s="41" t="s">
        <v>76</v>
      </c>
      <c r="AB92" s="41" t="s">
        <v>76</v>
      </c>
      <c r="AC92" s="41" t="s">
        <v>76</v>
      </c>
      <c r="AD92" s="41" t="s">
        <v>76</v>
      </c>
      <c r="AE92" s="41" t="s">
        <v>80</v>
      </c>
      <c r="AF92" s="41" t="s">
        <v>76</v>
      </c>
      <c r="AG92" s="41" t="s">
        <v>76</v>
      </c>
      <c r="AH92" s="41" t="s">
        <v>76</v>
      </c>
      <c r="AI92" s="41" t="s">
        <v>76</v>
      </c>
      <c r="AJ92" s="41" t="s">
        <v>76</v>
      </c>
      <c r="AK92" s="41" t="s">
        <v>76</v>
      </c>
      <c r="AL92" t="str">
        <f>VLOOKUP($Q92,武学奇术!$A:$ZZ,25,FALSE)</f>
        <v>心法</v>
      </c>
      <c r="AM92" s="27">
        <f>VLOOKUP($Q92,武学奇术!$A:$ZZ,26,FALSE)</f>
        <v>1</v>
      </c>
      <c r="AN92" s="28">
        <f>VLOOKUP($Q92,武学奇术!$A:$ZZ,27,FALSE)*(1+IF(OR($AL92=$F$4,$AL92=$F$5),$B$22,0))</f>
        <v>0</v>
      </c>
      <c r="AO92" s="27">
        <f>VLOOKUP($Q92,武学奇术!$A:$ZZ,28,FALSE)</f>
        <v>1</v>
      </c>
      <c r="AP92" s="28">
        <f>VLOOKUP($Q92,武学奇术!$A:$ZZ,29,FALSE)*(1+IF(OR($AL92=$F$4,$AL92=$F$5),$B$22,0))</f>
        <v>0</v>
      </c>
      <c r="AQ92" s="27" cm="1">
        <f t="array" ref="AQ92">$G$3+IFERROR(VLOOKUP($AL92,$F$4:$G$7,2,FALSE),0)+VLOOKUP($Q92,武学奇术!$A:$ZZ,2,FALSE)+SUM(_xlfn.XLOOKUP($R92:$AK92,增益!$A:$A,增益!$B:$B,0))</f>
        <v>0.4542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1785.2</v>
      </c>
      <c r="AT92" cm="1">
        <f t="array" ref="AT92">$E$10*(1+$AR92)+VLOOKUP($Q92,武学奇术!$A:$ZZ,4,FALSE)+SUM(_xlfn.XLOOKUP($R92:$AK92,增益!$A:$A,增益!$D:$D,0))-$I$2</f>
        <v>6604.8</v>
      </c>
      <c r="AU92" s="33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0.2385</v>
      </c>
      <c r="AV92" s="33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3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3" cm="1">
        <f t="array" ref="BA92">$G$11+VLOOKUP($Q92,武学奇术!$A:$ZZ,10,FALSE)+SUM(_xlfn.XLOOKUP($R92:$AK92,增益!$A:$A,增益!$J:$J,0))</f>
        <v>0</v>
      </c>
      <c r="BB92">
        <f t="shared" si="14"/>
        <v>662.4</v>
      </c>
      <c r="BC92">
        <f t="shared" si="15"/>
        <v>1260</v>
      </c>
      <c r="BD92" s="33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0.06</v>
      </c>
      <c r="BE92" s="33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33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-0.3</v>
      </c>
      <c r="BI92" s="33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33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3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1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0.5954</v>
      </c>
      <c r="BP92" s="27" cm="1">
        <f t="array" ref="BP92">1+$B$13+VLOOKUP($Q92,武学奇术!$A:$ZZ,18,FALSE)+SUM(_xlfn.XLOOKUP($R92:$AK92,增益!$A:$A,增益!$R:$R,0))</f>
        <v>1.864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0.1512</v>
      </c>
      <c r="BR92" s="27" cm="1">
        <f t="array" ref="BR92">1+$B$14+VLOOKUP($Q92,武学奇术!$A:$ZZ,20,FALSE)+SUM(_xlfn.XLOOKUP($R92:$AK92,增益!$A:$A,增益!$T:$T,0))</f>
        <v>1.35</v>
      </c>
      <c r="BS92" s="27">
        <f t="shared" si="20"/>
        <v>0.5954</v>
      </c>
      <c r="BT92" s="27">
        <f t="shared" si="21"/>
        <v>0.2534</v>
      </c>
      <c r="BU92" s="27">
        <f>IF(VLOOKUP($Q92,武学奇术!$A:$ZZ,22,FALSE)=1,0,(1-$BN92))*(1-$BQ92)</f>
        <v>0</v>
      </c>
      <c r="BV92" s="27" cm="1">
        <f t="array" ref="BV92">SUM(_xlfn.XLOOKUP($R92:$AK92,增益!$A:$A,增益!$W:$W,0))+$I$5</f>
        <v>0.11</v>
      </c>
    </row>
    <row r="93" spans="11:74">
      <c r="K93" s="39">
        <f t="shared" si="11"/>
        <v>17928.3175408784</v>
      </c>
      <c r="L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20301.2891332101</v>
      </c>
      <c r="M93" s="39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21306.9370221526</v>
      </c>
      <c r="N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10336.7052613086</v>
      </c>
      <c r="O93" s="39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4890.4942099116</v>
      </c>
      <c r="P93" s="40">
        <v>1</v>
      </c>
      <c r="Q93" s="41" t="s">
        <v>177</v>
      </c>
      <c r="R93" s="41" t="s">
        <v>101</v>
      </c>
      <c r="S93" s="41" t="s">
        <v>114</v>
      </c>
      <c r="T93" s="41" t="s">
        <v>77</v>
      </c>
      <c r="U93" s="41" t="s">
        <v>76</v>
      </c>
      <c r="V93" s="41" t="s">
        <v>138</v>
      </c>
      <c r="W93" s="41" t="s">
        <v>76</v>
      </c>
      <c r="X93" s="41" t="s">
        <v>139</v>
      </c>
      <c r="Y93" s="41" t="s">
        <v>76</v>
      </c>
      <c r="Z93" s="41" t="s">
        <v>76</v>
      </c>
      <c r="AA93" s="41" t="s">
        <v>76</v>
      </c>
      <c r="AB93" s="41" t="s">
        <v>76</v>
      </c>
      <c r="AC93" s="41" t="s">
        <v>76</v>
      </c>
      <c r="AD93" s="41" t="s">
        <v>76</v>
      </c>
      <c r="AE93" s="41" t="s">
        <v>80</v>
      </c>
      <c r="AF93" s="41" t="s">
        <v>76</v>
      </c>
      <c r="AG93" s="41" t="s">
        <v>76</v>
      </c>
      <c r="AH93" s="41" t="s">
        <v>76</v>
      </c>
      <c r="AI93" s="41" t="s">
        <v>76</v>
      </c>
      <c r="AJ93" s="41" t="s">
        <v>76</v>
      </c>
      <c r="AK93" s="41" t="s">
        <v>76</v>
      </c>
      <c r="AL93" t="str">
        <f>VLOOKUP($Q93,武学奇术!$A:$ZZ,25,FALSE)</f>
        <v>心法</v>
      </c>
      <c r="AM93" s="27">
        <f>VLOOKUP($Q93,武学奇术!$A:$ZZ,26,FALSE)</f>
        <v>1</v>
      </c>
      <c r="AN93" s="28">
        <f>VLOOKUP($Q93,武学奇术!$A:$ZZ,27,FALSE)*(1+IF(OR($AL93=$F$4,$AL93=$F$5),$B$22,0))</f>
        <v>0</v>
      </c>
      <c r="AO93" s="27">
        <f>VLOOKUP($Q93,武学奇术!$A:$ZZ,28,FALSE)</f>
        <v>1</v>
      </c>
      <c r="AP93" s="28">
        <f>VLOOKUP($Q93,武学奇术!$A:$ZZ,29,FALSE)*(1+IF(OR($AL93=$F$4,$AL93=$F$5),$B$22,0))</f>
        <v>0</v>
      </c>
      <c r="AQ93" s="27" cm="1">
        <f t="array" ref="AQ93">$G$3+IFERROR(VLOOKUP($AL93,$F$4:$G$7,2,FALSE),0)+VLOOKUP($Q93,武学奇术!$A:$ZZ,2,FALSE)+SUM(_xlfn.XLOOKUP($R93:$AK93,增益!$A:$A,增益!$B:$B,0))</f>
        <v>0.4342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1785.2</v>
      </c>
      <c r="AT93" cm="1">
        <f t="array" ref="AT93">$E$10*(1+$AR93)+VLOOKUP($Q93,武学奇术!$A:$ZZ,4,FALSE)+SUM(_xlfn.XLOOKUP($R93:$AK93,增益!$A:$A,增益!$D:$D,0))-$I$2</f>
        <v>6604.8</v>
      </c>
      <c r="AU93" s="33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0.2685</v>
      </c>
      <c r="AV93" s="33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3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3" cm="1">
        <f t="array" ref="BA93">$G$11+VLOOKUP($Q93,武学奇术!$A:$ZZ,10,FALSE)+SUM(_xlfn.XLOOKUP($R93:$AK93,增益!$A:$A,增益!$J:$J,0))</f>
        <v>0</v>
      </c>
      <c r="BB93">
        <f t="shared" si="14"/>
        <v>662.4</v>
      </c>
      <c r="BC93">
        <f t="shared" si="15"/>
        <v>1260</v>
      </c>
      <c r="BD93" s="33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3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33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3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33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3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1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0.5954</v>
      </c>
      <c r="BP93" s="27" cm="1">
        <f t="array" ref="BP93">1+$B$13+VLOOKUP($Q93,武学奇术!$A:$ZZ,18,FALSE)+SUM(_xlfn.XLOOKUP($R93:$AK93,增益!$A:$A,增益!$R:$R,0))</f>
        <v>1.964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0.1512</v>
      </c>
      <c r="BR93" s="27" cm="1">
        <f t="array" ref="BR93">1+$B$14+VLOOKUP($Q93,武学奇术!$A:$ZZ,20,FALSE)+SUM(_xlfn.XLOOKUP($R93:$AK93,增益!$A:$A,增益!$T:$T,0))</f>
        <v>1.35</v>
      </c>
      <c r="BS93" s="27">
        <f t="shared" si="20"/>
        <v>0.5954</v>
      </c>
      <c r="BT93" s="27">
        <f t="shared" si="21"/>
        <v>0.2534</v>
      </c>
      <c r="BU93" s="27">
        <f>IF(VLOOKUP($Q93,武学奇术!$A:$ZZ,22,FALSE)=1,0,(1-$BN93))*(1-$BQ93)</f>
        <v>0</v>
      </c>
      <c r="BV93" s="27" cm="1">
        <f t="array" ref="BV93">SUM(_xlfn.XLOOKUP($R93:$AK93,增益!$A:$A,增益!$W:$W,0))+$I$5</f>
        <v>0.11</v>
      </c>
    </row>
    <row r="94" spans="11:74">
      <c r="K94" s="39">
        <f t="shared" si="11"/>
        <v>17189.7806233684</v>
      </c>
      <c r="L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19060.8845018531</v>
      </c>
      <c r="M94" s="39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21306.9370221526</v>
      </c>
      <c r="N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10336.7052613086</v>
      </c>
      <c r="O94" s="39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4890.4942099116</v>
      </c>
      <c r="P94" s="40">
        <v>1</v>
      </c>
      <c r="Q94" s="41" t="s">
        <v>177</v>
      </c>
      <c r="R94" s="41" t="s">
        <v>101</v>
      </c>
      <c r="S94" s="41" t="s">
        <v>114</v>
      </c>
      <c r="T94" s="41" t="s">
        <v>76</v>
      </c>
      <c r="U94" s="41" t="s">
        <v>76</v>
      </c>
      <c r="V94" s="41" t="s">
        <v>155</v>
      </c>
      <c r="W94" s="41" t="s">
        <v>76</v>
      </c>
      <c r="X94" s="41" t="s">
        <v>139</v>
      </c>
      <c r="Y94" s="41" t="s">
        <v>76</v>
      </c>
      <c r="Z94" s="41" t="s">
        <v>76</v>
      </c>
      <c r="AA94" s="41" t="s">
        <v>76</v>
      </c>
      <c r="AB94" s="41" t="s">
        <v>76</v>
      </c>
      <c r="AC94" s="41" t="s">
        <v>76</v>
      </c>
      <c r="AD94" s="41" t="s">
        <v>76</v>
      </c>
      <c r="AE94" s="41" t="s">
        <v>80</v>
      </c>
      <c r="AF94" s="41" t="s">
        <v>76</v>
      </c>
      <c r="AG94" s="41" t="s">
        <v>76</v>
      </c>
      <c r="AH94" s="41" t="s">
        <v>76</v>
      </c>
      <c r="AI94" s="41" t="s">
        <v>76</v>
      </c>
      <c r="AJ94" s="41" t="s">
        <v>76</v>
      </c>
      <c r="AK94" s="41" t="s">
        <v>76</v>
      </c>
      <c r="AL94" t="str">
        <f>VLOOKUP($Q94,武学奇术!$A:$ZZ,25,FALSE)</f>
        <v>心法</v>
      </c>
      <c r="AM94" s="27">
        <f>VLOOKUP($Q94,武学奇术!$A:$ZZ,26,FALSE)</f>
        <v>1</v>
      </c>
      <c r="AN94" s="28">
        <f>VLOOKUP($Q94,武学奇术!$A:$ZZ,27,FALSE)*(1+IF(OR($AL94=$F$4,$AL94=$F$5),$B$22,0))</f>
        <v>0</v>
      </c>
      <c r="AO94" s="27">
        <f>VLOOKUP($Q94,武学奇术!$A:$ZZ,28,FALSE)</f>
        <v>1</v>
      </c>
      <c r="AP94" s="28">
        <f>VLOOKUP($Q94,武学奇术!$A:$ZZ,29,FALSE)*(1+IF(OR($AL94=$F$4,$AL94=$F$5),$B$22,0))</f>
        <v>0</v>
      </c>
      <c r="AQ94" s="27" cm="1">
        <f t="array" ref="AQ94">$G$3+IFERROR(VLOOKUP($AL94,$F$4:$G$7,2,FALSE),0)+VLOOKUP($Q94,武学奇术!$A:$ZZ,2,FALSE)+SUM(_xlfn.XLOOKUP($R94:$AK94,增益!$A:$A,增益!$B:$B,0))</f>
        <v>0.4342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1785.2</v>
      </c>
      <c r="AT94" cm="1">
        <f t="array" ref="AT94">$E$10*(1+$AR94)+VLOOKUP($Q94,武学奇术!$A:$ZZ,4,FALSE)+SUM(_xlfn.XLOOKUP($R94:$AK94,增益!$A:$A,增益!$D:$D,0))-$I$2</f>
        <v>6604.8</v>
      </c>
      <c r="AU94" s="33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0.2685</v>
      </c>
      <c r="AV94" s="33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3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3" cm="1">
        <f t="array" ref="BA94">$G$11+VLOOKUP($Q94,武学奇术!$A:$ZZ,10,FALSE)+SUM(_xlfn.XLOOKUP($R94:$AK94,增益!$A:$A,增益!$J:$J,0))</f>
        <v>0</v>
      </c>
      <c r="BB94">
        <f t="shared" si="14"/>
        <v>662.4</v>
      </c>
      <c r="BC94">
        <f t="shared" si="15"/>
        <v>1260</v>
      </c>
      <c r="BD94" s="33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0.06</v>
      </c>
      <c r="BE94" s="33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33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-0.3</v>
      </c>
      <c r="BI94" s="33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33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3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1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0.5954</v>
      </c>
      <c r="BP94" s="27" cm="1">
        <f t="array" ref="BP94">1+$B$13+VLOOKUP($Q94,武学奇术!$A:$ZZ,18,FALSE)+SUM(_xlfn.XLOOKUP($R94:$AK94,增益!$A:$A,增益!$R:$R,0))</f>
        <v>1.844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0.1512</v>
      </c>
      <c r="BR94" s="27" cm="1">
        <f t="array" ref="BR94">1+$B$14+VLOOKUP($Q94,武学奇术!$A:$ZZ,20,FALSE)+SUM(_xlfn.XLOOKUP($R94:$AK94,增益!$A:$A,增益!$T:$T,0))</f>
        <v>1.35</v>
      </c>
      <c r="BS94" s="27">
        <f t="shared" si="20"/>
        <v>0.5954</v>
      </c>
      <c r="BT94" s="27">
        <f t="shared" si="21"/>
        <v>0.2534</v>
      </c>
      <c r="BU94" s="27">
        <f>IF(VLOOKUP($Q94,武学奇术!$A:$ZZ,22,FALSE)=1,0,(1-$BN94))*(1-$BQ94)</f>
        <v>0</v>
      </c>
      <c r="BV94" s="27" cm="1">
        <f t="array" ref="BV94">SUM(_xlfn.XLOOKUP($R94:$AK94,增益!$A:$A,增益!$W:$W,0))+$I$5</f>
        <v>0.11</v>
      </c>
    </row>
    <row r="95" spans="11:74">
      <c r="K95" s="39">
        <f t="shared" si="11"/>
        <v>18112.9517702558</v>
      </c>
      <c r="L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20611.3902910493</v>
      </c>
      <c r="M95" s="39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21306.9370221526</v>
      </c>
      <c r="N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10336.7052613086</v>
      </c>
      <c r="O95" s="39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4890.4942099116</v>
      </c>
      <c r="P95" s="40">
        <v>1</v>
      </c>
      <c r="Q95" s="41" t="s">
        <v>177</v>
      </c>
      <c r="R95" s="41" t="s">
        <v>101</v>
      </c>
      <c r="S95" s="41" t="s">
        <v>114</v>
      </c>
      <c r="T95" s="41" t="s">
        <v>77</v>
      </c>
      <c r="U95" s="41" t="s">
        <v>76</v>
      </c>
      <c r="V95" s="41" t="s">
        <v>155</v>
      </c>
      <c r="W95" s="41" t="s">
        <v>76</v>
      </c>
      <c r="X95" s="41" t="s">
        <v>139</v>
      </c>
      <c r="Y95" s="41" t="s">
        <v>76</v>
      </c>
      <c r="Z95" s="41" t="s">
        <v>76</v>
      </c>
      <c r="AA95" s="41" t="s">
        <v>76</v>
      </c>
      <c r="AB95" s="41" t="s">
        <v>76</v>
      </c>
      <c r="AC95" s="41" t="s">
        <v>76</v>
      </c>
      <c r="AD95" s="41" t="s">
        <v>76</v>
      </c>
      <c r="AE95" s="41" t="s">
        <v>80</v>
      </c>
      <c r="AF95" s="41" t="s">
        <v>76</v>
      </c>
      <c r="AG95" s="41" t="s">
        <v>76</v>
      </c>
      <c r="AH95" s="41" t="s">
        <v>76</v>
      </c>
      <c r="AI95" s="41" t="s">
        <v>76</v>
      </c>
      <c r="AJ95" s="41" t="s">
        <v>76</v>
      </c>
      <c r="AK95" s="41" t="s">
        <v>76</v>
      </c>
      <c r="AL95" t="str">
        <f>VLOOKUP($Q95,武学奇术!$A:$ZZ,25,FALSE)</f>
        <v>心法</v>
      </c>
      <c r="AM95" s="27">
        <f>VLOOKUP($Q95,武学奇术!$A:$ZZ,26,FALSE)</f>
        <v>1</v>
      </c>
      <c r="AN95" s="28">
        <f>VLOOKUP($Q95,武学奇术!$A:$ZZ,27,FALSE)*(1+IF(OR($AL95=$F$4,$AL95=$F$5),$B$22,0))</f>
        <v>0</v>
      </c>
      <c r="AO95" s="27">
        <f>VLOOKUP($Q95,武学奇术!$A:$ZZ,28,FALSE)</f>
        <v>1</v>
      </c>
      <c r="AP95" s="28">
        <f>VLOOKUP($Q95,武学奇术!$A:$ZZ,29,FALSE)*(1+IF(OR($AL95=$F$4,$AL95=$F$5),$B$22,0))</f>
        <v>0</v>
      </c>
      <c r="AQ95" s="27" cm="1">
        <f t="array" ref="AQ95">$G$3+IFERROR(VLOOKUP($AL95,$F$4:$G$7,2,FALSE),0)+VLOOKUP($Q95,武学奇术!$A:$ZZ,2,FALSE)+SUM(_xlfn.XLOOKUP($R95:$AK95,增益!$A:$A,增益!$B:$B,0))</f>
        <v>0.4342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1785.2</v>
      </c>
      <c r="AT95" cm="1">
        <f t="array" ref="AT95">$E$10*(1+$AR95)+VLOOKUP($Q95,武学奇术!$A:$ZZ,4,FALSE)+SUM(_xlfn.XLOOKUP($R95:$AK95,增益!$A:$A,增益!$D:$D,0))-$I$2</f>
        <v>6604.8</v>
      </c>
      <c r="AU95" s="33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0.2685</v>
      </c>
      <c r="AV95" s="33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3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3" cm="1">
        <f t="array" ref="BA95">$G$11+VLOOKUP($Q95,武学奇术!$A:$ZZ,10,FALSE)+SUM(_xlfn.XLOOKUP($R95:$AK95,增益!$A:$A,增益!$J:$J,0))</f>
        <v>0</v>
      </c>
      <c r="BB95">
        <f t="shared" si="14"/>
        <v>662.4</v>
      </c>
      <c r="BC95">
        <f t="shared" si="15"/>
        <v>1260</v>
      </c>
      <c r="BD95" s="33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3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33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3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33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3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1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0.5954</v>
      </c>
      <c r="BP95" s="27" cm="1">
        <f t="array" ref="BP95">1+$B$13+VLOOKUP($Q95,武学奇术!$A:$ZZ,18,FALSE)+SUM(_xlfn.XLOOKUP($R95:$AK95,增益!$A:$A,增益!$R:$R,0))</f>
        <v>1.994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0.1512</v>
      </c>
      <c r="BR95" s="27" cm="1">
        <f t="array" ref="BR95">1+$B$14+VLOOKUP($Q95,武学奇术!$A:$ZZ,20,FALSE)+SUM(_xlfn.XLOOKUP($R95:$AK95,增益!$A:$A,增益!$T:$T,0))</f>
        <v>1.35</v>
      </c>
      <c r="BS95" s="27">
        <f t="shared" si="20"/>
        <v>0.5954</v>
      </c>
      <c r="BT95" s="27">
        <f t="shared" si="21"/>
        <v>0.2534</v>
      </c>
      <c r="BU95" s="27">
        <f>IF(VLOOKUP($Q95,武学奇术!$A:$ZZ,22,FALSE)=1,0,(1-$BN95))*(1-$BQ95)</f>
        <v>0</v>
      </c>
      <c r="BV95" s="27" cm="1">
        <f t="array" ref="BV95">SUM(_xlfn.XLOOKUP($R95:$AK95,增益!$A:$A,增益!$W:$W,0))+$I$5</f>
        <v>0.11</v>
      </c>
    </row>
    <row r="96" spans="11:74">
      <c r="K96" s="39">
        <f t="shared" si="11"/>
        <v>18738.4095083565</v>
      </c>
      <c r="L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20778.0813038218</v>
      </c>
      <c r="M96" s="39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23226.4808980222</v>
      </c>
      <c r="N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11267.9399695346</v>
      </c>
      <c r="O96" s="39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5331.0792738676</v>
      </c>
      <c r="P96" s="40">
        <v>1</v>
      </c>
      <c r="Q96" s="41" t="s">
        <v>177</v>
      </c>
      <c r="R96" s="41" t="s">
        <v>101</v>
      </c>
      <c r="S96" s="41" t="s">
        <v>114</v>
      </c>
      <c r="T96" s="41" t="s">
        <v>76</v>
      </c>
      <c r="U96" s="41" t="s">
        <v>76</v>
      </c>
      <c r="V96" s="41" t="s">
        <v>155</v>
      </c>
      <c r="W96" s="41" t="s">
        <v>76</v>
      </c>
      <c r="X96" s="41" t="s">
        <v>139</v>
      </c>
      <c r="Y96" s="41" t="s">
        <v>160</v>
      </c>
      <c r="Z96" s="41" t="s">
        <v>76</v>
      </c>
      <c r="AA96" s="41" t="s">
        <v>76</v>
      </c>
      <c r="AB96" s="41" t="s">
        <v>76</v>
      </c>
      <c r="AC96" s="41" t="s">
        <v>76</v>
      </c>
      <c r="AD96" s="41" t="s">
        <v>76</v>
      </c>
      <c r="AE96" s="41" t="s">
        <v>80</v>
      </c>
      <c r="AF96" s="41" t="s">
        <v>76</v>
      </c>
      <c r="AG96" s="41" t="s">
        <v>76</v>
      </c>
      <c r="AH96" s="41" t="s">
        <v>76</v>
      </c>
      <c r="AI96" s="41" t="s">
        <v>76</v>
      </c>
      <c r="AJ96" s="41" t="s">
        <v>76</v>
      </c>
      <c r="AK96" s="41" t="s">
        <v>76</v>
      </c>
      <c r="AL96" t="str">
        <f>VLOOKUP($Q96,武学奇术!$A:$ZZ,25,FALSE)</f>
        <v>心法</v>
      </c>
      <c r="AM96" s="27">
        <f>VLOOKUP($Q96,武学奇术!$A:$ZZ,26,FALSE)</f>
        <v>1</v>
      </c>
      <c r="AN96" s="28">
        <f>VLOOKUP($Q96,武学奇术!$A:$ZZ,27,FALSE)*(1+IF(OR($AL96=$F$4,$AL96=$F$5),$B$22,0))</f>
        <v>0</v>
      </c>
      <c r="AO96" s="27">
        <f>VLOOKUP($Q96,武学奇术!$A:$ZZ,28,FALSE)</f>
        <v>1</v>
      </c>
      <c r="AP96" s="28">
        <f>VLOOKUP($Q96,武学奇术!$A:$ZZ,29,FALSE)*(1+IF(OR($AL96=$F$4,$AL96=$F$5),$B$22,0))</f>
        <v>0</v>
      </c>
      <c r="AQ96" s="27" cm="1">
        <f t="array" ref="AQ96">$G$3+IFERROR(VLOOKUP($AL96,$F$4:$G$7,2,FALSE),0)+VLOOKUP($Q96,武学奇术!$A:$ZZ,2,FALSE)+SUM(_xlfn.XLOOKUP($R96:$AK96,增益!$A:$A,增益!$B:$B,0))</f>
        <v>0.4342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1785.2</v>
      </c>
      <c r="AT96" cm="1">
        <f t="array" ref="AT96">$E$10*(1+$AR96)+VLOOKUP($Q96,武学奇术!$A:$ZZ,4,FALSE)+SUM(_xlfn.XLOOKUP($R96:$AK96,增益!$A:$A,增益!$D:$D,0))-$I$2</f>
        <v>6604.8</v>
      </c>
      <c r="AU96" s="33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0.2685</v>
      </c>
      <c r="AV96" s="33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3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3" cm="1">
        <f t="array" ref="BA96">$G$11+VLOOKUP($Q96,武学奇术!$A:$ZZ,10,FALSE)+SUM(_xlfn.XLOOKUP($R96:$AK96,增益!$A:$A,增益!$J:$J,0))</f>
        <v>0</v>
      </c>
      <c r="BB96">
        <f t="shared" si="14"/>
        <v>662.4</v>
      </c>
      <c r="BC96">
        <f t="shared" si="15"/>
        <v>1260</v>
      </c>
      <c r="BD96" s="33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0.06</v>
      </c>
      <c r="BE96" s="33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33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3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33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3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1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0.5954</v>
      </c>
      <c r="BP96" s="27" cm="1">
        <f t="array" ref="BP96">1+$B$13+VLOOKUP($Q96,武学奇术!$A:$ZZ,18,FALSE)+SUM(_xlfn.XLOOKUP($R96:$AK96,增益!$A:$A,增益!$R:$R,0))</f>
        <v>1.844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0.1512</v>
      </c>
      <c r="BR96" s="27" cm="1">
        <f t="array" ref="BR96">1+$B$14+VLOOKUP($Q96,武学奇术!$A:$ZZ,20,FALSE)+SUM(_xlfn.XLOOKUP($R96:$AK96,增益!$A:$A,增益!$T:$T,0))</f>
        <v>1.35</v>
      </c>
      <c r="BS96" s="27">
        <f t="shared" si="20"/>
        <v>0.5954</v>
      </c>
      <c r="BT96" s="27">
        <f t="shared" si="21"/>
        <v>0.2534</v>
      </c>
      <c r="BU96" s="27">
        <f>IF(VLOOKUP($Q96,武学奇术!$A:$ZZ,22,FALSE)=1,0,(1-$BN96))*(1-$BQ96)</f>
        <v>0</v>
      </c>
      <c r="BV96" s="27" cm="1">
        <f t="array" ref="BV96">SUM(_xlfn.XLOOKUP($R96:$AK96,增益!$A:$A,增益!$W:$W,0))+$I$5</f>
        <v>0.21</v>
      </c>
    </row>
    <row r="97" spans="11:74">
      <c r="K97" s="39">
        <f t="shared" si="11"/>
        <v>18112.9517702558</v>
      </c>
      <c r="L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20611.3902910493</v>
      </c>
      <c r="M97" s="39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21306.9370221526</v>
      </c>
      <c r="N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10336.7052613086</v>
      </c>
      <c r="O97" s="39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4890.4942099116</v>
      </c>
      <c r="P97" s="40">
        <v>1</v>
      </c>
      <c r="Q97" s="41" t="s">
        <v>177</v>
      </c>
      <c r="R97" s="41" t="s">
        <v>101</v>
      </c>
      <c r="S97" s="41" t="s">
        <v>114</v>
      </c>
      <c r="T97" s="41" t="s">
        <v>77</v>
      </c>
      <c r="U97" s="41" t="s">
        <v>76</v>
      </c>
      <c r="V97" s="41" t="s">
        <v>155</v>
      </c>
      <c r="W97" s="41" t="s">
        <v>76</v>
      </c>
      <c r="X97" s="41" t="s">
        <v>139</v>
      </c>
      <c r="Y97" s="41" t="s">
        <v>76</v>
      </c>
      <c r="Z97" s="41" t="s">
        <v>76</v>
      </c>
      <c r="AA97" s="41" t="s">
        <v>76</v>
      </c>
      <c r="AB97" s="41" t="s">
        <v>76</v>
      </c>
      <c r="AC97" s="41" t="s">
        <v>76</v>
      </c>
      <c r="AD97" s="41" t="s">
        <v>76</v>
      </c>
      <c r="AE97" s="41" t="s">
        <v>80</v>
      </c>
      <c r="AF97" s="41" t="s">
        <v>76</v>
      </c>
      <c r="AG97" s="41" t="s">
        <v>76</v>
      </c>
      <c r="AH97" s="41" t="s">
        <v>76</v>
      </c>
      <c r="AI97" s="41" t="s">
        <v>76</v>
      </c>
      <c r="AJ97" s="41" t="s">
        <v>76</v>
      </c>
      <c r="AK97" s="41" t="s">
        <v>76</v>
      </c>
      <c r="AL97" t="str">
        <f>VLOOKUP($Q97,武学奇术!$A:$ZZ,25,FALSE)</f>
        <v>心法</v>
      </c>
      <c r="AM97" s="27">
        <f>VLOOKUP($Q97,武学奇术!$A:$ZZ,26,FALSE)</f>
        <v>1</v>
      </c>
      <c r="AN97" s="28">
        <f>VLOOKUP($Q97,武学奇术!$A:$ZZ,27,FALSE)*(1+IF(OR($AL97=$F$4,$AL97=$F$5),$B$22,0))</f>
        <v>0</v>
      </c>
      <c r="AO97" s="27">
        <f>VLOOKUP($Q97,武学奇术!$A:$ZZ,28,FALSE)</f>
        <v>1</v>
      </c>
      <c r="AP97" s="28">
        <f>VLOOKUP($Q97,武学奇术!$A:$ZZ,29,FALSE)*(1+IF(OR($AL97=$F$4,$AL97=$F$5),$B$22,0))</f>
        <v>0</v>
      </c>
      <c r="AQ97" s="27" cm="1">
        <f t="array" ref="AQ97">$G$3+IFERROR(VLOOKUP($AL97,$F$4:$G$7,2,FALSE),0)+VLOOKUP($Q97,武学奇术!$A:$ZZ,2,FALSE)+SUM(_xlfn.XLOOKUP($R97:$AK97,增益!$A:$A,增益!$B:$B,0))</f>
        <v>0.4342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1785.2</v>
      </c>
      <c r="AT97" cm="1">
        <f t="array" ref="AT97">$E$10*(1+$AR97)+VLOOKUP($Q97,武学奇术!$A:$ZZ,4,FALSE)+SUM(_xlfn.XLOOKUP($R97:$AK97,增益!$A:$A,增益!$D:$D,0))-$I$2</f>
        <v>6604.8</v>
      </c>
      <c r="AU97" s="33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0.2685</v>
      </c>
      <c r="AV97" s="33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3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3" cm="1">
        <f t="array" ref="BA97">$G$11+VLOOKUP($Q97,武学奇术!$A:$ZZ,10,FALSE)+SUM(_xlfn.XLOOKUP($R97:$AK97,增益!$A:$A,增益!$J:$J,0))</f>
        <v>0</v>
      </c>
      <c r="BB97">
        <f t="shared" si="14"/>
        <v>662.4</v>
      </c>
      <c r="BC97">
        <f t="shared" si="15"/>
        <v>1260</v>
      </c>
      <c r="BD97" s="33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0.06</v>
      </c>
      <c r="BE97" s="33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33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3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33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3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1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0.5954</v>
      </c>
      <c r="BP97" s="27" cm="1">
        <f t="array" ref="BP97">1+$B$13+VLOOKUP($Q97,武学奇术!$A:$ZZ,18,FALSE)+SUM(_xlfn.XLOOKUP($R97:$AK97,增益!$A:$A,增益!$R:$R,0))</f>
        <v>1.994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0.1512</v>
      </c>
      <c r="BR97" s="27" cm="1">
        <f t="array" ref="BR97">1+$B$14+VLOOKUP($Q97,武学奇术!$A:$ZZ,20,FALSE)+SUM(_xlfn.XLOOKUP($R97:$AK97,增益!$A:$A,增益!$T:$T,0))</f>
        <v>1.35</v>
      </c>
      <c r="BS97" s="27">
        <f t="shared" si="20"/>
        <v>0.5954</v>
      </c>
      <c r="BT97" s="27">
        <f t="shared" si="21"/>
        <v>0.2534</v>
      </c>
      <c r="BU97" s="27">
        <f>IF(VLOOKUP($Q97,武学奇术!$A:$ZZ,22,FALSE)=1,0,(1-$BN97))*(1-$BQ97)</f>
        <v>0</v>
      </c>
      <c r="BV97" s="27" cm="1">
        <f t="array" ref="BV97">SUM(_xlfn.XLOOKUP($R97:$AK97,增益!$A:$A,增益!$W:$W,0))+$I$5</f>
        <v>0.11</v>
      </c>
    </row>
    <row r="98" spans="11:74">
      <c r="K98" s="39">
        <f t="shared" si="11"/>
        <v>17189.7806233684</v>
      </c>
      <c r="L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19060.8845018531</v>
      </c>
      <c r="M98" s="39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21306.9370221526</v>
      </c>
      <c r="N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10336.7052613086</v>
      </c>
      <c r="O98" s="39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4890.4942099116</v>
      </c>
      <c r="P98" s="40">
        <v>1</v>
      </c>
      <c r="Q98" s="41" t="s">
        <v>177</v>
      </c>
      <c r="R98" s="41" t="s">
        <v>101</v>
      </c>
      <c r="S98" s="41" t="s">
        <v>114</v>
      </c>
      <c r="T98" s="41" t="s">
        <v>76</v>
      </c>
      <c r="U98" s="41" t="s">
        <v>76</v>
      </c>
      <c r="V98" s="41" t="s">
        <v>155</v>
      </c>
      <c r="W98" s="41" t="s">
        <v>76</v>
      </c>
      <c r="X98" s="41" t="s">
        <v>139</v>
      </c>
      <c r="Y98" s="41" t="s">
        <v>76</v>
      </c>
      <c r="Z98" s="41" t="s">
        <v>76</v>
      </c>
      <c r="AA98" s="41" t="s">
        <v>76</v>
      </c>
      <c r="AB98" s="41" t="s">
        <v>76</v>
      </c>
      <c r="AC98" s="41" t="s">
        <v>76</v>
      </c>
      <c r="AD98" s="41" t="s">
        <v>76</v>
      </c>
      <c r="AE98" s="41" t="s">
        <v>80</v>
      </c>
      <c r="AF98" s="41" t="s">
        <v>76</v>
      </c>
      <c r="AG98" s="41" t="s">
        <v>76</v>
      </c>
      <c r="AH98" s="41" t="s">
        <v>76</v>
      </c>
      <c r="AI98" s="41" t="s">
        <v>76</v>
      </c>
      <c r="AJ98" s="41" t="s">
        <v>76</v>
      </c>
      <c r="AK98" s="41" t="s">
        <v>76</v>
      </c>
      <c r="AL98" t="str">
        <f>VLOOKUP($Q98,武学奇术!$A:$ZZ,25,FALSE)</f>
        <v>心法</v>
      </c>
      <c r="AM98" s="27">
        <f>VLOOKUP($Q98,武学奇术!$A:$ZZ,26,FALSE)</f>
        <v>1</v>
      </c>
      <c r="AN98" s="28">
        <f>VLOOKUP($Q98,武学奇术!$A:$ZZ,27,FALSE)*(1+IF(OR($AL98=$F$4,$AL98=$F$5),$B$22,0))</f>
        <v>0</v>
      </c>
      <c r="AO98" s="27">
        <f>VLOOKUP($Q98,武学奇术!$A:$ZZ,28,FALSE)</f>
        <v>1</v>
      </c>
      <c r="AP98" s="28">
        <f>VLOOKUP($Q98,武学奇术!$A:$ZZ,29,FALSE)*(1+IF(OR($AL98=$F$4,$AL98=$F$5),$B$22,0))</f>
        <v>0</v>
      </c>
      <c r="AQ98" s="27" cm="1">
        <f t="array" ref="AQ98">$G$3+IFERROR(VLOOKUP($AL98,$F$4:$G$7,2,FALSE),0)+VLOOKUP($Q98,武学奇术!$A:$ZZ,2,FALSE)+SUM(_xlfn.XLOOKUP($R98:$AK98,增益!$A:$A,增益!$B:$B,0))</f>
        <v>0.4342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1785.2</v>
      </c>
      <c r="AT98" cm="1">
        <f t="array" ref="AT98">$E$10*(1+$AR98)+VLOOKUP($Q98,武学奇术!$A:$ZZ,4,FALSE)+SUM(_xlfn.XLOOKUP($R98:$AK98,增益!$A:$A,增益!$D:$D,0))-$I$2</f>
        <v>6604.8</v>
      </c>
      <c r="AU98" s="33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0.2685</v>
      </c>
      <c r="AV98" s="33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3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3" cm="1">
        <f t="array" ref="BA98">$G$11+VLOOKUP($Q98,武学奇术!$A:$ZZ,10,FALSE)+SUM(_xlfn.XLOOKUP($R98:$AK98,增益!$A:$A,增益!$J:$J,0))</f>
        <v>0</v>
      </c>
      <c r="BB98">
        <f t="shared" si="14"/>
        <v>662.4</v>
      </c>
      <c r="BC98">
        <f t="shared" si="15"/>
        <v>1260</v>
      </c>
      <c r="BD98" s="33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0.06</v>
      </c>
      <c r="BE98" s="33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33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3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33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3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1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0.5954</v>
      </c>
      <c r="BP98" s="27" cm="1">
        <f t="array" ref="BP98">1+$B$13+VLOOKUP($Q98,武学奇术!$A:$ZZ,18,FALSE)+SUM(_xlfn.XLOOKUP($R98:$AK98,增益!$A:$A,增益!$R:$R,0))</f>
        <v>1.844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0.1512</v>
      </c>
      <c r="BR98" s="27" cm="1">
        <f t="array" ref="BR98">1+$B$14+VLOOKUP($Q98,武学奇术!$A:$ZZ,20,FALSE)+SUM(_xlfn.XLOOKUP($R98:$AK98,增益!$A:$A,增益!$T:$T,0))</f>
        <v>1.35</v>
      </c>
      <c r="BS98" s="27">
        <f t="shared" si="20"/>
        <v>0.5954</v>
      </c>
      <c r="BT98" s="27">
        <f t="shared" si="21"/>
        <v>0.2534</v>
      </c>
      <c r="BU98" s="27">
        <f>IF(VLOOKUP($Q98,武学奇术!$A:$ZZ,22,FALSE)=1,0,(1-$BN98))*(1-$BQ98)</f>
        <v>0</v>
      </c>
      <c r="BV98" s="27" cm="1">
        <f t="array" ref="BV98">SUM(_xlfn.XLOOKUP($R98:$AK98,增益!$A:$A,增益!$W:$W,0))+$I$5</f>
        <v>0.11</v>
      </c>
    </row>
    <row r="99" spans="11:74">
      <c r="K99" s="39">
        <f t="shared" si="11"/>
        <v>16035.678616633</v>
      </c>
      <c r="L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17444.8679082742</v>
      </c>
      <c r="M99" s="39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20597.2021554646</v>
      </c>
      <c r="N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10002.7912318086</v>
      </c>
      <c r="O99" s="39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4748.3956817916</v>
      </c>
      <c r="P99" s="40">
        <v>1</v>
      </c>
      <c r="Q99" s="41" t="s">
        <v>177</v>
      </c>
      <c r="R99" s="41" t="s">
        <v>101</v>
      </c>
      <c r="S99" s="41" t="s">
        <v>114</v>
      </c>
      <c r="T99" s="41" t="s">
        <v>76</v>
      </c>
      <c r="U99" s="41" t="s">
        <v>76</v>
      </c>
      <c r="V99" s="41" t="s">
        <v>155</v>
      </c>
      <c r="W99" s="41" t="s">
        <v>76</v>
      </c>
      <c r="X99" s="41" t="s">
        <v>76</v>
      </c>
      <c r="Y99" s="41" t="s">
        <v>76</v>
      </c>
      <c r="Z99" s="41" t="s">
        <v>76</v>
      </c>
      <c r="AA99" s="41" t="s">
        <v>76</v>
      </c>
      <c r="AB99" s="41" t="s">
        <v>76</v>
      </c>
      <c r="AC99" s="41" t="s">
        <v>76</v>
      </c>
      <c r="AD99" s="41" t="s">
        <v>76</v>
      </c>
      <c r="AE99" s="41" t="s">
        <v>80</v>
      </c>
      <c r="AF99" s="41" t="s">
        <v>76</v>
      </c>
      <c r="AG99" s="41" t="s">
        <v>76</v>
      </c>
      <c r="AH99" s="41" t="s">
        <v>76</v>
      </c>
      <c r="AI99" s="41" t="s">
        <v>76</v>
      </c>
      <c r="AJ99" s="41" t="s">
        <v>76</v>
      </c>
      <c r="AK99" s="41" t="s">
        <v>76</v>
      </c>
      <c r="AL99" t="str">
        <f>VLOOKUP($Q99,武学奇术!$A:$ZZ,25,FALSE)</f>
        <v>心法</v>
      </c>
      <c r="AM99" s="27">
        <f>VLOOKUP($Q99,武学奇术!$A:$ZZ,26,FALSE)</f>
        <v>1</v>
      </c>
      <c r="AN99" s="28">
        <f>VLOOKUP($Q99,武学奇术!$A:$ZZ,27,FALSE)*(1+IF(OR($AL99=$F$4,$AL99=$F$5),$B$22,0))</f>
        <v>0</v>
      </c>
      <c r="AO99" s="27">
        <f>VLOOKUP($Q99,武学奇术!$A:$ZZ,28,FALSE)</f>
        <v>1</v>
      </c>
      <c r="AP99" s="28">
        <f>VLOOKUP($Q99,武学奇术!$A:$ZZ,29,FALSE)*(1+IF(OR($AL99=$F$4,$AL99=$F$5),$B$22,0))</f>
        <v>0</v>
      </c>
      <c r="AQ99" s="27" cm="1">
        <f t="array" ref="AQ99">$G$3+IFERROR(VLOOKUP($AL99,$F$4:$G$7,2,FALSE),0)+VLOOKUP($Q99,武学奇术!$A:$ZZ,2,FALSE)+SUM(_xlfn.XLOOKUP($R99:$AK99,增益!$A:$A,增益!$B:$B,0))</f>
        <v>0.4342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1785.2</v>
      </c>
      <c r="AT99" cm="1">
        <f t="array" ref="AT99">$E$10*(1+$AR99)+VLOOKUP($Q99,武学奇术!$A:$ZZ,4,FALSE)+SUM(_xlfn.XLOOKUP($R99:$AK99,增益!$A:$A,增益!$D:$D,0))-$I$2</f>
        <v>6604.8</v>
      </c>
      <c r="AU99" s="33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0.2185</v>
      </c>
      <c r="AV99" s="33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3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3" cm="1">
        <f t="array" ref="BA99">$G$11+VLOOKUP($Q99,武学奇术!$A:$ZZ,10,FALSE)+SUM(_xlfn.XLOOKUP($R99:$AK99,增益!$A:$A,增益!$J:$J,0))</f>
        <v>0</v>
      </c>
      <c r="BB99">
        <f t="shared" si="14"/>
        <v>662.4</v>
      </c>
      <c r="BC99">
        <f t="shared" si="15"/>
        <v>1260</v>
      </c>
      <c r="BD99" s="33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0.06</v>
      </c>
      <c r="BE99" s="33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33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3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33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3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1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0.5954</v>
      </c>
      <c r="BP99" s="27" cm="1">
        <f t="array" ref="BP99">1+$B$13+VLOOKUP($Q99,武学奇术!$A:$ZZ,18,FALSE)+SUM(_xlfn.XLOOKUP($R99:$AK99,增益!$A:$A,增益!$R:$R,0))</f>
        <v>1.744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0.1512</v>
      </c>
      <c r="BR99" s="27" cm="1">
        <f t="array" ref="BR99">1+$B$14+VLOOKUP($Q99,武学奇术!$A:$ZZ,20,FALSE)+SUM(_xlfn.XLOOKUP($R99:$AK99,增益!$A:$A,增益!$T:$T,0))</f>
        <v>1.35</v>
      </c>
      <c r="BS99" s="27">
        <f t="shared" si="20"/>
        <v>0.5954</v>
      </c>
      <c r="BT99" s="27">
        <f t="shared" si="21"/>
        <v>0.2534</v>
      </c>
      <c r="BU99" s="27">
        <f>IF(VLOOKUP($Q99,武学奇术!$A:$ZZ,22,FALSE)=1,0,(1-$BN99))*(1-$BQ99)</f>
        <v>0</v>
      </c>
      <c r="BV99" s="27" cm="1">
        <f t="array" ref="BV99">SUM(_xlfn.XLOOKUP($R99:$AK99,增益!$A:$A,增益!$W:$W,0))+$I$5</f>
        <v>0.11</v>
      </c>
    </row>
    <row r="100" spans="11:74">
      <c r="K100" s="39">
        <f t="shared" si="11"/>
        <v>17189.7806233684</v>
      </c>
      <c r="L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19060.8845018531</v>
      </c>
      <c r="M100" s="39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21306.9370221526</v>
      </c>
      <c r="N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10336.7052613086</v>
      </c>
      <c r="O100" s="39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4890.4942099116</v>
      </c>
      <c r="P100" s="40">
        <v>1</v>
      </c>
      <c r="Q100" s="41" t="s">
        <v>177</v>
      </c>
      <c r="R100" s="41" t="s">
        <v>101</v>
      </c>
      <c r="S100" s="41" t="s">
        <v>114</v>
      </c>
      <c r="T100" s="41" t="s">
        <v>76</v>
      </c>
      <c r="U100" s="41" t="s">
        <v>76</v>
      </c>
      <c r="V100" s="41" t="s">
        <v>155</v>
      </c>
      <c r="W100" s="41" t="s">
        <v>76</v>
      </c>
      <c r="X100" s="41" t="s">
        <v>139</v>
      </c>
      <c r="Y100" s="41" t="s">
        <v>76</v>
      </c>
      <c r="Z100" s="41" t="s">
        <v>76</v>
      </c>
      <c r="AA100" s="41" t="s">
        <v>76</v>
      </c>
      <c r="AB100" s="41" t="s">
        <v>76</v>
      </c>
      <c r="AC100" s="41" t="s">
        <v>76</v>
      </c>
      <c r="AD100" s="41" t="s">
        <v>76</v>
      </c>
      <c r="AE100" s="41" t="s">
        <v>80</v>
      </c>
      <c r="AF100" s="41" t="s">
        <v>76</v>
      </c>
      <c r="AG100" s="41" t="s">
        <v>76</v>
      </c>
      <c r="AH100" s="41" t="s">
        <v>76</v>
      </c>
      <c r="AI100" s="41" t="s">
        <v>76</v>
      </c>
      <c r="AJ100" s="41" t="s">
        <v>76</v>
      </c>
      <c r="AK100" s="41" t="s">
        <v>76</v>
      </c>
      <c r="AL100" t="str">
        <f>VLOOKUP($Q100,武学奇术!$A:$ZZ,25,FALSE)</f>
        <v>心法</v>
      </c>
      <c r="AM100" s="27">
        <f>VLOOKUP($Q100,武学奇术!$A:$ZZ,26,FALSE)</f>
        <v>1</v>
      </c>
      <c r="AN100" s="28">
        <f>VLOOKUP($Q100,武学奇术!$A:$ZZ,27,FALSE)*(1+IF(OR($AL100=$F$4,$AL100=$F$5),$B$22,0))</f>
        <v>0</v>
      </c>
      <c r="AO100" s="27">
        <f>VLOOKUP($Q100,武学奇术!$A:$ZZ,28,FALSE)</f>
        <v>1</v>
      </c>
      <c r="AP100" s="28">
        <f>VLOOKUP($Q100,武学奇术!$A:$ZZ,29,FALSE)*(1+IF(OR($AL100=$F$4,$AL100=$F$5),$B$22,0))</f>
        <v>0</v>
      </c>
      <c r="AQ100" s="27" cm="1">
        <f t="array" ref="AQ100">$G$3+IFERROR(VLOOKUP($AL100,$F$4:$G$7,2,FALSE),0)+VLOOKUP($Q100,武学奇术!$A:$ZZ,2,FALSE)+SUM(_xlfn.XLOOKUP($R100:$AK100,增益!$A:$A,增益!$B:$B,0))</f>
        <v>0.4342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1785.2</v>
      </c>
      <c r="AT100" cm="1">
        <f t="array" ref="AT100">$E$10*(1+$AR100)+VLOOKUP($Q100,武学奇术!$A:$ZZ,4,FALSE)+SUM(_xlfn.XLOOKUP($R100:$AK100,增益!$A:$A,增益!$D:$D,0))-$I$2</f>
        <v>6604.8</v>
      </c>
      <c r="AU100" s="33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0.2685</v>
      </c>
      <c r="AV100" s="33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3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3" cm="1">
        <f t="array" ref="BA100">$G$11+VLOOKUP($Q100,武学奇术!$A:$ZZ,10,FALSE)+SUM(_xlfn.XLOOKUP($R100:$AK100,增益!$A:$A,增益!$J:$J,0))</f>
        <v>0</v>
      </c>
      <c r="BB100">
        <f t="shared" si="14"/>
        <v>662.4</v>
      </c>
      <c r="BC100">
        <f t="shared" si="15"/>
        <v>1260</v>
      </c>
      <c r="BD100" s="33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3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33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3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33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3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1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0.5954</v>
      </c>
      <c r="BP100" s="27" cm="1">
        <f t="array" ref="BP100">1+$B$13+VLOOKUP($Q100,武学奇术!$A:$ZZ,18,FALSE)+SUM(_xlfn.XLOOKUP($R100:$AK100,增益!$A:$A,增益!$R:$R,0))</f>
        <v>1.844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0.1512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20"/>
        <v>0.5954</v>
      </c>
      <c r="BT100" s="27">
        <f t="shared" si="21"/>
        <v>0.2534</v>
      </c>
      <c r="BU100" s="27">
        <f>IF(VLOOKUP($Q100,武学奇术!$A:$ZZ,22,FALSE)=1,0,(1-$BN100))*(1-$BQ100)</f>
        <v>0</v>
      </c>
      <c r="BV100" s="27" cm="1">
        <f t="array" ref="BV100">SUM(_xlfn.XLOOKUP($R100:$AK100,增益!$A:$A,增益!$W:$W,0))+$I$5</f>
        <v>0.11</v>
      </c>
    </row>
    <row r="101" spans="11:74">
      <c r="K101" s="39">
        <f t="shared" si="11"/>
        <v>19744.7492270357</v>
      </c>
      <c r="L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22468.272299252</v>
      </c>
      <c r="M101" s="39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23226.4808980222</v>
      </c>
      <c r="N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11267.9399695346</v>
      </c>
      <c r="O101" s="39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5331.0792738676</v>
      </c>
      <c r="P101" s="40">
        <v>1</v>
      </c>
      <c r="Q101" s="41" t="s">
        <v>177</v>
      </c>
      <c r="R101" s="41" t="s">
        <v>101</v>
      </c>
      <c r="S101" s="41" t="s">
        <v>114</v>
      </c>
      <c r="T101" s="41" t="s">
        <v>77</v>
      </c>
      <c r="U101" s="41" t="s">
        <v>76</v>
      </c>
      <c r="V101" s="41" t="s">
        <v>155</v>
      </c>
      <c r="W101" s="41" t="s">
        <v>76</v>
      </c>
      <c r="X101" s="41" t="s">
        <v>139</v>
      </c>
      <c r="Y101" s="41" t="s">
        <v>160</v>
      </c>
      <c r="Z101" s="41" t="s">
        <v>76</v>
      </c>
      <c r="AA101" s="41" t="s">
        <v>76</v>
      </c>
      <c r="AB101" s="41" t="s">
        <v>76</v>
      </c>
      <c r="AC101" s="41" t="s">
        <v>76</v>
      </c>
      <c r="AD101" s="41" t="s">
        <v>76</v>
      </c>
      <c r="AE101" s="41" t="s">
        <v>80</v>
      </c>
      <c r="AF101" s="41" t="s">
        <v>76</v>
      </c>
      <c r="AG101" s="41" t="s">
        <v>76</v>
      </c>
      <c r="AH101" s="41" t="s">
        <v>76</v>
      </c>
      <c r="AI101" s="41" t="s">
        <v>76</v>
      </c>
      <c r="AJ101" s="41" t="s">
        <v>76</v>
      </c>
      <c r="AK101" s="41" t="s">
        <v>76</v>
      </c>
      <c r="AL101" t="str">
        <f>VLOOKUP($Q101,武学奇术!$A:$ZZ,25,FALSE)</f>
        <v>心法</v>
      </c>
      <c r="AM101" s="27">
        <f>VLOOKUP($Q101,武学奇术!$A:$ZZ,26,FALSE)</f>
        <v>1</v>
      </c>
      <c r="AN101" s="28">
        <f>VLOOKUP($Q101,武学奇术!$A:$ZZ,27,FALSE)*(1+IF(OR($AL101=$F$4,$AL101=$F$5),$B$22,0))</f>
        <v>0</v>
      </c>
      <c r="AO101" s="27">
        <f>VLOOKUP($Q101,武学奇术!$A:$ZZ,28,FALSE)</f>
        <v>1</v>
      </c>
      <c r="AP101" s="28">
        <f>VLOOKUP($Q101,武学奇术!$A:$ZZ,29,FALSE)*(1+IF(OR($AL101=$F$4,$AL101=$F$5),$B$22,0))</f>
        <v>0</v>
      </c>
      <c r="AQ101" s="27" cm="1">
        <f t="array" ref="AQ101">$G$3+IFERROR(VLOOKUP($AL101,$F$4:$G$7,2,FALSE),0)+VLOOKUP($Q101,武学奇术!$A:$ZZ,2,FALSE)+SUM(_xlfn.XLOOKUP($R101:$AK101,增益!$A:$A,增益!$B:$B,0))</f>
        <v>0.4342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1785.2</v>
      </c>
      <c r="AT101" cm="1">
        <f t="array" ref="AT101">$E$10*(1+$AR101)+VLOOKUP($Q101,武学奇术!$A:$ZZ,4,FALSE)+SUM(_xlfn.XLOOKUP($R101:$AK101,增益!$A:$A,增益!$D:$D,0))-$I$2</f>
        <v>6604.8</v>
      </c>
      <c r="AU101" s="33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0.2685</v>
      </c>
      <c r="AV101" s="33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3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3" cm="1">
        <f t="array" ref="BA101">$G$11+VLOOKUP($Q101,武学奇术!$A:$ZZ,10,FALSE)+SUM(_xlfn.XLOOKUP($R101:$AK101,增益!$A:$A,增益!$J:$J,0))</f>
        <v>0</v>
      </c>
      <c r="BB101">
        <f t="shared" si="14"/>
        <v>662.4</v>
      </c>
      <c r="BC101">
        <f t="shared" si="15"/>
        <v>1260</v>
      </c>
      <c r="BD101" s="33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0.06</v>
      </c>
      <c r="BE101" s="33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33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-0.3</v>
      </c>
      <c r="BI101" s="33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33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3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1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0.5954</v>
      </c>
      <c r="BP101" s="27" cm="1">
        <f t="array" ref="BP101">1+$B$13+VLOOKUP($Q101,武学奇术!$A:$ZZ,18,FALSE)+SUM(_xlfn.XLOOKUP($R101:$AK101,增益!$A:$A,增益!$R:$R,0))</f>
        <v>1.994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0.1512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20"/>
        <v>0.5954</v>
      </c>
      <c r="BT101" s="27">
        <f t="shared" si="21"/>
        <v>0.2534</v>
      </c>
      <c r="BU101" s="27">
        <f>IF(VLOOKUP($Q101,武学奇术!$A:$ZZ,22,FALSE)=1,0,(1-$BN101))*(1-$BQ101)</f>
        <v>0</v>
      </c>
      <c r="BV101" s="27" cm="1">
        <f t="array" ref="BV101">SUM(_xlfn.XLOOKUP($R101:$AK101,增益!$A:$A,增益!$W:$W,0))+$I$5</f>
        <v>0.21</v>
      </c>
    </row>
    <row r="102" spans="11:74">
      <c r="K102" s="39">
        <f t="shared" si="11"/>
        <v>0</v>
      </c>
      <c r="L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39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39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0">
        <v>1</v>
      </c>
      <c r="Q102" s="41" t="s">
        <v>76</v>
      </c>
      <c r="R102" s="41" t="s">
        <v>76</v>
      </c>
      <c r="S102" s="41" t="s">
        <v>76</v>
      </c>
      <c r="T102" s="41" t="s">
        <v>76</v>
      </c>
      <c r="U102" s="41" t="s">
        <v>76</v>
      </c>
      <c r="V102" s="41" t="s">
        <v>76</v>
      </c>
      <c r="W102" s="41" t="s">
        <v>76</v>
      </c>
      <c r="X102" s="41" t="s">
        <v>76</v>
      </c>
      <c r="Y102" s="41" t="s">
        <v>76</v>
      </c>
      <c r="Z102" s="41" t="s">
        <v>76</v>
      </c>
      <c r="AA102" s="41" t="s">
        <v>76</v>
      </c>
      <c r="AB102" s="41" t="s">
        <v>76</v>
      </c>
      <c r="AC102" s="41" t="s">
        <v>76</v>
      </c>
      <c r="AD102" s="41" t="s">
        <v>76</v>
      </c>
      <c r="AE102" s="41" t="s">
        <v>80</v>
      </c>
      <c r="AF102" s="41" t="s">
        <v>76</v>
      </c>
      <c r="AG102" s="41" t="s">
        <v>76</v>
      </c>
      <c r="AH102" s="41" t="s">
        <v>76</v>
      </c>
      <c r="AI102" s="41" t="s">
        <v>76</v>
      </c>
      <c r="AJ102" s="41" t="s">
        <v>76</v>
      </c>
      <c r="AK102" s="41" t="s">
        <v>76</v>
      </c>
      <c r="AL102" t="str">
        <f>VLOOKUP($Q102,武学奇术!$A:$ZZ,25,FALSE)</f>
        <v>心法</v>
      </c>
      <c r="AM102" s="27">
        <f>VLOOKUP($Q102,武学奇术!$A:$ZZ,26,FALSE)</f>
        <v>0</v>
      </c>
      <c r="AN102" s="28">
        <f>VLOOKUP($Q102,武学奇术!$A:$ZZ,27,FALSE)*(1+IF(OR($AL102=$F$4,$AL102=$F$5),$B$22,0))</f>
        <v>0</v>
      </c>
      <c r="AO102" s="27">
        <f>VLOOKUP($Q102,武学奇术!$A:$ZZ,28,FALSE)</f>
        <v>0</v>
      </c>
      <c r="AP102" s="28">
        <f>VLOOKUP($Q102,武学奇术!$A:$ZZ,29,FALSE)*(1+IF(OR($AL102=$F$4,$AL102=$F$5),$B$22,0))</f>
        <v>0</v>
      </c>
      <c r="AQ102" s="27" cm="1">
        <f t="array" ref="AQ102">$G$3+IFERROR(VLOOKUP($AL102,$F$4:$G$7,2,FALSE),0)+VLOOKUP($Q102,武学奇术!$A:$ZZ,2,FALSE)+SUM(_xlfn.XLOOKUP($R102:$AK102,增益!$A:$A,增益!$B:$B,0))</f>
        <v>0.2042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1785.2</v>
      </c>
      <c r="AT102" cm="1">
        <f t="array" ref="AT102">$E$10*(1+$AR102)+VLOOKUP($Q102,武学奇术!$A:$ZZ,4,FALSE)+SUM(_xlfn.XLOOKUP($R102:$AK102,增益!$A:$A,增益!$D:$D,0))-$I$2</f>
        <v>6604.8</v>
      </c>
      <c r="AU102" s="33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0.1685</v>
      </c>
      <c r="AV102" s="33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3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3" cm="1">
        <f t="array" ref="BA102">$G$11+VLOOKUP($Q102,武学奇术!$A:$ZZ,10,FALSE)+SUM(_xlfn.XLOOKUP($R102:$AK102,增益!$A:$A,增益!$J:$J,0))</f>
        <v>0</v>
      </c>
      <c r="BB102">
        <f t="shared" si="14"/>
        <v>662.4</v>
      </c>
      <c r="BC102">
        <f t="shared" si="15"/>
        <v>1260</v>
      </c>
      <c r="BD102" s="33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3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33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3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33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3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0.5954</v>
      </c>
      <c r="BP102" s="27" cm="1">
        <f t="array" ref="BP102">1+$B$13+VLOOKUP($Q102,武学奇术!$A:$ZZ,18,FALSE)+SUM(_xlfn.XLOOKUP($R102:$AK102,增益!$A:$A,增益!$R:$R,0))</f>
        <v>1.644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0.1512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20"/>
        <v>0.5954</v>
      </c>
      <c r="BT102" s="27">
        <f t="shared" si="21"/>
        <v>0.2534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</sheetData>
  <mergeCells count="14">
    <mergeCell ref="H1:I1"/>
    <mergeCell ref="C8:G8"/>
    <mergeCell ref="C15:D15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"/>
  <sheetViews>
    <sheetView workbookViewId="0">
      <selection activeCell="I27" sqref="I27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7"/>
    <col min="27" max="27" width="9" style="28"/>
    <col min="28" max="28" width="9.375" style="27"/>
    <col min="29" max="29" width="9" style="28"/>
  </cols>
  <sheetData>
    <row r="1" spans="1:31">
      <c r="B1" t="s">
        <v>39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113</v>
      </c>
      <c r="R1" t="s">
        <v>185</v>
      </c>
      <c r="S1" t="s">
        <v>115</v>
      </c>
      <c r="T1" t="s">
        <v>186</v>
      </c>
      <c r="U1" t="s">
        <v>169</v>
      </c>
      <c r="V1" t="s">
        <v>187</v>
      </c>
      <c r="W1" t="s">
        <v>188</v>
      </c>
      <c r="X1" t="s">
        <v>189</v>
      </c>
      <c r="Y1" t="s">
        <v>34</v>
      </c>
      <c r="Z1" s="27" t="s">
        <v>35</v>
      </c>
      <c r="AA1" s="28" t="s">
        <v>36</v>
      </c>
      <c r="AB1" s="27" t="s">
        <v>37</v>
      </c>
      <c r="AC1" s="28" t="s">
        <v>38</v>
      </c>
      <c r="AD1" t="s">
        <v>190</v>
      </c>
    </row>
    <row r="2" spans="1:31">
      <c r="A2" t="s">
        <v>106</v>
      </c>
      <c r="D2">
        <v>200</v>
      </c>
      <c r="Q2" s="29">
        <v>0.24</v>
      </c>
      <c r="R2" s="29">
        <v>0.1</v>
      </c>
      <c r="V2">
        <v>1</v>
      </c>
      <c r="Y2" s="30" t="s">
        <v>88</v>
      </c>
      <c r="Z2" s="30">
        <v>7.2368</v>
      </c>
      <c r="AA2" s="31">
        <v>2002</v>
      </c>
      <c r="AB2" s="30">
        <v>10.8553</v>
      </c>
      <c r="AC2" s="28">
        <v>1090</v>
      </c>
      <c r="AD2" t="s">
        <v>191</v>
      </c>
    </row>
    <row r="3" spans="1:31">
      <c r="A3" t="s">
        <v>117</v>
      </c>
      <c r="D3">
        <v>200</v>
      </c>
      <c r="Q3" s="29">
        <v>0.24</v>
      </c>
      <c r="R3" s="29">
        <v>0.1</v>
      </c>
      <c r="V3">
        <v>1</v>
      </c>
      <c r="Y3" s="30" t="s">
        <v>88</v>
      </c>
      <c r="Z3" s="30">
        <f>263.43%+164.64%</f>
        <v>4.2807</v>
      </c>
      <c r="AA3" s="31">
        <f>729+455</f>
        <v>1184</v>
      </c>
      <c r="AB3" s="30">
        <f>395.14%+246.96%</f>
        <v>6.421</v>
      </c>
      <c r="AC3" s="28">
        <f>397+248</f>
        <v>645</v>
      </c>
      <c r="AD3" t="s">
        <v>191</v>
      </c>
    </row>
    <row r="4" spans="1:31">
      <c r="A4" t="s">
        <v>112</v>
      </c>
      <c r="R4" s="29"/>
      <c r="Y4" s="30" t="s">
        <v>95</v>
      </c>
      <c r="Z4" s="27">
        <v>0.4843</v>
      </c>
      <c r="AA4" s="28">
        <v>134</v>
      </c>
      <c r="AB4" s="27">
        <v>0.7264</v>
      </c>
      <c r="AC4" s="28">
        <v>73</v>
      </c>
    </row>
    <row r="5" spans="1:31">
      <c r="A5" t="s">
        <v>192</v>
      </c>
      <c r="R5" s="29"/>
      <c r="Y5" s="30" t="s">
        <v>95</v>
      </c>
      <c r="Z5" s="27">
        <v>0.3151</v>
      </c>
      <c r="AA5" s="28">
        <v>88</v>
      </c>
      <c r="AB5" s="27">
        <v>0.4726</v>
      </c>
      <c r="AC5" s="28">
        <v>48</v>
      </c>
    </row>
    <row r="6" customFormat="1" spans="1:31">
      <c r="A6" t="s">
        <v>193</v>
      </c>
      <c r="Q6" s="27"/>
      <c r="R6" s="29"/>
      <c r="Y6" t="s">
        <v>105</v>
      </c>
      <c r="Z6" s="27">
        <f>198.73%*2</f>
        <v>3.9746</v>
      </c>
      <c r="AA6" s="28">
        <f>504*2</f>
        <v>1008</v>
      </c>
      <c r="AB6" s="27">
        <f t="shared" ref="AB6:AB21" si="0">Z6*1.5</f>
        <v>5.9619</v>
      </c>
      <c r="AC6" s="28"/>
      <c r="AE6">
        <v>1</v>
      </c>
    </row>
    <row r="7" customFormat="1" spans="1:31">
      <c r="A7" t="s">
        <v>75</v>
      </c>
      <c r="Q7" s="27"/>
      <c r="R7" s="29"/>
      <c r="Y7" t="s">
        <v>105</v>
      </c>
      <c r="Z7" s="27">
        <f>74.52%*2</f>
        <v>1.4904</v>
      </c>
      <c r="AA7" s="28">
        <f>189*2</f>
        <v>378</v>
      </c>
      <c r="AB7" s="27">
        <f t="shared" si="0"/>
        <v>2.2356</v>
      </c>
      <c r="AC7" s="28"/>
      <c r="AE7">
        <v>1</v>
      </c>
    </row>
    <row r="8" customFormat="1" spans="1:31">
      <c r="A8" t="s">
        <v>167</v>
      </c>
      <c r="B8" s="29"/>
      <c r="E8" s="29"/>
      <c r="G8" s="29"/>
      <c r="N8" s="29"/>
      <c r="R8" s="29"/>
      <c r="Y8" t="s">
        <v>105</v>
      </c>
      <c r="Z8" s="27">
        <f>254.71%*2.7*1.5</f>
        <v>10.315755</v>
      </c>
      <c r="AA8" s="28">
        <f>492*2.7*1.5</f>
        <v>1992.6</v>
      </c>
      <c r="AB8" s="27">
        <f t="shared" si="0"/>
        <v>15.4736325</v>
      </c>
      <c r="AC8" s="28"/>
      <c r="AE8">
        <v>1</v>
      </c>
    </row>
    <row r="9" customFormat="1" spans="1:31">
      <c r="A9" t="s">
        <v>170</v>
      </c>
      <c r="B9" s="29"/>
      <c r="Q9" s="27"/>
      <c r="R9" s="29"/>
      <c r="Y9" t="s">
        <v>100</v>
      </c>
      <c r="Z9" s="27">
        <f>319.88%+390.96%</f>
        <v>7.1084</v>
      </c>
      <c r="AA9" s="28">
        <f>616+753</f>
        <v>1369</v>
      </c>
      <c r="AB9" s="27">
        <f t="shared" si="0"/>
        <v>10.6626</v>
      </c>
      <c r="AC9" s="28"/>
      <c r="AE9">
        <v>1</v>
      </c>
    </row>
    <row r="10" customFormat="1" spans="1:31">
      <c r="A10" t="s">
        <v>194</v>
      </c>
      <c r="B10" s="29">
        <v>0.47</v>
      </c>
      <c r="Q10" s="27"/>
      <c r="R10" s="29"/>
      <c r="V10">
        <v>1</v>
      </c>
      <c r="Y10" t="s">
        <v>100</v>
      </c>
      <c r="Z10" s="27">
        <f>1636.48%*2.2*0.7</f>
        <v>25.201792</v>
      </c>
      <c r="AA10" s="28">
        <f>3162*2.2*0.7</f>
        <v>4869.48</v>
      </c>
      <c r="AB10" s="27">
        <f t="shared" si="0"/>
        <v>37.802688</v>
      </c>
      <c r="AC10" s="28"/>
      <c r="AE10">
        <v>1</v>
      </c>
    </row>
    <row r="11" customFormat="1" spans="1:31">
      <c r="A11" t="s">
        <v>195</v>
      </c>
      <c r="B11"/>
      <c r="Q11" s="27"/>
      <c r="R11" s="29"/>
      <c r="Y11" t="s">
        <v>105</v>
      </c>
      <c r="Z11" s="27">
        <f>(416.02%+772.61%)*2</f>
        <v>23.7726</v>
      </c>
      <c r="AA11" s="28">
        <f>(803+1493)*2</f>
        <v>4592</v>
      </c>
      <c r="AB11" s="27">
        <f t="shared" si="0"/>
        <v>35.6589</v>
      </c>
      <c r="AC11" s="28"/>
      <c r="AE11">
        <v>1</v>
      </c>
    </row>
    <row r="12" customFormat="1" spans="1:31">
      <c r="A12" t="s">
        <v>196</v>
      </c>
      <c r="B12" s="29"/>
      <c r="Q12" s="27"/>
      <c r="R12" s="29"/>
      <c r="Y12" t="s">
        <v>100</v>
      </c>
      <c r="Z12" s="27">
        <f>257.01%/2</f>
        <v>1.28505</v>
      </c>
      <c r="AA12" s="28">
        <f>502/2</f>
        <v>251</v>
      </c>
      <c r="AB12" s="27">
        <f t="shared" si="0"/>
        <v>1.927575</v>
      </c>
      <c r="AC12" s="28"/>
      <c r="AE12">
        <v>1</v>
      </c>
    </row>
    <row r="13" customFormat="1" spans="1:31">
      <c r="A13" t="s">
        <v>197</v>
      </c>
      <c r="B13"/>
      <c r="Q13" s="27"/>
      <c r="R13" s="29"/>
      <c r="Y13" t="s">
        <v>100</v>
      </c>
      <c r="Z13" s="27">
        <f>257.01%+141.62%</f>
        <v>3.9863</v>
      </c>
      <c r="AA13" s="28">
        <f>502+276</f>
        <v>778</v>
      </c>
      <c r="AB13" s="27">
        <f t="shared" si="0"/>
        <v>5.97945</v>
      </c>
      <c r="AC13" s="28"/>
      <c r="AE13">
        <v>1</v>
      </c>
    </row>
    <row r="14" customFormat="1" spans="1:31">
      <c r="A14" t="s">
        <v>198</v>
      </c>
      <c r="B14" s="29"/>
      <c r="Q14" s="27"/>
      <c r="R14" s="29"/>
      <c r="T14" s="29"/>
      <c r="Y14" t="s">
        <v>100</v>
      </c>
      <c r="Z14" s="27">
        <v>0.236</v>
      </c>
      <c r="AA14" s="28">
        <v>46</v>
      </c>
      <c r="AB14" s="27">
        <f t="shared" si="0"/>
        <v>0.354</v>
      </c>
      <c r="AC14" s="28"/>
      <c r="AE14">
        <v>0.5</v>
      </c>
    </row>
    <row r="15" customFormat="1" spans="1:31">
      <c r="A15" t="s">
        <v>199</v>
      </c>
      <c r="B15" s="29"/>
      <c r="Q15" s="27"/>
      <c r="R15" s="29"/>
      <c r="Y15" t="s">
        <v>100</v>
      </c>
      <c r="Z15" s="27">
        <f>272.42%/2</f>
        <v>1.3621</v>
      </c>
      <c r="AA15" s="28">
        <f>528/2</f>
        <v>264</v>
      </c>
      <c r="AB15" s="27">
        <f t="shared" si="0"/>
        <v>2.04315</v>
      </c>
      <c r="AC15" s="28"/>
      <c r="AE15">
        <v>1</v>
      </c>
    </row>
    <row r="16" customFormat="1" spans="1:31">
      <c r="A16" t="s">
        <v>200</v>
      </c>
      <c r="B16"/>
      <c r="Q16" s="27"/>
      <c r="R16" s="29"/>
      <c r="Y16" t="s">
        <v>100</v>
      </c>
      <c r="Z16" s="27">
        <f>272.42%+150.11%</f>
        <v>4.2253</v>
      </c>
      <c r="AA16" s="28">
        <f>528+291</f>
        <v>819</v>
      </c>
      <c r="AB16" s="27">
        <f t="shared" si="0"/>
        <v>6.33795</v>
      </c>
      <c r="AC16" s="28"/>
      <c r="AE16">
        <v>1</v>
      </c>
    </row>
    <row r="17" customFormat="1" spans="1:31">
      <c r="A17" t="s">
        <v>201</v>
      </c>
      <c r="B17" s="29"/>
      <c r="Q17" s="27"/>
      <c r="R17" s="29"/>
      <c r="T17" s="29"/>
      <c r="Y17" t="s">
        <v>100</v>
      </c>
      <c r="Z17" s="27">
        <v>0.2958</v>
      </c>
      <c r="AA17" s="28">
        <v>57</v>
      </c>
      <c r="AB17" s="27">
        <f t="shared" si="0"/>
        <v>0.4437</v>
      </c>
      <c r="AC17" s="28"/>
      <c r="AE17">
        <v>0.5</v>
      </c>
    </row>
    <row r="18" customFormat="1" spans="1:31">
      <c r="A18" t="s">
        <v>202</v>
      </c>
      <c r="Q18" s="27"/>
      <c r="R18" s="29"/>
      <c r="Y18" t="s">
        <v>100</v>
      </c>
      <c r="Z18" s="27">
        <v>1.0239</v>
      </c>
      <c r="AA18" s="28">
        <v>196</v>
      </c>
      <c r="AB18" s="27">
        <f t="shared" si="0"/>
        <v>1.53585</v>
      </c>
      <c r="AC18" s="28"/>
      <c r="AE18">
        <v>1</v>
      </c>
    </row>
    <row r="19" customFormat="1" spans="1:31">
      <c r="A19" t="s">
        <v>203</v>
      </c>
      <c r="B19" s="29">
        <v>0.8</v>
      </c>
      <c r="Q19" s="27"/>
      <c r="R19" s="29"/>
      <c r="Y19" t="s">
        <v>100</v>
      </c>
      <c r="Z19" s="27">
        <v>1.7065</v>
      </c>
      <c r="AA19" s="28">
        <v>327</v>
      </c>
      <c r="AB19" s="27">
        <f t="shared" si="0"/>
        <v>2.55975</v>
      </c>
      <c r="AC19" s="28"/>
      <c r="AE19">
        <v>1</v>
      </c>
    </row>
    <row r="20" customFormat="1" spans="1:31">
      <c r="A20" t="s">
        <v>204</v>
      </c>
      <c r="B20"/>
      <c r="Q20" s="27"/>
      <c r="R20" s="29"/>
      <c r="Y20" t="s">
        <v>100</v>
      </c>
      <c r="Z20" s="27">
        <v>0.7021</v>
      </c>
      <c r="AA20" s="28">
        <v>134</v>
      </c>
      <c r="AB20" s="27">
        <f t="shared" si="0"/>
        <v>1.05315</v>
      </c>
      <c r="AC20" s="28"/>
      <c r="AE20">
        <v>1</v>
      </c>
    </row>
    <row r="21" customFormat="1" spans="1:31">
      <c r="A21" t="s">
        <v>205</v>
      </c>
      <c r="Q21" s="27"/>
      <c r="R21" s="29"/>
      <c r="Y21" t="s">
        <v>100</v>
      </c>
      <c r="Z21" s="27">
        <v>1.609</v>
      </c>
      <c r="AA21" s="28">
        <v>308</v>
      </c>
      <c r="AB21" s="27">
        <f t="shared" si="0"/>
        <v>2.4135</v>
      </c>
      <c r="AC21" s="28"/>
      <c r="AE21">
        <v>1</v>
      </c>
    </row>
    <row r="22" customFormat="1" spans="1:31">
      <c r="A22" t="s">
        <v>177</v>
      </c>
      <c r="Q22" s="27"/>
      <c r="R22" s="29"/>
      <c r="Y22" t="s">
        <v>206</v>
      </c>
      <c r="Z22" s="27">
        <v>1</v>
      </c>
      <c r="AA22" s="28"/>
      <c r="AB22" s="27">
        <v>1</v>
      </c>
      <c r="AC22" s="28"/>
      <c r="AE22">
        <v>1</v>
      </c>
    </row>
    <row r="23" customFormat="1" spans="1:31">
      <c r="A23" t="s">
        <v>207</v>
      </c>
      <c r="B23" s="29"/>
      <c r="E23" s="29"/>
      <c r="G23" s="29"/>
      <c r="N23" s="29"/>
      <c r="R23" s="29"/>
      <c r="Y23" t="s">
        <v>105</v>
      </c>
      <c r="Z23" s="27">
        <f>254.71%*2.7</f>
        <v>6.87717</v>
      </c>
      <c r="AA23" s="28">
        <f>492*2.7</f>
        <v>1328.4</v>
      </c>
      <c r="AB23" s="27">
        <f>Z23*1.5</f>
        <v>10.315755</v>
      </c>
      <c r="AC23" s="28"/>
      <c r="AE23">
        <v>1</v>
      </c>
    </row>
    <row r="24" customFormat="1" spans="1:31">
      <c r="A24" t="s">
        <v>76</v>
      </c>
      <c r="Q24" s="27"/>
      <c r="Y24" t="s">
        <v>206</v>
      </c>
      <c r="Z24" s="27">
        <v>0</v>
      </c>
      <c r="AA24" s="28"/>
      <c r="AB24" s="27">
        <v>0</v>
      </c>
      <c r="AC24" s="28"/>
      <c r="AE24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8"/>
  <sheetViews>
    <sheetView workbookViewId="0">
      <selection activeCell="B18" sqref="B1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7">
      <c r="B1" t="s">
        <v>39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113</v>
      </c>
      <c r="R1" t="s">
        <v>185</v>
      </c>
      <c r="S1" t="s">
        <v>115</v>
      </c>
      <c r="T1" t="s">
        <v>186</v>
      </c>
      <c r="U1" t="s">
        <v>208</v>
      </c>
      <c r="V1" s="27" t="s">
        <v>209</v>
      </c>
      <c r="W1" s="27" t="s">
        <v>70</v>
      </c>
    </row>
    <row r="2" spans="1:27">
      <c r="A2" t="s">
        <v>84</v>
      </c>
      <c r="B2" s="29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0"/>
      <c r="X2" s="30"/>
      <c r="Y2" s="31"/>
      <c r="Z2" s="30"/>
    </row>
    <row r="3" customFormat="1" spans="1:27">
      <c r="A3" t="s">
        <v>210</v>
      </c>
      <c r="B3" s="29">
        <f>IF(期望!$D$20="√",25%,0)</f>
        <v>0.25</v>
      </c>
      <c r="W3" s="30"/>
      <c r="X3" s="30"/>
      <c r="Y3" s="31"/>
      <c r="Z3" s="30"/>
      <c r="AA3" s="28"/>
    </row>
    <row r="4" customFormat="1" spans="1:27">
      <c r="A4" t="s">
        <v>93</v>
      </c>
      <c r="B4" s="29"/>
      <c r="E4" s="29">
        <f>IF(期望!$D$21="√",12%,0)</f>
        <v>0</v>
      </c>
      <c r="H4" s="29">
        <f>IF(期望!$D$21="√",12%,0)</f>
        <v>0</v>
      </c>
      <c r="I4" s="29"/>
      <c r="W4" s="30"/>
      <c r="X4" s="30"/>
      <c r="Y4" s="31"/>
      <c r="Z4" s="30"/>
      <c r="AA4" s="28"/>
    </row>
    <row r="5" customFormat="1" spans="1:27">
      <c r="A5" t="s">
        <v>86</v>
      </c>
      <c r="B5" s="29"/>
      <c r="H5" s="29">
        <f>IF(期望!$D$21="√",6%,0)</f>
        <v>0</v>
      </c>
      <c r="W5" s="30"/>
      <c r="X5" s="30"/>
      <c r="Y5" s="31"/>
      <c r="Z5" s="30"/>
      <c r="AA5" s="28"/>
    </row>
    <row r="6" customFormat="1" spans="1:27">
      <c r="A6" t="s">
        <v>79</v>
      </c>
      <c r="B6" s="29"/>
      <c r="G6" s="29">
        <f>IF(期望!$D$21="√",2%,0)</f>
        <v>0</v>
      </c>
      <c r="J6" s="29">
        <f>IF(期望!$D$21="√",2%,0)</f>
        <v>0</v>
      </c>
      <c r="L6" s="29">
        <f>IF(期望!$D$21="√",2%,0)</f>
        <v>0</v>
      </c>
      <c r="N6" s="29">
        <f>IF(期望!$D$21="√",2%,0)</f>
        <v>0</v>
      </c>
      <c r="P6" s="29">
        <f>IF(期望!$D$21="√",2%,0)</f>
        <v>0</v>
      </c>
      <c r="W6" s="30"/>
      <c r="X6" s="30"/>
      <c r="Y6" s="31"/>
      <c r="Z6" s="30"/>
      <c r="AA6" s="28"/>
    </row>
    <row r="7" customFormat="1" spans="1:27">
      <c r="A7" t="s">
        <v>87</v>
      </c>
      <c r="G7" s="29">
        <f>IF(期望!$D$22="√",2%,0)</f>
        <v>0</v>
      </c>
      <c r="J7" s="29">
        <f>IF(期望!$D$22="√",2%,0)</f>
        <v>0</v>
      </c>
      <c r="L7" s="29">
        <f>IF(期望!$D$22="√",2%,0)</f>
        <v>0</v>
      </c>
      <c r="N7" s="29">
        <f>IF(期望!$D$22="√",2%,0)</f>
        <v>0</v>
      </c>
      <c r="P7" s="29">
        <f>IF(期望!$D$22="√",2%,0)</f>
        <v>0</v>
      </c>
      <c r="R7" s="29"/>
      <c r="W7" s="30"/>
    </row>
    <row r="8" customFormat="1" spans="1:27">
      <c r="A8" t="s">
        <v>121</v>
      </c>
      <c r="B8"/>
      <c r="F8">
        <f>6*IF(期望!$F$18="√",1,0)</f>
        <v>6</v>
      </c>
      <c r="R8" s="29">
        <f>6%*IF(期望!$F$18="√",1,0)</f>
        <v>0.06</v>
      </c>
      <c r="W8" s="30"/>
    </row>
    <row r="9" customFormat="1" spans="1:27">
      <c r="A9" t="s">
        <v>126</v>
      </c>
      <c r="B9"/>
      <c r="F9">
        <f>12*IF(期望!$F$18="√",1,0)</f>
        <v>12</v>
      </c>
      <c r="R9" s="29">
        <f>12%*IF(期望!$F$18="√",1,0)</f>
        <v>0.12</v>
      </c>
      <c r="W9" s="30"/>
      <c r="X9" s="27"/>
      <c r="Y9" s="28"/>
      <c r="Z9" s="27"/>
      <c r="AA9" s="28"/>
    </row>
    <row r="10" spans="1:27">
      <c r="A10" t="s">
        <v>134</v>
      </c>
      <c r="F10">
        <f>15*IF(期望!$F$18="√",1,0)</f>
        <v>15</v>
      </c>
      <c r="R10" s="29">
        <f>15%*IF(期望!$F$18="√",1,0)</f>
        <v>0.15</v>
      </c>
      <c r="W10" s="30"/>
    </row>
    <row r="11" customFormat="1" spans="1:27">
      <c r="A11" t="s">
        <v>92</v>
      </c>
      <c r="F11">
        <f>4*IF(期望!$F$18="√",1,0)</f>
        <v>4</v>
      </c>
      <c r="R11" s="29">
        <f>4%*IF(期望!$F$18="√",1,0)</f>
        <v>0.04</v>
      </c>
      <c r="W11" s="30"/>
      <c r="X11" s="27"/>
      <c r="Y11" s="28"/>
      <c r="Z11" s="27"/>
      <c r="AA11" s="28"/>
    </row>
    <row r="12" customFormat="1" spans="1:27">
      <c r="A12" t="s">
        <v>103</v>
      </c>
      <c r="F12">
        <f>8*IF(期望!$F$18="√",1,0)</f>
        <v>8</v>
      </c>
      <c r="R12" s="29">
        <f>8%*IF(期望!$F$18="√",1,0)</f>
        <v>0.08</v>
      </c>
      <c r="W12" s="30"/>
      <c r="X12" s="27"/>
      <c r="Y12" s="28"/>
      <c r="Z12" s="27"/>
      <c r="AA12" s="28"/>
    </row>
    <row r="13" customFormat="1" spans="1:27">
      <c r="A13" t="s">
        <v>139</v>
      </c>
      <c r="B13"/>
      <c r="F13">
        <f>10*IF(期望!$F$18="√",1,0)</f>
        <v>10</v>
      </c>
      <c r="R13" s="29">
        <f>10%*IF(期望!$F$18="√",1,0)</f>
        <v>0.1</v>
      </c>
      <c r="W13" s="30"/>
      <c r="X13" s="27"/>
      <c r="Y13" s="28"/>
      <c r="Z13" s="27"/>
      <c r="AA13" s="28"/>
    </row>
    <row r="14" spans="1:27">
      <c r="A14" t="s">
        <v>160</v>
      </c>
      <c r="B14" s="29"/>
      <c r="W14" s="30">
        <v>0.1</v>
      </c>
    </row>
    <row r="15" spans="1:27">
      <c r="A15" t="s">
        <v>77</v>
      </c>
      <c r="B15" s="29"/>
      <c r="R15" s="29">
        <v>0.15</v>
      </c>
      <c r="W15" s="30"/>
    </row>
    <row r="16" spans="1:27">
      <c r="A16" t="s">
        <v>78</v>
      </c>
      <c r="B16" s="29">
        <v>0.02</v>
      </c>
      <c r="R16" s="29"/>
      <c r="W16" s="30"/>
    </row>
    <row r="17" customFormat="1" spans="1:27">
      <c r="A17" t="s">
        <v>211</v>
      </c>
      <c r="B17" s="29">
        <v>0.2</v>
      </c>
      <c r="R17" s="29"/>
      <c r="W17" s="30"/>
      <c r="X17" s="27"/>
      <c r="Y17" s="28"/>
      <c r="Z17" s="27"/>
      <c r="AA17" s="28"/>
    </row>
    <row r="18" spans="1:27">
      <c r="A18" t="s">
        <v>114</v>
      </c>
      <c r="B18" s="29">
        <v>0.18</v>
      </c>
      <c r="J18" s="29"/>
      <c r="X18" s="30"/>
      <c r="Y18" s="31"/>
      <c r="Z18" s="30"/>
    </row>
    <row r="19" spans="1:27">
      <c r="A19" t="s">
        <v>108</v>
      </c>
      <c r="B19" s="29">
        <v>0.42</v>
      </c>
      <c r="J19" s="29"/>
      <c r="X19" s="30"/>
      <c r="Y19" s="31"/>
      <c r="Z19" s="30"/>
    </row>
    <row r="20" spans="1:27">
      <c r="A20" t="s">
        <v>161</v>
      </c>
      <c r="B20" s="29"/>
      <c r="J20" s="29">
        <f>IF(期望!$D$17="√",10%,0)</f>
        <v>0.1</v>
      </c>
      <c r="W20" s="27">
        <f>IF(期望!$D$18="√",10%,0)</f>
        <v>0.1</v>
      </c>
      <c r="X20" s="30"/>
      <c r="Y20" s="31"/>
      <c r="Z20" s="30"/>
    </row>
    <row r="21" spans="1:27">
      <c r="A21" t="s">
        <v>80</v>
      </c>
      <c r="R21" s="29"/>
      <c r="W21" s="27">
        <v>0.05</v>
      </c>
      <c r="X21" s="30"/>
      <c r="Y21" s="31"/>
      <c r="Z21" s="30"/>
    </row>
    <row r="22" spans="1:27">
      <c r="A22" t="s">
        <v>85</v>
      </c>
      <c r="R22" s="29">
        <f>IF(期望!$F$16="√",1%,0)</f>
        <v>0.01</v>
      </c>
      <c r="X22" s="30"/>
      <c r="Y22" s="31"/>
      <c r="Z22" s="30"/>
    </row>
    <row r="23" spans="1:27">
      <c r="A23" t="s">
        <v>91</v>
      </c>
      <c r="R23" s="29">
        <f>IF(期望!$F$16="√",2%,0)</f>
        <v>0.02</v>
      </c>
      <c r="X23" s="30"/>
      <c r="Y23" s="31"/>
      <c r="Z23" s="30"/>
    </row>
    <row r="24" spans="1:27">
      <c r="A24" t="s">
        <v>98</v>
      </c>
      <c r="R24" s="29">
        <f>IF(期望!$F$16="√",3%,0)</f>
        <v>0.03</v>
      </c>
      <c r="X24" s="30"/>
      <c r="Y24" s="31"/>
      <c r="Z24" s="30"/>
    </row>
    <row r="25" spans="1:27">
      <c r="A25" t="s">
        <v>102</v>
      </c>
      <c r="R25" s="29">
        <f>IF(期望!$F$16="√",4%,0)</f>
        <v>0.04</v>
      </c>
      <c r="X25" s="30"/>
      <c r="Y25" s="31"/>
      <c r="Z25" s="30"/>
    </row>
    <row r="26" spans="1:27">
      <c r="A26" t="s">
        <v>125</v>
      </c>
      <c r="R26" s="29">
        <f>IF(期望!$F$16="√",5%,0)</f>
        <v>0.05</v>
      </c>
      <c r="X26" s="30"/>
      <c r="Y26" s="31"/>
      <c r="Z26" s="30"/>
    </row>
    <row r="27" spans="1:27">
      <c r="A27" t="s">
        <v>129</v>
      </c>
      <c r="R27" s="29">
        <f>IF(期望!$F$16="√",6%,0)</f>
        <v>0.06</v>
      </c>
      <c r="X27" s="30"/>
      <c r="Y27" s="31"/>
      <c r="Z27" s="30"/>
    </row>
    <row r="28" spans="1:27">
      <c r="A28" t="s">
        <v>138</v>
      </c>
      <c r="R28" s="29">
        <f>IF(期望!$F$16="√",7%,0)</f>
        <v>0.07</v>
      </c>
      <c r="X28" s="30"/>
      <c r="Y28" s="31"/>
      <c r="Z28" s="30"/>
    </row>
    <row r="29" spans="1:27">
      <c r="A29" t="s">
        <v>146</v>
      </c>
      <c r="R29" s="29">
        <f>IF(期望!$F$16="√",8%,0)</f>
        <v>0.08</v>
      </c>
      <c r="X29" s="30"/>
      <c r="Y29" s="31"/>
      <c r="Z29" s="30"/>
    </row>
    <row r="30" spans="1:27">
      <c r="A30" t="s">
        <v>149</v>
      </c>
      <c r="R30" s="29">
        <f>IF(期望!$F$16="√",9%,0)</f>
        <v>0.09</v>
      </c>
      <c r="X30" s="30"/>
      <c r="Y30" s="31"/>
      <c r="Z30" s="30"/>
    </row>
    <row r="31" spans="1:27">
      <c r="A31" t="s">
        <v>155</v>
      </c>
      <c r="R31" s="29">
        <f>IF(期望!$F$16="√",10%,0)</f>
        <v>0.1</v>
      </c>
      <c r="X31" s="30"/>
      <c r="Y31" s="31"/>
      <c r="Z31" s="30"/>
    </row>
    <row r="32" spans="1:27">
      <c r="A32" t="s">
        <v>107</v>
      </c>
      <c r="B32" s="29">
        <v>0.01</v>
      </c>
      <c r="F32">
        <v>2</v>
      </c>
      <c r="X32" s="30"/>
      <c r="Y32" s="31"/>
      <c r="Z32" s="30"/>
    </row>
    <row r="33" spans="1:26">
      <c r="A33" t="s">
        <v>83</v>
      </c>
      <c r="B33" s="29">
        <v>0.02</v>
      </c>
      <c r="F33">
        <v>4</v>
      </c>
      <c r="X33" s="30"/>
      <c r="Y33" s="31"/>
      <c r="Z33" s="30"/>
    </row>
    <row r="34" spans="1:26">
      <c r="A34" t="s">
        <v>90</v>
      </c>
      <c r="B34" s="29">
        <v>0.03</v>
      </c>
      <c r="F34">
        <v>6</v>
      </c>
      <c r="X34" s="30"/>
      <c r="Y34" s="31"/>
      <c r="Z34" s="30"/>
    </row>
    <row r="35" spans="1:26">
      <c r="A35" t="s">
        <v>97</v>
      </c>
      <c r="B35" s="29">
        <v>0.04</v>
      </c>
      <c r="F35">
        <v>8</v>
      </c>
      <c r="X35" s="30"/>
      <c r="Y35" s="31"/>
      <c r="Z35" s="30"/>
    </row>
    <row r="36" spans="1:26">
      <c r="A36" t="s">
        <v>101</v>
      </c>
      <c r="B36" s="29">
        <v>0.05</v>
      </c>
      <c r="F36">
        <v>10</v>
      </c>
      <c r="X36" s="30"/>
      <c r="Y36" s="31"/>
      <c r="Z36" s="30"/>
    </row>
    <row r="37" spans="1:26">
      <c r="A37" t="s">
        <v>76</v>
      </c>
      <c r="X37" s="30"/>
      <c r="Y37" s="31"/>
      <c r="Z37" s="30"/>
    </row>
    <row r="38" spans="1:26">
      <c r="X38" s="30"/>
      <c r="Y38" s="31"/>
      <c r="Z38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C31" sqref="C31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212</v>
      </c>
      <c r="B1" s="3" t="s">
        <v>213</v>
      </c>
      <c r="C1" s="4" t="s">
        <v>214</v>
      </c>
      <c r="D1" s="5" t="s">
        <v>215</v>
      </c>
    </row>
    <row r="2" spans="1:4">
      <c r="A2" s="6">
        <v>0.1</v>
      </c>
      <c r="B2" s="7">
        <v>1</v>
      </c>
      <c r="C2" s="8" t="s">
        <v>216</v>
      </c>
      <c r="D2" s="4" t="s">
        <v>217</v>
      </c>
    </row>
    <row r="3" spans="1:4">
      <c r="A3" s="9"/>
      <c r="B3" s="10">
        <v>2</v>
      </c>
      <c r="C3" s="11" t="s">
        <v>218</v>
      </c>
    </row>
    <row r="4" ht="14.25" spans="1:4">
      <c r="A4" s="12"/>
      <c r="B4" s="13">
        <v>3</v>
      </c>
      <c r="C4" s="14" t="s">
        <v>219</v>
      </c>
    </row>
    <row r="5" ht="14.25" spans="1:4">
      <c r="A5" s="15">
        <v>0.2</v>
      </c>
      <c r="B5" s="16">
        <v>1</v>
      </c>
      <c r="C5" s="17" t="s">
        <v>220</v>
      </c>
    </row>
    <row r="6" ht="14.25" spans="1:4">
      <c r="A6" s="15">
        <v>0.3</v>
      </c>
      <c r="B6" s="16">
        <v>1</v>
      </c>
      <c r="C6" s="17" t="s">
        <v>221</v>
      </c>
    </row>
    <row r="7" spans="1:4">
      <c r="A7" s="18">
        <v>0.4</v>
      </c>
      <c r="B7" s="19">
        <v>1</v>
      </c>
      <c r="C7" s="8" t="s">
        <v>222</v>
      </c>
    </row>
    <row r="8" ht="14.25" spans="1:4">
      <c r="A8" s="20"/>
      <c r="B8" s="13">
        <v>1</v>
      </c>
      <c r="C8" s="14" t="s">
        <v>223</v>
      </c>
    </row>
    <row r="9" ht="14.25" spans="1:4">
      <c r="A9" s="21">
        <v>0.5</v>
      </c>
      <c r="B9" s="16">
        <v>1</v>
      </c>
      <c r="C9" s="17" t="s">
        <v>224</v>
      </c>
    </row>
    <row r="10" ht="14.25" spans="1:4">
      <c r="A10" s="15">
        <v>0.6</v>
      </c>
      <c r="B10" s="16">
        <v>1</v>
      </c>
      <c r="C10" s="17" t="s">
        <v>225</v>
      </c>
    </row>
    <row r="11" ht="14.25" spans="1:4">
      <c r="A11" s="15">
        <v>0.7</v>
      </c>
      <c r="B11" s="16">
        <v>1</v>
      </c>
      <c r="C11" s="17" t="s">
        <v>226</v>
      </c>
    </row>
    <row r="12" ht="14.25" spans="1:4">
      <c r="A12" s="15">
        <v>0.8</v>
      </c>
      <c r="B12" s="16">
        <v>1</v>
      </c>
      <c r="C12" s="17" t="s">
        <v>227</v>
      </c>
    </row>
    <row r="13" ht="14.25" spans="1:4">
      <c r="A13" s="15">
        <v>0.9</v>
      </c>
      <c r="B13" s="16">
        <v>1</v>
      </c>
      <c r="C13" s="17" t="s">
        <v>228</v>
      </c>
    </row>
    <row r="14" ht="14.25" spans="1:4">
      <c r="A14" s="15">
        <v>1</v>
      </c>
      <c r="B14" s="16">
        <v>1</v>
      </c>
      <c r="C14" s="17" t="s">
        <v>229</v>
      </c>
    </row>
    <row r="15" spans="1:4">
      <c r="A15" s="18">
        <v>1.1</v>
      </c>
      <c r="B15" s="19">
        <v>1</v>
      </c>
      <c r="C15" s="8" t="s">
        <v>230</v>
      </c>
    </row>
    <row r="16" spans="1:4">
      <c r="A16" s="22"/>
      <c r="B16" s="23">
        <v>2</v>
      </c>
      <c r="C16" s="11" t="s">
        <v>231</v>
      </c>
    </row>
    <row r="17" ht="14.25" spans="1:3">
      <c r="A17" s="20"/>
      <c r="B17" s="13">
        <v>3</v>
      </c>
      <c r="C17" s="14" t="s">
        <v>232</v>
      </c>
    </row>
    <row r="18" spans="1:3">
      <c r="A18" s="24">
        <v>2</v>
      </c>
      <c r="B18" s="19">
        <v>1</v>
      </c>
      <c r="C18" s="8" t="s">
        <v>233</v>
      </c>
    </row>
    <row r="19" ht="14.25" spans="1:3">
      <c r="A19" s="25"/>
      <c r="B19" s="13">
        <v>2</v>
      </c>
      <c r="C19" s="14" t="s">
        <v>234</v>
      </c>
    </row>
    <row r="20" ht="14.25" spans="1:3">
      <c r="A20" s="26">
        <v>2.1</v>
      </c>
      <c r="B20" s="16">
        <v>1</v>
      </c>
      <c r="C20" s="17" t="s">
        <v>235</v>
      </c>
    </row>
    <row r="21" ht="14.25" spans="1:3">
      <c r="A21" s="15">
        <v>2.2</v>
      </c>
      <c r="B21" s="16">
        <v>1</v>
      </c>
      <c r="C21" s="17" t="s">
        <v>236</v>
      </c>
    </row>
    <row r="22" spans="1:3">
      <c r="A22" s="18">
        <v>2.3</v>
      </c>
      <c r="B22" s="19">
        <v>1</v>
      </c>
      <c r="C22" s="8" t="s">
        <v>237</v>
      </c>
    </row>
    <row r="23" ht="14.25" spans="1:3">
      <c r="A23" s="20"/>
      <c r="B23" s="13">
        <v>2</v>
      </c>
      <c r="C23" s="14" t="s">
        <v>238</v>
      </c>
    </row>
    <row r="24" ht="14.25" spans="1:3">
      <c r="A24" s="15">
        <v>2.4</v>
      </c>
      <c r="B24" s="16">
        <v>1</v>
      </c>
      <c r="C24" s="17" t="s">
        <v>239</v>
      </c>
    </row>
    <row r="25" ht="14.25" spans="1:3">
      <c r="A25" s="15">
        <v>2.5</v>
      </c>
      <c r="B25" s="16">
        <v>1</v>
      </c>
      <c r="C25" s="17" t="s">
        <v>240</v>
      </c>
    </row>
    <row r="26" ht="14.25" spans="1:3">
      <c r="A26" s="15">
        <v>2.6</v>
      </c>
      <c r="B26" s="16">
        <v>1</v>
      </c>
      <c r="C26" s="17" t="s">
        <v>241</v>
      </c>
    </row>
    <row r="27" ht="14.25" spans="1:3">
      <c r="A27" s="15" t="s">
        <v>242</v>
      </c>
      <c r="B27" s="16">
        <v>1</v>
      </c>
      <c r="C27" s="17" t="s">
        <v>243</v>
      </c>
    </row>
  </sheetData>
  <mergeCells count="5">
    <mergeCell ref="A2:A4"/>
    <mergeCell ref="A7:A8"/>
    <mergeCell ref="A15:A17"/>
    <mergeCell ref="A18:A19"/>
    <mergeCell ref="A22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流枫</cp:lastModifiedBy>
  <dcterms:created xsi:type="dcterms:W3CDTF">2023-05-12T11:15:00Z</dcterms:created>
  <dcterms:modified xsi:type="dcterms:W3CDTF">2026-09-30T18:44:35Z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7F9B9AFEC4FA4F59A4A25126CA495B4C_13</vt:lpwstr>
  </property>
  <property fmtid="{D5CDD505-2E9C-101B-9397-08002B2CF9AE}" pid="4" name="CalculationRule">
    <vt:i4>0</vt:i4>
  </property>
</Properties>
</file>