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<sst xmlns="http://schemas.openxmlformats.org/spreadsheetml/2006/main" count="6269" uniqueCount="279">
  <si>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</si>
  <si>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</si>
  <si>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</si>
  <si>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</si>
  <si>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</si>
  <si>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</si>
  <si>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</si>
  <si>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</si>
  <si>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</si>
  <si>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</si>
  <si>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</si>
  <si>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</si>
  <si>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</si>
  <si>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</si>
  <si>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</si>
  <si>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</si>
  <si>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</si>
  <si>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</si>
  <si>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</si>
  <si>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</si>
  <si>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</si>
  <si>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</si>
  <si>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</si>
  <si>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</si>
  <si>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</si>
  <si>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</si>
  <si>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</si>
  <si>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</si>
  <si>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</si>
  <si>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</si>
  <si>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</si>
  <si>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</si>
  <si>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</si>
  <si>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</si>
  <si>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</si>
  <si>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</si>
  <si>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</si>
  <si>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</si>
  <si>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</si>
  <si>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</si>
  <si>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</si>
  <si>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</si>
  <si>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</si>
  <si>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</si>
  <si>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</si>
  <si>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</si>
  <si>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</si>
  <si>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</si>
  <si>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</si>
  <si>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</si>
  <si>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</si>
  <si>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</si>
  <si>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</si>
  <si>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</si>
  <si>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</si>
  <si>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</si>
  <si>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</si>
  <si>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</si>
  <si>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</si>
  <si>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</si>
  <si>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</si>
  <si>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</si>
  <si>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</si>
  <si>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</si>
  <si>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</si>
  <si>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</si>
  <si>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</si>
  <si>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</si>
  <si>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</si>
  <si>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</si>
  <si>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</si>
  <si>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</si>
  <si>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</si>
  <si>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</si>
  <si>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</si>
  <si>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倾觞</t>
  </si>
  <si>
    <t>防御</t>
  </si>
  <si>
    <t>萧呤千浪流星</t>
  </si>
  <si>
    <t>易水歌1层</t>
  </si>
  <si>
    <t>沧海帖1层</t>
  </si>
  <si>
    <t>N/a</t>
  </si>
  <si>
    <t>近战笛</t>
  </si>
  <si>
    <t>燕别(0%)</t>
  </si>
  <si>
    <t>裁云(拐)</t>
  </si>
  <si>
    <t>无惧</t>
  </si>
  <si>
    <t>鸣金</t>
  </si>
  <si>
    <t>外抗</t>
  </si>
  <si>
    <t>易水歌2层</t>
  </si>
  <si>
    <t>沧海帖2层</t>
  </si>
  <si>
    <t>离猎</t>
  </si>
  <si>
    <t>浅醉</t>
  </si>
  <si>
    <t>醉意增伤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</si>
  <si>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</si>
  <si>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</si>
  <si>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</si>
  <si>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</si>
  <si>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</si>
  <si>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</si>
  <si>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</si>
  <si>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</si>
  <si>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</si>
  <si>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双刀</t>
  </si>
  <si>
    <t>副本天赋</t>
  </si>
  <si>
    <t>易水歌4层</t>
  </si>
  <si>
    <t>沧海帖4层</t>
  </si>
  <si>
    <t>单体奇术</t>
  </si>
  <si>
    <t>易水歌5层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</si>
  <si>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</si>
  <si>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</si>
  <si>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</si>
  <si>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</si>
  <si>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</si>
  <si>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</si>
  <si>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</si>
  <si>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</si>
  <si>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</t>
  </si>
  <si>
    <t>会心率</t>
  </si>
  <si>
    <t>拳甲Q2</t>
  </si>
  <si>
    <t>会意率</t>
  </si>
  <si>
    <t>总伤</t>
  </si>
  <si>
    <t>长鲸吸川(拳甲+浅醉)</t>
  </si>
  <si>
    <t>断石5层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</si>
  <si>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</si>
  <si>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</si>
  <si>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</si>
  <si>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</si>
  <si>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</si>
  <si>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</si>
  <si>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</si>
  <si>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</si>
  <si>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</si>
  <si>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</si>
  <si>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</si>
  <si>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</si>
  <si>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</si>
  <si>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</si>
  <si>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</si>
  <si>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</si>
  <si>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</si>
  <si>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</si>
  <si>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</si>
  <si>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</si>
  <si>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</si>
  <si>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</si>
  <si>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</si>
  <si>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</si>
  <si>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</si>
  <si>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</si>
  <si>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</si>
  <si>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</si>
  <si>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</si>
  <si>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</si>
  <si>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</si>
  <si>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</si>
  <si>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</si>
  <si>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</si>
  <si>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</si>
  <si>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</si>
  <si>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</si>
  <si>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</si>
  <si>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</si>
  <si>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</si>
  <si>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</si>
  <si>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</si>
  <si>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燕别云岫</t>
  </si>
  <si>
    <t>碧血为迎·酩酊尾段</t>
  </si>
  <si>
    <t>食物加成</t>
  </si>
  <si>
    <t>第四心法</t>
  </si>
  <si>
    <t>醉杀</t>
  </si>
  <si>
    <t>步乱</t>
  </si>
  <si>
    <t>易水歌</t>
  </si>
  <si>
    <t>沧海帖6层</t>
  </si>
  <si>
    <t>小燕别(10%)</t>
  </si>
  <si>
    <t>笛</t>
  </si>
  <si>
    <t>拳甲Q1</t>
  </si>
  <si>
    <t>双刀～</t>
  </si>
  <si>
    <t>沧海帖7层</t>
  </si>
  <si>
    <t>双刀Q卸</t>
  </si>
  <si>
    <t>惧</t>
  </si>
  <si>
    <t>切武器</t>
  </si>
  <si>
    <t>沧海帖8层</t>
  </si>
  <si>
    <t>Q2</t>
  </si>
  <si>
    <t>喝酒</t>
  </si>
  <si>
    <t>鼓</t>
  </si>
  <si>
    <t>断</t>
  </si>
  <si>
    <t>沧海帖9层</t>
  </si>
  <si>
    <t>燕别(20%)</t>
  </si>
  <si>
    <t>拳～</t>
  </si>
  <si>
    <t>拳～左派</t>
  </si>
  <si>
    <t>沧海帖10层</t>
  </si>
  <si>
    <t>RRRR</t>
  </si>
  <si>
    <t>RR</t>
  </si>
  <si>
    <t>叶龙骧首(32层+70%HP)</t>
  </si>
  <si>
    <t>气竭</t>
  </si>
  <si>
    <t>真气失衡</t>
  </si>
  <si>
    <t>小燕别(30%)</t>
  </si>
  <si>
    <t>碧血酩酊</t>
  </si>
  <si>
    <t>普通拳甲Q1</t>
  </si>
  <si>
    <t>燕别(30%)</t>
  </si>
  <si>
    <t>断石1层</t>
  </si>
  <si>
    <t>断石2层</t>
  </si>
  <si>
    <t>断石3层</t>
  </si>
  <si>
    <t>Q1</t>
  </si>
  <si>
    <t>燕别(40%)</t>
  </si>
  <si>
    <t>移动药叉</t>
  </si>
  <si>
    <t>叶龙</t>
  </si>
  <si>
    <t>RRR</t>
  </si>
  <si>
    <t>R</t>
  </si>
  <si>
    <t>双刀～出伤</t>
  </si>
  <si>
    <t>小燕别(40%)</t>
  </si>
  <si>
    <t>衍九矢9hit</t>
  </si>
  <si>
    <t>机制</t>
  </si>
  <si>
    <t>阴阳</t>
  </si>
  <si>
    <t>普通拳甲Q2</t>
  </si>
  <si>
    <t>射箭</t>
  </si>
  <si>
    <t>普通Q1</t>
  </si>
  <si>
    <t>普通Q2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</si>
  <si>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</si>
  <si>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</si>
  <si>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</si>
  <si>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</si>
  <si>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</si>
  <si>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</si>
  <si>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</si>
  <si>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</si>
  <si>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</si>
  <si>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</si>
  <si>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</si>
  <si>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</si>
  <si>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</si>
  <si>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</si>
  <si>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</si>
  <si>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</si>
  <si>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酩酊技</t>
  </si>
  <si>
    <t>碧血为迎(浅醉)</t>
  </si>
  <si>
    <t>碧血为迎·酩酊</t>
  </si>
  <si>
    <t>心法</t>
  </si>
  <si>
    <t>萧呤千浪AOE</t>
  </si>
  <si>
    <t>骑龙回马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</si>
  <si>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</si>
  <si>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</si>
  <si>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</si>
  <si>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</si>
  <si>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</si>
  <si>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</si>
  <si>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</si>
  <si>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</si>
  <si>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</si>
  <si>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</si>
  <si>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</si>
  <si>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</si>
  <si>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</si>
  <si>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</si>
  <si>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</si>
  <si>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</si>
  <si>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进气断石</t>
  </si>
  <si>
    <t>断石4层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</si>
  <si>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</si>
  <si>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</si>
  <si>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</si>
  <si>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</si>
  <si>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</si>
  <si>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</si>
  <si>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</si>
  <si>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</si>
  <si>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</si>
  <si>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</si>
  <si>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</si>
  <si>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</si>
  <si>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</si>
  <si>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</si>
  <si>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</si>
  <si>
    <t>更新杭州西版本蹊跷</t>
  </si>
  <si>
    <t>同步了版本号</t>
  </si>
  <si>
    <t>修正尘rd</t>
  </si>
  <si>
    <t>更新南吕相和赛季</t>
  </si>
  <si>
    <t>大小外满值差距2%</t>
  </si>
  <si>
    <t>根据测试将DIY增益抗性调整到实际值32.25%</t>
  </si>
  <si>
    <t>修正DIY外穿错误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</si>
</sst>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0"/>
  <sheetViews>
    <sheetView workbookViewId="0">
      <selection activeCell="H38" sqref="H38"/>
    </sheetView>
  </sheetViews>
  <sheetFormatPr defaultColWidth="9" defaultRowHeight="13.5"/>
  <cols>
    <col min="1" max="1" width="12.875" customWidth="1"/>
    <col min="11" max="11" width="12.625" style="37"/>
    <col min="12" max="16" width="12.625" style="25" customWidth="1"/>
    <col min="17" max="17" width="9.375"/>
    <col min="18" max="18" width="24.625" style="30" customWidth="1"/>
    <col min="19" max="38" width="9" style="30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1"/>
    <col min="53" max="54" width="9" style="31"/>
    <col min="64" max="64" width="9.375"/>
    <col min="67" max="71" width="9" style="24"/>
    <col min="72" max="73" width="9.00833333333333" style="24" customWidth="1"/>
    <col min="74" max="75" width="9" style="24"/>
    <col min="76" max="76" width="9.00833333333333" style="24" customWidth="1"/>
  </cols>
  <sheetData>
    <row r="1" spans="1:76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</row>
    <row r="2" spans="1:76">
      <c r="A2" s="40" t="s">
        <v>73</v>
      </c>
      <c r="B2" s="30">
        <v>4512</v>
      </c>
      <c r="C2" s="30">
        <v>3417.6</v>
      </c>
      <c r="D2" s="30">
        <v>58.7</v>
      </c>
      <c r="E2" s="41">
        <f>IF($E$22="燕别云岫",2.5%,0)</f>
        <v>0.025</v>
      </c>
      <c r="F2" s="42" t="s">
        <v>74</v>
      </c>
      <c r="G2" s="43" t="s">
        <v>75</v>
      </c>
      <c r="H2" s="44" t="s">
        <v>76</v>
      </c>
      <c r="I2" s="21">
        <f>687*(1-IF(F17="√",0.06,0)-IF(D20="√",0.04,0))</f>
        <v>618.3</v>
      </c>
      <c r="K2" s="37">
        <f>$L2*VLOOKUP($R2,武学奇术!$A:$ZZ,31,FALSE)</f>
        <v>25803.6747951218</v>
      </c>
      <c r="L2" s="37">
        <f>($M2*$BT2+$N2*$BR2+$O2*$BU2+$P2*$BV2)</f>
        <v>25803.6747951218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26315.1454482521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25542.6062942486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16977.5131924207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15034.5772779906</v>
      </c>
      <c r="Q2" s="38">
        <v>1</v>
      </c>
      <c r="R2" s="39" t="s">
        <v>77</v>
      </c>
      <c r="S2" s="39" t="s">
        <v>78</v>
      </c>
      <c r="T2" s="39" t="s">
        <v>79</v>
      </c>
      <c r="U2" s="39" t="s">
        <v>80</v>
      </c>
      <c r="V2" s="39" t="s">
        <v>80</v>
      </c>
      <c r="W2" s="39" t="s">
        <v>80</v>
      </c>
      <c r="X2" s="39" t="s">
        <v>81</v>
      </c>
      <c r="Y2" s="39" t="s">
        <v>80</v>
      </c>
      <c r="Z2" s="39" t="s">
        <v>80</v>
      </c>
      <c r="AA2" s="39" t="s">
        <v>80</v>
      </c>
      <c r="AB2" s="39" t="s">
        <v>82</v>
      </c>
      <c r="AC2" s="39" t="s">
        <v>80</v>
      </c>
      <c r="AD2" s="39" t="s">
        <v>80</v>
      </c>
      <c r="AE2" s="39" t="s">
        <v>83</v>
      </c>
      <c r="AF2" s="39" t="s">
        <v>84</v>
      </c>
      <c r="AG2" s="39" t="s">
        <v>80</v>
      </c>
      <c r="AH2" s="39" t="s">
        <v>80</v>
      </c>
      <c r="AI2" s="39" t="s">
        <v>80</v>
      </c>
      <c r="AJ2" s="39" t="s">
        <v>80</v>
      </c>
      <c r="AK2" s="39" t="s">
        <v>80</v>
      </c>
      <c r="AL2" s="39" t="s">
        <v>80</v>
      </c>
      <c r="AM2" t="str">
        <f>VLOOKUP($R2,武学奇术!$A:$ZZ,25,FALSE)</f>
        <v>群体奇术</v>
      </c>
      <c r="AN2" s="24">
        <f>VLOOKUP($R2,武学奇术!$A:$ZZ,26,FALSE)</f>
        <v>1.4904</v>
      </c>
      <c r="AO2" s="25">
        <f>VLOOKUP($R2,武学奇术!$A:$ZZ,27,FALSE)*(1+IF(OR($AM2=$F$4,$AM2=$F$5),$B$22,0))</f>
        <v>378</v>
      </c>
      <c r="AP2" s="24">
        <f>VLOOKUP($R2,武学奇术!$A:$ZZ,28,FALSE)</f>
        <v>2.2356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0.2142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4371.3</v>
      </c>
      <c r="AU2" cm="1">
        <f t="array" ref="AU2">$E$10*(1+$AS2)+VLOOKUP($R2,武学奇术!$A:$ZZ,4,FALSE)+SUM(_xlfn.XLOOKUP($S2:$AL2,增益!$A:$A,增益!$D:$D,0))-$I$2</f>
        <v>4371.3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0.3285</v>
      </c>
      <c r="AW2" s="31" cm="1">
        <f t="array" ref="AW2">$G$10+VLOOKUP($R2,武学奇术!$A:$ZZ,7,FALSE)+SUM(_xlfn.XLOOKUP($S2:$AL2,增益!$A:$A,增益!$G:$G,0))</f>
        <v>0.025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31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31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31" cm="1">
        <f t="array" ref="BJ2">$G$13+VLOOKUP($R2,武学奇术!$A:$ZZ,14,FALSE)+SUM(_xlfn.XLOOKUP($S2:$AL2,增益!$A:$A,增益!$N:$N,0))</f>
        <v>0</v>
      </c>
      <c r="BK2">
        <f>$D$14*(1+$AX2)</f>
        <v>649.11</v>
      </c>
      <c r="BL2">
        <f>$E$14*(1+$AX2)</f>
        <v>1707.09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31" cm="1">
        <f t="array" ref="BN2">$G$14+VLOOKUP($R2,武学奇术!$A:$ZZ,16,FALSE)+SUM(_xlfn.XLOOKUP($S2:$AL2,增益!$A:$A,增益!$P:$P,0))</f>
        <v>0.15</v>
      </c>
      <c r="BO2" s="24">
        <f>MIN(IF(VLOOKUP($R2,武学奇术!$A:$ZZ,23,FALSE)=1,100%,$B$8),100%)</f>
        <v>0.9771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0.8861</v>
      </c>
      <c r="BQ2" s="24" cm="1">
        <f t="array" ref="BQ2">1+$B$13+VLOOKUP($R2,武学奇术!$A:$ZZ,18,FALSE)+SUM(_xlfn.XLOOKUP($S2:$AL2,增益!$A:$A,增益!$R:$R,0))</f>
        <v>1.55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0.86580831</v>
      </c>
      <c r="BU2" s="24">
        <f>1-BR2-BT2-BV2</f>
        <v>0.02208246</v>
      </c>
      <c r="BV2" s="24">
        <f>IF(VLOOKUP($R2,武学奇术!$A:$ZZ,22,FALSE)=1,0,(1-$BO2))*(1-$BR2)</f>
        <v>0.02080923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5" t="s">
        <v>85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0.1842</v>
      </c>
      <c r="H3" s="44" t="s">
        <v>86</v>
      </c>
      <c r="I3" s="21">
        <f>25-IF(D17="√",8,0)-IF(F17="√",10,0)</f>
        <v>7</v>
      </c>
      <c r="K3" s="37">
        <f>$L3*VLOOKUP($R3,武学奇术!$A:$ZZ,31,FALSE)</f>
        <v>30456.3489172422</v>
      </c>
      <c r="L3" s="37">
        <f t="shared" ref="L3:L34" si="0">($M3*$BT3+$N3*$BR3+$O3*$BU3+$P3*$BV3)</f>
        <v>30456.3489172422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31186.4984624545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29266.3749631397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19370.4959394127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17062.195609833</v>
      </c>
      <c r="Q3" s="38">
        <v>1</v>
      </c>
      <c r="R3" s="39" t="s">
        <v>77</v>
      </c>
      <c r="S3" s="39" t="s">
        <v>87</v>
      </c>
      <c r="T3" s="39" t="s">
        <v>88</v>
      </c>
      <c r="U3" s="39" t="s">
        <v>89</v>
      </c>
      <c r="V3" s="39" t="s">
        <v>90</v>
      </c>
      <c r="W3" s="39" t="s">
        <v>91</v>
      </c>
      <c r="X3" s="39" t="s">
        <v>81</v>
      </c>
      <c r="Y3" s="39" t="s">
        <v>92</v>
      </c>
      <c r="Z3" s="39" t="s">
        <v>80</v>
      </c>
      <c r="AA3" s="39" t="s">
        <v>80</v>
      </c>
      <c r="AB3" s="39" t="s">
        <v>82</v>
      </c>
      <c r="AC3" s="39" t="s">
        <v>93</v>
      </c>
      <c r="AD3" s="39" t="s">
        <v>80</v>
      </c>
      <c r="AE3" s="39" t="s">
        <v>83</v>
      </c>
      <c r="AF3" s="39" t="s">
        <v>84</v>
      </c>
      <c r="AG3" s="39" t="s">
        <v>80</v>
      </c>
      <c r="AH3" s="39" t="s">
        <v>80</v>
      </c>
      <c r="AI3" s="39" t="s">
        <v>80</v>
      </c>
      <c r="AJ3" s="39" t="s">
        <v>80</v>
      </c>
      <c r="AK3" s="39" t="s">
        <v>80</v>
      </c>
      <c r="AL3" s="39" t="s">
        <v>80</v>
      </c>
      <c r="AM3" t="str">
        <f>VLOOKUP($R3,武学奇术!$A:$ZZ,25,FALSE)</f>
        <v>群体奇术</v>
      </c>
      <c r="AN3" s="24">
        <f>VLOOKUP($R3,武学奇术!$A:$ZZ,26,FALSE)</f>
        <v>1.4904</v>
      </c>
      <c r="AO3" s="25">
        <f>VLOOKUP($R3,武学奇术!$A:$ZZ,27,FALSE)*(1+IF(OR($AM3=$F$4,$AM3=$F$5),$B$22,0))</f>
        <v>378</v>
      </c>
      <c r="AP3" s="24">
        <f>VLOOKUP($R3,武学奇术!$A:$ZZ,28,FALSE)</f>
        <v>2.2356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0.2242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4371.3</v>
      </c>
      <c r="AU3" cm="1">
        <f t="array" ref="AU3">$E$10*(1+$AS3)+VLOOKUP($R3,武学奇术!$A:$ZZ,4,FALSE)+SUM(_xlfn.XLOOKUP($S3:$AL3,增益!$A:$A,增益!$D:$D,0))-$I$2</f>
        <v>4371.3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0.3385</v>
      </c>
      <c r="AW3" s="31" cm="1">
        <f t="array" ref="AW3">$G$10+VLOOKUP($R3,武学奇术!$A:$ZZ,7,FALSE)+SUM(_xlfn.XLOOKUP($S3:$AL3,增益!$A:$A,增益!$G:$G,0))</f>
        <v>0.135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-0.02</v>
      </c>
      <c r="BB3" s="31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-0.02</v>
      </c>
      <c r="BF3" s="31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-0.02</v>
      </c>
      <c r="BJ3" s="31" cm="1">
        <f t="array" ref="BJ3">$G$13+VLOOKUP($R3,武学奇术!$A:$ZZ,14,FALSE)+SUM(_xlfn.XLOOKUP($S3:$AL3,增益!$A:$A,增益!$N:$N,0))</f>
        <v>0.02</v>
      </c>
      <c r="BK3">
        <f t="shared" ref="BK3:BK34" si="7">$D$14*(1+$AX3)</f>
        <v>649.11</v>
      </c>
      <c r="BL3">
        <f t="shared" ref="BL3:BL34" si="8">$E$14*(1+$AX3)</f>
        <v>1707.09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0.14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0.9771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0.8861</v>
      </c>
      <c r="BQ3" s="24" cm="1">
        <f t="array" ref="BQ3">1+$B$13+VLOOKUP($R3,武学奇术!$A:$ZZ,18,FALSE)+SUM(_xlfn.XLOOKUP($S3:$AL3,增益!$A:$A,增益!$R:$R,0))</f>
        <v>1.61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0.86580831</v>
      </c>
      <c r="BU3" s="24">
        <f t="shared" ref="BU3:BU34" si="10">1-BR3-BT3-BV3</f>
        <v>0.02208246</v>
      </c>
      <c r="BV3" s="24">
        <f>IF(VLOOKUP($R3,武学奇术!$A:$ZZ,22,FALSE)=1,0,(1-$BO3))*(1-$BR3)</f>
        <v>0.02080923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49" t="s">
        <v>94</v>
      </c>
      <c r="B4" s="50"/>
      <c r="C4" s="50"/>
      <c r="D4" s="50"/>
      <c r="E4" s="51"/>
      <c r="F4" s="44" t="s">
        <v>95</v>
      </c>
      <c r="G4" s="48">
        <f>B15+B17</f>
        <v>0.1701</v>
      </c>
      <c r="H4" s="52" t="s">
        <v>96</v>
      </c>
      <c r="I4" s="14">
        <f>30</f>
        <v>30</v>
      </c>
      <c r="K4" s="37">
        <f>$L4*VLOOKUP($R4,武学奇术!$A:$ZZ,31,FALSE)</f>
        <v>31042.3544850653</v>
      </c>
      <c r="L4" s="37">
        <f t="shared" si="0"/>
        <v>31042.3544850653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31810.16654719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29650.132603083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19635.9052760432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17308.7493646176</v>
      </c>
      <c r="Q4" s="38">
        <v>1</v>
      </c>
      <c r="R4" s="39" t="s">
        <v>77</v>
      </c>
      <c r="S4" s="39" t="s">
        <v>97</v>
      </c>
      <c r="T4" s="39" t="s">
        <v>98</v>
      </c>
      <c r="U4" s="39" t="s">
        <v>89</v>
      </c>
      <c r="V4" s="39" t="s">
        <v>90</v>
      </c>
      <c r="W4" s="39" t="s">
        <v>91</v>
      </c>
      <c r="X4" s="39" t="s">
        <v>81</v>
      </c>
      <c r="Y4" s="39" t="s">
        <v>92</v>
      </c>
      <c r="Z4" s="39" t="s">
        <v>80</v>
      </c>
      <c r="AA4" s="39" t="s">
        <v>80</v>
      </c>
      <c r="AB4" s="39" t="s">
        <v>82</v>
      </c>
      <c r="AC4" s="39" t="s">
        <v>99</v>
      </c>
      <c r="AD4" s="39" t="s">
        <v>80</v>
      </c>
      <c r="AE4" s="39" t="s">
        <v>83</v>
      </c>
      <c r="AF4" s="39" t="s">
        <v>84</v>
      </c>
      <c r="AG4" s="39" t="s">
        <v>80</v>
      </c>
      <c r="AH4" s="39" t="s">
        <v>80</v>
      </c>
      <c r="AI4" s="39" t="s">
        <v>80</v>
      </c>
      <c r="AJ4" s="39" t="s">
        <v>80</v>
      </c>
      <c r="AK4" s="39" t="s">
        <v>80</v>
      </c>
      <c r="AL4" s="39" t="s">
        <v>80</v>
      </c>
      <c r="AM4" t="str">
        <f>VLOOKUP($R4,武学奇术!$A:$ZZ,25,FALSE)</f>
        <v>群体奇术</v>
      </c>
      <c r="AN4" s="24">
        <f>VLOOKUP($R4,武学奇术!$A:$ZZ,26,FALSE)</f>
        <v>1.4904</v>
      </c>
      <c r="AO4" s="25">
        <f>VLOOKUP($R4,武学奇术!$A:$ZZ,27,FALSE)*(1+IF(OR($AM4=$F$4,$AM4=$F$5),$B$22,0))</f>
        <v>378</v>
      </c>
      <c r="AP4" s="24">
        <f>VLOOKUP($R4,武学奇术!$A:$ZZ,28,FALSE)</f>
        <v>2.2356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0.2342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4371.3</v>
      </c>
      <c r="AU4" cm="1">
        <f t="array" ref="AU4">$E$10*(1+$AS4)+VLOOKUP($R4,武学奇术!$A:$ZZ,4,FALSE)+SUM(_xlfn.XLOOKUP($S4:$AL4,增益!$A:$A,增益!$D:$D,0))-$I$2</f>
        <v>4371.3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0.3485</v>
      </c>
      <c r="AW4" s="31" cm="1">
        <f t="array" ref="AW4">$G$10+VLOOKUP($R4,武学奇术!$A:$ZZ,7,FALSE)+SUM(_xlfn.XLOOKUP($S4:$AL4,增益!$A:$A,增益!$G:$G,0))</f>
        <v>0.135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-0.02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-0.02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-0.02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1707.09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0.14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0.9771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0.8861</v>
      </c>
      <c r="BQ4" s="24" cm="1">
        <f t="array" ref="BQ4">1+$B$13+VLOOKUP($R4,武学奇术!$A:$ZZ,18,FALSE)+SUM(_xlfn.XLOOKUP($S4:$AL4,增益!$A:$A,增益!$R:$R,0))</f>
        <v>1.62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0.86580831</v>
      </c>
      <c r="BU4" s="24">
        <f t="shared" si="10"/>
        <v>0.02208246</v>
      </c>
      <c r="BV4" s="24">
        <f>IF(VLOOKUP($R4,武学奇术!$A:$ZZ,22,FALSE)=1,0,(1-$BO4))*(1-$BR4)</f>
        <v>0.02080923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3" t="s">
        <v>100</v>
      </c>
      <c r="B5" s="54"/>
      <c r="C5" s="54"/>
      <c r="D5" s="54"/>
      <c r="E5" s="55"/>
      <c r="F5" s="44" t="s">
        <v>101</v>
      </c>
      <c r="G5" s="48">
        <f>B15+B18</f>
        <v>0.1701</v>
      </c>
      <c r="H5" t="s">
        <v>102</v>
      </c>
      <c r="I5" s="27">
        <v>0.06</v>
      </c>
      <c r="K5" s="37">
        <f>$L5*VLOOKUP($R5,武学奇术!$A:$ZZ,31,FALSE)</f>
        <v>31635.6956184374</v>
      </c>
      <c r="L5" s="37">
        <f t="shared" si="0"/>
        <v>31635.6956184374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32441.9738443234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30036.2349575342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19903.0514382352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17557.0399449636</v>
      </c>
      <c r="Q5" s="38">
        <v>1</v>
      </c>
      <c r="R5" s="39" t="s">
        <v>77</v>
      </c>
      <c r="S5" s="39" t="s">
        <v>103</v>
      </c>
      <c r="T5" s="39" t="s">
        <v>104</v>
      </c>
      <c r="U5" s="39" t="s">
        <v>89</v>
      </c>
      <c r="V5" s="39" t="s">
        <v>90</v>
      </c>
      <c r="W5" s="39" t="s">
        <v>91</v>
      </c>
      <c r="X5" s="39" t="s">
        <v>81</v>
      </c>
      <c r="Y5" s="39" t="s">
        <v>92</v>
      </c>
      <c r="Z5" s="39" t="s">
        <v>80</v>
      </c>
      <c r="AA5" s="39" t="s">
        <v>80</v>
      </c>
      <c r="AB5" s="39" t="s">
        <v>82</v>
      </c>
      <c r="AC5" s="39" t="s">
        <v>99</v>
      </c>
      <c r="AD5" s="39" t="s">
        <v>80</v>
      </c>
      <c r="AE5" s="39" t="s">
        <v>83</v>
      </c>
      <c r="AF5" s="39" t="s">
        <v>84</v>
      </c>
      <c r="AG5" s="39" t="s">
        <v>80</v>
      </c>
      <c r="AH5" s="39" t="s">
        <v>80</v>
      </c>
      <c r="AI5" s="39" t="s">
        <v>80</v>
      </c>
      <c r="AJ5" s="39" t="s">
        <v>80</v>
      </c>
      <c r="AK5" s="39" t="s">
        <v>80</v>
      </c>
      <c r="AL5" s="39" t="s">
        <v>80</v>
      </c>
      <c r="AM5" t="str">
        <f>VLOOKUP($R5,武学奇术!$A:$ZZ,25,FALSE)</f>
        <v>群体奇术</v>
      </c>
      <c r="AN5" s="24">
        <f>VLOOKUP($R5,武学奇术!$A:$ZZ,26,FALSE)</f>
        <v>1.4904</v>
      </c>
      <c r="AO5" s="25">
        <f>VLOOKUP($R5,武学奇术!$A:$ZZ,27,FALSE)*(1+IF(OR($AM5=$F$4,$AM5=$F$5),$B$22,0))</f>
        <v>378</v>
      </c>
      <c r="AP5" s="24">
        <f>VLOOKUP($R5,武学奇术!$A:$ZZ,28,FALSE)</f>
        <v>2.2356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0.2442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4371.3</v>
      </c>
      <c r="AU5" cm="1">
        <f t="array" ref="AU5">$E$10*(1+$AS5)+VLOOKUP($R5,武学奇术!$A:$ZZ,4,FALSE)+SUM(_xlfn.XLOOKUP($S5:$AL5,增益!$A:$A,增益!$D:$D,0))-$I$2</f>
        <v>4371.3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0.3585</v>
      </c>
      <c r="AW5" s="31" cm="1">
        <f t="array" ref="AW5">$G$10+VLOOKUP($R5,武学奇术!$A:$ZZ,7,FALSE)+SUM(_xlfn.XLOOKUP($S5:$AL5,增益!$A:$A,增益!$G:$G,0))</f>
        <v>0.135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-0.02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-0.02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-0.02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1707.09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0.14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0.9771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0.8861</v>
      </c>
      <c r="BQ5" s="24" cm="1">
        <f t="array" ref="BQ5">1+$B$13+VLOOKUP($R5,武学奇术!$A:$ZZ,18,FALSE)+SUM(_xlfn.XLOOKUP($S5:$AL5,增益!$A:$A,增益!$R:$R,0))</f>
        <v>1.63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0.86580831</v>
      </c>
      <c r="BU5" s="24">
        <f t="shared" si="10"/>
        <v>0.02208246</v>
      </c>
      <c r="BV5" s="24">
        <f>IF(VLOOKUP($R5,武学奇术!$A:$ZZ,22,FALSE)=1,0,(1-$BO5))*(1-$BR5)</f>
        <v>0.02080923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6" t="s">
        <v>5</v>
      </c>
      <c r="B6" s="57">
        <v>539</v>
      </c>
      <c r="C6" s="57">
        <v>1395.8</v>
      </c>
      <c r="D6" s="57">
        <v>30</v>
      </c>
      <c r="E6" s="58">
        <v>0.15</v>
      </c>
      <c r="F6" s="44" t="s">
        <v>105</v>
      </c>
      <c r="G6" s="48">
        <f>B19</f>
        <v>0</v>
      </c>
      <c r="K6" s="37">
        <f>$L6*VLOOKUP($R6,武学奇术!$A:$ZZ,31,FALSE)</f>
        <v>32308.5741292366</v>
      </c>
      <c r="L6" s="37">
        <f t="shared" si="0"/>
        <v>32308.5741292366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33133.091797779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30662.0933028723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20327.0501826865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17941.4386595416</v>
      </c>
      <c r="Q6" s="38">
        <v>1</v>
      </c>
      <c r="R6" s="39" t="s">
        <v>77</v>
      </c>
      <c r="S6" s="39" t="s">
        <v>106</v>
      </c>
      <c r="T6" s="39" t="s">
        <v>104</v>
      </c>
      <c r="U6" s="39" t="s">
        <v>89</v>
      </c>
      <c r="V6" s="39" t="s">
        <v>90</v>
      </c>
      <c r="W6" s="39" t="s">
        <v>91</v>
      </c>
      <c r="X6" s="39" t="s">
        <v>81</v>
      </c>
      <c r="Y6" s="39" t="s">
        <v>92</v>
      </c>
      <c r="Z6" s="39" t="s">
        <v>80</v>
      </c>
      <c r="AA6" s="39" t="s">
        <v>80</v>
      </c>
      <c r="AB6" s="39" t="s">
        <v>107</v>
      </c>
      <c r="AC6" s="39" t="s">
        <v>93</v>
      </c>
      <c r="AD6" s="39" t="s">
        <v>80</v>
      </c>
      <c r="AE6" s="39" t="s">
        <v>83</v>
      </c>
      <c r="AF6" s="39" t="s">
        <v>84</v>
      </c>
      <c r="AG6" s="39" t="s">
        <v>80</v>
      </c>
      <c r="AH6" s="39" t="s">
        <v>80</v>
      </c>
      <c r="AI6" s="39" t="s">
        <v>80</v>
      </c>
      <c r="AJ6" s="39" t="s">
        <v>80</v>
      </c>
      <c r="AK6" s="39" t="s">
        <v>80</v>
      </c>
      <c r="AL6" s="39" t="s">
        <v>80</v>
      </c>
      <c r="AM6" t="str">
        <f>VLOOKUP($R6,武学奇术!$A:$ZZ,25,FALSE)</f>
        <v>群体奇术</v>
      </c>
      <c r="AN6" s="24">
        <f>VLOOKUP($R6,武学奇术!$A:$ZZ,26,FALSE)</f>
        <v>1.4904</v>
      </c>
      <c r="AO6" s="25">
        <f>VLOOKUP($R6,武学奇术!$A:$ZZ,27,FALSE)*(1+IF(OR($AM6=$F$4,$AM6=$F$5),$B$22,0))</f>
        <v>378</v>
      </c>
      <c r="AP6" s="24">
        <f>VLOOKUP($R6,武学奇术!$A:$ZZ,28,FALSE)</f>
        <v>2.2356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0.2542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4371.3</v>
      </c>
      <c r="AU6" cm="1">
        <f t="array" ref="AU6">$E$10*(1+$AS6)+VLOOKUP($R6,武学奇术!$A:$ZZ,4,FALSE)+SUM(_xlfn.XLOOKUP($S6:$AL6,增益!$A:$A,增益!$D:$D,0))-$I$2</f>
        <v>4371.3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0.3785</v>
      </c>
      <c r="AW6" s="31" cm="1">
        <f t="array" ref="AW6">$G$10+VLOOKUP($R6,武学奇术!$A:$ZZ,7,FALSE)+SUM(_xlfn.XLOOKUP($S6:$AL6,增益!$A:$A,增益!$G:$G,0))</f>
        <v>0.135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0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1707.09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0.15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0.9771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0.8861</v>
      </c>
      <c r="BQ6" s="24" cm="1">
        <f t="array" ref="BQ6">1+$B$13+VLOOKUP($R6,武学奇术!$A:$ZZ,18,FALSE)+SUM(_xlfn.XLOOKUP($S6:$AL6,增益!$A:$A,增益!$R:$R,0))</f>
        <v>1.63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0.86580831</v>
      </c>
      <c r="BU6" s="24">
        <f t="shared" si="10"/>
        <v>0.02208246</v>
      </c>
      <c r="BV6" s="24">
        <f>IF(VLOOKUP($R6,武学奇术!$A:$ZZ,22,FALSE)=1,0,(1-$BO6))*(1-$BR6)</f>
        <v>0.02080923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85" t="s">
        <v>108</v>
      </c>
      <c r="B7" s="91">
        <v>79.2</v>
      </c>
      <c r="C7" s="59">
        <f>92.4+68.8*2</f>
        <v>230</v>
      </c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13288.1049055358</v>
      </c>
      <c r="L7" s="37">
        <f t="shared" si="0"/>
        <v>13288.1049055358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13549.1561940246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13133.9855262677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8798.15337274322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7867.4285778807</v>
      </c>
      <c r="Q7" s="38">
        <v>1</v>
      </c>
      <c r="R7" s="39" t="s">
        <v>110</v>
      </c>
      <c r="S7" s="39" t="s">
        <v>80</v>
      </c>
      <c r="T7" s="39" t="s">
        <v>80</v>
      </c>
      <c r="U7" s="39" t="s">
        <v>80</v>
      </c>
      <c r="V7" s="39" t="s">
        <v>80</v>
      </c>
      <c r="W7" s="39" t="s">
        <v>80</v>
      </c>
      <c r="X7" s="39" t="s">
        <v>80</v>
      </c>
      <c r="Y7" s="39" t="s">
        <v>80</v>
      </c>
      <c r="Z7" s="39" t="s">
        <v>80</v>
      </c>
      <c r="AA7" s="39" t="s">
        <v>80</v>
      </c>
      <c r="AB7" s="39" t="s">
        <v>111</v>
      </c>
      <c r="AC7" s="39" t="s">
        <v>80</v>
      </c>
      <c r="AD7" s="39" t="s">
        <v>80</v>
      </c>
      <c r="AE7" s="39" t="s">
        <v>83</v>
      </c>
      <c r="AF7" s="39" t="s">
        <v>84</v>
      </c>
      <c r="AG7" s="39" t="s">
        <v>80</v>
      </c>
      <c r="AH7" s="39" t="s">
        <v>80</v>
      </c>
      <c r="AI7" s="39" t="s">
        <v>80</v>
      </c>
      <c r="AJ7" s="39" t="s">
        <v>80</v>
      </c>
      <c r="AK7" s="39" t="s">
        <v>80</v>
      </c>
      <c r="AL7" s="39" t="s">
        <v>80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0.3543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4371.3</v>
      </c>
      <c r="AU7" cm="1">
        <f t="array" ref="AU7">$E$10*(1+$AS7)+VLOOKUP($R7,武学奇术!$A:$ZZ,4,FALSE)+SUM(_xlfn.XLOOKUP($S7:$AL7,增益!$A:$A,增益!$D:$D,0))-$I$2</f>
        <v>4371.3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0.2885</v>
      </c>
      <c r="AW7" s="31" cm="1">
        <f t="array" ref="AW7">$G$10+VLOOKUP($R7,武学奇术!$A:$ZZ,7,FALSE)+SUM(_xlfn.XLOOKUP($S7:$AL7,增益!$A:$A,增益!$G:$G,0))</f>
        <v>0.025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1707.09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0.9771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0.8861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0.86580831</v>
      </c>
      <c r="BU7" s="24">
        <f t="shared" si="10"/>
        <v>0.02208246</v>
      </c>
      <c r="BV7" s="24">
        <f>IF(VLOOKUP($R7,武学奇术!$A:$ZZ,22,FALSE)=1,0,(1-$BO7))*(1-$BR7)</f>
        <v>0.02080923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3" t="s">
        <v>112</v>
      </c>
      <c r="B8" s="64">
        <v>0.9771</v>
      </c>
      <c r="C8" s="35" t="s">
        <v>113</v>
      </c>
      <c r="D8" s="65"/>
      <c r="E8" s="65"/>
      <c r="F8" s="65"/>
      <c r="G8" s="36"/>
      <c r="H8" s="66" t="s">
        <v>114</v>
      </c>
      <c r="I8" s="18">
        <v>100.5</v>
      </c>
      <c r="J8" s="67"/>
      <c r="K8" s="37">
        <f>$L8*VLOOKUP($R8,武学奇术!$A:$ZZ,31,FALSE)</f>
        <v>30953.5145660174</v>
      </c>
      <c r="L8" s="37">
        <f t="shared" si="0"/>
        <v>30953.5145660174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31691.2591448972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29692.4310804558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19807.0369655608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17619.6805381913</v>
      </c>
      <c r="Q8" s="38">
        <v>1</v>
      </c>
      <c r="R8" s="39" t="s">
        <v>115</v>
      </c>
      <c r="S8" s="39" t="s">
        <v>78</v>
      </c>
      <c r="T8" s="39" t="s">
        <v>79</v>
      </c>
      <c r="U8" s="39" t="s">
        <v>89</v>
      </c>
      <c r="V8" s="39" t="s">
        <v>90</v>
      </c>
      <c r="W8" s="39" t="s">
        <v>91</v>
      </c>
      <c r="X8" s="39" t="s">
        <v>80</v>
      </c>
      <c r="Y8" s="39" t="s">
        <v>92</v>
      </c>
      <c r="Z8" s="39" t="s">
        <v>80</v>
      </c>
      <c r="AA8" s="39" t="s">
        <v>80</v>
      </c>
      <c r="AB8" s="39" t="s">
        <v>82</v>
      </c>
      <c r="AC8" s="39" t="s">
        <v>93</v>
      </c>
      <c r="AD8" s="39" t="s">
        <v>80</v>
      </c>
      <c r="AE8" s="39" t="s">
        <v>83</v>
      </c>
      <c r="AF8" s="39" t="s">
        <v>84</v>
      </c>
      <c r="AG8" s="39" t="s">
        <v>80</v>
      </c>
      <c r="AH8" s="39" t="s">
        <v>80</v>
      </c>
      <c r="AI8" s="39" t="s">
        <v>80</v>
      </c>
      <c r="AJ8" s="39" t="s">
        <v>80</v>
      </c>
      <c r="AK8" s="39" t="s">
        <v>80</v>
      </c>
      <c r="AL8" s="39" t="s">
        <v>80</v>
      </c>
      <c r="AM8" t="str">
        <f>VLOOKUP($R8,武学奇术!$A:$ZZ,25,FALSE)</f>
        <v>双刀</v>
      </c>
      <c r="AN8" s="24">
        <f>VLOOKUP($R8,武学奇术!$A:$ZZ,26,FALSE)</f>
        <v>1.2672</v>
      </c>
      <c r="AO8" s="25">
        <f>VLOOKUP($R8,武学奇术!$A:$ZZ,27,FALSE)*(1+IF(OR($AM8=$F$4,$AM8=$F$5),$B$22,0))</f>
        <v>562.56</v>
      </c>
      <c r="AP8" s="24">
        <f>VLOOKUP($R8,武学奇术!$A:$ZZ,28,FALSE)</f>
        <v>1.90092</v>
      </c>
      <c r="AQ8" s="25">
        <f>VLOOKUP($R8,武学奇术!$A:$ZZ,29,FALSE)*(1+IF(OR($AM8=$F$4,$AM8=$F$5),$B$22,0))</f>
        <v>307.2</v>
      </c>
      <c r="AR8" s="24" cm="1">
        <f t="array" ref="AR8">$G$3+IFERROR(VLOOKUP($AM8,$F$4:$G$7,2,FALSE),0)+VLOOKUP($R8,武学奇术!$A:$ZZ,2,FALSE)+SUM(_xlfn.XLOOKUP($S8:$AL8,增益!$A:$A,增益!$B:$B,0))</f>
        <v>0.3643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4371.3</v>
      </c>
      <c r="AU8" cm="1">
        <f t="array" ref="AU8">$E$10*(1+$AS8)+VLOOKUP($R8,武学奇术!$A:$ZZ,4,FALSE)+SUM(_xlfn.XLOOKUP($S8:$AL8,增益!$A:$A,增益!$D:$D,0))-$I$2</f>
        <v>4371.3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0.3285</v>
      </c>
      <c r="AW8" s="31" cm="1">
        <f t="array" ref="AW8">$G$10+VLOOKUP($R8,武学奇术!$A:$ZZ,7,FALSE)+SUM(_xlfn.XLOOKUP($S8:$AL8,增益!$A:$A,增益!$G:$G,0))</f>
        <v>0.135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-0.02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-0.02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-0.02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1707.09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0.14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0.9771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0.8861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0.86580831</v>
      </c>
      <c r="BU8" s="24">
        <f t="shared" si="10"/>
        <v>0.02208246</v>
      </c>
      <c r="BV8" s="24">
        <f>IF(VLOOKUP($R8,武学奇术!$A:$ZZ,22,FALSE)=1,0,(1-$BO8))*(1-$BR8)</f>
        <v>0.02080923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116</v>
      </c>
      <c r="B9" s="68">
        <v>0.7941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129322.92164071</v>
      </c>
      <c r="L9" s="37">
        <f t="shared" si="0"/>
        <v>129322.92164071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134826.313769629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106329.361244856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70961.2177734891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63159.9457359734</v>
      </c>
      <c r="Q9" s="38">
        <v>1</v>
      </c>
      <c r="R9" s="39" t="s">
        <v>117</v>
      </c>
      <c r="S9" s="39" t="s">
        <v>87</v>
      </c>
      <c r="T9" s="39" t="s">
        <v>79</v>
      </c>
      <c r="U9" s="39" t="s">
        <v>89</v>
      </c>
      <c r="V9" s="39" t="s">
        <v>90</v>
      </c>
      <c r="W9" s="39" t="s">
        <v>91</v>
      </c>
      <c r="X9" s="39" t="s">
        <v>81</v>
      </c>
      <c r="Y9" s="39" t="s">
        <v>92</v>
      </c>
      <c r="Z9" s="39" t="s">
        <v>80</v>
      </c>
      <c r="AA9" s="39" t="s">
        <v>80</v>
      </c>
      <c r="AB9" s="39" t="s">
        <v>82</v>
      </c>
      <c r="AC9" s="39" t="s">
        <v>93</v>
      </c>
      <c r="AD9" s="39" t="s">
        <v>80</v>
      </c>
      <c r="AE9" s="39" t="s">
        <v>83</v>
      </c>
      <c r="AF9" s="39" t="s">
        <v>84</v>
      </c>
      <c r="AG9" s="39" t="s">
        <v>80</v>
      </c>
      <c r="AH9" s="39" t="s">
        <v>80</v>
      </c>
      <c r="AI9" s="39" t="s">
        <v>80</v>
      </c>
      <c r="AJ9" s="39" t="s">
        <v>80</v>
      </c>
      <c r="AK9" s="39" t="s">
        <v>80</v>
      </c>
      <c r="AL9" s="39" t="s">
        <v>80</v>
      </c>
      <c r="AM9" t="str">
        <f>VLOOKUP($R9,武学奇术!$A:$ZZ,25,FALSE)</f>
        <v>拳甲</v>
      </c>
      <c r="AN9" s="24">
        <f>VLOOKUP($R9,武学奇术!$A:$ZZ,26,FALSE)</f>
        <v>4.26944</v>
      </c>
      <c r="AO9" s="25">
        <f>VLOOKUP($R9,武学奇术!$A:$ZZ,27,FALSE)*(1+IF(OR($AM9=$F$4,$AM9=$F$5),$B$22,0))</f>
        <v>1890.56</v>
      </c>
      <c r="AP9" s="24">
        <f>VLOOKUP($R9,武学奇术!$A:$ZZ,28,FALSE)</f>
        <v>6.40416</v>
      </c>
      <c r="AQ9" s="25">
        <f>VLOOKUP($R9,武学奇术!$A:$ZZ,29,FALSE)*(1+IF(OR($AM9=$F$4,$AM9=$F$5),$B$22,0))</f>
        <v>1021.44</v>
      </c>
      <c r="AR9" s="24" cm="1">
        <f t="array" ref="AR9">$G$3+IFERROR(VLOOKUP($AM9,$F$4:$G$7,2,FALSE),0)+VLOOKUP($R9,武学奇术!$A:$ZZ,2,FALSE)+SUM(_xlfn.XLOOKUP($S9:$AL9,增益!$A:$A,增益!$B:$B,0))</f>
        <v>0.4443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4371.3</v>
      </c>
      <c r="AU9" cm="1">
        <f t="array" ref="AU9">$E$10*(1+$AS9)+VLOOKUP($R9,武学奇术!$A:$ZZ,4,FALSE)+SUM(_xlfn.XLOOKUP($S9:$AL9,增益!$A:$A,增益!$D:$D,0))-$I$2</f>
        <v>4371.3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0.3385</v>
      </c>
      <c r="AW9" s="31" cm="1">
        <f t="array" ref="AW9">$G$10+VLOOKUP($R9,武学奇术!$A:$ZZ,7,FALSE)+SUM(_xlfn.XLOOKUP($S9:$AL9,增益!$A:$A,增益!$G:$G,0))</f>
        <v>0.135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-0.02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-0.02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-0.02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1707.09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0.14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0.9771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0.8861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0.86580831</v>
      </c>
      <c r="BU9" s="24">
        <f t="shared" si="10"/>
        <v>0.02208246</v>
      </c>
      <c r="BV9" s="24">
        <f>IF(VLOOKUP($R9,武学奇术!$A:$ZZ,22,FALSE)=1,0,(1-$BO9))*(1-$BR9)</f>
        <v>0.02080923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118</v>
      </c>
      <c r="B10" s="68">
        <v>0.0913</v>
      </c>
      <c r="C10" s="44" t="s">
        <v>73</v>
      </c>
      <c r="D10" s="25">
        <f>(B2+B23)*IF($G$2="倾觞",1.05,1)</f>
        <v>4989.6</v>
      </c>
      <c r="E10" s="25">
        <f>MAX(B2+B23,C2+B24)*IF($G$2="倾觞",1.05,1)</f>
        <v>4989.6</v>
      </c>
      <c r="F10">
        <f>D2</f>
        <v>58.7</v>
      </c>
      <c r="G10" s="92">
        <f>E2</f>
        <v>0.025</v>
      </c>
      <c r="H10" s="66" t="s">
        <v>119</v>
      </c>
      <c r="I10" s="71">
        <f>SUM(L:L)</f>
        <v>17181722.1258312</v>
      </c>
      <c r="J10" s="72"/>
      <c r="K10" s="37">
        <f>$L10*VLOOKUP($R10,武学奇术!$A:$ZZ,31,FALSE)</f>
        <v>66595.5559458547</v>
      </c>
      <c r="L10" s="37">
        <f t="shared" si="0"/>
        <v>41622.2224661592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42606.1725765182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40161.6527794699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26463.461227651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23177.5500260651</v>
      </c>
      <c r="Q10" s="38">
        <v>1</v>
      </c>
      <c r="R10" s="39" t="s">
        <v>120</v>
      </c>
      <c r="S10" s="39" t="s">
        <v>87</v>
      </c>
      <c r="T10" s="39" t="s">
        <v>88</v>
      </c>
      <c r="U10" s="39" t="s">
        <v>89</v>
      </c>
      <c r="V10" s="39" t="s">
        <v>90</v>
      </c>
      <c r="W10" s="39" t="s">
        <v>91</v>
      </c>
      <c r="X10" s="39" t="s">
        <v>81</v>
      </c>
      <c r="Y10" s="39" t="s">
        <v>92</v>
      </c>
      <c r="Z10" s="39" t="s">
        <v>80</v>
      </c>
      <c r="AA10" s="39" t="s">
        <v>80</v>
      </c>
      <c r="AB10" s="39" t="s">
        <v>82</v>
      </c>
      <c r="AC10" s="39" t="s">
        <v>99</v>
      </c>
      <c r="AD10" s="39" t="s">
        <v>121</v>
      </c>
      <c r="AE10" s="39" t="s">
        <v>83</v>
      </c>
      <c r="AF10" s="39" t="s">
        <v>84</v>
      </c>
      <c r="AG10" s="39" t="s">
        <v>80</v>
      </c>
      <c r="AH10" s="39" t="s">
        <v>80</v>
      </c>
      <c r="AI10" s="39" t="s">
        <v>80</v>
      </c>
      <c r="AJ10" s="39" t="s">
        <v>80</v>
      </c>
      <c r="AK10" s="39" t="s">
        <v>80</v>
      </c>
      <c r="AL10" s="39" t="s">
        <v>80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0.3943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4371.3</v>
      </c>
      <c r="AU10" cm="1">
        <f t="array" ref="AU10">$E$10*(1+$AS10)+VLOOKUP($R10,武学奇术!$A:$ZZ,4,FALSE)+SUM(_xlfn.XLOOKUP($S10:$AL10,增益!$A:$A,增益!$D:$D,0))-$I$2</f>
        <v>4371.3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0.3385</v>
      </c>
      <c r="AW10" s="31" cm="1">
        <f t="array" ref="AW10">$G$10+VLOOKUP($R10,武学奇术!$A:$ZZ,7,FALSE)+SUM(_xlfn.XLOOKUP($S10:$AL10,增益!$A:$A,增益!$G:$G,0))</f>
        <v>0.135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-0.02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-0.02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-0.02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1707.09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0.14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0.9771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0.8861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0.86580831</v>
      </c>
      <c r="BU10" s="24">
        <f t="shared" si="10"/>
        <v>0.02208246</v>
      </c>
      <c r="BV10" s="24">
        <f>IF(VLOOKUP($R10,武学奇术!$A:$ZZ,22,FALSE)=1,0,(1-$BO10))*(1-$BR10)</f>
        <v>0.02080923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122</v>
      </c>
      <c r="B11" s="68">
        <f>4.6%+IF($E$24="易水歌",4.6%,0)+IF($E$22="断石之构",4.1%,0)</f>
        <v>0.092</v>
      </c>
      <c r="C11" s="44" t="s">
        <v>85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2">
        <f>E3</f>
        <v>0</v>
      </c>
      <c r="H11" s="69"/>
      <c r="I11" s="73"/>
      <c r="J11" s="74"/>
      <c r="K11" s="37">
        <f>$L11*VLOOKUP($R11,武学奇术!$A:$ZZ,31,FALSE)</f>
        <v>48312.4418976665</v>
      </c>
      <c r="L11" s="37">
        <f t="shared" si="0"/>
        <v>48312.4418976665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50394.2521506588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39532.6820942176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26384.425209769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23485.382201599</v>
      </c>
      <c r="Q11" s="38">
        <v>1</v>
      </c>
      <c r="R11" s="39" t="s">
        <v>123</v>
      </c>
      <c r="S11" s="39" t="s">
        <v>87</v>
      </c>
      <c r="T11" s="39" t="s">
        <v>88</v>
      </c>
      <c r="U11" s="39" t="s">
        <v>89</v>
      </c>
      <c r="V11" s="39" t="s">
        <v>90</v>
      </c>
      <c r="W11" s="39" t="s">
        <v>91</v>
      </c>
      <c r="X11" s="39" t="s">
        <v>81</v>
      </c>
      <c r="Y11" s="39" t="s">
        <v>92</v>
      </c>
      <c r="Z11" s="39" t="s">
        <v>80</v>
      </c>
      <c r="AA11" s="39" t="s">
        <v>80</v>
      </c>
      <c r="AB11" s="39" t="s">
        <v>82</v>
      </c>
      <c r="AC11" s="39" t="s">
        <v>99</v>
      </c>
      <c r="AD11" s="39" t="s">
        <v>121</v>
      </c>
      <c r="AE11" s="39" t="s">
        <v>83</v>
      </c>
      <c r="AF11" s="39" t="s">
        <v>84</v>
      </c>
      <c r="AG11" s="39" t="s">
        <v>80</v>
      </c>
      <c r="AH11" s="39" t="s">
        <v>80</v>
      </c>
      <c r="AI11" s="39" t="s">
        <v>80</v>
      </c>
      <c r="AJ11" s="39" t="s">
        <v>80</v>
      </c>
      <c r="AK11" s="39" t="s">
        <v>80</v>
      </c>
      <c r="AL11" s="39" t="s">
        <v>80</v>
      </c>
      <c r="AM11" t="str">
        <f>VLOOKUP($R11,武学奇术!$A:$ZZ,25,FALSE)</f>
        <v>拳甲</v>
      </c>
      <c r="AN11" s="24">
        <f>VLOOKUP($R11,武学奇术!$A:$ZZ,26,FALSE)</f>
        <v>1.58662</v>
      </c>
      <c r="AO11" s="25">
        <f>VLOOKUP($R11,武学奇术!$A:$ZZ,27,FALSE)*(1+IF(OR($AM11=$F$4,$AM11=$F$5),$B$22,0))</f>
        <v>703.36</v>
      </c>
      <c r="AP11" s="24">
        <f>VLOOKUP($R11,武学奇术!$A:$ZZ,28,FALSE)</f>
        <v>2.37986</v>
      </c>
      <c r="AQ11" s="25">
        <f>VLOOKUP($R11,武学奇术!$A:$ZZ,29,FALSE)*(1+IF(OR($AM11=$F$4,$AM11=$F$5),$B$22,0))</f>
        <v>383.04</v>
      </c>
      <c r="AR11" s="24" cm="1">
        <f t="array" ref="AR11">$G$3+IFERROR(VLOOKUP($AM11,$F$4:$G$7,2,FALSE),0)+VLOOKUP($R11,武学奇术!$A:$ZZ,2,FALSE)+SUM(_xlfn.XLOOKUP($S11:$AL11,增益!$A:$A,增益!$B:$B,0))</f>
        <v>0.4443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4371.3</v>
      </c>
      <c r="AU11" cm="1">
        <f t="array" ref="AU11">$E$10*(1+$AS11)+VLOOKUP($R11,武学奇术!$A:$ZZ,4,FALSE)+SUM(_xlfn.XLOOKUP($S11:$AL11,增益!$A:$A,增益!$D:$D,0))-$I$2</f>
        <v>4371.3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0.3385</v>
      </c>
      <c r="AW11" s="31" cm="1">
        <f t="array" ref="AW11">$G$10+VLOOKUP($R11,武学奇术!$A:$ZZ,7,FALSE)+SUM(_xlfn.XLOOKUP($S11:$AL11,增益!$A:$A,增益!$G:$G,0))</f>
        <v>0.135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-0.02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-0.02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-0.02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1707.09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0.14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0.9771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0.8861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0.86580831</v>
      </c>
      <c r="BU11" s="24">
        <f t="shared" si="10"/>
        <v>0.02208246</v>
      </c>
      <c r="BV11" s="24">
        <f>IF(VLOOKUP($R11,武学奇术!$A:$ZZ,22,FALSE)=1,0,(1-$BO11))*(1-$BR11)</f>
        <v>0.02080923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124</v>
      </c>
      <c r="B12" s="68">
        <v>0</v>
      </c>
      <c r="C12" s="44" t="s">
        <v>94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2">
        <f>E4</f>
        <v>0</v>
      </c>
      <c r="H12" s="66" t="s">
        <v>125</v>
      </c>
      <c r="I12" s="37">
        <f>I10/I8</f>
        <v>170962.409212251</v>
      </c>
      <c r="J12" s="75"/>
      <c r="K12" s="37">
        <f>$L12*VLOOKUP($R12,武学奇术!$A:$ZZ,31,FALSE)</f>
        <v>33447.395972734</v>
      </c>
      <c r="L12" s="37">
        <f t="shared" si="0"/>
        <v>33447.395972734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34889.8766436569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27354.6627097039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18266.9511223334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16271.1891263677</v>
      </c>
      <c r="Q12" s="38">
        <v>1</v>
      </c>
      <c r="R12" s="39" t="s">
        <v>126</v>
      </c>
      <c r="S12" s="39" t="s">
        <v>97</v>
      </c>
      <c r="T12" s="39" t="s">
        <v>88</v>
      </c>
      <c r="U12" s="39" t="s">
        <v>89</v>
      </c>
      <c r="V12" s="39" t="s">
        <v>90</v>
      </c>
      <c r="W12" s="39" t="s">
        <v>91</v>
      </c>
      <c r="X12" s="39" t="s">
        <v>81</v>
      </c>
      <c r="Y12" s="39" t="s">
        <v>92</v>
      </c>
      <c r="Z12" s="39" t="s">
        <v>80</v>
      </c>
      <c r="AA12" s="39" t="s">
        <v>80</v>
      </c>
      <c r="AB12" s="39" t="s">
        <v>82</v>
      </c>
      <c r="AC12" s="39" t="s">
        <v>99</v>
      </c>
      <c r="AD12" s="39" t="s">
        <v>121</v>
      </c>
      <c r="AE12" s="39" t="s">
        <v>83</v>
      </c>
      <c r="AF12" s="39" t="s">
        <v>84</v>
      </c>
      <c r="AG12" s="39" t="s">
        <v>80</v>
      </c>
      <c r="AH12" s="39" t="s">
        <v>80</v>
      </c>
      <c r="AI12" s="39" t="s">
        <v>80</v>
      </c>
      <c r="AJ12" s="39" t="s">
        <v>80</v>
      </c>
      <c r="AK12" s="39" t="s">
        <v>80</v>
      </c>
      <c r="AL12" s="39" t="s">
        <v>80</v>
      </c>
      <c r="AM12" t="str">
        <f>VLOOKUP($R12,武学奇术!$A:$ZZ,25,FALSE)</f>
        <v>拳甲</v>
      </c>
      <c r="AN12" s="24">
        <f>VLOOKUP($R12,武学奇术!$A:$ZZ,26,FALSE)</f>
        <v>1.08472</v>
      </c>
      <c r="AO12" s="25">
        <f>VLOOKUP($R12,武学奇术!$A:$ZZ,27,FALSE)*(1+IF(OR($AM12=$F$4,$AM12=$F$5),$B$22,0))</f>
        <v>483.84</v>
      </c>
      <c r="AP12" s="24">
        <f>VLOOKUP($R12,武学奇术!$A:$ZZ,28,FALSE)</f>
        <v>1.62708</v>
      </c>
      <c r="AQ12" s="25">
        <f>VLOOKUP($R12,武学奇术!$A:$ZZ,29,FALSE)*(1+IF(OR($AM12=$F$4,$AM12=$F$5),$B$22,0))</f>
        <v>262.08</v>
      </c>
      <c r="AR12" s="24" cm="1">
        <f t="array" ref="AR12">$G$3+IFERROR(VLOOKUP($AM12,$F$4:$G$7,2,FALSE),0)+VLOOKUP($R12,武学奇术!$A:$ZZ,2,FALSE)+SUM(_xlfn.XLOOKUP($S12:$AL12,增益!$A:$A,增益!$B:$B,0))</f>
        <v>0.4543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4371.3</v>
      </c>
      <c r="AU12" cm="1">
        <f t="array" ref="AU12">$E$10*(1+$AS12)+VLOOKUP($R12,武学奇术!$A:$ZZ,4,FALSE)+SUM(_xlfn.XLOOKUP($S12:$AL12,增益!$A:$A,增益!$D:$D,0))-$I$2</f>
        <v>4371.3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0.3485</v>
      </c>
      <c r="AW12" s="31" cm="1">
        <f t="array" ref="AW12">$G$10+VLOOKUP($R12,武学奇术!$A:$ZZ,7,FALSE)+SUM(_xlfn.XLOOKUP($S12:$AL12,增益!$A:$A,增益!$G:$G,0))</f>
        <v>0.135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-0.02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-0.02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-0.02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1707.09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0.14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0.9771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0.8861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0.86580831</v>
      </c>
      <c r="BU12" s="24">
        <f t="shared" si="10"/>
        <v>0.02208246</v>
      </c>
      <c r="BV12" s="24">
        <f>IF(VLOOKUP($R12,武学奇术!$A:$ZZ,22,FALSE)=1,0,(1-$BO12))*(1-$BR12)</f>
        <v>0.02080923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127</v>
      </c>
      <c r="B13" s="68">
        <v>0.54</v>
      </c>
      <c r="C13" s="44" t="s">
        <v>100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2">
        <f>E5</f>
        <v>0</v>
      </c>
      <c r="H13" s="69"/>
      <c r="I13" s="76"/>
      <c r="J13" s="74"/>
      <c r="K13" s="37">
        <f>$L13*VLOOKUP($R13,武学奇术!$A:$ZZ,31,FALSE)</f>
        <v>81846.9315610428</v>
      </c>
      <c r="L13" s="37">
        <f t="shared" ref="L13:L21" si="11">($M13*$BT13+$N13*$BR13+$O13*$BU13+$P13*$BV13)</f>
        <v>51154.3322256518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52548.028884943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47984.3881559085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31655.439087315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27766.8869480312</v>
      </c>
      <c r="Q13" s="38">
        <v>1</v>
      </c>
      <c r="R13" s="39" t="s">
        <v>128</v>
      </c>
      <c r="S13" s="39" t="s">
        <v>103</v>
      </c>
      <c r="T13" s="39" t="s">
        <v>88</v>
      </c>
      <c r="U13" s="39" t="s">
        <v>89</v>
      </c>
      <c r="V13" s="39" t="s">
        <v>129</v>
      </c>
      <c r="W13" s="39" t="s">
        <v>91</v>
      </c>
      <c r="X13" s="39" t="s">
        <v>81</v>
      </c>
      <c r="Y13" s="39" t="s">
        <v>92</v>
      </c>
      <c r="Z13" s="39" t="s">
        <v>80</v>
      </c>
      <c r="AA13" s="39" t="s">
        <v>80</v>
      </c>
      <c r="AB13" s="39" t="s">
        <v>82</v>
      </c>
      <c r="AC13" s="39" t="s">
        <v>99</v>
      </c>
      <c r="AD13" s="39" t="s">
        <v>121</v>
      </c>
      <c r="AE13" s="39" t="s">
        <v>83</v>
      </c>
      <c r="AF13" s="39" t="s">
        <v>84</v>
      </c>
      <c r="AG13" s="39" t="s">
        <v>80</v>
      </c>
      <c r="AH13" s="39" t="s">
        <v>80</v>
      </c>
      <c r="AI13" s="39" t="s">
        <v>80</v>
      </c>
      <c r="AJ13" s="39" t="s">
        <v>80</v>
      </c>
      <c r="AK13" s="39" t="s">
        <v>80</v>
      </c>
      <c r="AL13" s="39" t="s">
        <v>80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0.4143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4371.3</v>
      </c>
      <c r="AU13" cm="1">
        <f t="array" ref="AU13">$E$10*(1+$AS13)+VLOOKUP($R13,武学奇术!$A:$ZZ,4,FALSE)+SUM(_xlfn.XLOOKUP($S13:$AL13,增益!$A:$A,增益!$D:$D,0))-$I$2</f>
        <v>4371.3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0.3585</v>
      </c>
      <c r="AW13" s="31" cm="1">
        <f t="array" ref="AW13">$G$10+VLOOKUP($R13,武学奇术!$A:$ZZ,7,FALSE)+SUM(_xlfn.XLOOKUP($S13:$AL13,增益!$A:$A,增益!$G:$G,0))</f>
        <v>0.135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-0.02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-0.02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-0.02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1707.09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0.14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0.9771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0.8861</v>
      </c>
      <c r="BQ13" s="24" cm="1">
        <f t="array" ref="BQ13">1+$B$13+VLOOKUP($R13,武学奇术!$A:$ZZ,18,FALSE)+SUM(_xlfn.XLOOKUP($S13:$AL13,增益!$A:$A,增益!$R:$R,0))</f>
        <v>1.66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0.86580831</v>
      </c>
      <c r="BU13" s="24">
        <f t="shared" si="10"/>
        <v>0.02208246</v>
      </c>
      <c r="BV13" s="24">
        <f>IF(VLOOKUP($R13,武学奇术!$A:$ZZ,22,FALSE)=1,0,(1-$BO13))*(1-$BR13)</f>
        <v>0.02080923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130</v>
      </c>
      <c r="B14" s="68">
        <v>0.35</v>
      </c>
      <c r="C14" s="52" t="s">
        <v>5</v>
      </c>
      <c r="D14" s="13">
        <f>(B6+IF($G$1=$C14,B7,0))*IF($G$2="倾觞",1.05,1)</f>
        <v>649.11</v>
      </c>
      <c r="E14" s="13">
        <f>(MAX(B6,C6)+IF($G$1=$C14,$C$7,0))*IF($G$2="倾觞",1.05,1)</f>
        <v>1707.09</v>
      </c>
      <c r="F14" s="13">
        <f>D6</f>
        <v>30</v>
      </c>
      <c r="G14" s="93">
        <f>E6</f>
        <v>0.15</v>
      </c>
      <c r="H14" s="35" t="s">
        <v>131</v>
      </c>
      <c r="I14" s="71">
        <f>RD!I14</f>
        <v>156345.550261851</v>
      </c>
      <c r="J14" s="72"/>
      <c r="K14" s="37">
        <f>$L14*VLOOKUP($R14,武学奇术!$A:$ZZ,31,FALSE)</f>
        <v>330564.078849405</v>
      </c>
      <c r="L14" s="37">
        <f t="shared" si="11"/>
        <v>330564.078849405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345435.187647154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262458.476089778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175347.810988403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156281.935984378</v>
      </c>
      <c r="Q14" s="38">
        <v>1</v>
      </c>
      <c r="R14" s="39" t="s">
        <v>132</v>
      </c>
      <c r="S14" s="39" t="s">
        <v>103</v>
      </c>
      <c r="T14" s="39" t="s">
        <v>98</v>
      </c>
      <c r="U14" s="39" t="s">
        <v>89</v>
      </c>
      <c r="V14" s="39" t="s">
        <v>129</v>
      </c>
      <c r="W14" s="39" t="s">
        <v>91</v>
      </c>
      <c r="X14" s="39" t="s">
        <v>81</v>
      </c>
      <c r="Y14" s="39" t="s">
        <v>92</v>
      </c>
      <c r="Z14" s="39" t="s">
        <v>80</v>
      </c>
      <c r="AA14" s="39" t="s">
        <v>80</v>
      </c>
      <c r="AB14" s="39" t="s">
        <v>82</v>
      </c>
      <c r="AC14" s="39" t="s">
        <v>99</v>
      </c>
      <c r="AD14" s="39" t="s">
        <v>121</v>
      </c>
      <c r="AE14" s="39" t="s">
        <v>83</v>
      </c>
      <c r="AF14" s="39" t="s">
        <v>84</v>
      </c>
      <c r="AG14" s="39" t="s">
        <v>80</v>
      </c>
      <c r="AH14" s="39" t="s">
        <v>80</v>
      </c>
      <c r="AI14" s="39" t="s">
        <v>80</v>
      </c>
      <c r="AJ14" s="39" t="s">
        <v>80</v>
      </c>
      <c r="AK14" s="39" t="s">
        <v>80</v>
      </c>
      <c r="AL14" s="39" t="s">
        <v>80</v>
      </c>
      <c r="AM14" t="str">
        <f>VLOOKUP($R14,武学奇术!$A:$ZZ,25,FALSE)</f>
        <v>拳甲</v>
      </c>
      <c r="AN14" s="24">
        <f>VLOOKUP($R14,武学奇术!$A:$ZZ,26,FALSE)</f>
        <v>7.79674</v>
      </c>
      <c r="AO14" s="25">
        <f>VLOOKUP($R14,武学奇术!$A:$ZZ,27,FALSE)*(1+IF(OR($AM14=$F$4,$AM14=$F$5),$B$22,0))</f>
        <v>3458.56</v>
      </c>
      <c r="AP14" s="24">
        <f>VLOOKUP($R14,武学奇术!$A:$ZZ,28,FALSE)</f>
        <v>11.69518</v>
      </c>
      <c r="AQ14" s="25">
        <f>VLOOKUP($R14,武学奇术!$A:$ZZ,29,FALSE)*(1+IF(OR($AM14=$F$4,$AM14=$F$5),$B$22,0))</f>
        <v>1881.6</v>
      </c>
      <c r="AR14" s="24" cm="1">
        <f t="array" ref="AR14">$G$3+IFERROR(VLOOKUP($AM14,$F$4:$G$7,2,FALSE),0)+VLOOKUP($R14,武学奇术!$A:$ZZ,2,FALSE)+SUM(_xlfn.XLOOKUP($S14:$AL14,增益!$A:$A,增益!$B:$B,0))</f>
        <v>0.4643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4371.3</v>
      </c>
      <c r="AU14" cm="1">
        <f t="array" ref="AU14">$E$10*(1+$AS14)+VLOOKUP($R14,武学奇术!$A:$ZZ,4,FALSE)+SUM(_xlfn.XLOOKUP($S14:$AL14,增益!$A:$A,增益!$D:$D,0))-$I$2</f>
        <v>4371.3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0.3585</v>
      </c>
      <c r="AW14" s="31" cm="1">
        <f t="array" ref="AW14">$G$10+VLOOKUP($R14,武学奇术!$A:$ZZ,7,FALSE)+SUM(_xlfn.XLOOKUP($S14:$AL14,增益!$A:$A,增益!$G:$G,0))</f>
        <v>0.135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-0.02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-0.02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-0.02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1707.09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0.14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0.9771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0.8861</v>
      </c>
      <c r="BQ14" s="24" cm="1">
        <f t="array" ref="BQ14">1+$B$13+VLOOKUP($R14,武学奇术!$A:$ZZ,18,FALSE)+SUM(_xlfn.XLOOKUP($S14:$AL14,增益!$A:$A,增益!$R:$R,0))</f>
        <v>1.97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0.86580831</v>
      </c>
      <c r="BU14" s="24">
        <f t="shared" si="10"/>
        <v>0.04289169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ht="14.25" spans="1:76">
      <c r="A15" s="40" t="s">
        <v>133</v>
      </c>
      <c r="B15" s="68">
        <v>0.0847</v>
      </c>
      <c r="C15" s="38" t="s">
        <v>134</v>
      </c>
      <c r="D15" s="38"/>
      <c r="F15" s="78"/>
      <c r="H15" s="79"/>
      <c r="I15" s="73"/>
      <c r="J15" s="74"/>
      <c r="K15" s="37">
        <f>$L15*VLOOKUP($R15,武学奇术!$A:$ZZ,31,FALSE)</f>
        <v>57865.3799207715</v>
      </c>
      <c r="L15" s="37">
        <f t="shared" si="11"/>
        <v>57865.3799207715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60470.7497596002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45922.3111913792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30695.8120607107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27375.0973129925</v>
      </c>
      <c r="Q15" s="38">
        <v>1</v>
      </c>
      <c r="R15" s="39" t="s">
        <v>135</v>
      </c>
      <c r="S15" s="39" t="s">
        <v>106</v>
      </c>
      <c r="T15" s="39" t="s">
        <v>98</v>
      </c>
      <c r="U15" s="39" t="s">
        <v>89</v>
      </c>
      <c r="V15" s="39" t="s">
        <v>129</v>
      </c>
      <c r="W15" s="39" t="s">
        <v>91</v>
      </c>
      <c r="X15" s="39" t="s">
        <v>81</v>
      </c>
      <c r="Y15" s="39" t="s">
        <v>92</v>
      </c>
      <c r="Z15" s="39" t="s">
        <v>80</v>
      </c>
      <c r="AA15" s="39" t="s">
        <v>80</v>
      </c>
      <c r="AB15" s="39" t="s">
        <v>82</v>
      </c>
      <c r="AC15" s="39" t="s">
        <v>99</v>
      </c>
      <c r="AD15" s="39" t="s">
        <v>80</v>
      </c>
      <c r="AE15" s="39" t="s">
        <v>83</v>
      </c>
      <c r="AF15" s="39" t="s">
        <v>84</v>
      </c>
      <c r="AG15" s="39" t="s">
        <v>80</v>
      </c>
      <c r="AH15" s="39" t="s">
        <v>80</v>
      </c>
      <c r="AI15" s="39" t="s">
        <v>80</v>
      </c>
      <c r="AJ15" s="39" t="s">
        <v>80</v>
      </c>
      <c r="AK15" s="39" t="s">
        <v>80</v>
      </c>
      <c r="AL15" s="39" t="s">
        <v>80</v>
      </c>
      <c r="AM15" t="str">
        <f>VLOOKUP($R15,武学奇术!$A:$ZZ,25,FALSE)</f>
        <v>拳甲</v>
      </c>
      <c r="AN15" s="24">
        <f>VLOOKUP($R15,武学奇术!$A:$ZZ,26,FALSE)</f>
        <v>1.34876</v>
      </c>
      <c r="AO15" s="25">
        <f>VLOOKUP($R15,武学奇术!$A:$ZZ,27,FALSE)*(1+IF(OR($AM15=$F$4,$AM15=$F$5),$B$22,0))</f>
        <v>598.08</v>
      </c>
      <c r="AP15" s="24">
        <f>VLOOKUP($R15,武学奇术!$A:$ZZ,28,FALSE)</f>
        <v>2.02314</v>
      </c>
      <c r="AQ15" s="25">
        <f>VLOOKUP($R15,武学奇术!$A:$ZZ,29,FALSE)*(1+IF(OR($AM15=$F$4,$AM15=$F$5),$B$22,0))</f>
        <v>324.8</v>
      </c>
      <c r="AR15" s="24" cm="1">
        <f t="array" ref="AR15">$G$3+IFERROR(VLOOKUP($AM15,$F$4:$G$7,2,FALSE),0)+VLOOKUP($R15,武学奇术!$A:$ZZ,2,FALSE)+SUM(_xlfn.XLOOKUP($S15:$AL15,增益!$A:$A,增益!$B:$B,0))</f>
        <v>0.4743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4371.3</v>
      </c>
      <c r="AU15" cm="1">
        <f t="array" ref="AU15">$E$10*(1+$AS15)+VLOOKUP($R15,武学奇术!$A:$ZZ,4,FALSE)+SUM(_xlfn.XLOOKUP($S15:$AL15,增益!$A:$A,增益!$D:$D,0))-$I$2</f>
        <v>4371.3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0.3685</v>
      </c>
      <c r="AW15" s="31" cm="1">
        <f t="array" ref="AW15">$G$10+VLOOKUP($R15,武学奇术!$A:$ZZ,7,FALSE)+SUM(_xlfn.XLOOKUP($S15:$AL15,增益!$A:$A,增益!$G:$G,0))</f>
        <v>0.135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-0.02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-0.02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-0.02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1707.09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0.14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0.9771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0.8861</v>
      </c>
      <c r="BQ15" s="24" cm="1">
        <f t="array" ref="BQ15">1+$B$13+VLOOKUP($R15,武学奇术!$A:$ZZ,18,FALSE)+SUM(_xlfn.XLOOKUP($S15:$AL15,增益!$A:$A,增益!$R:$R,0))</f>
        <v>1.97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0.86580831</v>
      </c>
      <c r="BU15" s="24">
        <f t="shared" si="10"/>
        <v>0.04289169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136</v>
      </c>
      <c r="B16" s="68">
        <v>0.0892</v>
      </c>
      <c r="C16" s="38" t="s">
        <v>137</v>
      </c>
      <c r="D16" s="78" t="s">
        <v>138</v>
      </c>
      <c r="E16" s="38" t="s">
        <v>139</v>
      </c>
      <c r="F16" s="78" t="s">
        <v>138</v>
      </c>
      <c r="H16" s="66" t="s">
        <v>140</v>
      </c>
      <c r="I16" s="80">
        <f>I12/170962.41</f>
        <v>0.999999995392266</v>
      </c>
      <c r="J16" s="81"/>
      <c r="K16" s="37">
        <f>$L16*VLOOKUP($R16,武学奇术!$A:$ZZ,31,FALSE)</f>
        <v>55891.9392996455</v>
      </c>
      <c r="L16" s="37">
        <f t="shared" si="11"/>
        <v>55891.9392996455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58436.684712958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44152.1265556482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29513.4771277565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26321.6753254033</v>
      </c>
      <c r="Q16" s="38">
        <v>1</v>
      </c>
      <c r="R16" s="39" t="s">
        <v>141</v>
      </c>
      <c r="S16" s="39" t="s">
        <v>106</v>
      </c>
      <c r="T16" s="39" t="s">
        <v>104</v>
      </c>
      <c r="U16" s="39" t="s">
        <v>89</v>
      </c>
      <c r="V16" s="39" t="s">
        <v>129</v>
      </c>
      <c r="W16" s="39" t="s">
        <v>91</v>
      </c>
      <c r="X16" s="39" t="s">
        <v>81</v>
      </c>
      <c r="Y16" s="39" t="s">
        <v>92</v>
      </c>
      <c r="Z16" s="39" t="s">
        <v>80</v>
      </c>
      <c r="AA16" s="39" t="s">
        <v>80</v>
      </c>
      <c r="AB16" s="39" t="s">
        <v>82</v>
      </c>
      <c r="AC16" s="39" t="s">
        <v>99</v>
      </c>
      <c r="AD16" s="39" t="s">
        <v>80</v>
      </c>
      <c r="AE16" s="39" t="s">
        <v>83</v>
      </c>
      <c r="AF16" s="39" t="s">
        <v>84</v>
      </c>
      <c r="AG16" s="39" t="s">
        <v>80</v>
      </c>
      <c r="AH16" s="39" t="s">
        <v>80</v>
      </c>
      <c r="AI16" s="39" t="s">
        <v>80</v>
      </c>
      <c r="AJ16" s="39" t="s">
        <v>80</v>
      </c>
      <c r="AK16" s="39" t="s">
        <v>80</v>
      </c>
      <c r="AL16" s="39" t="s">
        <v>80</v>
      </c>
      <c r="AM16" t="str">
        <f>VLOOKUP($R16,武学奇术!$A:$ZZ,25,FALSE)</f>
        <v>拳甲</v>
      </c>
      <c r="AN16" s="24">
        <f>VLOOKUP($R16,武学奇术!$A:$ZZ,26,FALSE)</f>
        <v>1.2964</v>
      </c>
      <c r="AO16" s="25">
        <f>VLOOKUP($R16,武学奇术!$A:$ZZ,27,FALSE)*(1+IF(OR($AM16=$F$4,$AM16=$F$5),$B$22,0))</f>
        <v>575.68</v>
      </c>
      <c r="AP16" s="24">
        <f>VLOOKUP($R16,武学奇术!$A:$ZZ,28,FALSE)</f>
        <v>1.9446</v>
      </c>
      <c r="AQ16" s="25">
        <f>VLOOKUP($R16,武学奇术!$A:$ZZ,29,FALSE)*(1+IF(OR($AM16=$F$4,$AM16=$F$5),$B$22,0))</f>
        <v>313.6</v>
      </c>
      <c r="AR16" s="24" cm="1">
        <f t="array" ref="AR16">$G$3+IFERROR(VLOOKUP($AM16,$F$4:$G$7,2,FALSE),0)+VLOOKUP($R16,武学奇术!$A:$ZZ,2,FALSE)+SUM(_xlfn.XLOOKUP($S16:$AL16,增益!$A:$A,增益!$B:$B,0))</f>
        <v>0.4743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4371.3</v>
      </c>
      <c r="AU16" cm="1">
        <f t="array" ref="AU16">$E$10*(1+$AS16)+VLOOKUP($R16,武学奇术!$A:$ZZ,4,FALSE)+SUM(_xlfn.XLOOKUP($S16:$AL16,增益!$A:$A,增益!$D:$D,0))-$I$2</f>
        <v>4371.3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0.3685</v>
      </c>
      <c r="AW16" s="31" cm="1">
        <f t="array" ref="AW16">$G$10+VLOOKUP($R16,武学奇术!$A:$ZZ,7,FALSE)+SUM(_xlfn.XLOOKUP($S16:$AL16,增益!$A:$A,增益!$G:$G,0))</f>
        <v>0.135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-0.02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-0.02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-0.02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1707.09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0.14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0.9771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0.8861</v>
      </c>
      <c r="BQ16" s="24" cm="1">
        <f t="array" ref="BQ16">1+$B$13+VLOOKUP($R16,武学奇术!$A:$ZZ,18,FALSE)+SUM(_xlfn.XLOOKUP($S16:$AL16,增益!$A:$A,增益!$R:$R,0))</f>
        <v>1.98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0.86580831</v>
      </c>
      <c r="BU16" s="24">
        <f t="shared" si="10"/>
        <v>0.04289169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ht="14.25" spans="1:76">
      <c r="A17" s="40" t="s">
        <v>142</v>
      </c>
      <c r="B17" s="68">
        <v>0.0854</v>
      </c>
      <c r="C17" s="38" t="s">
        <v>143</v>
      </c>
      <c r="D17" s="78" t="s">
        <v>138</v>
      </c>
      <c r="E17" s="38" t="s">
        <v>144</v>
      </c>
      <c r="F17" s="78" t="s">
        <v>138</v>
      </c>
      <c r="H17" s="69"/>
      <c r="I17" s="82"/>
      <c r="J17" s="83"/>
      <c r="K17" s="37">
        <f>$L17*VLOOKUP($R17,武学奇术!$A:$ZZ,31,FALSE)</f>
        <v>68696.7297610626</v>
      </c>
      <c r="L17" s="37">
        <f t="shared" si="11"/>
        <v>68696.7297610626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71823.773951542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54274.1411994391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36274.6333088596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32346.1990625791</v>
      </c>
      <c r="Q17" s="38">
        <v>1</v>
      </c>
      <c r="R17" s="39" t="s">
        <v>145</v>
      </c>
      <c r="S17" s="39" t="s">
        <v>106</v>
      </c>
      <c r="T17" s="39" t="s">
        <v>104</v>
      </c>
      <c r="U17" s="39" t="s">
        <v>89</v>
      </c>
      <c r="V17" s="39" t="s">
        <v>129</v>
      </c>
      <c r="W17" s="39" t="s">
        <v>91</v>
      </c>
      <c r="X17" s="39" t="s">
        <v>81</v>
      </c>
      <c r="Y17" s="39" t="s">
        <v>92</v>
      </c>
      <c r="Z17" s="39" t="s">
        <v>80</v>
      </c>
      <c r="AA17" s="39" t="s">
        <v>80</v>
      </c>
      <c r="AB17" s="39" t="s">
        <v>107</v>
      </c>
      <c r="AC17" s="39" t="s">
        <v>93</v>
      </c>
      <c r="AD17" s="39" t="s">
        <v>80</v>
      </c>
      <c r="AE17" s="39" t="s">
        <v>83</v>
      </c>
      <c r="AF17" s="39" t="s">
        <v>84</v>
      </c>
      <c r="AG17" s="39" t="s">
        <v>80</v>
      </c>
      <c r="AH17" s="39" t="s">
        <v>80</v>
      </c>
      <c r="AI17" s="39" t="s">
        <v>80</v>
      </c>
      <c r="AJ17" s="39" t="s">
        <v>80</v>
      </c>
      <c r="AK17" s="39" t="s">
        <v>80</v>
      </c>
      <c r="AL17" s="39" t="s">
        <v>80</v>
      </c>
      <c r="AM17" t="str">
        <f>VLOOKUP($R17,武学奇术!$A:$ZZ,25,FALSE)</f>
        <v>拳甲</v>
      </c>
      <c r="AN17" s="24">
        <f>VLOOKUP($R17,武学奇术!$A:$ZZ,26,FALSE)</f>
        <v>1.58172</v>
      </c>
      <c r="AO17" s="25">
        <f>VLOOKUP($R17,武学奇术!$A:$ZZ,27,FALSE)*(1+IF(OR($AM17=$F$4,$AM17=$F$5),$B$22,0))</f>
        <v>701.12</v>
      </c>
      <c r="AP17" s="24">
        <f>VLOOKUP($R17,武学奇术!$A:$ZZ,28,FALSE)</f>
        <v>2.37258</v>
      </c>
      <c r="AQ17" s="25">
        <f>VLOOKUP($R17,武学奇术!$A:$ZZ,29,FALSE)*(1+IF(OR($AM17=$F$4,$AM17=$F$5),$B$22,0))</f>
        <v>380.8</v>
      </c>
      <c r="AR17" s="24" cm="1">
        <f t="array" ref="AR17">$G$3+IFERROR(VLOOKUP($AM17,$F$4:$G$7,2,FALSE),0)+VLOOKUP($R17,武学奇术!$A:$ZZ,2,FALSE)+SUM(_xlfn.XLOOKUP($S17:$AL17,增益!$A:$A,增益!$B:$B,0))</f>
        <v>0.4743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4371.3</v>
      </c>
      <c r="AU17" cm="1">
        <f t="array" ref="AU17">$E$10*(1+$AS17)+VLOOKUP($R17,武学奇术!$A:$ZZ,4,FALSE)+SUM(_xlfn.XLOOKUP($S17:$AL17,增益!$A:$A,增益!$D:$D,0))-$I$2</f>
        <v>4371.3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0.3785</v>
      </c>
      <c r="AW17" s="31" cm="1">
        <f t="array" ref="AW17">$G$10+VLOOKUP($R17,武学奇术!$A:$ZZ,7,FALSE)+SUM(_xlfn.XLOOKUP($S17:$AL17,增益!$A:$A,增益!$G:$G,0))</f>
        <v>0.135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0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1707.09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0.15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0.9771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0.8861</v>
      </c>
      <c r="BQ17" s="24" cm="1">
        <f t="array" ref="BQ17">1+$B$13+VLOOKUP($R17,武学奇术!$A:$ZZ,18,FALSE)+SUM(_xlfn.XLOOKUP($S17:$AL17,增益!$A:$A,增益!$R:$R,0))</f>
        <v>1.98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0.86580831</v>
      </c>
      <c r="BU17" s="24">
        <f t="shared" si="10"/>
        <v>0.04289169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146</v>
      </c>
      <c r="B18" s="68">
        <v>0.0854</v>
      </c>
      <c r="C18" s="38" t="s">
        <v>147</v>
      </c>
      <c r="D18" s="78" t="s">
        <v>138</v>
      </c>
      <c r="E18" s="38" t="s">
        <v>148</v>
      </c>
      <c r="F18" s="84">
        <v>0.5</v>
      </c>
      <c r="H18" s="66" t="s">
        <v>149</v>
      </c>
      <c r="I18" s="35">
        <v>50</v>
      </c>
      <c r="J18" s="36"/>
      <c r="K18" s="37">
        <f>$L18*VLOOKUP($R18,武学奇术!$A:$ZZ,31,FALSE)</f>
        <v>155079.726500119</v>
      </c>
      <c r="L18" s="37">
        <f t="shared" si="11"/>
        <v>155079.726500119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162139.128794103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122519.030118601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81888.4488859107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73022.0606469315</v>
      </c>
      <c r="Q18" s="38">
        <v>1</v>
      </c>
      <c r="R18" s="39" t="s">
        <v>150</v>
      </c>
      <c r="S18" s="39" t="s">
        <v>106</v>
      </c>
      <c r="T18" s="39" t="s">
        <v>104</v>
      </c>
      <c r="U18" s="39" t="s">
        <v>89</v>
      </c>
      <c r="V18" s="39" t="s">
        <v>129</v>
      </c>
      <c r="W18" s="39" t="s">
        <v>91</v>
      </c>
      <c r="X18" s="39" t="s">
        <v>81</v>
      </c>
      <c r="Y18" s="39" t="s">
        <v>92</v>
      </c>
      <c r="Z18" s="39" t="s">
        <v>80</v>
      </c>
      <c r="AA18" s="39" t="s">
        <v>80</v>
      </c>
      <c r="AB18" s="39" t="s">
        <v>107</v>
      </c>
      <c r="AC18" s="39" t="s">
        <v>93</v>
      </c>
      <c r="AD18" s="39" t="s">
        <v>80</v>
      </c>
      <c r="AE18" s="39" t="s">
        <v>83</v>
      </c>
      <c r="AF18" s="39" t="s">
        <v>84</v>
      </c>
      <c r="AG18" s="39" t="s">
        <v>80</v>
      </c>
      <c r="AH18" s="39" t="s">
        <v>80</v>
      </c>
      <c r="AI18" s="39" t="s">
        <v>80</v>
      </c>
      <c r="AJ18" s="39" t="s">
        <v>80</v>
      </c>
      <c r="AK18" s="39" t="s">
        <v>80</v>
      </c>
      <c r="AL18" s="39" t="s">
        <v>80</v>
      </c>
      <c r="AM18" t="str">
        <f>VLOOKUP($R18,武学奇术!$A:$ZZ,25,FALSE)</f>
        <v>拳甲</v>
      </c>
      <c r="AN18" s="24">
        <f>VLOOKUP($R18,武学奇术!$A:$ZZ,26,FALSE)</f>
        <v>3.56986</v>
      </c>
      <c r="AO18" s="25">
        <f>VLOOKUP($R18,武学奇术!$A:$ZZ,27,FALSE)*(1+IF(OR($AM18=$F$4,$AM18=$F$5),$B$22,0))</f>
        <v>1583.68</v>
      </c>
      <c r="AP18" s="24">
        <f>VLOOKUP($R18,武学奇术!$A:$ZZ,28,FALSE)</f>
        <v>5.35486</v>
      </c>
      <c r="AQ18" s="25">
        <f>VLOOKUP($R18,武学奇术!$A:$ZZ,29,FALSE)*(1+IF(OR($AM18=$F$4,$AM18=$F$5),$B$22,0))</f>
        <v>862.4</v>
      </c>
      <c r="AR18" s="24" cm="1">
        <f t="array" ref="AR18">$G$3+IFERROR(VLOOKUP($AM18,$F$4:$G$7,2,FALSE),0)+VLOOKUP($R18,武学奇术!$A:$ZZ,2,FALSE)+SUM(_xlfn.XLOOKUP($S18:$AL18,增益!$A:$A,增益!$B:$B,0))</f>
        <v>0.4743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4371.3</v>
      </c>
      <c r="AU18" cm="1">
        <f t="array" ref="AU18">$E$10*(1+$AS18)+VLOOKUP($R18,武学奇术!$A:$ZZ,4,FALSE)+SUM(_xlfn.XLOOKUP($S18:$AL18,增益!$A:$A,增益!$D:$D,0))-$I$2</f>
        <v>4371.3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0.3785</v>
      </c>
      <c r="AW18" s="31" cm="1">
        <f t="array" ref="AW18">$G$10+VLOOKUP($R18,武学奇术!$A:$ZZ,7,FALSE)+SUM(_xlfn.XLOOKUP($S18:$AL18,增益!$A:$A,增益!$G:$G,0))</f>
        <v>0.135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0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1707.09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0.15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0.9771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0.8861</v>
      </c>
      <c r="BQ18" s="24" cm="1">
        <f t="array" ref="BQ18">1+$B$13+VLOOKUP($R18,武学奇术!$A:$ZZ,18,FALSE)+SUM(_xlfn.XLOOKUP($S18:$AL18,增益!$A:$A,增益!$R:$R,0))</f>
        <v>1.98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0.86580831</v>
      </c>
      <c r="BU18" s="24">
        <f t="shared" si="10"/>
        <v>0.04289169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ht="14.25" spans="1:76">
      <c r="A19" s="40" t="s">
        <v>151</v>
      </c>
      <c r="B19" s="68">
        <v>0</v>
      </c>
      <c r="C19" s="38" t="s">
        <v>152</v>
      </c>
      <c r="D19" s="78" t="s">
        <v>138</v>
      </c>
      <c r="H19" s="69"/>
      <c r="I19" s="79"/>
      <c r="J19" s="94"/>
      <c r="K19" s="37">
        <f>$L19*VLOOKUP($R19,武学奇术!$A:$ZZ,31,FALSE)</f>
        <v>338682.045860962</v>
      </c>
      <c r="L19" s="37">
        <f t="shared" si="11"/>
        <v>338682.045860962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354099.105492248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267573.23789438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178837.932066792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159473.465693302</v>
      </c>
      <c r="Q19" s="38">
        <v>1</v>
      </c>
      <c r="R19" s="39" t="s">
        <v>132</v>
      </c>
      <c r="S19" s="39" t="s">
        <v>106</v>
      </c>
      <c r="T19" s="39" t="s">
        <v>104</v>
      </c>
      <c r="U19" s="39" t="s">
        <v>89</v>
      </c>
      <c r="V19" s="39" t="s">
        <v>129</v>
      </c>
      <c r="W19" s="39" t="s">
        <v>91</v>
      </c>
      <c r="X19" s="39" t="s">
        <v>81</v>
      </c>
      <c r="Y19" s="39" t="s">
        <v>92</v>
      </c>
      <c r="Z19" s="39" t="s">
        <v>80</v>
      </c>
      <c r="AA19" s="39" t="s">
        <v>80</v>
      </c>
      <c r="AB19" s="39" t="s">
        <v>107</v>
      </c>
      <c r="AC19" s="39" t="s">
        <v>93</v>
      </c>
      <c r="AD19" s="39" t="s">
        <v>80</v>
      </c>
      <c r="AE19" s="39" t="s">
        <v>83</v>
      </c>
      <c r="AF19" s="39" t="s">
        <v>84</v>
      </c>
      <c r="AG19" s="39" t="s">
        <v>80</v>
      </c>
      <c r="AH19" s="39" t="s">
        <v>80</v>
      </c>
      <c r="AI19" s="39" t="s">
        <v>80</v>
      </c>
      <c r="AJ19" s="39" t="s">
        <v>80</v>
      </c>
      <c r="AK19" s="39" t="s">
        <v>80</v>
      </c>
      <c r="AL19" s="39" t="s">
        <v>80</v>
      </c>
      <c r="AM19" t="str">
        <f>VLOOKUP($R19,武学奇术!$A:$ZZ,25,FALSE)</f>
        <v>拳甲</v>
      </c>
      <c r="AN19" s="24">
        <f>VLOOKUP($R19,武学奇术!$A:$ZZ,26,FALSE)</f>
        <v>7.79674</v>
      </c>
      <c r="AO19" s="25">
        <f>VLOOKUP($R19,武学奇术!$A:$ZZ,27,FALSE)*(1+IF(OR($AM19=$F$4,$AM19=$F$5),$B$22,0))</f>
        <v>3458.56</v>
      </c>
      <c r="AP19" s="24">
        <f>VLOOKUP($R19,武学奇术!$A:$ZZ,28,FALSE)</f>
        <v>11.69518</v>
      </c>
      <c r="AQ19" s="25">
        <f>VLOOKUP($R19,武学奇术!$A:$ZZ,29,FALSE)*(1+IF(OR($AM19=$F$4,$AM19=$F$5),$B$22,0))</f>
        <v>1881.6</v>
      </c>
      <c r="AR19" s="24" cm="1">
        <f t="array" ref="AR19">$G$3+IFERROR(VLOOKUP($AM19,$F$4:$G$7,2,FALSE),0)+VLOOKUP($R19,武学奇术!$A:$ZZ,2,FALSE)+SUM(_xlfn.XLOOKUP($S19:$AL19,增益!$A:$A,增益!$B:$B,0))</f>
        <v>0.4743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4371.3</v>
      </c>
      <c r="AU19" cm="1">
        <f t="array" ref="AU19">$E$10*(1+$AS19)+VLOOKUP($R19,武学奇术!$A:$ZZ,4,FALSE)+SUM(_xlfn.XLOOKUP($S19:$AL19,增益!$A:$A,增益!$D:$D,0))-$I$2</f>
        <v>4371.3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0.3785</v>
      </c>
      <c r="AW19" s="31" cm="1">
        <f t="array" ref="AW19">$G$10+VLOOKUP($R19,武学奇术!$A:$ZZ,7,FALSE)+SUM(_xlfn.XLOOKUP($S19:$AL19,增益!$A:$A,增益!$G:$G,0))</f>
        <v>0.135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0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1707.09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0.15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0.9771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0.8861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0.86580831</v>
      </c>
      <c r="BU19" s="24">
        <f t="shared" si="10"/>
        <v>0.04289169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153</v>
      </c>
      <c r="B20" s="68">
        <v>0</v>
      </c>
      <c r="C20" s="38" t="s">
        <v>154</v>
      </c>
      <c r="D20" s="78" t="s">
        <v>138</v>
      </c>
      <c r="H20" s="66" t="s">
        <v>155</v>
      </c>
      <c r="I20" s="80">
        <f>SUM(K:K)/SUM(L:L)</f>
        <v>0.929392977053348</v>
      </c>
      <c r="J20" s="81"/>
      <c r="K20" s="37">
        <f>$L20*VLOOKUP($R20,武学奇术!$A:$ZZ,31,FALSE)</f>
        <v>186839.518254928</v>
      </c>
      <c r="L20" s="37">
        <f t="shared" si="11"/>
        <v>186839.518254928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195437.324133209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146942.809127514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98209.7106197031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87572.8959597664</v>
      </c>
      <c r="Q20" s="38">
        <v>1</v>
      </c>
      <c r="R20" s="39" t="s">
        <v>156</v>
      </c>
      <c r="S20" s="39" t="s">
        <v>106</v>
      </c>
      <c r="T20" s="39" t="s">
        <v>157</v>
      </c>
      <c r="U20" s="39" t="s">
        <v>89</v>
      </c>
      <c r="V20" s="39" t="s">
        <v>129</v>
      </c>
      <c r="W20" s="39" t="s">
        <v>91</v>
      </c>
      <c r="X20" s="39" t="s">
        <v>81</v>
      </c>
      <c r="Y20" s="39" t="s">
        <v>92</v>
      </c>
      <c r="Z20" s="39" t="s">
        <v>80</v>
      </c>
      <c r="AA20" s="39" t="s">
        <v>80</v>
      </c>
      <c r="AB20" s="39" t="s">
        <v>107</v>
      </c>
      <c r="AC20" s="39" t="s">
        <v>93</v>
      </c>
      <c r="AD20" s="39" t="s">
        <v>80</v>
      </c>
      <c r="AE20" s="39" t="s">
        <v>83</v>
      </c>
      <c r="AF20" s="39" t="s">
        <v>84</v>
      </c>
      <c r="AG20" s="39" t="s">
        <v>80</v>
      </c>
      <c r="AH20" s="39" t="s">
        <v>80</v>
      </c>
      <c r="AI20" s="39" t="s">
        <v>80</v>
      </c>
      <c r="AJ20" s="39" t="s">
        <v>80</v>
      </c>
      <c r="AK20" s="39" t="s">
        <v>80</v>
      </c>
      <c r="AL20" s="39" t="s">
        <v>80</v>
      </c>
      <c r="AM20" t="str">
        <f>VLOOKUP($R20,武学奇术!$A:$ZZ,25,FALSE)</f>
        <v>双刀</v>
      </c>
      <c r="AN20" s="24">
        <f>VLOOKUP($R20,武学奇术!$A:$ZZ,26,FALSE)</f>
        <v>4.28274</v>
      </c>
      <c r="AO20" s="25">
        <f>VLOOKUP($R20,武学奇术!$A:$ZZ,27,FALSE)*(1+IF(OR($AM20=$F$4,$AM20=$F$5),$B$22,0))</f>
        <v>1895.04</v>
      </c>
      <c r="AP20" s="24">
        <f>VLOOKUP($R20,武学奇术!$A:$ZZ,28,FALSE)</f>
        <v>6.42411</v>
      </c>
      <c r="AQ20" s="25">
        <f>VLOOKUP($R20,武学奇术!$A:$ZZ,29,FALSE)*(1+IF(OR($AM20=$F$4,$AM20=$F$5),$B$22,0))</f>
        <v>1031.52</v>
      </c>
      <c r="AR20" s="24" cm="1">
        <f t="array" ref="AR20">$G$3+IFERROR(VLOOKUP($AM20,$F$4:$G$7,2,FALSE),0)+VLOOKUP($R20,武学奇术!$A:$ZZ,2,FALSE)+SUM(_xlfn.XLOOKUP($S20:$AL20,增益!$A:$A,增益!$B:$B,0))</f>
        <v>0.4743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4371.3</v>
      </c>
      <c r="AU20" cm="1">
        <f t="array" ref="AU20">$E$10*(1+$AS20)+VLOOKUP($R20,武学奇术!$A:$ZZ,4,FALSE)+SUM(_xlfn.XLOOKUP($S20:$AL20,增益!$A:$A,增益!$D:$D,0))-$I$2</f>
        <v>4371.3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0.3785</v>
      </c>
      <c r="AW20" s="31" cm="1">
        <f t="array" ref="AW20">$G$10+VLOOKUP($R20,武学奇术!$A:$ZZ,7,FALSE)+SUM(_xlfn.XLOOKUP($S20:$AL20,增益!$A:$A,增益!$G:$G,0))</f>
        <v>0.135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0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1707.09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0.15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0.9771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0.8861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0.86580831</v>
      </c>
      <c r="BU20" s="24">
        <f t="shared" si="10"/>
        <v>0.04289169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5" t="s">
        <v>158</v>
      </c>
      <c r="B21" s="86">
        <v>0.32</v>
      </c>
      <c r="C21" s="38" t="s">
        <v>159</v>
      </c>
      <c r="D21" s="78" t="s">
        <v>160</v>
      </c>
      <c r="E21" s="38" t="s">
        <v>161</v>
      </c>
      <c r="F21" s="38"/>
      <c r="H21" s="69"/>
      <c r="I21" s="82"/>
      <c r="J21" s="83"/>
      <c r="K21" s="37">
        <f>$L21*VLOOKUP($R21,武学奇术!$A:$ZZ,31,FALSE)</f>
        <v>245694.726738746</v>
      </c>
      <c r="L21" s="37">
        <f t="shared" si="11"/>
        <v>245694.726738746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257000.720943747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193231.903317929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129146.090926506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115157.438654546</v>
      </c>
      <c r="Q21" s="38">
        <v>1</v>
      </c>
      <c r="R21" s="39" t="s">
        <v>162</v>
      </c>
      <c r="S21" s="39" t="s">
        <v>106</v>
      </c>
      <c r="T21" s="39" t="s">
        <v>157</v>
      </c>
      <c r="U21" s="39" t="s">
        <v>89</v>
      </c>
      <c r="V21" s="39" t="s">
        <v>129</v>
      </c>
      <c r="W21" s="39" t="s">
        <v>91</v>
      </c>
      <c r="X21" s="39" t="s">
        <v>80</v>
      </c>
      <c r="Y21" s="39" t="s">
        <v>92</v>
      </c>
      <c r="Z21" s="39" t="s">
        <v>80</v>
      </c>
      <c r="AA21" s="39" t="s">
        <v>80</v>
      </c>
      <c r="AB21" s="39" t="s">
        <v>107</v>
      </c>
      <c r="AC21" s="39" t="s">
        <v>93</v>
      </c>
      <c r="AD21" s="39" t="s">
        <v>80</v>
      </c>
      <c r="AE21" s="39" t="s">
        <v>83</v>
      </c>
      <c r="AF21" s="39" t="s">
        <v>84</v>
      </c>
      <c r="AG21" s="39" t="s">
        <v>80</v>
      </c>
      <c r="AH21" s="39" t="s">
        <v>80</v>
      </c>
      <c r="AI21" s="39" t="s">
        <v>80</v>
      </c>
      <c r="AJ21" s="39" t="s">
        <v>80</v>
      </c>
      <c r="AK21" s="39" t="s">
        <v>80</v>
      </c>
      <c r="AL21" s="39" t="s">
        <v>80</v>
      </c>
      <c r="AM21" t="str">
        <f>VLOOKUP($R21,武学奇术!$A:$ZZ,25,FALSE)</f>
        <v>双刀</v>
      </c>
      <c r="AN21" s="24">
        <f>VLOOKUP($R21,武学奇术!$A:$ZZ,26,FALSE)</f>
        <v>5.71032</v>
      </c>
      <c r="AO21" s="25">
        <f>VLOOKUP($R21,武学奇术!$A:$ZZ,27,FALSE)*(1+IF(OR($AM21=$F$4,$AM21=$F$5),$B$22,0))</f>
        <v>2526.72</v>
      </c>
      <c r="AP21" s="24">
        <f>VLOOKUP($R21,武学奇术!$A:$ZZ,28,FALSE)</f>
        <v>8.56464</v>
      </c>
      <c r="AQ21" s="25">
        <f>VLOOKUP($R21,武学奇术!$A:$ZZ,29,FALSE)*(1+IF(OR($AM21=$F$4,$AM21=$F$5),$B$22,0))</f>
        <v>1370.88</v>
      </c>
      <c r="AR21" s="24" cm="1">
        <f t="array" ref="AR21">$G$3+IFERROR(VLOOKUP($AM21,$F$4:$G$7,2,FALSE),0)+VLOOKUP($R21,武学奇术!$A:$ZZ,2,FALSE)+SUM(_xlfn.XLOOKUP($S21:$AL21,增益!$A:$A,增益!$B:$B,0))</f>
        <v>0.4543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4371.3</v>
      </c>
      <c r="AU21" cm="1">
        <f t="array" ref="AU21">$E$10*(1+$AS21)+VLOOKUP($R21,武学奇术!$A:$ZZ,4,FALSE)+SUM(_xlfn.XLOOKUP($S21:$AL21,增益!$A:$A,增益!$D:$D,0))-$I$2</f>
        <v>4371.3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0.3785</v>
      </c>
      <c r="AW21" s="31" cm="1">
        <f t="array" ref="AW21">$G$10+VLOOKUP($R21,武学奇术!$A:$ZZ,7,FALSE)+SUM(_xlfn.XLOOKUP($S21:$AL21,增益!$A:$A,增益!$G:$G,0))</f>
        <v>0.135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0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1707.09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0.15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0.9771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0.8861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0.86580831</v>
      </c>
      <c r="BU21" s="24">
        <f t="shared" si="10"/>
        <v>0.04289169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163</v>
      </c>
      <c r="B22" s="27">
        <v>0.6</v>
      </c>
      <c r="E22" s="89" t="s">
        <v>164</v>
      </c>
      <c r="F22" s="89"/>
      <c r="K22" s="37">
        <f>$L22*VLOOKUP($R22,武学奇术!$A:$ZZ,31,FALSE)</f>
        <v>184304.898187711</v>
      </c>
      <c r="L22" s="37">
        <f t="shared" si="0"/>
        <v>184304.898187711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192786.068294734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144949.418241975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96877.4212536351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86384.9030687704</v>
      </c>
      <c r="Q22" s="38">
        <v>1</v>
      </c>
      <c r="R22" s="39" t="s">
        <v>165</v>
      </c>
      <c r="S22" s="39" t="s">
        <v>106</v>
      </c>
      <c r="T22" s="39" t="s">
        <v>157</v>
      </c>
      <c r="U22" s="39" t="s">
        <v>89</v>
      </c>
      <c r="V22" s="39" t="s">
        <v>129</v>
      </c>
      <c r="W22" s="39" t="s">
        <v>91</v>
      </c>
      <c r="X22" s="39" t="s">
        <v>80</v>
      </c>
      <c r="Y22" s="39" t="s">
        <v>92</v>
      </c>
      <c r="Z22" s="39" t="s">
        <v>80</v>
      </c>
      <c r="AA22" s="39" t="s">
        <v>80</v>
      </c>
      <c r="AB22" s="39" t="s">
        <v>107</v>
      </c>
      <c r="AC22" s="39" t="s">
        <v>93</v>
      </c>
      <c r="AD22" s="39" t="s">
        <v>80</v>
      </c>
      <c r="AE22" s="39" t="s">
        <v>83</v>
      </c>
      <c r="AF22" s="39" t="s">
        <v>84</v>
      </c>
      <c r="AG22" s="39" t="s">
        <v>80</v>
      </c>
      <c r="AH22" s="39" t="s">
        <v>80</v>
      </c>
      <c r="AI22" s="39" t="s">
        <v>80</v>
      </c>
      <c r="AJ22" s="39" t="s">
        <v>80</v>
      </c>
      <c r="AK22" s="39" t="s">
        <v>80</v>
      </c>
      <c r="AL22" s="39" t="s">
        <v>80</v>
      </c>
      <c r="AM22" t="str">
        <f>VLOOKUP($R22,武学奇术!$A:$ZZ,25,FALSE)</f>
        <v>双刀</v>
      </c>
      <c r="AN22" s="24">
        <f>VLOOKUP($R22,武学奇术!$A:$ZZ,26,FALSE)</f>
        <v>4.28274</v>
      </c>
      <c r="AO22" s="25">
        <f>VLOOKUP($R22,武学奇术!$A:$ZZ,27,FALSE)*(1+IF(OR($AM22=$F$4,$AM22=$F$5),$B$22,0))</f>
        <v>1895.04</v>
      </c>
      <c r="AP22" s="24">
        <f>VLOOKUP($R22,武学奇术!$A:$ZZ,28,FALSE)</f>
        <v>6.42411</v>
      </c>
      <c r="AQ22" s="25">
        <f>VLOOKUP($R22,武学奇术!$A:$ZZ,29,FALSE)*(1+IF(OR($AM22=$F$4,$AM22=$F$5),$B$22,0))</f>
        <v>1031.52</v>
      </c>
      <c r="AR22" s="24" cm="1">
        <f t="array" ref="AR22">$G$3+IFERROR(VLOOKUP($AM22,$F$4:$G$7,2,FALSE),0)+VLOOKUP($R22,武学奇术!$A:$ZZ,2,FALSE)+SUM(_xlfn.XLOOKUP($S22:$AL22,增益!$A:$A,增益!$B:$B,0))</f>
        <v>0.4543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4371.3</v>
      </c>
      <c r="AU22" cm="1">
        <f t="array" ref="AU22">$E$10*(1+$AS22)+VLOOKUP($R22,武学奇术!$A:$ZZ,4,FALSE)+SUM(_xlfn.XLOOKUP($S22:$AL22,增益!$A:$A,增益!$D:$D,0))-$I$2</f>
        <v>4371.3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0.3785</v>
      </c>
      <c r="AW22" s="31" cm="1">
        <f t="array" ref="AW22">$G$10+VLOOKUP($R22,武学奇术!$A:$ZZ,7,FALSE)+SUM(_xlfn.XLOOKUP($S22:$AL22,增益!$A:$A,增益!$G:$G,0))</f>
        <v>0.135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0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1707.09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0.15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0.9771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0.8861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0.86580831</v>
      </c>
      <c r="BU22" s="24">
        <f t="shared" si="10"/>
        <v>0.04289169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166</v>
      </c>
      <c r="B23">
        <v>240</v>
      </c>
      <c r="E23" s="38" t="s">
        <v>167</v>
      </c>
      <c r="F23" s="38"/>
      <c r="K23" s="37">
        <f>$L23*VLOOKUP($R23,武学奇术!$A:$ZZ,31,FALSE)</f>
        <v>220164.216346135</v>
      </c>
      <c r="L23" s="88">
        <f>SUM(L9,L11,L12,L14:L22)*0.2*(1+BX23)</f>
        <v>440328.43269227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38">
        <v>1</v>
      </c>
      <c r="R23" s="39" t="s">
        <v>168</v>
      </c>
      <c r="S23" s="39" t="s">
        <v>169</v>
      </c>
      <c r="T23" s="39" t="s">
        <v>80</v>
      </c>
      <c r="U23" s="39" t="s">
        <v>80</v>
      </c>
      <c r="V23" s="39" t="s">
        <v>80</v>
      </c>
      <c r="W23" s="39" t="s">
        <v>80</v>
      </c>
      <c r="X23" s="39" t="s">
        <v>80</v>
      </c>
      <c r="Y23" s="39" t="s">
        <v>80</v>
      </c>
      <c r="Z23" s="39" t="s">
        <v>80</v>
      </c>
      <c r="AA23" s="39" t="s">
        <v>80</v>
      </c>
      <c r="AB23" s="39" t="s">
        <v>80</v>
      </c>
      <c r="AC23" s="39" t="s">
        <v>80</v>
      </c>
      <c r="AD23" s="39" t="s">
        <v>80</v>
      </c>
      <c r="AE23" s="39" t="s">
        <v>83</v>
      </c>
      <c r="AF23" s="39" t="s">
        <v>84</v>
      </c>
      <c r="AG23" s="39" t="s">
        <v>80</v>
      </c>
      <c r="AH23" s="39" t="s">
        <v>80</v>
      </c>
      <c r="AI23" s="39" t="s">
        <v>80</v>
      </c>
      <c r="AJ23" s="39" t="s">
        <v>80</v>
      </c>
      <c r="AK23" s="39" t="s">
        <v>80</v>
      </c>
      <c r="AL23" s="39" t="s">
        <v>80</v>
      </c>
      <c r="AM23" t="str">
        <f>VLOOKUP($R23,武学奇术!$A:$ZZ,25,FALSE)</f>
        <v>心法</v>
      </c>
      <c r="AN23" s="24">
        <f>VLOOKUP($R23,武学奇术!$A:$ZZ,26,FALSE)</f>
        <v>0</v>
      </c>
      <c r="AO23" s="25">
        <f>VLOOKUP($R23,武学奇术!$A:$ZZ,27,FALSE)*(1+IF(OR($AM23=$F$4,$AM23=$F$5),$B$22,0))</f>
        <v>0</v>
      </c>
      <c r="AP23" s="24">
        <f>VLOOKUP($R23,武学奇术!$A:$ZZ,28,FALSE)</f>
        <v>0</v>
      </c>
      <c r="AQ23" s="25">
        <f>VLOOKUP($R23,武学奇术!$A:$ZZ,29,FALSE)*(1+IF(OR($AM23=$F$4,$AM23=$F$5),$B$22,0))</f>
        <v>0</v>
      </c>
      <c r="AR23" s="24" cm="1">
        <f t="array" ref="AR23">$G$3+IFERROR(VLOOKUP($AM23,$F$4:$G$7,2,FALSE),0)+VLOOKUP($R23,武学奇术!$A:$ZZ,2,FALSE)+SUM(_xlfn.XLOOKUP($S23:$AL23,增益!$A:$A,增益!$B:$B,0))</f>
        <v>0.1842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4371.3</v>
      </c>
      <c r="AU23" cm="1">
        <f t="array" ref="AU23">$E$10*(1+$AS23)+VLOOKUP($R23,武学奇术!$A:$ZZ,4,FALSE)+SUM(_xlfn.XLOOKUP($S23:$AL23,增益!$A:$A,增益!$D:$D,0))-$I$2</f>
        <v>4371.3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0.2585</v>
      </c>
      <c r="AW23" s="31" cm="1">
        <f t="array" ref="AW23">$G$10+VLOOKUP($R23,武学奇术!$A:$ZZ,7,FALSE)+SUM(_xlfn.XLOOKUP($S23:$AL23,增益!$A:$A,增益!$G:$G,0))</f>
        <v>0.025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1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1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1" cm="1">
        <f t="array" ref="BJ23">$G$13+VLOOKUP($R23,武学奇术!$A:$ZZ,14,FALSE)+SUM(_xlfn.XLOOKUP($S23:$AL23,增益!$A:$A,增益!$N:$N,0))</f>
        <v>0</v>
      </c>
      <c r="BK23">
        <f t="shared" si="7"/>
        <v>649.11</v>
      </c>
      <c r="BL23">
        <f t="shared" si="8"/>
        <v>1707.09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1" cm="1">
        <f t="array" ref="BN23">$G$14+VLOOKUP($R23,武学奇术!$A:$ZZ,16,FALSE)+SUM(_xlfn.XLOOKUP($S23:$AL23,增益!$A:$A,增益!$P:$P,0))</f>
        <v>0.15</v>
      </c>
      <c r="BO23" s="24">
        <f>MIN(IF(VLOOKUP($R23,武学奇术!$A:$ZZ,23,FALSE)=1,100%,$B$8),100%)</f>
        <v>0.9771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0.8861</v>
      </c>
      <c r="BQ23" s="24" cm="1">
        <f t="array" ref="BQ23">1+$B$13+VLOOKUP($R23,武学奇术!$A:$ZZ,18,FALSE)+SUM(_xlfn.XLOOKUP($S23:$AL23,增益!$A:$A,增益!$R:$R,0))</f>
        <v>1.54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0.86580831</v>
      </c>
      <c r="BU23" s="24">
        <f t="shared" si="10"/>
        <v>0.02208246</v>
      </c>
      <c r="BV23" s="24">
        <f>IF(VLOOKUP($R23,武学奇术!$A:$ZZ,22,FALSE)=1,0,(1-$BO23))*(1-$BR23)</f>
        <v>0.02080923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0.2</v>
      </c>
    </row>
    <row r="24" spans="1:76">
      <c r="B24">
        <v>480</v>
      </c>
      <c r="E24" s="89" t="s">
        <v>170</v>
      </c>
      <c r="F24" s="89"/>
      <c r="K24" s="37">
        <f>$L24*VLOOKUP($R24,武学奇术!$A:$ZZ,31,FALSE)</f>
        <v>14983.2455385753</v>
      </c>
      <c r="L24" s="37">
        <f t="shared" si="0"/>
        <v>14983.2455385753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15347.9800692202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14281.81828594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9592.48754326263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8605.85043027338</v>
      </c>
      <c r="Q24" s="38">
        <v>1</v>
      </c>
      <c r="R24" s="39" t="s">
        <v>110</v>
      </c>
      <c r="S24" s="39" t="s">
        <v>106</v>
      </c>
      <c r="T24" s="39" t="s">
        <v>171</v>
      </c>
      <c r="U24" s="39" t="s">
        <v>89</v>
      </c>
      <c r="V24" s="39" t="s">
        <v>80</v>
      </c>
      <c r="W24" s="39" t="s">
        <v>80</v>
      </c>
      <c r="X24" s="39" t="s">
        <v>80</v>
      </c>
      <c r="Y24" s="39" t="s">
        <v>80</v>
      </c>
      <c r="Z24" s="39" t="s">
        <v>80</v>
      </c>
      <c r="AA24" s="39" t="s">
        <v>80</v>
      </c>
      <c r="AB24" s="39" t="s">
        <v>172</v>
      </c>
      <c r="AC24" s="39" t="s">
        <v>93</v>
      </c>
      <c r="AD24" s="39" t="s">
        <v>80</v>
      </c>
      <c r="AE24" s="39" t="s">
        <v>83</v>
      </c>
      <c r="AF24" s="39" t="s">
        <v>84</v>
      </c>
      <c r="AG24" s="39" t="s">
        <v>80</v>
      </c>
      <c r="AH24" s="39" t="s">
        <v>80</v>
      </c>
      <c r="AI24" s="39" t="s">
        <v>80</v>
      </c>
      <c r="AJ24" s="39" t="s">
        <v>80</v>
      </c>
      <c r="AK24" s="39" t="s">
        <v>80</v>
      </c>
      <c r="AL24" s="39" t="s">
        <v>80</v>
      </c>
      <c r="AM24" t="str">
        <f>VLOOKUP($R24,武学奇术!$A:$ZZ,25,FALSE)</f>
        <v>双刀</v>
      </c>
      <c r="AN24" s="24">
        <f>VLOOKUP($R24,武学奇术!$A:$ZZ,26,FALSE)</f>
        <v>0.6587</v>
      </c>
      <c r="AO24" s="25">
        <f>VLOOKUP($R24,武学奇术!$A:$ZZ,27,FALSE)*(1+IF(OR($AM24=$F$4,$AM24=$F$5),$B$22,0))</f>
        <v>292.8</v>
      </c>
      <c r="AP24" s="24">
        <f>VLOOKUP($R24,武学奇术!$A:$ZZ,28,FALSE)</f>
        <v>0.9881</v>
      </c>
      <c r="AQ24" s="25">
        <f>VLOOKUP($R24,武学奇术!$A:$ZZ,29,FALSE)*(1+IF(OR($AM24=$F$4,$AM24=$F$5),$B$22,0))</f>
        <v>160</v>
      </c>
      <c r="AR24" s="24" cm="1">
        <f t="array" ref="AR24">$G$3+IFERROR(VLOOKUP($AM24,$F$4:$G$7,2,FALSE),0)+VLOOKUP($R24,武学奇术!$A:$ZZ,2,FALSE)+SUM(_xlfn.XLOOKUP($S24:$AL24,增益!$A:$A,增益!$B:$B,0))</f>
        <v>0.4043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4371.3</v>
      </c>
      <c r="AU24" cm="1">
        <f t="array" ref="AU24">$E$10*(1+$AS24)+VLOOKUP($R24,武学奇术!$A:$ZZ,4,FALSE)+SUM(_xlfn.XLOOKUP($S24:$AL24,增益!$A:$A,增益!$D:$D,0))-$I$2</f>
        <v>4371.3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0.3435</v>
      </c>
      <c r="AW24" s="31" cm="1">
        <f t="array" ref="AW24">$G$10+VLOOKUP($R24,武学奇术!$A:$ZZ,7,FALSE)+SUM(_xlfn.XLOOKUP($S24:$AL24,增益!$A:$A,增益!$G:$G,0))</f>
        <v>0.045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1707.09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0.035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0.9771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0.8861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0.86580831</v>
      </c>
      <c r="BU24" s="24">
        <f t="shared" si="10"/>
        <v>0.02208246</v>
      </c>
      <c r="BV24" s="24">
        <f>IF(VLOOKUP($R24,武学奇术!$A:$ZZ,22,FALSE)=1,0,(1-$BO24))*(1-$BR24)</f>
        <v>0.02080923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 s="37">
        <f>$L25*VLOOKUP($R25,武学奇术!$A:$ZZ,31,FALSE)</f>
        <v>32998.2340535835</v>
      </c>
      <c r="L25" s="37">
        <f t="shared" si="0"/>
        <v>32998.2340535835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33917.8796489658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30603.8643192313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20556.2906963429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18443.0522673292</v>
      </c>
      <c r="Q25" s="38">
        <v>1</v>
      </c>
      <c r="R25" s="39" t="s">
        <v>115</v>
      </c>
      <c r="S25" s="39" t="s">
        <v>106</v>
      </c>
      <c r="T25" s="39" t="s">
        <v>171</v>
      </c>
      <c r="U25" s="39" t="s">
        <v>89</v>
      </c>
      <c r="V25" s="39" t="s">
        <v>90</v>
      </c>
      <c r="W25" s="39" t="s">
        <v>91</v>
      </c>
      <c r="X25" s="39" t="s">
        <v>80</v>
      </c>
      <c r="Y25" s="39" t="s">
        <v>80</v>
      </c>
      <c r="Z25" s="39" t="s">
        <v>80</v>
      </c>
      <c r="AA25" s="39" t="s">
        <v>80</v>
      </c>
      <c r="AB25" s="39" t="s">
        <v>107</v>
      </c>
      <c r="AC25" s="39" t="s">
        <v>93</v>
      </c>
      <c r="AD25" s="39" t="s">
        <v>80</v>
      </c>
      <c r="AE25" s="39" t="s">
        <v>83</v>
      </c>
      <c r="AF25" s="39" t="s">
        <v>84</v>
      </c>
      <c r="AG25" s="39" t="s">
        <v>80</v>
      </c>
      <c r="AH25" s="39" t="s">
        <v>80</v>
      </c>
      <c r="AI25" s="39" t="s">
        <v>80</v>
      </c>
      <c r="AJ25" s="39" t="s">
        <v>80</v>
      </c>
      <c r="AK25" s="39" t="s">
        <v>80</v>
      </c>
      <c r="AL25" s="39" t="s">
        <v>80</v>
      </c>
      <c r="AM25" t="str">
        <f>VLOOKUP($R25,武学奇术!$A:$ZZ,25,FALSE)</f>
        <v>双刀</v>
      </c>
      <c r="AN25" s="24">
        <f>VLOOKUP($R25,武学奇术!$A:$ZZ,26,FALSE)</f>
        <v>1.2672</v>
      </c>
      <c r="AO25" s="25">
        <f>VLOOKUP($R25,武学奇术!$A:$ZZ,27,FALSE)*(1+IF(OR($AM25=$F$4,$AM25=$F$5),$B$22,0))</f>
        <v>562.56</v>
      </c>
      <c r="AP25" s="24">
        <f>VLOOKUP($R25,武学奇术!$A:$ZZ,28,FALSE)</f>
        <v>1.90092</v>
      </c>
      <c r="AQ25" s="25">
        <f>VLOOKUP($R25,武学奇术!$A:$ZZ,29,FALSE)*(1+IF(OR($AM25=$F$4,$AM25=$F$5),$B$22,0))</f>
        <v>307.2</v>
      </c>
      <c r="AR25" s="24" cm="1">
        <f t="array" ref="AR25">$G$3+IFERROR(VLOOKUP($AM25,$F$4:$G$7,2,FALSE),0)+VLOOKUP($R25,武学奇术!$A:$ZZ,2,FALSE)+SUM(_xlfn.XLOOKUP($S25:$AL25,增益!$A:$A,增益!$B:$B,0))</f>
        <v>0.4043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4371.3</v>
      </c>
      <c r="AU25" cm="1">
        <f t="array" ref="AU25">$E$10*(1+$AS25)+VLOOKUP($R25,武学奇术!$A:$ZZ,4,FALSE)+SUM(_xlfn.XLOOKUP($S25:$AL25,增益!$A:$A,增益!$D:$D,0))-$I$2</f>
        <v>4371.3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0.3785</v>
      </c>
      <c r="AW25" s="31" cm="1">
        <f t="array" ref="AW25">$G$10+VLOOKUP($R25,武学奇术!$A:$ZZ,7,FALSE)+SUM(_xlfn.XLOOKUP($S25:$AL25,增益!$A:$A,增益!$G:$G,0))</f>
        <v>0.135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1707.09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0.9771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0.8861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0.86580831</v>
      </c>
      <c r="BU25" s="24">
        <f t="shared" si="10"/>
        <v>0.02208246</v>
      </c>
      <c r="BV25" s="24">
        <f>IF(VLOOKUP($R25,武学奇术!$A:$ZZ,22,FALSE)=1,0,(1-$BO25))*(1-$BR25)</f>
        <v>0.02080923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A26" t="s">
        <v>173</v>
      </c>
      <c r="B26">
        <v>1.3</v>
      </c>
      <c r="K26" s="37">
        <f>$L26*VLOOKUP($R26,武学奇术!$A:$ZZ,31,FALSE)</f>
        <v>86773.7511897983</v>
      </c>
      <c r="L26" s="37">
        <f t="shared" si="0"/>
        <v>86773.7511897983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90751.17887697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68999.0501058681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46539.0660907538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41967.7246956795</v>
      </c>
      <c r="Q26" s="38">
        <v>1</v>
      </c>
      <c r="R26" s="39" t="s">
        <v>174</v>
      </c>
      <c r="S26" s="39" t="s">
        <v>106</v>
      </c>
      <c r="T26" s="39" t="s">
        <v>171</v>
      </c>
      <c r="U26" s="39" t="s">
        <v>89</v>
      </c>
      <c r="V26" s="39" t="s">
        <v>90</v>
      </c>
      <c r="W26" s="39" t="s">
        <v>91</v>
      </c>
      <c r="X26" s="39" t="s">
        <v>80</v>
      </c>
      <c r="Y26" s="39" t="s">
        <v>80</v>
      </c>
      <c r="Z26" s="39" t="s">
        <v>80</v>
      </c>
      <c r="AA26" s="39" t="s">
        <v>80</v>
      </c>
      <c r="AB26" s="39" t="s">
        <v>107</v>
      </c>
      <c r="AC26" s="39" t="s">
        <v>93</v>
      </c>
      <c r="AD26" s="39" t="s">
        <v>80</v>
      </c>
      <c r="AE26" s="39" t="s">
        <v>83</v>
      </c>
      <c r="AF26" s="39" t="s">
        <v>84</v>
      </c>
      <c r="AG26" s="39" t="s">
        <v>80</v>
      </c>
      <c r="AH26" s="39" t="s">
        <v>80</v>
      </c>
      <c r="AI26" s="39" t="s">
        <v>80</v>
      </c>
      <c r="AJ26" s="39" t="s">
        <v>80</v>
      </c>
      <c r="AK26" s="39" t="s">
        <v>80</v>
      </c>
      <c r="AL26" s="39" t="s">
        <v>80</v>
      </c>
      <c r="AM26" t="str">
        <f>VLOOKUP($R26,武学奇术!$A:$ZZ,25,FALSE)</f>
        <v>拳甲</v>
      </c>
      <c r="AN26" s="24">
        <f>VLOOKUP($R26,武学奇术!$A:$ZZ,26,FALSE)</f>
        <v>2.64712</v>
      </c>
      <c r="AO26" s="25">
        <f>VLOOKUP($R26,武学奇术!$A:$ZZ,27,FALSE)*(1+IF(OR($AM26=$F$4,$AM26=$F$5),$B$22,0))</f>
        <v>1173.76</v>
      </c>
      <c r="AP26" s="24">
        <f>VLOOKUP($R26,武学奇术!$A:$ZZ,28,FALSE)</f>
        <v>3.97068</v>
      </c>
      <c r="AQ26" s="25">
        <f>VLOOKUP($R26,武学奇术!$A:$ZZ,29,FALSE)*(1+IF(OR($AM26=$F$4,$AM26=$F$5),$B$22,0))</f>
        <v>1276.8</v>
      </c>
      <c r="AR26" s="24" cm="1">
        <f t="array" ref="AR26">$G$3+IFERROR(VLOOKUP($AM26,$F$4:$G$7,2,FALSE),0)+VLOOKUP($R26,武学奇术!$A:$ZZ,2,FALSE)+SUM(_xlfn.XLOOKUP($S26:$AL26,增益!$A:$A,增益!$B:$B,0))</f>
        <v>0.4543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4371.3</v>
      </c>
      <c r="AU26" cm="1">
        <f t="array" ref="AU26">$E$10*(1+$AS26)+VLOOKUP($R26,武学奇术!$A:$ZZ,4,FALSE)+SUM(_xlfn.XLOOKUP($S26:$AL26,增益!$A:$A,增益!$D:$D,0))-$I$2</f>
        <v>4371.3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0.3785</v>
      </c>
      <c r="AW26" s="31" cm="1">
        <f t="array" ref="AW26">$G$10+VLOOKUP($R26,武学奇术!$A:$ZZ,7,FALSE)+SUM(_xlfn.XLOOKUP($S26:$AL26,增益!$A:$A,增益!$G:$G,0))</f>
        <v>0.135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1707.09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0.07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0.9771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0.8861</v>
      </c>
      <c r="BQ26" s="24" cm="1">
        <f t="array" ref="BQ26">1+$B$13+VLOOKUP($R26,武学奇术!$A:$ZZ,18,FALSE)+SUM(_xlfn.XLOOKUP($S26:$AL26,增益!$A:$A,增益!$R:$R,0))</f>
        <v>1.95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0.86580831</v>
      </c>
      <c r="BU26" s="24">
        <f t="shared" si="10"/>
        <v>0.02208246</v>
      </c>
      <c r="BV26" s="24">
        <f>IF(VLOOKUP($R26,武学奇术!$A:$ZZ,22,FALSE)=1,0,(1-$BO26))*(1-$BR26)</f>
        <v>0.02080923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A27" t="s">
        <v>175</v>
      </c>
      <c r="B27">
        <v>0.8</v>
      </c>
      <c r="H27">
        <v>1</v>
      </c>
      <c r="K27" s="37">
        <f>$L27*VLOOKUP($R27,武学奇术!$A:$ZZ,31,FALSE)</f>
        <v>134279.41677137</v>
      </c>
      <c r="L27" s="37">
        <f t="shared" si="0"/>
        <v>134279.41677137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140466.354337546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106703.259420445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71666.5073150745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64293.5632075969</v>
      </c>
      <c r="Q27" s="38">
        <v>1</v>
      </c>
      <c r="R27" s="39" t="s">
        <v>117</v>
      </c>
      <c r="S27" s="39" t="s">
        <v>106</v>
      </c>
      <c r="T27" s="39" t="s">
        <v>176</v>
      </c>
      <c r="U27" s="39" t="s">
        <v>89</v>
      </c>
      <c r="V27" s="39" t="s">
        <v>90</v>
      </c>
      <c r="W27" s="39" t="s">
        <v>91</v>
      </c>
      <c r="X27" s="39" t="s">
        <v>80</v>
      </c>
      <c r="Y27" s="39" t="s">
        <v>80</v>
      </c>
      <c r="Z27" s="39" t="s">
        <v>80</v>
      </c>
      <c r="AA27" s="39" t="s">
        <v>80</v>
      </c>
      <c r="AB27" s="39" t="s">
        <v>107</v>
      </c>
      <c r="AC27" s="39" t="s">
        <v>93</v>
      </c>
      <c r="AD27" s="39" t="s">
        <v>80</v>
      </c>
      <c r="AE27" s="39" t="s">
        <v>83</v>
      </c>
      <c r="AF27" s="39" t="s">
        <v>84</v>
      </c>
      <c r="AG27" s="39" t="s">
        <v>80</v>
      </c>
      <c r="AH27" s="39" t="s">
        <v>80</v>
      </c>
      <c r="AI27" s="39" t="s">
        <v>80</v>
      </c>
      <c r="AJ27" s="39" t="s">
        <v>80</v>
      </c>
      <c r="AK27" s="39" t="s">
        <v>80</v>
      </c>
      <c r="AL27" s="39" t="s">
        <v>80</v>
      </c>
      <c r="AM27" t="str">
        <f>VLOOKUP($R27,武学奇术!$A:$ZZ,25,FALSE)</f>
        <v>拳甲</v>
      </c>
      <c r="AN27" s="24">
        <f>VLOOKUP($R27,武学奇术!$A:$ZZ,26,FALSE)</f>
        <v>4.26944</v>
      </c>
      <c r="AO27" s="25">
        <f>VLOOKUP($R27,武学奇术!$A:$ZZ,27,FALSE)*(1+IF(OR($AM27=$F$4,$AM27=$F$5),$B$22,0))</f>
        <v>1890.56</v>
      </c>
      <c r="AP27" s="24">
        <f>VLOOKUP($R27,武学奇术!$A:$ZZ,28,FALSE)</f>
        <v>6.40416</v>
      </c>
      <c r="AQ27" s="25">
        <f>VLOOKUP($R27,武学奇术!$A:$ZZ,29,FALSE)*(1+IF(OR($AM27=$F$4,$AM27=$F$5),$B$22,0))</f>
        <v>1021.44</v>
      </c>
      <c r="AR27" s="24" cm="1">
        <f t="array" ref="AR27">$G$3+IFERROR(VLOOKUP($AM27,$F$4:$G$7,2,FALSE),0)+VLOOKUP($R27,武学奇术!$A:$ZZ,2,FALSE)+SUM(_xlfn.XLOOKUP($S27:$AL27,增益!$A:$A,增益!$B:$B,0))</f>
        <v>0.4543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4371.3</v>
      </c>
      <c r="AU27" cm="1">
        <f t="array" ref="AU27">$E$10*(1+$AS27)+VLOOKUP($R27,武学奇术!$A:$ZZ,4,FALSE)+SUM(_xlfn.XLOOKUP($S27:$AL27,增益!$A:$A,增益!$D:$D,0))-$I$2</f>
        <v>4371.3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0.3785</v>
      </c>
      <c r="AW27" s="31" cm="1">
        <f t="array" ref="AW27">$G$10+VLOOKUP($R27,武学奇术!$A:$ZZ,7,FALSE)+SUM(_xlfn.XLOOKUP($S27:$AL27,增益!$A:$A,增益!$G:$G,0))</f>
        <v>0.135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1707.09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0.07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0.9771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0.8861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0.86580831</v>
      </c>
      <c r="BU27" s="24">
        <f t="shared" si="10"/>
        <v>0.02208246</v>
      </c>
      <c r="BV27" s="24">
        <f>IF(VLOOKUP($R27,武学奇术!$A:$ZZ,22,FALSE)=1,0,(1-$BO27))*(1-$BR27)</f>
        <v>0.02080923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t="s">
        <v>177</v>
      </c>
      <c r="B28">
        <v>0.7</v>
      </c>
      <c r="D28" s="38" t="s">
        <v>178</v>
      </c>
      <c r="H28">
        <v>21</v>
      </c>
      <c r="K28" s="37">
        <f>$L28*VLOOKUP($R28,武学奇术!$A:$ZZ,31,FALSE)</f>
        <v>69203.2928501435</v>
      </c>
      <c r="L28" s="37">
        <f t="shared" si="0"/>
        <v>43252.0580313397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44449.7174343123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40342.323512081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26776.9382134411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23670.6738253408</v>
      </c>
      <c r="Q28" s="38">
        <v>1</v>
      </c>
      <c r="R28" s="39" t="s">
        <v>120</v>
      </c>
      <c r="S28" s="39" t="s">
        <v>106</v>
      </c>
      <c r="T28" s="39" t="s">
        <v>176</v>
      </c>
      <c r="U28" s="39" t="s">
        <v>89</v>
      </c>
      <c r="V28" s="39" t="s">
        <v>90</v>
      </c>
      <c r="W28" s="39" t="s">
        <v>91</v>
      </c>
      <c r="X28" s="39" t="s">
        <v>80</v>
      </c>
      <c r="Y28" s="39" t="s">
        <v>80</v>
      </c>
      <c r="Z28" s="39" t="s">
        <v>80</v>
      </c>
      <c r="AA28" s="39" t="s">
        <v>80</v>
      </c>
      <c r="AB28" s="39" t="s">
        <v>107</v>
      </c>
      <c r="AC28" s="39" t="s">
        <v>93</v>
      </c>
      <c r="AD28" s="39" t="s">
        <v>80</v>
      </c>
      <c r="AE28" s="39" t="s">
        <v>83</v>
      </c>
      <c r="AF28" s="39" t="s">
        <v>84</v>
      </c>
      <c r="AG28" s="39" t="s">
        <v>80</v>
      </c>
      <c r="AH28" s="39" t="s">
        <v>80</v>
      </c>
      <c r="AI28" s="39" t="s">
        <v>80</v>
      </c>
      <c r="AJ28" s="39" t="s">
        <v>80</v>
      </c>
      <c r="AK28" s="39" t="s">
        <v>80</v>
      </c>
      <c r="AL28" s="39" t="s">
        <v>80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0.4043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4371.3</v>
      </c>
      <c r="AU28" cm="1">
        <f t="array" ref="AU28">$E$10*(1+$AS28)+VLOOKUP($R28,武学奇术!$A:$ZZ,4,FALSE)+SUM(_xlfn.XLOOKUP($S28:$AL28,增益!$A:$A,增益!$D:$D,0))-$I$2</f>
        <v>4371.3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0.3785</v>
      </c>
      <c r="AW28" s="31" cm="1">
        <f t="array" ref="AW28">$G$10+VLOOKUP($R28,武学奇术!$A:$ZZ,7,FALSE)+SUM(_xlfn.XLOOKUP($S28:$AL28,增益!$A:$A,增益!$G:$G,0))</f>
        <v>0.135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1707.09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0.07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0.9771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0.8861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0.86580831</v>
      </c>
      <c r="BU28" s="24">
        <f t="shared" si="10"/>
        <v>0.02208246</v>
      </c>
      <c r="BV28" s="24">
        <f>IF(VLOOKUP($R28,武学奇术!$A:$ZZ,22,FALSE)=1,0,(1-$BO28))*(1-$BR28)</f>
        <v>0.02080923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A29" t="s">
        <v>179</v>
      </c>
      <c r="B29">
        <v>0.1</v>
      </c>
      <c r="D29" s="38"/>
      <c r="H29">
        <v>41</v>
      </c>
      <c r="K29" s="37">
        <f>$L29*VLOOKUP($R29,武学奇术!$A:$ZZ,31,FALSE)</f>
        <v>51206.216687787</v>
      </c>
      <c r="L29" s="37">
        <f t="shared" si="0"/>
        <v>51206.216687787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53575.453916026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40689.5176900805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27195.6618863076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24250.9402984815</v>
      </c>
      <c r="Q29" s="38">
        <v>1</v>
      </c>
      <c r="R29" s="39" t="s">
        <v>123</v>
      </c>
      <c r="S29" s="39" t="s">
        <v>106</v>
      </c>
      <c r="T29" s="39" t="s">
        <v>180</v>
      </c>
      <c r="U29" s="39" t="s">
        <v>89</v>
      </c>
      <c r="V29" s="39" t="s">
        <v>90</v>
      </c>
      <c r="W29" s="39" t="s">
        <v>91</v>
      </c>
      <c r="X29" s="39" t="s">
        <v>80</v>
      </c>
      <c r="Y29" s="39" t="s">
        <v>92</v>
      </c>
      <c r="Z29" s="39" t="s">
        <v>80</v>
      </c>
      <c r="AA29" s="39" t="s">
        <v>80</v>
      </c>
      <c r="AB29" s="39" t="s">
        <v>107</v>
      </c>
      <c r="AC29" s="39" t="s">
        <v>99</v>
      </c>
      <c r="AD29" s="39" t="s">
        <v>80</v>
      </c>
      <c r="AE29" s="39" t="s">
        <v>83</v>
      </c>
      <c r="AF29" s="39" t="s">
        <v>84</v>
      </c>
      <c r="AG29" s="39" t="s">
        <v>80</v>
      </c>
      <c r="AH29" s="39" t="s">
        <v>80</v>
      </c>
      <c r="AI29" s="39" t="s">
        <v>80</v>
      </c>
      <c r="AJ29" s="39" t="s">
        <v>80</v>
      </c>
      <c r="AK29" s="39" t="s">
        <v>80</v>
      </c>
      <c r="AL29" s="39" t="s">
        <v>80</v>
      </c>
      <c r="AM29" t="str">
        <f>VLOOKUP($R29,武学奇术!$A:$ZZ,25,FALSE)</f>
        <v>拳甲</v>
      </c>
      <c r="AN29" s="24">
        <f>VLOOKUP($R29,武学奇术!$A:$ZZ,26,FALSE)</f>
        <v>1.58662</v>
      </c>
      <c r="AO29" s="25">
        <f>VLOOKUP($R29,武学奇术!$A:$ZZ,27,FALSE)*(1+IF(OR($AM29=$F$4,$AM29=$F$5),$B$22,0))</f>
        <v>703.36</v>
      </c>
      <c r="AP29" s="24">
        <f>VLOOKUP($R29,武学奇术!$A:$ZZ,28,FALSE)</f>
        <v>2.37986</v>
      </c>
      <c r="AQ29" s="25">
        <f>VLOOKUP($R29,武学奇术!$A:$ZZ,29,FALSE)*(1+IF(OR($AM29=$F$4,$AM29=$F$5),$B$22,0))</f>
        <v>383.04</v>
      </c>
      <c r="AR29" s="24" cm="1">
        <f t="array" ref="AR29">$G$3+IFERROR(VLOOKUP($AM29,$F$4:$G$7,2,FALSE),0)+VLOOKUP($R29,武学奇术!$A:$ZZ,2,FALSE)+SUM(_xlfn.XLOOKUP($S29:$AL29,增益!$A:$A,增益!$B:$B,0))</f>
        <v>0.4543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4371.3</v>
      </c>
      <c r="AU29" cm="1">
        <f t="array" ref="AU29">$E$10*(1+$AS29)+VLOOKUP($R29,武学奇术!$A:$ZZ,4,FALSE)+SUM(_xlfn.XLOOKUP($S29:$AL29,增益!$A:$A,增益!$D:$D,0))-$I$2</f>
        <v>4371.3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0.3785</v>
      </c>
      <c r="AW29" s="31" cm="1">
        <f t="array" ref="AW29">$G$10+VLOOKUP($R29,武学奇术!$A:$ZZ,7,FALSE)+SUM(_xlfn.XLOOKUP($S29:$AL29,增益!$A:$A,增益!$G:$G,0))</f>
        <v>0.135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0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1707.09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0.15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0.9771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0.8861</v>
      </c>
      <c r="BQ29" s="24" cm="1">
        <f t="array" ref="BQ29">1+$B$13+VLOOKUP($R29,武学奇术!$A:$ZZ,18,FALSE)+SUM(_xlfn.XLOOKUP($S29:$AL29,增益!$A:$A,增益!$R:$R,0))</f>
        <v>1.97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0.86580831</v>
      </c>
      <c r="BU29" s="24">
        <f t="shared" si="10"/>
        <v>0.02208246</v>
      </c>
      <c r="BV29" s="24">
        <f>IF(VLOOKUP($R29,武学奇术!$A:$ZZ,22,FALSE)=1,0,(1-$BO29))*(1-$BR29)</f>
        <v>0.02080923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A30" t="s">
        <v>181</v>
      </c>
      <c r="B30">
        <v>1.5</v>
      </c>
      <c r="C30" s="38" t="s">
        <v>173</v>
      </c>
      <c r="D30" s="38"/>
      <c r="H30">
        <v>73</v>
      </c>
      <c r="K30" s="37">
        <f>$L30*VLOOKUP($R30,武学奇术!$A:$ZZ,31,FALSE)</f>
        <v>35023.6974028675</v>
      </c>
      <c r="L30" s="37">
        <f t="shared" si="0"/>
        <v>35023.6974028675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36644.2838721874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27829.4778082679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18601.1593259834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16587.8906458425</v>
      </c>
      <c r="Q30" s="38">
        <v>1</v>
      </c>
      <c r="R30" s="39" t="s">
        <v>126</v>
      </c>
      <c r="S30" s="39" t="s">
        <v>106</v>
      </c>
      <c r="T30" s="39" t="s">
        <v>180</v>
      </c>
      <c r="U30" s="39" t="s">
        <v>89</v>
      </c>
      <c r="V30" s="39" t="s">
        <v>90</v>
      </c>
      <c r="W30" s="39" t="s">
        <v>91</v>
      </c>
      <c r="X30" s="39" t="s">
        <v>80</v>
      </c>
      <c r="Y30" s="39" t="s">
        <v>92</v>
      </c>
      <c r="Z30" s="39" t="s">
        <v>80</v>
      </c>
      <c r="AA30" s="39" t="s">
        <v>80</v>
      </c>
      <c r="AB30" s="39" t="s">
        <v>107</v>
      </c>
      <c r="AC30" s="39" t="s">
        <v>99</v>
      </c>
      <c r="AD30" s="39" t="s">
        <v>80</v>
      </c>
      <c r="AE30" s="39" t="s">
        <v>83</v>
      </c>
      <c r="AF30" s="39" t="s">
        <v>84</v>
      </c>
      <c r="AG30" s="39" t="s">
        <v>80</v>
      </c>
      <c r="AH30" s="39" t="s">
        <v>80</v>
      </c>
      <c r="AI30" s="39" t="s">
        <v>80</v>
      </c>
      <c r="AJ30" s="39" t="s">
        <v>80</v>
      </c>
      <c r="AK30" s="39" t="s">
        <v>80</v>
      </c>
      <c r="AL30" s="39" t="s">
        <v>80</v>
      </c>
      <c r="AM30" t="str">
        <f>VLOOKUP($R30,武学奇术!$A:$ZZ,25,FALSE)</f>
        <v>拳甲</v>
      </c>
      <c r="AN30" s="24">
        <f>VLOOKUP($R30,武学奇术!$A:$ZZ,26,FALSE)</f>
        <v>1.08472</v>
      </c>
      <c r="AO30" s="25">
        <f>VLOOKUP($R30,武学奇术!$A:$ZZ,27,FALSE)*(1+IF(OR($AM30=$F$4,$AM30=$F$5),$B$22,0))</f>
        <v>483.84</v>
      </c>
      <c r="AP30" s="24">
        <f>VLOOKUP($R30,武学奇术!$A:$ZZ,28,FALSE)</f>
        <v>1.62708</v>
      </c>
      <c r="AQ30" s="25">
        <f>VLOOKUP($R30,武学奇术!$A:$ZZ,29,FALSE)*(1+IF(OR($AM30=$F$4,$AM30=$F$5),$B$22,0))</f>
        <v>262.08</v>
      </c>
      <c r="AR30" s="24" cm="1">
        <f t="array" ref="AR30">$G$3+IFERROR(VLOOKUP($AM30,$F$4:$G$7,2,FALSE),0)+VLOOKUP($R30,武学奇术!$A:$ZZ,2,FALSE)+SUM(_xlfn.XLOOKUP($S30:$AL30,增益!$A:$A,增益!$B:$B,0))</f>
        <v>0.4543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4371.3</v>
      </c>
      <c r="AU30" cm="1">
        <f t="array" ref="AU30">$E$10*(1+$AS30)+VLOOKUP($R30,武学奇术!$A:$ZZ,4,FALSE)+SUM(_xlfn.XLOOKUP($S30:$AL30,增益!$A:$A,增益!$D:$D,0))-$I$2</f>
        <v>4371.3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0.3785</v>
      </c>
      <c r="AW30" s="31" cm="1">
        <f t="array" ref="AW30">$G$10+VLOOKUP($R30,武学奇术!$A:$ZZ,7,FALSE)+SUM(_xlfn.XLOOKUP($S30:$AL30,增益!$A:$A,增益!$G:$G,0))</f>
        <v>0.135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0</v>
      </c>
      <c r="BB30" s="31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</v>
      </c>
      <c r="BF30" s="31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31" cm="1">
        <f t="array" ref="BJ30">$G$13+VLOOKUP($R30,武学奇术!$A:$ZZ,14,FALSE)+SUM(_xlfn.XLOOKUP($S30:$AL30,增益!$A:$A,增益!$N:$N,0))</f>
        <v>0.02</v>
      </c>
      <c r="BK30">
        <f t="shared" si="7"/>
        <v>649.11</v>
      </c>
      <c r="BL30">
        <f t="shared" si="8"/>
        <v>1707.09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0.15</v>
      </c>
      <c r="BN30" s="31" cm="1">
        <f t="array" ref="BN30">$G$14+VLOOKUP($R30,武学奇术!$A:$ZZ,16,FALSE)+SUM(_xlfn.XLOOKUP($S30:$AL30,增益!$A:$A,增益!$P:$P,0))</f>
        <v>0.26</v>
      </c>
      <c r="BO30" s="24">
        <f>MIN(IF(VLOOKUP($R30,武学奇术!$A:$ZZ,23,FALSE)=1,100%,$B$8),100%)</f>
        <v>0.9771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0.8861</v>
      </c>
      <c r="BQ30" s="24" cm="1">
        <f t="array" ref="BQ30">1+$B$13+VLOOKUP($R30,武学奇术!$A:$ZZ,18,FALSE)+SUM(_xlfn.XLOOKUP($S30:$AL30,增益!$A:$A,增益!$R:$R,0))</f>
        <v>1.97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0.86580831</v>
      </c>
      <c r="BU30" s="24">
        <f t="shared" si="10"/>
        <v>0.02208246</v>
      </c>
      <c r="BV30" s="24">
        <f>IF(VLOOKUP($R30,武学奇术!$A:$ZZ,22,FALSE)=1,0,(1-$BO30))*(1-$BR30)</f>
        <v>0.02080923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A31" t="s">
        <v>182</v>
      </c>
      <c r="B31">
        <v>0.7</v>
      </c>
      <c r="C31" s="38"/>
      <c r="D31" s="38"/>
      <c r="E31" s="38" t="s">
        <v>183</v>
      </c>
      <c r="F31" s="38" t="s">
        <v>184</v>
      </c>
      <c r="H31">
        <v>121</v>
      </c>
      <c r="K31" s="37">
        <f>$L31*VLOOKUP($R31,武学奇术!$A:$ZZ,31,FALSE)</f>
        <v>86071.3371421339</v>
      </c>
      <c r="L31" s="37">
        <f t="shared" si="0"/>
        <v>53794.5857138337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55509.9772184522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48620.9081120235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32086.6920337874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28157.896577187</v>
      </c>
      <c r="Q31" s="38">
        <v>1</v>
      </c>
      <c r="R31" s="39" t="s">
        <v>128</v>
      </c>
      <c r="S31" s="39" t="s">
        <v>106</v>
      </c>
      <c r="T31" s="39" t="s">
        <v>185</v>
      </c>
      <c r="U31" s="39" t="s">
        <v>89</v>
      </c>
      <c r="V31" s="39" t="s">
        <v>129</v>
      </c>
      <c r="W31" s="39" t="s">
        <v>91</v>
      </c>
      <c r="X31" s="39" t="s">
        <v>80</v>
      </c>
      <c r="Y31" s="39" t="s">
        <v>92</v>
      </c>
      <c r="Z31" s="39" t="s">
        <v>80</v>
      </c>
      <c r="AA31" s="39" t="s">
        <v>80</v>
      </c>
      <c r="AB31" s="39" t="s">
        <v>186</v>
      </c>
      <c r="AC31" s="39" t="s">
        <v>99</v>
      </c>
      <c r="AD31" s="39" t="s">
        <v>80</v>
      </c>
      <c r="AE31" s="39" t="s">
        <v>83</v>
      </c>
      <c r="AF31" s="39" t="s">
        <v>84</v>
      </c>
      <c r="AG31" s="39" t="s">
        <v>80</v>
      </c>
      <c r="AH31" s="39" t="s">
        <v>80</v>
      </c>
      <c r="AI31" s="39" t="s">
        <v>80</v>
      </c>
      <c r="AJ31" s="39" t="s">
        <v>80</v>
      </c>
      <c r="AK31" s="39" t="s">
        <v>80</v>
      </c>
      <c r="AL31" s="39" t="s">
        <v>80</v>
      </c>
      <c r="AM31" t="str">
        <f>VLOOKUP($R31,武学奇术!$A:$ZZ,25,FALSE)</f>
        <v>拳甲</v>
      </c>
      <c r="AN31" s="24">
        <f>VLOOKUP($R31,武学奇术!$A:$ZZ,26,FALSE)</f>
        <v>2.173248</v>
      </c>
      <c r="AO31" s="25">
        <f>VLOOKUP($R31,武学奇术!$A:$ZZ,27,FALSE)*(1+IF(OR($AM31=$F$4,$AM31=$F$5),$B$22,0))</f>
        <v>0</v>
      </c>
      <c r="AP31" s="24">
        <f>VLOOKUP($R31,武学奇术!$A:$ZZ,28,FALSE)</f>
        <v>3.259872</v>
      </c>
      <c r="AQ31" s="25">
        <f>VLOOKUP($R31,武学奇术!$A:$ZZ,29,FALSE)*(1+IF(OR($AM31=$F$4,$AM31=$F$5),$B$22,0))</f>
        <v>0</v>
      </c>
      <c r="AR31" s="24" cm="1">
        <f t="array" ref="AR31">$G$3+IFERROR(VLOOKUP($AM31,$F$4:$G$7,2,FALSE),0)+VLOOKUP($R31,武学奇术!$A:$ZZ,2,FALSE)+SUM(_xlfn.XLOOKUP($S31:$AL31,增益!$A:$A,增益!$B:$B,0))</f>
        <v>0.4043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4371.3</v>
      </c>
      <c r="AU31" cm="1">
        <f t="array" ref="AU31">$E$10*(1+$AS31)+VLOOKUP($R31,武学奇术!$A:$ZZ,4,FALSE)+SUM(_xlfn.XLOOKUP($S31:$AL31,增益!$A:$A,增益!$D:$D,0))-$I$2</f>
        <v>4371.3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0.3885</v>
      </c>
      <c r="AW31" s="31" cm="1">
        <f t="array" ref="AW31">$G$10+VLOOKUP($R31,武学奇术!$A:$ZZ,7,FALSE)+SUM(_xlfn.XLOOKUP($S31:$AL31,增益!$A:$A,增益!$G:$G,0))</f>
        <v>0.135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0.01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0.01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0.01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1707.09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0.16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0.9771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0.8861</v>
      </c>
      <c r="BQ31" s="24" cm="1">
        <f t="array" ref="BQ31">1+$B$13+VLOOKUP($R31,武学奇术!$A:$ZZ,18,FALSE)+SUM(_xlfn.XLOOKUP($S31:$AL31,增益!$A:$A,增益!$R:$R,0))</f>
        <v>1.73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0.86580831</v>
      </c>
      <c r="BU31" s="24">
        <f t="shared" si="10"/>
        <v>0.02208246</v>
      </c>
      <c r="BV31" s="24">
        <f>IF(VLOOKUP($R31,武学奇术!$A:$ZZ,22,FALSE)=1,0,(1-$BO31))*(1-$BR31)</f>
        <v>0.02080923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A32" t="s">
        <v>187</v>
      </c>
      <c r="B32">
        <v>0.9</v>
      </c>
      <c r="C32" s="38"/>
      <c r="D32" s="38"/>
      <c r="E32" s="38"/>
      <c r="F32" s="38"/>
      <c r="H32">
        <v>141</v>
      </c>
      <c r="K32" s="37">
        <f>$L32*VLOOKUP($R32,武学奇术!$A:$ZZ,31,FALSE)</f>
        <v>344348.985957632</v>
      </c>
      <c r="L32" s="37">
        <f t="shared" si="0"/>
        <v>344348.985957632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360863.917431729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265995.024670954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177765.476567354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158497.601526595</v>
      </c>
      <c r="Q32" s="38">
        <v>1</v>
      </c>
      <c r="R32" s="39" t="s">
        <v>132</v>
      </c>
      <c r="S32" s="39" t="s">
        <v>106</v>
      </c>
      <c r="T32" s="39" t="s">
        <v>185</v>
      </c>
      <c r="U32" s="39" t="s">
        <v>89</v>
      </c>
      <c r="V32" s="39" t="s">
        <v>129</v>
      </c>
      <c r="W32" s="39" t="s">
        <v>91</v>
      </c>
      <c r="X32" s="39" t="s">
        <v>80</v>
      </c>
      <c r="Y32" s="39" t="s">
        <v>92</v>
      </c>
      <c r="Z32" s="39" t="s">
        <v>80</v>
      </c>
      <c r="AA32" s="39" t="s">
        <v>80</v>
      </c>
      <c r="AB32" s="39" t="s">
        <v>186</v>
      </c>
      <c r="AC32" s="39" t="s">
        <v>99</v>
      </c>
      <c r="AD32" s="39" t="s">
        <v>80</v>
      </c>
      <c r="AE32" s="39" t="s">
        <v>83</v>
      </c>
      <c r="AF32" s="39" t="s">
        <v>84</v>
      </c>
      <c r="AG32" s="39" t="s">
        <v>80</v>
      </c>
      <c r="AH32" s="39" t="s">
        <v>80</v>
      </c>
      <c r="AI32" s="39" t="s">
        <v>80</v>
      </c>
      <c r="AJ32" s="39" t="s">
        <v>80</v>
      </c>
      <c r="AK32" s="39" t="s">
        <v>80</v>
      </c>
      <c r="AL32" s="39" t="s">
        <v>80</v>
      </c>
      <c r="AM32" t="str">
        <f>VLOOKUP($R32,武学奇术!$A:$ZZ,25,FALSE)</f>
        <v>拳甲</v>
      </c>
      <c r="AN32" s="24">
        <f>VLOOKUP($R32,武学奇术!$A:$ZZ,26,FALSE)</f>
        <v>7.79674</v>
      </c>
      <c r="AO32" s="25">
        <f>VLOOKUP($R32,武学奇术!$A:$ZZ,27,FALSE)*(1+IF(OR($AM32=$F$4,$AM32=$F$5),$B$22,0))</f>
        <v>3458.56</v>
      </c>
      <c r="AP32" s="24">
        <f>VLOOKUP($R32,武学奇术!$A:$ZZ,28,FALSE)</f>
        <v>11.69518</v>
      </c>
      <c r="AQ32" s="25">
        <f>VLOOKUP($R32,武学奇术!$A:$ZZ,29,FALSE)*(1+IF(OR($AM32=$F$4,$AM32=$F$5),$B$22,0))</f>
        <v>1881.6</v>
      </c>
      <c r="AR32" s="24" cm="1">
        <f t="array" ref="AR32">$G$3+IFERROR(VLOOKUP($AM32,$F$4:$G$7,2,FALSE),0)+VLOOKUP($R32,武学奇术!$A:$ZZ,2,FALSE)+SUM(_xlfn.XLOOKUP($S32:$AL32,增益!$A:$A,增益!$B:$B,0))</f>
        <v>0.4543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4371.3</v>
      </c>
      <c r="AU32" cm="1">
        <f t="array" ref="AU32">$E$10*(1+$AS32)+VLOOKUP($R32,武学奇术!$A:$ZZ,4,FALSE)+SUM(_xlfn.XLOOKUP($S32:$AL32,增益!$A:$A,增益!$D:$D,0))-$I$2</f>
        <v>4371.3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0.3885</v>
      </c>
      <c r="AW32" s="31" cm="1">
        <f t="array" ref="AW32">$G$10+VLOOKUP($R32,武学奇术!$A:$ZZ,7,FALSE)+SUM(_xlfn.XLOOKUP($S32:$AL32,增益!$A:$A,增益!$G:$G,0))</f>
        <v>0.135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0.01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0.01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0.01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1707.09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0.16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0.9771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0.8861</v>
      </c>
      <c r="BQ32" s="24" cm="1">
        <f t="array" ref="BQ32">1+$B$13+VLOOKUP($R32,武学奇术!$A:$ZZ,18,FALSE)+SUM(_xlfn.XLOOKUP($S32:$AL32,增益!$A:$A,增益!$R:$R,0))</f>
        <v>2.03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0.86580831</v>
      </c>
      <c r="BU32" s="24">
        <f t="shared" si="10"/>
        <v>0.04289169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A33" t="s">
        <v>188</v>
      </c>
      <c r="B33">
        <v>0.6</v>
      </c>
      <c r="C33" s="38"/>
      <c r="D33" s="38"/>
      <c r="E33" s="38"/>
      <c r="F33" s="38"/>
      <c r="K33" s="37">
        <f>$L33*VLOOKUP($R33,武学奇术!$A:$ZZ,31,FALSE)</f>
        <v>345888.094226064</v>
      </c>
      <c r="L33" s="37">
        <f t="shared" si="0"/>
        <v>345888.094226064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362641.572197403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265995.024670954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177765.476567354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158497.601526595</v>
      </c>
      <c r="Q33" s="38">
        <v>1</v>
      </c>
      <c r="R33" s="39" t="s">
        <v>132</v>
      </c>
      <c r="S33" s="39" t="s">
        <v>106</v>
      </c>
      <c r="T33" s="39" t="s">
        <v>189</v>
      </c>
      <c r="U33" s="39" t="s">
        <v>89</v>
      </c>
      <c r="V33" s="39" t="s">
        <v>129</v>
      </c>
      <c r="W33" s="39" t="s">
        <v>91</v>
      </c>
      <c r="X33" s="39" t="s">
        <v>80</v>
      </c>
      <c r="Y33" s="39" t="s">
        <v>92</v>
      </c>
      <c r="Z33" s="39" t="s">
        <v>80</v>
      </c>
      <c r="AA33" s="39" t="s">
        <v>80</v>
      </c>
      <c r="AB33" s="39" t="s">
        <v>186</v>
      </c>
      <c r="AC33" s="39" t="s">
        <v>99</v>
      </c>
      <c r="AD33" s="39" t="s">
        <v>80</v>
      </c>
      <c r="AE33" s="39" t="s">
        <v>83</v>
      </c>
      <c r="AF33" s="39" t="s">
        <v>84</v>
      </c>
      <c r="AG33" s="39" t="s">
        <v>80</v>
      </c>
      <c r="AH33" s="39" t="s">
        <v>80</v>
      </c>
      <c r="AI33" s="39" t="s">
        <v>80</v>
      </c>
      <c r="AJ33" s="39" t="s">
        <v>80</v>
      </c>
      <c r="AK33" s="39" t="s">
        <v>80</v>
      </c>
      <c r="AL33" s="39" t="s">
        <v>80</v>
      </c>
      <c r="AM33" t="str">
        <f>VLOOKUP($R33,武学奇术!$A:$ZZ,25,FALSE)</f>
        <v>拳甲</v>
      </c>
      <c r="AN33" s="24">
        <f>VLOOKUP($R33,武学奇术!$A:$ZZ,26,FALSE)</f>
        <v>7.79674</v>
      </c>
      <c r="AO33" s="25">
        <f>VLOOKUP($R33,武学奇术!$A:$ZZ,27,FALSE)*(1+IF(OR($AM33=$F$4,$AM33=$F$5),$B$22,0))</f>
        <v>3458.56</v>
      </c>
      <c r="AP33" s="24">
        <f>VLOOKUP($R33,武学奇术!$A:$ZZ,28,FALSE)</f>
        <v>11.69518</v>
      </c>
      <c r="AQ33" s="25">
        <f>VLOOKUP($R33,武学奇术!$A:$ZZ,29,FALSE)*(1+IF(OR($AM33=$F$4,$AM33=$F$5),$B$22,0))</f>
        <v>1881.6</v>
      </c>
      <c r="AR33" s="24" cm="1">
        <f t="array" ref="AR33">$G$3+IFERROR(VLOOKUP($AM33,$F$4:$G$7,2,FALSE),0)+VLOOKUP($R33,武学奇术!$A:$ZZ,2,FALSE)+SUM(_xlfn.XLOOKUP($S33:$AL33,增益!$A:$A,增益!$B:$B,0))</f>
        <v>0.4543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4371.3</v>
      </c>
      <c r="AU33" cm="1">
        <f t="array" ref="AU33">$E$10*(1+$AS33)+VLOOKUP($R33,武学奇术!$A:$ZZ,4,FALSE)+SUM(_xlfn.XLOOKUP($S33:$AL33,增益!$A:$A,增益!$D:$D,0))-$I$2</f>
        <v>4371.3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0.3885</v>
      </c>
      <c r="AW33" s="31" cm="1">
        <f t="array" ref="AW33">$G$10+VLOOKUP($R33,武学奇术!$A:$ZZ,7,FALSE)+SUM(_xlfn.XLOOKUP($S33:$AL33,增益!$A:$A,增益!$G:$G,0))</f>
        <v>0.135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0.01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0.01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0.01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1707.09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0.16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0.9771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0.8861</v>
      </c>
      <c r="BQ33" s="24" cm="1">
        <f t="array" ref="BQ33">1+$B$13+VLOOKUP($R33,武学奇术!$A:$ZZ,18,FALSE)+SUM(_xlfn.XLOOKUP($S33:$AL33,增益!$A:$A,增益!$R:$R,0))</f>
        <v>2.04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0.86580831</v>
      </c>
      <c r="BU33" s="24">
        <f t="shared" si="10"/>
        <v>0.04289169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A34" t="s">
        <v>182</v>
      </c>
      <c r="B34">
        <v>0.7</v>
      </c>
      <c r="C34" s="38"/>
      <c r="D34" s="38"/>
      <c r="E34" s="38"/>
      <c r="F34" s="38"/>
      <c r="K34" s="37">
        <f>$L34*VLOOKUP($R34,武学奇术!$A:$ZZ,31,FALSE)</f>
        <v>345888.094226064</v>
      </c>
      <c r="L34" s="37">
        <f t="shared" si="0"/>
        <v>345888.094226064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362641.572197403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265995.024670954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177765.476567354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158497.601526595</v>
      </c>
      <c r="Q34" s="38">
        <v>1</v>
      </c>
      <c r="R34" s="39" t="s">
        <v>132</v>
      </c>
      <c r="S34" s="39" t="s">
        <v>106</v>
      </c>
      <c r="T34" s="39" t="s">
        <v>189</v>
      </c>
      <c r="U34" s="39" t="s">
        <v>89</v>
      </c>
      <c r="V34" s="39" t="s">
        <v>129</v>
      </c>
      <c r="W34" s="39" t="s">
        <v>91</v>
      </c>
      <c r="X34" s="39" t="s">
        <v>80</v>
      </c>
      <c r="Y34" s="39" t="s">
        <v>92</v>
      </c>
      <c r="Z34" s="39" t="s">
        <v>80</v>
      </c>
      <c r="AA34" s="39" t="s">
        <v>80</v>
      </c>
      <c r="AB34" s="39" t="s">
        <v>186</v>
      </c>
      <c r="AC34" s="39" t="s">
        <v>93</v>
      </c>
      <c r="AD34" s="39" t="s">
        <v>80</v>
      </c>
      <c r="AE34" s="39" t="s">
        <v>83</v>
      </c>
      <c r="AF34" s="39" t="s">
        <v>84</v>
      </c>
      <c r="AG34" s="39" t="s">
        <v>80</v>
      </c>
      <c r="AH34" s="39" t="s">
        <v>80</v>
      </c>
      <c r="AI34" s="39" t="s">
        <v>80</v>
      </c>
      <c r="AJ34" s="39" t="s">
        <v>80</v>
      </c>
      <c r="AK34" s="39" t="s">
        <v>80</v>
      </c>
      <c r="AL34" s="39" t="s">
        <v>80</v>
      </c>
      <c r="AM34" t="str">
        <f>VLOOKUP($R34,武学奇术!$A:$ZZ,25,FALSE)</f>
        <v>拳甲</v>
      </c>
      <c r="AN34" s="24">
        <f>VLOOKUP($R34,武学奇术!$A:$ZZ,26,FALSE)</f>
        <v>7.79674</v>
      </c>
      <c r="AO34" s="25">
        <f>VLOOKUP($R34,武学奇术!$A:$ZZ,27,FALSE)*(1+IF(OR($AM34=$F$4,$AM34=$F$5),$B$22,0))</f>
        <v>3458.56</v>
      </c>
      <c r="AP34" s="24">
        <f>VLOOKUP($R34,武学奇术!$A:$ZZ,28,FALSE)</f>
        <v>11.69518</v>
      </c>
      <c r="AQ34" s="25">
        <f>VLOOKUP($R34,武学奇术!$A:$ZZ,29,FALSE)*(1+IF(OR($AM34=$F$4,$AM34=$F$5),$B$22,0))</f>
        <v>1881.6</v>
      </c>
      <c r="AR34" s="24" cm="1">
        <f t="array" ref="AR34">$G$3+IFERROR(VLOOKUP($AM34,$F$4:$G$7,2,FALSE),0)+VLOOKUP($R34,武学奇术!$A:$ZZ,2,FALSE)+SUM(_xlfn.XLOOKUP($S34:$AL34,增益!$A:$A,增益!$B:$B,0))</f>
        <v>0.4543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4371.3</v>
      </c>
      <c r="AU34" cm="1">
        <f t="array" ref="AU34">$E$10*(1+$AS34)+VLOOKUP($R34,武学奇术!$A:$ZZ,4,FALSE)+SUM(_xlfn.XLOOKUP($S34:$AL34,增益!$A:$A,增益!$D:$D,0))-$I$2</f>
        <v>4371.3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0.3885</v>
      </c>
      <c r="AW34" s="31" cm="1">
        <f t="array" ref="AW34">$G$10+VLOOKUP($R34,武学奇术!$A:$ZZ,7,FALSE)+SUM(_xlfn.XLOOKUP($S34:$AL34,增益!$A:$A,增益!$G:$G,0))</f>
        <v>0.135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0.01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0.01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0.01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1707.09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0.16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0.9771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0.8861</v>
      </c>
      <c r="BQ34" s="24" cm="1">
        <f t="array" ref="BQ34">1+$B$13+VLOOKUP($R34,武学奇术!$A:$ZZ,18,FALSE)+SUM(_xlfn.XLOOKUP($S34:$AL34,增益!$A:$A,增益!$R:$R,0))</f>
        <v>2.04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0.86580831</v>
      </c>
      <c r="BU34" s="24">
        <f t="shared" si="10"/>
        <v>0.04289169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A35" t="s">
        <v>190</v>
      </c>
      <c r="B35">
        <v>2.5</v>
      </c>
      <c r="C35" s="38"/>
      <c r="D35" s="38"/>
      <c r="E35" s="38"/>
      <c r="F35" s="38"/>
      <c r="K35" s="37">
        <f>$L35*VLOOKUP($R35,武学奇术!$A:$ZZ,31,FALSE)</f>
        <v>189946.438709476</v>
      </c>
      <c r="L35" s="37">
        <f t="shared" ref="L35:L60" si="12">($M35*$BT35+$N35*$BR35+$O35*$BU35+$P35*$BV35)</f>
        <v>189946.438709476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199146.357209494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146076.103095412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97620.7633379874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87037.0058645586</v>
      </c>
      <c r="Q35" s="38">
        <v>1</v>
      </c>
      <c r="R35" s="39" t="s">
        <v>156</v>
      </c>
      <c r="S35" s="39" t="s">
        <v>106</v>
      </c>
      <c r="T35" s="39" t="s">
        <v>189</v>
      </c>
      <c r="U35" s="39" t="s">
        <v>89</v>
      </c>
      <c r="V35" s="39" t="s">
        <v>129</v>
      </c>
      <c r="W35" s="39" t="s">
        <v>91</v>
      </c>
      <c r="X35" s="39" t="s">
        <v>80</v>
      </c>
      <c r="Y35" s="39" t="s">
        <v>92</v>
      </c>
      <c r="Z35" s="39" t="s">
        <v>80</v>
      </c>
      <c r="AA35" s="39" t="s">
        <v>80</v>
      </c>
      <c r="AB35" s="39" t="s">
        <v>186</v>
      </c>
      <c r="AC35" s="39" t="s">
        <v>93</v>
      </c>
      <c r="AD35" s="39" t="s">
        <v>80</v>
      </c>
      <c r="AE35" s="39" t="s">
        <v>83</v>
      </c>
      <c r="AF35" s="39" t="s">
        <v>84</v>
      </c>
      <c r="AG35" s="39" t="s">
        <v>80</v>
      </c>
      <c r="AH35" s="39" t="s">
        <v>80</v>
      </c>
      <c r="AI35" s="39" t="s">
        <v>80</v>
      </c>
      <c r="AJ35" s="39" t="s">
        <v>80</v>
      </c>
      <c r="AK35" s="39" t="s">
        <v>80</v>
      </c>
      <c r="AL35" s="39" t="s">
        <v>80</v>
      </c>
      <c r="AM35" t="str">
        <f>VLOOKUP($R35,武学奇术!$A:$ZZ,25,FALSE)</f>
        <v>双刀</v>
      </c>
      <c r="AN35" s="24">
        <f>VLOOKUP($R35,武学奇术!$A:$ZZ,26,FALSE)</f>
        <v>4.28274</v>
      </c>
      <c r="AO35" s="25">
        <f>VLOOKUP($R35,武学奇术!$A:$ZZ,27,FALSE)*(1+IF(OR($AM35=$F$4,$AM35=$F$5),$B$22,0))</f>
        <v>1895.04</v>
      </c>
      <c r="AP35" s="24">
        <f>VLOOKUP($R35,武学奇术!$A:$ZZ,28,FALSE)</f>
        <v>6.42411</v>
      </c>
      <c r="AQ35" s="25">
        <f>VLOOKUP($R35,武学奇术!$A:$ZZ,29,FALSE)*(1+IF(OR($AM35=$F$4,$AM35=$F$5),$B$22,0))</f>
        <v>1031.52</v>
      </c>
      <c r="AR35" s="24" cm="1">
        <f t="array" ref="AR35">$G$3+IFERROR(VLOOKUP($AM35,$F$4:$G$7,2,FALSE),0)+VLOOKUP($R35,武学奇术!$A:$ZZ,2,FALSE)+SUM(_xlfn.XLOOKUP($S35:$AL35,增益!$A:$A,增益!$B:$B,0))</f>
        <v>0.4543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4371.3</v>
      </c>
      <c r="AU35" cm="1">
        <f t="array" ref="AU35">$E$10*(1+$AS35)+VLOOKUP($R35,武学奇术!$A:$ZZ,4,FALSE)+SUM(_xlfn.XLOOKUP($S35:$AL35,增益!$A:$A,增益!$D:$D,0))-$I$2</f>
        <v>4371.3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0.3885</v>
      </c>
      <c r="AW35" s="31" cm="1">
        <f t="array" ref="AW35">$G$10+VLOOKUP($R35,武学奇术!$A:$ZZ,7,FALSE)+SUM(_xlfn.XLOOKUP($S35:$AL35,增益!$A:$A,增益!$G:$G,0))</f>
        <v>0.135</v>
      </c>
      <c r="AX35" s="24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0.01</v>
      </c>
      <c r="BB35" s="31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0.01</v>
      </c>
      <c r="BF35" s="31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0.01</v>
      </c>
      <c r="BJ35" s="31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649.11</v>
      </c>
      <c r="BL35">
        <f t="shared" ref="BL35:BL66" si="20">$E$14*(1+$AX35)</f>
        <v>1707.09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0.16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0.9771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0.8861</v>
      </c>
      <c r="BQ35" s="24" cm="1">
        <f t="array" ref="BQ35">1+$B$13+VLOOKUP($R35,武学奇术!$A:$ZZ,18,FALSE)+SUM(_xlfn.XLOOKUP($S35:$AL35,增益!$A:$A,增益!$R:$R,0))</f>
        <v>2.04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1">MIN((1-BR35)*BO35,BO35*BP35)</f>
        <v>0.86580831</v>
      </c>
      <c r="BU35" s="24">
        <f t="shared" ref="BU35:BU66" si="22">1-BR35-BT35-BV35</f>
        <v>0.04289169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A36" t="s">
        <v>191</v>
      </c>
      <c r="C36" s="38"/>
      <c r="D36" s="38"/>
      <c r="E36" s="38"/>
      <c r="K36" s="37">
        <f>$L36*VLOOKUP($R36,武学奇术!$A:$ZZ,31,FALSE)</f>
        <v>253215.348818455</v>
      </c>
      <c r="L36" s="37">
        <f t="shared" si="12"/>
        <v>253215.348818455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265479.49369586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194733.85424421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130137.006713657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116026.713987158</v>
      </c>
      <c r="Q36" s="38">
        <v>1</v>
      </c>
      <c r="R36" s="39" t="s">
        <v>162</v>
      </c>
      <c r="S36" s="39" t="s">
        <v>106</v>
      </c>
      <c r="T36" s="39" t="s">
        <v>189</v>
      </c>
      <c r="U36" s="39" t="s">
        <v>89</v>
      </c>
      <c r="V36" s="39" t="s">
        <v>129</v>
      </c>
      <c r="W36" s="39" t="s">
        <v>91</v>
      </c>
      <c r="X36" s="39" t="s">
        <v>80</v>
      </c>
      <c r="Y36" s="39" t="s">
        <v>92</v>
      </c>
      <c r="Z36" s="39" t="s">
        <v>80</v>
      </c>
      <c r="AA36" s="39" t="s">
        <v>80</v>
      </c>
      <c r="AB36" s="39" t="s">
        <v>186</v>
      </c>
      <c r="AC36" s="39" t="s">
        <v>93</v>
      </c>
      <c r="AD36" s="39" t="s">
        <v>80</v>
      </c>
      <c r="AE36" s="39" t="s">
        <v>83</v>
      </c>
      <c r="AF36" s="39" t="s">
        <v>84</v>
      </c>
      <c r="AG36" s="39" t="s">
        <v>80</v>
      </c>
      <c r="AH36" s="39" t="s">
        <v>80</v>
      </c>
      <c r="AI36" s="39" t="s">
        <v>80</v>
      </c>
      <c r="AJ36" s="39" t="s">
        <v>80</v>
      </c>
      <c r="AK36" s="39" t="s">
        <v>80</v>
      </c>
      <c r="AL36" s="39" t="s">
        <v>80</v>
      </c>
      <c r="AM36" t="str">
        <f>VLOOKUP($R36,武学奇术!$A:$ZZ,25,FALSE)</f>
        <v>双刀</v>
      </c>
      <c r="AN36" s="24">
        <f>VLOOKUP($R36,武学奇术!$A:$ZZ,26,FALSE)</f>
        <v>5.71032</v>
      </c>
      <c r="AO36" s="25">
        <f>VLOOKUP($R36,武学奇术!$A:$ZZ,27,FALSE)*(1+IF(OR($AM36=$F$4,$AM36=$F$5),$B$22,0))</f>
        <v>2526.72</v>
      </c>
      <c r="AP36" s="24">
        <f>VLOOKUP($R36,武学奇术!$A:$ZZ,28,FALSE)</f>
        <v>8.56464</v>
      </c>
      <c r="AQ36" s="25">
        <f>VLOOKUP($R36,武学奇术!$A:$ZZ,29,FALSE)*(1+IF(OR($AM36=$F$4,$AM36=$F$5),$B$22,0))</f>
        <v>1370.88</v>
      </c>
      <c r="AR36" s="24" cm="1">
        <f t="array" ref="AR36">$G$3+IFERROR(VLOOKUP($AM36,$F$4:$G$7,2,FALSE),0)+VLOOKUP($R36,武学奇术!$A:$ZZ,2,FALSE)+SUM(_xlfn.XLOOKUP($S36:$AL36,增益!$A:$A,增益!$B:$B,0))</f>
        <v>0.4543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4371.3</v>
      </c>
      <c r="AU36" cm="1">
        <f t="array" ref="AU36">$E$10*(1+$AS36)+VLOOKUP($R36,武学奇术!$A:$ZZ,4,FALSE)+SUM(_xlfn.XLOOKUP($S36:$AL36,增益!$A:$A,增益!$D:$D,0))-$I$2</f>
        <v>4371.3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0.3885</v>
      </c>
      <c r="AW36" s="31" cm="1">
        <f t="array" ref="AW36">$G$10+VLOOKUP($R36,武学奇术!$A:$ZZ,7,FALSE)+SUM(_xlfn.XLOOKUP($S36:$AL36,增益!$A:$A,增益!$G:$G,0))</f>
        <v>0.135</v>
      </c>
      <c r="AX36" s="24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0.01</v>
      </c>
      <c r="BB36" s="31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0.01</v>
      </c>
      <c r="BF36" s="31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0.01</v>
      </c>
      <c r="BJ36" s="31" cm="1">
        <f t="array" ref="BJ36">$G$13+VLOOKUP($R36,武学奇术!$A:$ZZ,14,FALSE)+SUM(_xlfn.XLOOKUP($S36:$AL36,增益!$A:$A,增益!$N:$N,0))</f>
        <v>0.02</v>
      </c>
      <c r="BK36">
        <f t="shared" si="19"/>
        <v>649.11</v>
      </c>
      <c r="BL36">
        <f t="shared" si="20"/>
        <v>1707.09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0.16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0.9771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0.8861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1"/>
        <v>0.86580831</v>
      </c>
      <c r="BU36" s="24">
        <f t="shared" si="22"/>
        <v>0.04289169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t="s">
        <v>191</v>
      </c>
      <c r="B37">
        <v>2.25</v>
      </c>
      <c r="C37" s="38"/>
      <c r="D37" s="38"/>
      <c r="K37" s="37">
        <f>$L37*VLOOKUP($R37,武学奇术!$A:$ZZ,31,FALSE)</f>
        <v>189946.438709476</v>
      </c>
      <c r="L37" s="37">
        <f t="shared" si="12"/>
        <v>189946.438709476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199146.357209494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146076.103095412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97620.7633379874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87037.0058645586</v>
      </c>
      <c r="Q37" s="38">
        <v>1</v>
      </c>
      <c r="R37" s="39" t="s">
        <v>165</v>
      </c>
      <c r="S37" s="39" t="s">
        <v>106</v>
      </c>
      <c r="T37" s="39" t="s">
        <v>189</v>
      </c>
      <c r="U37" s="39" t="s">
        <v>89</v>
      </c>
      <c r="V37" s="39" t="s">
        <v>129</v>
      </c>
      <c r="W37" s="39" t="s">
        <v>91</v>
      </c>
      <c r="X37" s="39" t="s">
        <v>80</v>
      </c>
      <c r="Y37" s="39" t="s">
        <v>92</v>
      </c>
      <c r="Z37" s="39" t="s">
        <v>80</v>
      </c>
      <c r="AA37" s="39" t="s">
        <v>80</v>
      </c>
      <c r="AB37" s="39" t="s">
        <v>186</v>
      </c>
      <c r="AC37" s="39" t="s">
        <v>93</v>
      </c>
      <c r="AD37" s="39" t="s">
        <v>80</v>
      </c>
      <c r="AE37" s="39" t="s">
        <v>83</v>
      </c>
      <c r="AF37" s="39" t="s">
        <v>84</v>
      </c>
      <c r="AG37" s="39" t="s">
        <v>80</v>
      </c>
      <c r="AH37" s="39" t="s">
        <v>80</v>
      </c>
      <c r="AI37" s="39" t="s">
        <v>80</v>
      </c>
      <c r="AJ37" s="39" t="s">
        <v>80</v>
      </c>
      <c r="AK37" s="39" t="s">
        <v>80</v>
      </c>
      <c r="AL37" s="39" t="s">
        <v>80</v>
      </c>
      <c r="AM37" t="str">
        <f>VLOOKUP($R37,武学奇术!$A:$ZZ,25,FALSE)</f>
        <v>双刀</v>
      </c>
      <c r="AN37" s="24">
        <f>VLOOKUP($R37,武学奇术!$A:$ZZ,26,FALSE)</f>
        <v>4.28274</v>
      </c>
      <c r="AO37" s="25">
        <f>VLOOKUP($R37,武学奇术!$A:$ZZ,27,FALSE)*(1+IF(OR($AM37=$F$4,$AM37=$F$5),$B$22,0))</f>
        <v>1895.04</v>
      </c>
      <c r="AP37" s="24">
        <f>VLOOKUP($R37,武学奇术!$A:$ZZ,28,FALSE)</f>
        <v>6.42411</v>
      </c>
      <c r="AQ37" s="25">
        <f>VLOOKUP($R37,武学奇术!$A:$ZZ,29,FALSE)*(1+IF(OR($AM37=$F$4,$AM37=$F$5),$B$22,0))</f>
        <v>1031.52</v>
      </c>
      <c r="AR37" s="24" cm="1">
        <f t="array" ref="AR37">$G$3+IFERROR(VLOOKUP($AM37,$F$4:$G$7,2,FALSE),0)+VLOOKUP($R37,武学奇术!$A:$ZZ,2,FALSE)+SUM(_xlfn.XLOOKUP($S37:$AL37,增益!$A:$A,增益!$B:$B,0))</f>
        <v>0.4543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4371.3</v>
      </c>
      <c r="AU37" cm="1">
        <f t="array" ref="AU37">$E$10*(1+$AS37)+VLOOKUP($R37,武学奇术!$A:$ZZ,4,FALSE)+SUM(_xlfn.XLOOKUP($S37:$AL37,增益!$A:$A,增益!$D:$D,0))-$I$2</f>
        <v>4371.3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0.3885</v>
      </c>
      <c r="AW37" s="31" cm="1">
        <f t="array" ref="AW37">$G$10+VLOOKUP($R37,武学奇术!$A:$ZZ,7,FALSE)+SUM(_xlfn.XLOOKUP($S37:$AL37,增益!$A:$A,增益!$G:$G,0))</f>
        <v>0.135</v>
      </c>
      <c r="AX37" s="24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0.01</v>
      </c>
      <c r="BB37" s="31" cm="1">
        <f t="array" ref="BB37">$G$11+VLOOKUP($R37,武学奇术!$A:$ZZ,10,FALSE)+SUM(_xlfn.XLOOKUP($S37:$AL37,增益!$A:$A,增益!$J:$J,0))</f>
        <v>0.02</v>
      </c>
      <c r="BC37">
        <f t="shared" si="15"/>
        <v>0</v>
      </c>
      <c r="BD37">
        <f t="shared" si="16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0.01</v>
      </c>
      <c r="BF37" s="31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0.01</v>
      </c>
      <c r="BJ37" s="31" cm="1">
        <f t="array" ref="BJ37">$G$13+VLOOKUP($R37,武学奇术!$A:$ZZ,14,FALSE)+SUM(_xlfn.XLOOKUP($S37:$AL37,增益!$A:$A,增益!$N:$N,0))</f>
        <v>0.02</v>
      </c>
      <c r="BK37">
        <f t="shared" si="19"/>
        <v>649.11</v>
      </c>
      <c r="BL37">
        <f t="shared" si="20"/>
        <v>1707.09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0.16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0.9771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0.8861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1"/>
        <v>0.86580831</v>
      </c>
      <c r="BU37" s="24">
        <f t="shared" si="22"/>
        <v>0.04289169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t="s">
        <v>190</v>
      </c>
      <c r="B38">
        <v>2</v>
      </c>
      <c r="C38" s="38"/>
      <c r="D38" s="38"/>
      <c r="K38" s="37">
        <f>$L38*VLOOKUP($R38,武学奇术!$A:$ZZ,31,FALSE)</f>
        <v>237181.977923879</v>
      </c>
      <c r="L38" s="88">
        <f>SUM(L26,L27,L29,L30,L32:L37)*0.2*(1+BX38)</f>
        <v>474363.955847757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38">
        <v>1</v>
      </c>
      <c r="R38" s="39" t="s">
        <v>168</v>
      </c>
      <c r="S38" s="39" t="s">
        <v>169</v>
      </c>
      <c r="T38" s="39" t="s">
        <v>80</v>
      </c>
      <c r="U38" s="39" t="s">
        <v>80</v>
      </c>
      <c r="V38" s="39" t="s">
        <v>80</v>
      </c>
      <c r="W38" s="39" t="s">
        <v>80</v>
      </c>
      <c r="X38" s="39" t="s">
        <v>80</v>
      </c>
      <c r="Y38" s="39" t="s">
        <v>80</v>
      </c>
      <c r="Z38" s="39" t="s">
        <v>80</v>
      </c>
      <c r="AA38" s="39" t="s">
        <v>80</v>
      </c>
      <c r="AB38" s="39" t="s">
        <v>80</v>
      </c>
      <c r="AC38" s="39" t="s">
        <v>80</v>
      </c>
      <c r="AD38" s="39" t="s">
        <v>80</v>
      </c>
      <c r="AE38" s="39" t="s">
        <v>83</v>
      </c>
      <c r="AF38" s="39" t="s">
        <v>84</v>
      </c>
      <c r="AG38" s="39" t="s">
        <v>80</v>
      </c>
      <c r="AH38" s="39" t="s">
        <v>80</v>
      </c>
      <c r="AI38" s="39" t="s">
        <v>80</v>
      </c>
      <c r="AJ38" s="39" t="s">
        <v>80</v>
      </c>
      <c r="AK38" s="39" t="s">
        <v>80</v>
      </c>
      <c r="AL38" s="39" t="s">
        <v>80</v>
      </c>
      <c r="AM38" t="str">
        <f>VLOOKUP($R38,武学奇术!$A:$ZZ,25,FALSE)</f>
        <v>心法</v>
      </c>
      <c r="AN38" s="24">
        <f>VLOOKUP($R38,武学奇术!$A:$ZZ,26,FALSE)</f>
        <v>0</v>
      </c>
      <c r="AO38" s="25">
        <f>VLOOKUP($R38,武学奇术!$A:$ZZ,27,FALSE)*(1+IF(OR($AM38=$F$4,$AM38=$F$5),$B$22,0))</f>
        <v>0</v>
      </c>
      <c r="AP38" s="24">
        <f>VLOOKUP($R38,武学奇术!$A:$ZZ,28,FALSE)</f>
        <v>0</v>
      </c>
      <c r="AQ38" s="25">
        <f>VLOOKUP($R38,武学奇术!$A:$ZZ,29,FALSE)*(1+IF(OR($AM38=$F$4,$AM38=$F$5),$B$22,0))</f>
        <v>0</v>
      </c>
      <c r="AR38" s="24" cm="1">
        <f t="array" ref="AR38">$G$3+IFERROR(VLOOKUP($AM38,$F$4:$G$7,2,FALSE),0)+VLOOKUP($R38,武学奇术!$A:$ZZ,2,FALSE)+SUM(_xlfn.XLOOKUP($S38:$AL38,增益!$A:$A,增益!$B:$B,0))</f>
        <v>0.1842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4371.3</v>
      </c>
      <c r="AU38" cm="1">
        <f t="array" ref="AU38">$E$10*(1+$AS38)+VLOOKUP($R38,武学奇术!$A:$ZZ,4,FALSE)+SUM(_xlfn.XLOOKUP($S38:$AL38,增益!$A:$A,增益!$D:$D,0))-$I$2</f>
        <v>4371.3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0.2585</v>
      </c>
      <c r="AW38" s="31" cm="1">
        <f t="array" ref="AW38">$G$10+VLOOKUP($R38,武学奇术!$A:$ZZ,7,FALSE)+SUM(_xlfn.XLOOKUP($S38:$AL38,增益!$A:$A,增益!$G:$G,0))</f>
        <v>0.025</v>
      </c>
      <c r="AX38" s="24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1" cm="1">
        <f t="array" ref="BB38">$G$11+VLOOKUP($R38,武学奇术!$A:$ZZ,10,FALSE)+SUM(_xlfn.XLOOKUP($S38:$AL38,增益!$A:$A,增益!$J:$J,0))</f>
        <v>0</v>
      </c>
      <c r="BC38">
        <f t="shared" si="15"/>
        <v>0</v>
      </c>
      <c r="BD38">
        <f t="shared" si="16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1" cm="1">
        <f t="array" ref="BF38">$G$12+VLOOKUP($R38,武学奇术!$A:$ZZ,12,FALSE)+SUM(_xlfn.XLOOKUP($S38:$AL38,增益!$A:$A,增益!$L:$L,0))</f>
        <v>0</v>
      </c>
      <c r="BG38">
        <f t="shared" si="17"/>
        <v>0</v>
      </c>
      <c r="BH38">
        <f t="shared" si="18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1" cm="1">
        <f t="array" ref="BJ38">$G$13+VLOOKUP($R38,武学奇术!$A:$ZZ,14,FALSE)+SUM(_xlfn.XLOOKUP($S38:$AL38,增益!$A:$A,增益!$N:$N,0))</f>
        <v>0</v>
      </c>
      <c r="BK38">
        <f t="shared" si="19"/>
        <v>649.11</v>
      </c>
      <c r="BL38">
        <f t="shared" si="20"/>
        <v>1707.09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1" cm="1">
        <f t="array" ref="BN38">$G$14+VLOOKUP($R38,武学奇术!$A:$ZZ,16,FALSE)+SUM(_xlfn.XLOOKUP($S38:$AL38,增益!$A:$A,增益!$P:$P,0))</f>
        <v>0.15</v>
      </c>
      <c r="BO38" s="24">
        <f>MIN(IF(VLOOKUP($R38,武学奇术!$A:$ZZ,23,FALSE)=1,100%,$B$8),100%)</f>
        <v>0.9771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0.8861</v>
      </c>
      <c r="BQ38" s="24" cm="1">
        <f t="array" ref="BQ38">1+$B$13+VLOOKUP($R38,武学奇术!$A:$ZZ,18,FALSE)+SUM(_xlfn.XLOOKUP($S38:$AL38,增益!$A:$A,增益!$R:$R,0))</f>
        <v>1.54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1"/>
        <v>0.86580831</v>
      </c>
      <c r="BU38" s="24">
        <f t="shared" si="22"/>
        <v>0.02208246</v>
      </c>
      <c r="BV38" s="24">
        <f>IF(VLOOKUP($R38,武学奇术!$A:$ZZ,22,FALSE)=1,0,(1-$BO38))*(1-$BR38)</f>
        <v>0.02080923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0.2</v>
      </c>
    </row>
    <row r="39" spans="1:76">
      <c r="A39" t="s">
        <v>179</v>
      </c>
      <c r="B39" s="95">
        <v>0.1</v>
      </c>
      <c r="C39" s="38"/>
      <c r="D39" s="38"/>
      <c r="K39" s="37">
        <f>$L39*VLOOKUP($R39,武学奇术!$A:$ZZ,31,FALSE)</f>
        <v>775658.20277015</v>
      </c>
      <c r="L39" s="37">
        <f t="shared" si="12"/>
        <v>775658.20277015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795074.699322761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728170.417492843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484801.645928513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430217.797417882</v>
      </c>
      <c r="Q39" s="38">
        <v>1</v>
      </c>
      <c r="R39" s="39" t="s">
        <v>192</v>
      </c>
      <c r="S39" s="39" t="s">
        <v>106</v>
      </c>
      <c r="T39" s="39" t="s">
        <v>189</v>
      </c>
      <c r="U39" s="39" t="s">
        <v>89</v>
      </c>
      <c r="V39" s="39" t="s">
        <v>80</v>
      </c>
      <c r="W39" s="39" t="s">
        <v>80</v>
      </c>
      <c r="X39" s="39" t="s">
        <v>80</v>
      </c>
      <c r="Y39" s="39" t="s">
        <v>80</v>
      </c>
      <c r="Z39" s="39" t="s">
        <v>193</v>
      </c>
      <c r="AA39" s="39" t="s">
        <v>194</v>
      </c>
      <c r="AB39" s="39" t="s">
        <v>195</v>
      </c>
      <c r="AC39" s="39" t="s">
        <v>93</v>
      </c>
      <c r="AD39" s="39" t="s">
        <v>80</v>
      </c>
      <c r="AE39" s="39" t="s">
        <v>83</v>
      </c>
      <c r="AF39" s="39" t="s">
        <v>84</v>
      </c>
      <c r="AG39" s="39" t="s">
        <v>80</v>
      </c>
      <c r="AH39" s="39" t="s">
        <v>80</v>
      </c>
      <c r="AI39" s="39" t="s">
        <v>80</v>
      </c>
      <c r="AJ39" s="39" t="s">
        <v>80</v>
      </c>
      <c r="AK39" s="39" t="s">
        <v>80</v>
      </c>
      <c r="AL39" s="39" t="s">
        <v>80</v>
      </c>
      <c r="AM39" t="str">
        <f>VLOOKUP($R39,武学奇术!$A:$ZZ,25,FALSE)</f>
        <v>单体奇术</v>
      </c>
      <c r="AN39" s="24">
        <f>VLOOKUP($R39,武学奇术!$A:$ZZ,26,FALSE)</f>
        <v>25.201792</v>
      </c>
      <c r="AO39" s="25">
        <f>VLOOKUP($R39,武学奇术!$A:$ZZ,27,FALSE)*(1+IF(OR($AM39=$F$4,$AM39=$F$5),$B$22,0))</f>
        <v>4869.48</v>
      </c>
      <c r="AP39" s="24">
        <f>VLOOKUP($R39,武学奇术!$A:$ZZ,28,FALSE)</f>
        <v>37.802688</v>
      </c>
      <c r="AQ39" s="25">
        <f>VLOOKUP($R39,武学奇术!$A:$ZZ,29,FALSE)*(1+IF(OR($AM39=$F$4,$AM39=$F$5),$B$22,0))</f>
        <v>0</v>
      </c>
      <c r="AR39" s="24" cm="1">
        <f t="array" ref="AR39">$G$3+IFERROR(VLOOKUP($AM39,$F$4:$G$7,2,FALSE),0)+VLOOKUP($R39,武学奇术!$A:$ZZ,2,FALSE)+SUM(_xlfn.XLOOKUP($S39:$AL39,增益!$A:$A,增益!$B:$B,0))</f>
        <v>0.7042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4371.3</v>
      </c>
      <c r="AU39" cm="1">
        <f t="array" ref="AU39">$E$10*(1+$AS39)+VLOOKUP($R39,武学奇术!$A:$ZZ,4,FALSE)+SUM(_xlfn.XLOOKUP($S39:$AL39,增益!$A:$A,增益!$D:$D,0))-$I$2</f>
        <v>4371.3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0.3535</v>
      </c>
      <c r="AW39" s="31" cm="1">
        <f t="array" ref="AW39">$G$10+VLOOKUP($R39,武学奇术!$A:$ZZ,7,FALSE)+SUM(_xlfn.XLOOKUP($S39:$AL39,增益!$A:$A,增益!$G:$G,0))</f>
        <v>0.045</v>
      </c>
      <c r="AX39" s="24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31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31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31" cm="1">
        <f t="array" ref="BJ39">$G$13+VLOOKUP($R39,武学奇术!$A:$ZZ,14,FALSE)+SUM(_xlfn.XLOOKUP($S39:$AL39,增益!$A:$A,增益!$N:$N,0))</f>
        <v>0.02</v>
      </c>
      <c r="BK39">
        <f t="shared" si="19"/>
        <v>649.11</v>
      </c>
      <c r="BL39">
        <f t="shared" si="20"/>
        <v>1707.09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0.045</v>
      </c>
      <c r="BN39" s="31" cm="1">
        <f t="array" ref="BN39">$G$14+VLOOKUP($R39,武学奇术!$A:$ZZ,16,FALSE)+SUM(_xlfn.XLOOKUP($S39:$AL39,增益!$A:$A,增益!$P:$P,0))</f>
        <v>0.17</v>
      </c>
      <c r="BO39" s="24">
        <f>MIN(IF(VLOOKUP($R39,武学奇术!$A:$ZZ,23,FALSE)=1,100%,$B$8),100%)</f>
        <v>0.9771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0.8861</v>
      </c>
      <c r="BQ39" s="24" cm="1">
        <f t="array" ref="BQ39">1+$B$13+VLOOKUP($R39,武学奇术!$A:$ZZ,18,FALSE)+SUM(_xlfn.XLOOKUP($S39:$AL39,增益!$A:$A,增益!$R:$R,0))</f>
        <v>1.64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1"/>
        <v>0.86580831</v>
      </c>
      <c r="BU39" s="24">
        <f t="shared" si="22"/>
        <v>0.04289169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0.31</v>
      </c>
      <c r="BX39" s="24" cm="1">
        <f t="array" ref="BX39">SUM(_xlfn.XLOOKUP($S39:$AL39,增益!$A:$A,增益!$X:$X,0))</f>
        <v>0</v>
      </c>
    </row>
    <row r="40" spans="1:76">
      <c r="A40" t="s">
        <v>196</v>
      </c>
      <c r="B40">
        <v>3</v>
      </c>
      <c r="D40" s="38"/>
      <c r="K40" s="37">
        <f>$L40*VLOOKUP($R40,武学奇术!$A:$ZZ,31,FALSE)</f>
        <v>39504.4357887784</v>
      </c>
      <c r="L40" s="37">
        <f t="shared" si="12"/>
        <v>39504.4357887784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40575.1854038522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36872.2789244548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24740.966709666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22169.1342160321</v>
      </c>
      <c r="Q40" s="38">
        <v>1</v>
      </c>
      <c r="R40" s="39" t="s">
        <v>197</v>
      </c>
      <c r="S40" s="39" t="s">
        <v>106</v>
      </c>
      <c r="T40" s="39" t="s">
        <v>189</v>
      </c>
      <c r="U40" s="39" t="s">
        <v>89</v>
      </c>
      <c r="V40" s="39" t="s">
        <v>80</v>
      </c>
      <c r="W40" s="39" t="s">
        <v>80</v>
      </c>
      <c r="X40" s="39" t="s">
        <v>80</v>
      </c>
      <c r="Y40" s="39" t="s">
        <v>92</v>
      </c>
      <c r="Z40" s="39" t="s">
        <v>193</v>
      </c>
      <c r="AA40" s="39" t="s">
        <v>194</v>
      </c>
      <c r="AB40" s="39" t="s">
        <v>198</v>
      </c>
      <c r="AC40" s="39" t="s">
        <v>93</v>
      </c>
      <c r="AD40" s="39" t="s">
        <v>199</v>
      </c>
      <c r="AE40" s="39" t="s">
        <v>83</v>
      </c>
      <c r="AF40" s="39" t="s">
        <v>84</v>
      </c>
      <c r="AG40" s="39" t="s">
        <v>80</v>
      </c>
      <c r="AH40" s="39" t="s">
        <v>80</v>
      </c>
      <c r="AI40" s="39" t="s">
        <v>80</v>
      </c>
      <c r="AJ40" s="39" t="s">
        <v>80</v>
      </c>
      <c r="AK40" s="39" t="s">
        <v>80</v>
      </c>
      <c r="AL40" s="39" t="s">
        <v>80</v>
      </c>
      <c r="AM40" t="str">
        <f>VLOOKUP($R40,武学奇术!$A:$ZZ,25,FALSE)</f>
        <v>拳甲</v>
      </c>
      <c r="AN40" s="24">
        <f>VLOOKUP($R40,武学奇术!$A:$ZZ,26,FALSE)</f>
        <v>1.28702</v>
      </c>
      <c r="AO40" s="25">
        <f>VLOOKUP($R40,武学奇术!$A:$ZZ,27,FALSE)*(1+IF(OR($AM40=$F$4,$AM40=$F$5),$B$22,0))</f>
        <v>571.2</v>
      </c>
      <c r="AP40" s="24">
        <f>VLOOKUP($R40,武学奇术!$A:$ZZ,28,FALSE)</f>
        <v>1.9306</v>
      </c>
      <c r="AQ40" s="25">
        <f>VLOOKUP($R40,武学奇术!$A:$ZZ,29,FALSE)*(1+IF(OR($AM40=$F$4,$AM40=$F$5),$B$22,0))</f>
        <v>622.72</v>
      </c>
      <c r="AR40" s="24" cm="1">
        <f t="array" ref="AR40">$G$3+IFERROR(VLOOKUP($AM40,$F$4:$G$7,2,FALSE),0)+VLOOKUP($R40,武学奇术!$A:$ZZ,2,FALSE)+SUM(_xlfn.XLOOKUP($S40:$AL40,增益!$A:$A,增益!$B:$B,0))</f>
        <v>0.4043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4371.3</v>
      </c>
      <c r="AU40" cm="1">
        <f t="array" ref="AU40">$E$10*(1+$AS40)+VLOOKUP($R40,武学奇术!$A:$ZZ,4,FALSE)+SUM(_xlfn.XLOOKUP($S40:$AL40,增益!$A:$A,增益!$D:$D,0))-$I$2</f>
        <v>4371.3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0.3985</v>
      </c>
      <c r="AW40" s="31" cm="1">
        <f t="array" ref="AW40">$G$10+VLOOKUP($R40,武学奇术!$A:$ZZ,7,FALSE)+SUM(_xlfn.XLOOKUP($S40:$AL40,增益!$A:$A,增益!$G:$G,0))</f>
        <v>0.045</v>
      </c>
      <c r="AX40" s="24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0.02</v>
      </c>
      <c r="BB40" s="31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0.02</v>
      </c>
      <c r="BF40" s="31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0.02</v>
      </c>
      <c r="BJ40" s="31" cm="1">
        <f t="array" ref="BJ40">$G$13+VLOOKUP($R40,武学奇术!$A:$ZZ,14,FALSE)+SUM(_xlfn.XLOOKUP($S40:$AL40,增益!$A:$A,增益!$N:$N,0))</f>
        <v>0.02</v>
      </c>
      <c r="BK40">
        <f t="shared" si="19"/>
        <v>649.11</v>
      </c>
      <c r="BL40">
        <f t="shared" si="20"/>
        <v>1707.09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0.17</v>
      </c>
      <c r="BN40" s="31" cm="1">
        <f t="array" ref="BN40">$G$14+VLOOKUP($R40,武学奇术!$A:$ZZ,16,FALSE)+SUM(_xlfn.XLOOKUP($S40:$AL40,增益!$A:$A,增益!$P:$P,0))</f>
        <v>0.17</v>
      </c>
      <c r="BO40" s="24">
        <f>MIN(IF(VLOOKUP($R40,武学奇术!$A:$ZZ,23,FALSE)=1,100%,$B$8),100%)</f>
        <v>0.9771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0.8861</v>
      </c>
      <c r="BQ40" s="24" cm="1">
        <f t="array" ref="BQ40">1+$B$13+VLOOKUP($R40,武学奇术!$A:$ZZ,18,FALSE)+SUM(_xlfn.XLOOKUP($S40:$AL40,增益!$A:$A,增益!$R:$R,0))</f>
        <v>1.64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21"/>
        <v>0.86580831</v>
      </c>
      <c r="BU40" s="24">
        <f t="shared" si="22"/>
        <v>0.02208246</v>
      </c>
      <c r="BV40" s="24">
        <f>IF(VLOOKUP($R40,武学奇术!$A:$ZZ,22,FALSE)=1,0,(1-$BO40))*(1-$BR40)</f>
        <v>0.02080923</v>
      </c>
      <c r="BW40" s="24" cm="1">
        <f t="array" ref="BW40">SUM(_xlfn.XLOOKUP($S40:$AL40,增益!$A:$A,增益!$W:$W,0))+$I$5</f>
        <v>0.31</v>
      </c>
      <c r="BX40" s="24" cm="1">
        <f t="array" ref="BX40">SUM(_xlfn.XLOOKUP($S40:$AL40,增益!$A:$A,增益!$X:$X,0))</f>
        <v>0</v>
      </c>
    </row>
    <row r="41" spans="1:76">
      <c r="A41" t="s">
        <v>175</v>
      </c>
      <c r="B41">
        <v>0.8</v>
      </c>
      <c r="K41" s="37">
        <f>$L41*VLOOKUP($R41,武学奇术!$A:$ZZ,31,FALSE)</f>
        <v>71145.3164318441</v>
      </c>
      <c r="L41" s="37">
        <f t="shared" si="12"/>
        <v>71145.3164318441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74590.7440314973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54717.7960329277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36564.0902115183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32596.479657905</v>
      </c>
      <c r="Q41" s="38">
        <v>1</v>
      </c>
      <c r="R41" s="39" t="s">
        <v>135</v>
      </c>
      <c r="S41" s="39" t="s">
        <v>106</v>
      </c>
      <c r="T41" s="39" t="s">
        <v>189</v>
      </c>
      <c r="U41" s="39" t="s">
        <v>89</v>
      </c>
      <c r="V41" s="39" t="s">
        <v>129</v>
      </c>
      <c r="W41" s="39" t="s">
        <v>91</v>
      </c>
      <c r="X41" s="39" t="s">
        <v>80</v>
      </c>
      <c r="Y41" s="39" t="s">
        <v>92</v>
      </c>
      <c r="Z41" s="39" t="s">
        <v>193</v>
      </c>
      <c r="AA41" s="39" t="s">
        <v>194</v>
      </c>
      <c r="AB41" s="39" t="s">
        <v>198</v>
      </c>
      <c r="AC41" s="39" t="s">
        <v>93</v>
      </c>
      <c r="AD41" s="39" t="s">
        <v>199</v>
      </c>
      <c r="AE41" s="39" t="s">
        <v>83</v>
      </c>
      <c r="AF41" s="39" t="s">
        <v>84</v>
      </c>
      <c r="AG41" s="39" t="s">
        <v>80</v>
      </c>
      <c r="AH41" s="39" t="s">
        <v>80</v>
      </c>
      <c r="AI41" s="39" t="s">
        <v>80</v>
      </c>
      <c r="AJ41" s="39" t="s">
        <v>80</v>
      </c>
      <c r="AK41" s="39" t="s">
        <v>80</v>
      </c>
      <c r="AL41" s="39" t="s">
        <v>80</v>
      </c>
      <c r="AM41" t="str">
        <f>VLOOKUP($R41,武学奇术!$A:$ZZ,25,FALSE)</f>
        <v>拳甲</v>
      </c>
      <c r="AN41" s="24">
        <f>VLOOKUP($R41,武学奇术!$A:$ZZ,26,FALSE)</f>
        <v>1.34876</v>
      </c>
      <c r="AO41" s="25">
        <f>VLOOKUP($R41,武学奇术!$A:$ZZ,27,FALSE)*(1+IF(OR($AM41=$F$4,$AM41=$F$5),$B$22,0))</f>
        <v>598.08</v>
      </c>
      <c r="AP41" s="24">
        <f>VLOOKUP($R41,武学奇术!$A:$ZZ,28,FALSE)</f>
        <v>2.02314</v>
      </c>
      <c r="AQ41" s="25">
        <f>VLOOKUP($R41,武学奇术!$A:$ZZ,29,FALSE)*(1+IF(OR($AM41=$F$4,$AM41=$F$5),$B$22,0))</f>
        <v>324.8</v>
      </c>
      <c r="AR41" s="24" cm="1">
        <f t="array" ref="AR41">$G$3+IFERROR(VLOOKUP($AM41,$F$4:$G$7,2,FALSE),0)+VLOOKUP($R41,武学奇术!$A:$ZZ,2,FALSE)+SUM(_xlfn.XLOOKUP($S41:$AL41,增益!$A:$A,增益!$B:$B,0))</f>
        <v>0.4543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4371.3</v>
      </c>
      <c r="AU41" cm="1">
        <f t="array" ref="AU41">$E$10*(1+$AS41)+VLOOKUP($R41,武学奇术!$A:$ZZ,4,FALSE)+SUM(_xlfn.XLOOKUP($S41:$AL41,增益!$A:$A,增益!$D:$D,0))-$I$2</f>
        <v>4371.3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0.3985</v>
      </c>
      <c r="AW41" s="31" cm="1">
        <f t="array" ref="AW41">$G$10+VLOOKUP($R41,武学奇术!$A:$ZZ,7,FALSE)+SUM(_xlfn.XLOOKUP($S41:$AL41,增益!$A:$A,增益!$G:$G,0))</f>
        <v>0.135</v>
      </c>
      <c r="AX41" s="24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0.02</v>
      </c>
      <c r="BB41" s="31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0.02</v>
      </c>
      <c r="BF41" s="31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0.02</v>
      </c>
      <c r="BJ41" s="31" cm="1">
        <f t="array" ref="BJ41">$G$13+VLOOKUP($R41,武学奇术!$A:$ZZ,14,FALSE)+SUM(_xlfn.XLOOKUP($S41:$AL41,增益!$A:$A,增益!$N:$N,0))</f>
        <v>0.02</v>
      </c>
      <c r="BK41">
        <f t="shared" si="19"/>
        <v>649.11</v>
      </c>
      <c r="BL41">
        <f t="shared" si="20"/>
        <v>1707.09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0.17</v>
      </c>
      <c r="BN41" s="31" cm="1">
        <f t="array" ref="BN41">$G$14+VLOOKUP($R41,武学奇术!$A:$ZZ,16,FALSE)+SUM(_xlfn.XLOOKUP($S41:$AL41,增益!$A:$A,增益!$P:$P,0))</f>
        <v>0.26</v>
      </c>
      <c r="BO41" s="24">
        <f>MIN(IF(VLOOKUP($R41,武学奇术!$A:$ZZ,23,FALSE)=1,100%,$B$8),100%)</f>
        <v>0.9771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0.8861</v>
      </c>
      <c r="BQ41" s="24" cm="1">
        <f t="array" ref="BQ41">1+$B$13+VLOOKUP($R41,武学奇术!$A:$ZZ,18,FALSE)+SUM(_xlfn.XLOOKUP($S41:$AL41,增益!$A:$A,增益!$R:$R,0))</f>
        <v>2.04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1"/>
        <v>0.86580831</v>
      </c>
      <c r="BU41" s="24">
        <f t="shared" si="22"/>
        <v>0.04289169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0.31</v>
      </c>
      <c r="BX41" s="24" cm="1">
        <f t="array" ref="BX41">SUM(_xlfn.XLOOKUP($S41:$AL41,增益!$A:$A,增益!$X:$X,0))</f>
        <v>0</v>
      </c>
    </row>
    <row r="42" spans="1:76">
      <c r="A42" t="s">
        <v>177</v>
      </c>
      <c r="B42">
        <v>0.7</v>
      </c>
      <c r="K42" s="37">
        <f>$L42*VLOOKUP($R42,武学奇术!$A:$ZZ,31,FALSE)</f>
        <v>68404.845806626</v>
      </c>
      <c r="L42" s="37">
        <f t="shared" si="12"/>
        <v>68404.845806626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71717.713463141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52608.5907230588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35155.7418936965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31342.1573258681</v>
      </c>
      <c r="Q42" s="38">
        <v>1</v>
      </c>
      <c r="R42" s="39" t="s">
        <v>141</v>
      </c>
      <c r="S42" s="39" t="s">
        <v>106</v>
      </c>
      <c r="T42" s="39" t="s">
        <v>189</v>
      </c>
      <c r="U42" s="39" t="s">
        <v>89</v>
      </c>
      <c r="V42" s="39" t="s">
        <v>129</v>
      </c>
      <c r="W42" s="39" t="s">
        <v>91</v>
      </c>
      <c r="X42" s="39" t="s">
        <v>80</v>
      </c>
      <c r="Y42" s="39" t="s">
        <v>92</v>
      </c>
      <c r="Z42" s="39" t="s">
        <v>193</v>
      </c>
      <c r="AA42" s="39" t="s">
        <v>194</v>
      </c>
      <c r="AB42" s="39" t="s">
        <v>198</v>
      </c>
      <c r="AC42" s="39" t="s">
        <v>93</v>
      </c>
      <c r="AD42" s="39" t="s">
        <v>200</v>
      </c>
      <c r="AE42" s="39" t="s">
        <v>83</v>
      </c>
      <c r="AF42" s="39" t="s">
        <v>84</v>
      </c>
      <c r="AG42" s="39" t="s">
        <v>80</v>
      </c>
      <c r="AH42" s="39" t="s">
        <v>80</v>
      </c>
      <c r="AI42" s="39" t="s">
        <v>80</v>
      </c>
      <c r="AJ42" s="39" t="s">
        <v>80</v>
      </c>
      <c r="AK42" s="39" t="s">
        <v>80</v>
      </c>
      <c r="AL42" s="39" t="s">
        <v>80</v>
      </c>
      <c r="AM42" t="str">
        <f>VLOOKUP($R42,武学奇术!$A:$ZZ,25,FALSE)</f>
        <v>拳甲</v>
      </c>
      <c r="AN42" s="24">
        <f>VLOOKUP($R42,武学奇术!$A:$ZZ,26,FALSE)</f>
        <v>1.2964</v>
      </c>
      <c r="AO42" s="25">
        <f>VLOOKUP($R42,武学奇术!$A:$ZZ,27,FALSE)*(1+IF(OR($AM42=$F$4,$AM42=$F$5),$B$22,0))</f>
        <v>575.68</v>
      </c>
      <c r="AP42" s="24">
        <f>VLOOKUP($R42,武学奇术!$A:$ZZ,28,FALSE)</f>
        <v>1.9446</v>
      </c>
      <c r="AQ42" s="25">
        <f>VLOOKUP($R42,武学奇术!$A:$ZZ,29,FALSE)*(1+IF(OR($AM42=$F$4,$AM42=$F$5),$B$22,0))</f>
        <v>313.6</v>
      </c>
      <c r="AR42" s="24" cm="1">
        <f t="array" ref="AR42">$G$3+IFERROR(VLOOKUP($AM42,$F$4:$G$7,2,FALSE),0)+VLOOKUP($R42,武学奇术!$A:$ZZ,2,FALSE)+SUM(_xlfn.XLOOKUP($S42:$AL42,增益!$A:$A,增益!$B:$B,0))</f>
        <v>0.4543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4371.3</v>
      </c>
      <c r="AU42" cm="1">
        <f t="array" ref="AU42">$E$10*(1+$AS42)+VLOOKUP($R42,武学奇术!$A:$ZZ,4,FALSE)+SUM(_xlfn.XLOOKUP($S42:$AL42,增益!$A:$A,增益!$D:$D,0))-$I$2</f>
        <v>4371.3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0.3985</v>
      </c>
      <c r="AW42" s="31" cm="1">
        <f t="array" ref="AW42">$G$10+VLOOKUP($R42,武学奇术!$A:$ZZ,7,FALSE)+SUM(_xlfn.XLOOKUP($S42:$AL42,增益!$A:$A,增益!$G:$G,0))</f>
        <v>0.135</v>
      </c>
      <c r="AX42" s="24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0.02</v>
      </c>
      <c r="BB42" s="31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0.02</v>
      </c>
      <c r="BF42" s="31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0.02</v>
      </c>
      <c r="BJ42" s="31" cm="1">
        <f t="array" ref="BJ42">$G$13+VLOOKUP($R42,武学奇术!$A:$ZZ,14,FALSE)+SUM(_xlfn.XLOOKUP($S42:$AL42,增益!$A:$A,增益!$N:$N,0))</f>
        <v>0.02</v>
      </c>
      <c r="BK42">
        <f t="shared" si="19"/>
        <v>649.11</v>
      </c>
      <c r="BL42">
        <f t="shared" si="20"/>
        <v>1707.09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0.17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0.9771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0.8861</v>
      </c>
      <c r="BQ42" s="24" cm="1">
        <f t="array" ref="BQ42">1+$B$13+VLOOKUP($R42,武学奇术!$A:$ZZ,18,FALSE)+SUM(_xlfn.XLOOKUP($S42:$AL42,增益!$A:$A,增益!$R:$R,0))</f>
        <v>2.04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1"/>
        <v>0.86580831</v>
      </c>
      <c r="BU42" s="24">
        <f t="shared" si="22"/>
        <v>0.04289169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0.31</v>
      </c>
      <c r="BX42" s="24" cm="1">
        <f t="array" ref="BX42">SUM(_xlfn.XLOOKUP($S42:$AL42,增益!$A:$A,增益!$X:$X,0))</f>
        <v>0</v>
      </c>
    </row>
    <row r="43" spans="1:76">
      <c r="A43" t="s">
        <v>179</v>
      </c>
      <c r="B43">
        <v>0.1</v>
      </c>
      <c r="K43" s="37">
        <f>$L43*VLOOKUP($R43,武学奇术!$A:$ZZ,31,FALSE)</f>
        <v>83430.5598666726</v>
      </c>
      <c r="L43" s="37">
        <f t="shared" si="12"/>
        <v>83430.5598666726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87470.9151939893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64166.5830307456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42877.8996048967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38224.9969647967</v>
      </c>
      <c r="Q43" s="38">
        <v>1</v>
      </c>
      <c r="R43" s="39" t="s">
        <v>145</v>
      </c>
      <c r="S43" s="39" t="s">
        <v>106</v>
      </c>
      <c r="T43" s="39" t="s">
        <v>189</v>
      </c>
      <c r="U43" s="39" t="s">
        <v>89</v>
      </c>
      <c r="V43" s="39" t="s">
        <v>129</v>
      </c>
      <c r="W43" s="39" t="s">
        <v>91</v>
      </c>
      <c r="X43" s="39" t="s">
        <v>80</v>
      </c>
      <c r="Y43" s="39" t="s">
        <v>92</v>
      </c>
      <c r="Z43" s="39" t="s">
        <v>193</v>
      </c>
      <c r="AA43" s="39" t="s">
        <v>194</v>
      </c>
      <c r="AB43" s="39" t="s">
        <v>198</v>
      </c>
      <c r="AC43" s="39" t="s">
        <v>93</v>
      </c>
      <c r="AD43" s="39" t="s">
        <v>201</v>
      </c>
      <c r="AE43" s="39" t="s">
        <v>83</v>
      </c>
      <c r="AF43" s="39" t="s">
        <v>84</v>
      </c>
      <c r="AG43" s="39" t="s">
        <v>80</v>
      </c>
      <c r="AH43" s="39" t="s">
        <v>80</v>
      </c>
      <c r="AI43" s="39" t="s">
        <v>80</v>
      </c>
      <c r="AJ43" s="39" t="s">
        <v>80</v>
      </c>
      <c r="AK43" s="39" t="s">
        <v>80</v>
      </c>
      <c r="AL43" s="39" t="s">
        <v>80</v>
      </c>
      <c r="AM43" t="str">
        <f>VLOOKUP($R43,武学奇术!$A:$ZZ,25,FALSE)</f>
        <v>拳甲</v>
      </c>
      <c r="AN43" s="24">
        <f>VLOOKUP($R43,武学奇术!$A:$ZZ,26,FALSE)</f>
        <v>1.58172</v>
      </c>
      <c r="AO43" s="25">
        <f>VLOOKUP($R43,武学奇术!$A:$ZZ,27,FALSE)*(1+IF(OR($AM43=$F$4,$AM43=$F$5),$B$22,0))</f>
        <v>701.12</v>
      </c>
      <c r="AP43" s="24">
        <f>VLOOKUP($R43,武学奇术!$A:$ZZ,28,FALSE)</f>
        <v>2.37258</v>
      </c>
      <c r="AQ43" s="25">
        <f>VLOOKUP($R43,武学奇术!$A:$ZZ,29,FALSE)*(1+IF(OR($AM43=$F$4,$AM43=$F$5),$B$22,0))</f>
        <v>380.8</v>
      </c>
      <c r="AR43" s="24" cm="1">
        <f t="array" ref="AR43">$G$3+IFERROR(VLOOKUP($AM43,$F$4:$G$7,2,FALSE),0)+VLOOKUP($R43,武学奇术!$A:$ZZ,2,FALSE)+SUM(_xlfn.XLOOKUP($S43:$AL43,增益!$A:$A,增益!$B:$B,0))</f>
        <v>0.4543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4371.3</v>
      </c>
      <c r="AU43" cm="1">
        <f t="array" ref="AU43">$E$10*(1+$AS43)+VLOOKUP($R43,武学奇术!$A:$ZZ,4,FALSE)+SUM(_xlfn.XLOOKUP($S43:$AL43,增益!$A:$A,增益!$D:$D,0))-$I$2</f>
        <v>4371.3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0.3985</v>
      </c>
      <c r="AW43" s="31" cm="1">
        <f t="array" ref="AW43">$G$10+VLOOKUP($R43,武学奇术!$A:$ZZ,7,FALSE)+SUM(_xlfn.XLOOKUP($S43:$AL43,增益!$A:$A,增益!$G:$G,0))</f>
        <v>0.135</v>
      </c>
      <c r="AX43" s="24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0.02</v>
      </c>
      <c r="BB43" s="31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0.02</v>
      </c>
      <c r="BF43" s="31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0.02</v>
      </c>
      <c r="BJ43" s="31" cm="1">
        <f t="array" ref="BJ43">$G$13+VLOOKUP($R43,武学奇术!$A:$ZZ,14,FALSE)+SUM(_xlfn.XLOOKUP($S43:$AL43,增益!$A:$A,增益!$N:$N,0))</f>
        <v>0.02</v>
      </c>
      <c r="BK43">
        <f t="shared" si="19"/>
        <v>649.11</v>
      </c>
      <c r="BL43">
        <f t="shared" si="20"/>
        <v>1707.09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0.17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0.9771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0.8861</v>
      </c>
      <c r="BQ43" s="24" cm="1">
        <f t="array" ref="BQ43">1+$B$13+VLOOKUP($R43,武学奇术!$A:$ZZ,18,FALSE)+SUM(_xlfn.XLOOKUP($S43:$AL43,增益!$A:$A,增益!$R:$R,0))</f>
        <v>2.04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1"/>
        <v>0.86580831</v>
      </c>
      <c r="BU43" s="24">
        <f t="shared" si="22"/>
        <v>0.04289169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0.31</v>
      </c>
      <c r="BX43" s="24" cm="1">
        <f t="array" ref="BX43">SUM(_xlfn.XLOOKUP($S43:$AL43,增益!$A:$A,增益!$X:$X,0))</f>
        <v>0</v>
      </c>
    </row>
    <row r="44" spans="1:76">
      <c r="A44" t="s">
        <v>202</v>
      </c>
      <c r="B44">
        <v>0.9</v>
      </c>
      <c r="K44" s="37">
        <f>$L44*VLOOKUP($R44,武学奇术!$A:$ZZ,31,FALSE)</f>
        <v>188340.738099377</v>
      </c>
      <c r="L44" s="37">
        <f t="shared" si="12"/>
        <v>188340.738099377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197461.947643427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144850.368927821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96795.0723742289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86293.5751722943</v>
      </c>
      <c r="Q44" s="38">
        <v>1</v>
      </c>
      <c r="R44" s="39" t="s">
        <v>150</v>
      </c>
      <c r="S44" s="39" t="s">
        <v>106</v>
      </c>
      <c r="T44" s="39" t="s">
        <v>189</v>
      </c>
      <c r="U44" s="39" t="s">
        <v>89</v>
      </c>
      <c r="V44" s="39" t="s">
        <v>129</v>
      </c>
      <c r="W44" s="39" t="s">
        <v>91</v>
      </c>
      <c r="X44" s="39" t="s">
        <v>80</v>
      </c>
      <c r="Y44" s="39" t="s">
        <v>92</v>
      </c>
      <c r="Z44" s="39" t="s">
        <v>193</v>
      </c>
      <c r="AA44" s="39" t="s">
        <v>194</v>
      </c>
      <c r="AB44" s="39" t="s">
        <v>198</v>
      </c>
      <c r="AC44" s="39" t="s">
        <v>99</v>
      </c>
      <c r="AD44" s="39" t="s">
        <v>121</v>
      </c>
      <c r="AE44" s="39" t="s">
        <v>83</v>
      </c>
      <c r="AF44" s="39" t="s">
        <v>84</v>
      </c>
      <c r="AG44" s="39" t="s">
        <v>80</v>
      </c>
      <c r="AH44" s="39" t="s">
        <v>80</v>
      </c>
      <c r="AI44" s="39" t="s">
        <v>80</v>
      </c>
      <c r="AJ44" s="39" t="s">
        <v>80</v>
      </c>
      <c r="AK44" s="39" t="s">
        <v>80</v>
      </c>
      <c r="AL44" s="39" t="s">
        <v>80</v>
      </c>
      <c r="AM44" t="str">
        <f>VLOOKUP($R44,武学奇术!$A:$ZZ,25,FALSE)</f>
        <v>拳甲</v>
      </c>
      <c r="AN44" s="24">
        <f>VLOOKUP($R44,武学奇术!$A:$ZZ,26,FALSE)</f>
        <v>3.56986</v>
      </c>
      <c r="AO44" s="25">
        <f>VLOOKUP($R44,武学奇术!$A:$ZZ,27,FALSE)*(1+IF(OR($AM44=$F$4,$AM44=$F$5),$B$22,0))</f>
        <v>1583.68</v>
      </c>
      <c r="AP44" s="24">
        <f>VLOOKUP($R44,武学奇术!$A:$ZZ,28,FALSE)</f>
        <v>5.35486</v>
      </c>
      <c r="AQ44" s="25">
        <f>VLOOKUP($R44,武学奇术!$A:$ZZ,29,FALSE)*(1+IF(OR($AM44=$F$4,$AM44=$F$5),$B$22,0))</f>
        <v>862.4</v>
      </c>
      <c r="AR44" s="24" cm="1">
        <f t="array" ref="AR44">$G$3+IFERROR(VLOOKUP($AM44,$F$4:$G$7,2,FALSE),0)+VLOOKUP($R44,武学奇术!$A:$ZZ,2,FALSE)+SUM(_xlfn.XLOOKUP($S44:$AL44,增益!$A:$A,增益!$B:$B,0))</f>
        <v>0.4543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4371.3</v>
      </c>
      <c r="AU44" cm="1">
        <f t="array" ref="AU44">$E$10*(1+$AS44)+VLOOKUP($R44,武学奇术!$A:$ZZ,4,FALSE)+SUM(_xlfn.XLOOKUP($S44:$AL44,增益!$A:$A,增益!$D:$D,0))-$I$2</f>
        <v>4371.3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0.3985</v>
      </c>
      <c r="AW44" s="31" cm="1">
        <f t="array" ref="AW44">$G$10+VLOOKUP($R44,武学奇术!$A:$ZZ,7,FALSE)+SUM(_xlfn.XLOOKUP($S44:$AL44,增益!$A:$A,增益!$G:$G,0))</f>
        <v>0.135</v>
      </c>
      <c r="AX44" s="24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0.02</v>
      </c>
      <c r="BB44" s="31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0.02</v>
      </c>
      <c r="BF44" s="31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0.02</v>
      </c>
      <c r="BJ44" s="31" cm="1">
        <f t="array" ref="BJ44">$G$13+VLOOKUP($R44,武学奇术!$A:$ZZ,14,FALSE)+SUM(_xlfn.XLOOKUP($S44:$AL44,增益!$A:$A,增益!$N:$N,0))</f>
        <v>0.02</v>
      </c>
      <c r="BK44">
        <f t="shared" si="19"/>
        <v>649.11</v>
      </c>
      <c r="BL44">
        <f t="shared" si="20"/>
        <v>1707.09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0.17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0.9771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0.8861</v>
      </c>
      <c r="BQ44" s="24" cm="1">
        <f t="array" ref="BQ44">1+$B$13+VLOOKUP($R44,武学奇术!$A:$ZZ,18,FALSE)+SUM(_xlfn.XLOOKUP($S44:$AL44,增益!$A:$A,增益!$R:$R,0))</f>
        <v>2.04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1"/>
        <v>0.86580831</v>
      </c>
      <c r="BU44" s="24">
        <f t="shared" si="22"/>
        <v>0.04289169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0.31</v>
      </c>
      <c r="BX44" s="24" cm="1">
        <f t="array" ref="BX44">SUM(_xlfn.XLOOKUP($S44:$AL44,增益!$A:$A,增益!$X:$X,0))</f>
        <v>0</v>
      </c>
    </row>
    <row r="45" spans="1:76">
      <c r="A45" t="s">
        <v>181</v>
      </c>
      <c r="B45">
        <v>1.5</v>
      </c>
      <c r="K45" s="37">
        <f>$L45*VLOOKUP($R45,武学奇术!$A:$ZZ,31,FALSE)</f>
        <v>411321.46020452</v>
      </c>
      <c r="L45" s="37">
        <f t="shared" si="12"/>
        <v>411321.46020452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431241.320332055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316343.338714553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211392.80408434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188457.209120864</v>
      </c>
      <c r="Q45" s="38">
        <v>1</v>
      </c>
      <c r="R45" s="39" t="s">
        <v>132</v>
      </c>
      <c r="S45" s="39" t="s">
        <v>106</v>
      </c>
      <c r="T45" s="39" t="s">
        <v>189</v>
      </c>
      <c r="U45" s="39" t="s">
        <v>89</v>
      </c>
      <c r="V45" s="39" t="s">
        <v>129</v>
      </c>
      <c r="W45" s="39" t="s">
        <v>91</v>
      </c>
      <c r="X45" s="39" t="s">
        <v>80</v>
      </c>
      <c r="Y45" s="39" t="s">
        <v>92</v>
      </c>
      <c r="Z45" s="39" t="s">
        <v>193</v>
      </c>
      <c r="AA45" s="39" t="s">
        <v>194</v>
      </c>
      <c r="AB45" s="39" t="s">
        <v>198</v>
      </c>
      <c r="AC45" s="39" t="s">
        <v>99</v>
      </c>
      <c r="AD45" s="39" t="s">
        <v>121</v>
      </c>
      <c r="AE45" s="39" t="s">
        <v>83</v>
      </c>
      <c r="AF45" s="39" t="s">
        <v>84</v>
      </c>
      <c r="AG45" s="39" t="s">
        <v>80</v>
      </c>
      <c r="AH45" s="39" t="s">
        <v>80</v>
      </c>
      <c r="AI45" s="39" t="s">
        <v>80</v>
      </c>
      <c r="AJ45" s="39" t="s">
        <v>80</v>
      </c>
      <c r="AK45" s="39" t="s">
        <v>80</v>
      </c>
      <c r="AL45" s="39" t="s">
        <v>80</v>
      </c>
      <c r="AM45" t="str">
        <f>VLOOKUP($R45,武学奇术!$A:$ZZ,25,FALSE)</f>
        <v>拳甲</v>
      </c>
      <c r="AN45" s="24">
        <f>VLOOKUP($R45,武学奇术!$A:$ZZ,26,FALSE)</f>
        <v>7.79674</v>
      </c>
      <c r="AO45" s="25">
        <f>VLOOKUP($R45,武学奇术!$A:$ZZ,27,FALSE)*(1+IF(OR($AM45=$F$4,$AM45=$F$5),$B$22,0))</f>
        <v>3458.56</v>
      </c>
      <c r="AP45" s="24">
        <f>VLOOKUP($R45,武学奇术!$A:$ZZ,28,FALSE)</f>
        <v>11.69518</v>
      </c>
      <c r="AQ45" s="25">
        <f>VLOOKUP($R45,武学奇术!$A:$ZZ,29,FALSE)*(1+IF(OR($AM45=$F$4,$AM45=$F$5),$B$22,0))</f>
        <v>1881.6</v>
      </c>
      <c r="AR45" s="24" cm="1">
        <f t="array" ref="AR45">$G$3+IFERROR(VLOOKUP($AM45,$F$4:$G$7,2,FALSE),0)+VLOOKUP($R45,武学奇术!$A:$ZZ,2,FALSE)+SUM(_xlfn.XLOOKUP($S45:$AL45,增益!$A:$A,增益!$B:$B,0))</f>
        <v>0.4543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4371.3</v>
      </c>
      <c r="AU45" cm="1">
        <f t="array" ref="AU45">$E$10*(1+$AS45)+VLOOKUP($R45,武学奇术!$A:$ZZ,4,FALSE)+SUM(_xlfn.XLOOKUP($S45:$AL45,增益!$A:$A,增益!$D:$D,0))-$I$2</f>
        <v>4371.3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0.3985</v>
      </c>
      <c r="AW45" s="31" cm="1">
        <f t="array" ref="AW45">$G$10+VLOOKUP($R45,武学奇术!$A:$ZZ,7,FALSE)+SUM(_xlfn.XLOOKUP($S45:$AL45,增益!$A:$A,增益!$G:$G,0))</f>
        <v>0.135</v>
      </c>
      <c r="AX45" s="24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0.02</v>
      </c>
      <c r="BB45" s="31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0.02</v>
      </c>
      <c r="BF45" s="31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0.02</v>
      </c>
      <c r="BJ45" s="31" cm="1">
        <f t="array" ref="BJ45">$G$13+VLOOKUP($R45,武学奇术!$A:$ZZ,14,FALSE)+SUM(_xlfn.XLOOKUP($S45:$AL45,增益!$A:$A,增益!$N:$N,0))</f>
        <v>0.02</v>
      </c>
      <c r="BK45">
        <f t="shared" si="19"/>
        <v>649.11</v>
      </c>
      <c r="BL45">
        <f t="shared" si="20"/>
        <v>1707.09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0.17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0.9771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0.8861</v>
      </c>
      <c r="BQ45" s="24" cm="1">
        <f t="array" ref="BQ45">1+$B$13+VLOOKUP($R45,武学奇术!$A:$ZZ,18,FALSE)+SUM(_xlfn.XLOOKUP($S45:$AL45,增益!$A:$A,增益!$R:$R,0))</f>
        <v>2.04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1"/>
        <v>0.86580831</v>
      </c>
      <c r="BU45" s="24">
        <f t="shared" si="22"/>
        <v>0.04289169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0.31</v>
      </c>
      <c r="BX45" s="24" cm="1">
        <f t="array" ref="BX45">SUM(_xlfn.XLOOKUP($S45:$AL45,增益!$A:$A,增益!$X:$X,0))</f>
        <v>0</v>
      </c>
    </row>
    <row r="46" spans="1:76">
      <c r="A46" t="s">
        <v>182</v>
      </c>
      <c r="B46">
        <v>0.7</v>
      </c>
      <c r="K46" s="37">
        <f>$L46*VLOOKUP($R46,武学奇术!$A:$ZZ,31,FALSE)</f>
        <v>414432.647043145</v>
      </c>
      <c r="L46" s="37">
        <f t="shared" si="12"/>
        <v>414432.647043145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434500.244647354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318764.621285908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212990.316003605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189858.690313945</v>
      </c>
      <c r="Q46" s="38">
        <v>1</v>
      </c>
      <c r="R46" s="39" t="s">
        <v>132</v>
      </c>
      <c r="S46" s="39" t="s">
        <v>106</v>
      </c>
      <c r="T46" s="39" t="s">
        <v>189</v>
      </c>
      <c r="U46" s="39" t="s">
        <v>89</v>
      </c>
      <c r="V46" s="39" t="s">
        <v>129</v>
      </c>
      <c r="W46" s="39" t="s">
        <v>91</v>
      </c>
      <c r="X46" s="39" t="s">
        <v>80</v>
      </c>
      <c r="Y46" s="39" t="s">
        <v>92</v>
      </c>
      <c r="Z46" s="39" t="s">
        <v>193</v>
      </c>
      <c r="AA46" s="39" t="s">
        <v>194</v>
      </c>
      <c r="AB46" s="39" t="s">
        <v>203</v>
      </c>
      <c r="AC46" s="39" t="s">
        <v>99</v>
      </c>
      <c r="AD46" s="39" t="s">
        <v>121</v>
      </c>
      <c r="AE46" s="39" t="s">
        <v>83</v>
      </c>
      <c r="AF46" s="39" t="s">
        <v>84</v>
      </c>
      <c r="AG46" s="39" t="s">
        <v>80</v>
      </c>
      <c r="AH46" s="39" t="s">
        <v>80</v>
      </c>
      <c r="AI46" s="39" t="s">
        <v>80</v>
      </c>
      <c r="AJ46" s="39" t="s">
        <v>80</v>
      </c>
      <c r="AK46" s="39" t="s">
        <v>80</v>
      </c>
      <c r="AL46" s="39" t="s">
        <v>80</v>
      </c>
      <c r="AM46" t="str">
        <f>VLOOKUP($R46,武学奇术!$A:$ZZ,25,FALSE)</f>
        <v>拳甲</v>
      </c>
      <c r="AN46" s="24">
        <f>VLOOKUP($R46,武学奇术!$A:$ZZ,26,FALSE)</f>
        <v>7.79674</v>
      </c>
      <c r="AO46" s="25">
        <f>VLOOKUP($R46,武学奇术!$A:$ZZ,27,FALSE)*(1+IF(OR($AM46=$F$4,$AM46=$F$5),$B$22,0))</f>
        <v>3458.56</v>
      </c>
      <c r="AP46" s="24">
        <f>VLOOKUP($R46,武学奇术!$A:$ZZ,28,FALSE)</f>
        <v>11.69518</v>
      </c>
      <c r="AQ46" s="25">
        <f>VLOOKUP($R46,武学奇术!$A:$ZZ,29,FALSE)*(1+IF(OR($AM46=$F$4,$AM46=$F$5),$B$22,0))</f>
        <v>1881.6</v>
      </c>
      <c r="AR46" s="24" cm="1">
        <f t="array" ref="AR46">$G$3+IFERROR(VLOOKUP($AM46,$F$4:$G$7,2,FALSE),0)+VLOOKUP($R46,武学奇术!$A:$ZZ,2,FALSE)+SUM(_xlfn.XLOOKUP($S46:$AL46,增益!$A:$A,增益!$B:$B,0))</f>
        <v>0.4543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4371.3</v>
      </c>
      <c r="AU46" cm="1">
        <f t="array" ref="AU46">$E$10*(1+$AS46)+VLOOKUP($R46,武学奇术!$A:$ZZ,4,FALSE)+SUM(_xlfn.XLOOKUP($S46:$AL46,增益!$A:$A,增益!$D:$D,0))-$I$2</f>
        <v>4371.3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0.4085</v>
      </c>
      <c r="AW46" s="31" cm="1">
        <f t="array" ref="AW46">$G$10+VLOOKUP($R46,武学奇术!$A:$ZZ,7,FALSE)+SUM(_xlfn.XLOOKUP($S46:$AL46,增益!$A:$A,增益!$G:$G,0))</f>
        <v>0.135</v>
      </c>
      <c r="AX46" s="24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0.03</v>
      </c>
      <c r="BB46" s="31" cm="1">
        <f t="array" ref="BB46">$G$11+VLOOKUP($R46,武学奇术!$A:$ZZ,10,FALSE)+SUM(_xlfn.XLOOKUP($S46:$AL46,增益!$A:$A,增益!$J:$J,0))</f>
        <v>0.12</v>
      </c>
      <c r="BC46">
        <f t="shared" si="15"/>
        <v>0</v>
      </c>
      <c r="BD46">
        <f t="shared" si="16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0.03</v>
      </c>
      <c r="BF46" s="31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0.03</v>
      </c>
      <c r="BJ46" s="31" cm="1">
        <f t="array" ref="BJ46">$G$13+VLOOKUP($R46,武学奇术!$A:$ZZ,14,FALSE)+SUM(_xlfn.XLOOKUP($S46:$AL46,增益!$A:$A,增益!$N:$N,0))</f>
        <v>0.02</v>
      </c>
      <c r="BK46">
        <f t="shared" si="19"/>
        <v>649.11</v>
      </c>
      <c r="BL46">
        <f t="shared" si="20"/>
        <v>1707.09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0.18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0.9771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0.8861</v>
      </c>
      <c r="BQ46" s="24" cm="1">
        <f t="array" ref="BQ46">1+$B$13+VLOOKUP($R46,武学奇术!$A:$ZZ,18,FALSE)+SUM(_xlfn.XLOOKUP($S46:$AL46,增益!$A:$A,增益!$R:$R,0))</f>
        <v>2.04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1"/>
        <v>0.86580831</v>
      </c>
      <c r="BU46" s="24">
        <f t="shared" si="22"/>
        <v>0.04289169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0.31</v>
      </c>
      <c r="BX46" s="24" cm="1">
        <f t="array" ref="BX46">SUM(_xlfn.XLOOKUP($S46:$AL46,增益!$A:$A,增益!$X:$X,0))</f>
        <v>0</v>
      </c>
    </row>
    <row r="47" spans="1:76">
      <c r="A47" t="s">
        <v>204</v>
      </c>
      <c r="B47">
        <v>2.3</v>
      </c>
      <c r="D47" s="38" t="s">
        <v>178</v>
      </c>
      <c r="K47" s="37">
        <f>$L47*VLOOKUP($R47,武学奇术!$A:$ZZ,31,FALSE)</f>
        <v>227588.06096541</v>
      </c>
      <c r="L47" s="37">
        <f t="shared" si="12"/>
        <v>227588.06096541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238607.876321517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175055.503937833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116964.645255645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104258.546853637</v>
      </c>
      <c r="Q47" s="38">
        <v>1</v>
      </c>
      <c r="R47" s="39" t="s">
        <v>156</v>
      </c>
      <c r="S47" s="39" t="s">
        <v>106</v>
      </c>
      <c r="T47" s="39" t="s">
        <v>189</v>
      </c>
      <c r="U47" s="39" t="s">
        <v>89</v>
      </c>
      <c r="V47" s="39" t="s">
        <v>129</v>
      </c>
      <c r="W47" s="39" t="s">
        <v>91</v>
      </c>
      <c r="X47" s="39" t="s">
        <v>80</v>
      </c>
      <c r="Y47" s="39" t="s">
        <v>92</v>
      </c>
      <c r="Z47" s="39" t="s">
        <v>193</v>
      </c>
      <c r="AA47" s="39" t="s">
        <v>194</v>
      </c>
      <c r="AB47" s="39" t="s">
        <v>203</v>
      </c>
      <c r="AC47" s="39" t="s">
        <v>99</v>
      </c>
      <c r="AD47" s="39" t="s">
        <v>121</v>
      </c>
      <c r="AE47" s="39" t="s">
        <v>83</v>
      </c>
      <c r="AF47" s="39" t="s">
        <v>84</v>
      </c>
      <c r="AG47" s="39" t="s">
        <v>80</v>
      </c>
      <c r="AH47" s="39" t="s">
        <v>80</v>
      </c>
      <c r="AI47" s="39" t="s">
        <v>80</v>
      </c>
      <c r="AJ47" s="39" t="s">
        <v>80</v>
      </c>
      <c r="AK47" s="39" t="s">
        <v>80</v>
      </c>
      <c r="AL47" s="39" t="s">
        <v>80</v>
      </c>
      <c r="AM47" t="str">
        <f>VLOOKUP($R47,武学奇术!$A:$ZZ,25,FALSE)</f>
        <v>双刀</v>
      </c>
      <c r="AN47" s="24">
        <f>VLOOKUP($R47,武学奇术!$A:$ZZ,26,FALSE)</f>
        <v>4.28274</v>
      </c>
      <c r="AO47" s="25">
        <f>VLOOKUP($R47,武学奇术!$A:$ZZ,27,FALSE)*(1+IF(OR($AM47=$F$4,$AM47=$F$5),$B$22,0))</f>
        <v>1895.04</v>
      </c>
      <c r="AP47" s="24">
        <f>VLOOKUP($R47,武学奇术!$A:$ZZ,28,FALSE)</f>
        <v>6.42411</v>
      </c>
      <c r="AQ47" s="25">
        <f>VLOOKUP($R47,武学奇术!$A:$ZZ,29,FALSE)*(1+IF(OR($AM47=$F$4,$AM47=$F$5),$B$22,0))</f>
        <v>1031.52</v>
      </c>
      <c r="AR47" s="24" cm="1">
        <f t="array" ref="AR47">$G$3+IFERROR(VLOOKUP($AM47,$F$4:$G$7,2,FALSE),0)+VLOOKUP($R47,武学奇术!$A:$ZZ,2,FALSE)+SUM(_xlfn.XLOOKUP($S47:$AL47,增益!$A:$A,增益!$B:$B,0))</f>
        <v>0.4543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4371.3</v>
      </c>
      <c r="AU47" cm="1">
        <f t="array" ref="AU47">$E$10*(1+$AS47)+VLOOKUP($R47,武学奇术!$A:$ZZ,4,FALSE)+SUM(_xlfn.XLOOKUP($S47:$AL47,增益!$A:$A,增益!$D:$D,0))-$I$2</f>
        <v>4371.3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0.4085</v>
      </c>
      <c r="AW47" s="31" cm="1">
        <f t="array" ref="AW47">$G$10+VLOOKUP($R47,武学奇术!$A:$ZZ,7,FALSE)+SUM(_xlfn.XLOOKUP($S47:$AL47,增益!$A:$A,增益!$G:$G,0))</f>
        <v>0.135</v>
      </c>
      <c r="AX47" s="24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0.03</v>
      </c>
      <c r="BB47" s="31" cm="1">
        <f t="array" ref="BB47">$G$11+VLOOKUP($R47,武学奇术!$A:$ZZ,10,FALSE)+SUM(_xlfn.XLOOKUP($S47:$AL47,增益!$A:$A,增益!$J:$J,0))</f>
        <v>0.12</v>
      </c>
      <c r="BC47">
        <f t="shared" si="15"/>
        <v>0</v>
      </c>
      <c r="BD47">
        <f t="shared" si="16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0.03</v>
      </c>
      <c r="BF47" s="31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0.03</v>
      </c>
      <c r="BJ47" s="31" cm="1">
        <f t="array" ref="BJ47">$G$13+VLOOKUP($R47,武学奇术!$A:$ZZ,14,FALSE)+SUM(_xlfn.XLOOKUP($S47:$AL47,增益!$A:$A,增益!$N:$N,0))</f>
        <v>0.02</v>
      </c>
      <c r="BK47">
        <f t="shared" si="19"/>
        <v>649.11</v>
      </c>
      <c r="BL47">
        <f t="shared" si="20"/>
        <v>1707.09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0.18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0.9771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0.8861</v>
      </c>
      <c r="BQ47" s="24" cm="1">
        <f t="array" ref="BQ47">1+$B$13+VLOOKUP($R47,武学奇术!$A:$ZZ,18,FALSE)+SUM(_xlfn.XLOOKUP($S47:$AL47,增益!$A:$A,增益!$R:$R,0))</f>
        <v>2.04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1"/>
        <v>0.86580831</v>
      </c>
      <c r="BU47" s="24">
        <f t="shared" si="22"/>
        <v>0.04289169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0.31</v>
      </c>
      <c r="BX47" s="24" cm="1">
        <f t="array" ref="BX47">SUM(_xlfn.XLOOKUP($S47:$AL47,增益!$A:$A,增益!$X:$X,0))</f>
        <v>0</v>
      </c>
    </row>
    <row r="48" spans="1:76">
      <c r="A48" t="s">
        <v>187</v>
      </c>
      <c r="B48">
        <v>0.9</v>
      </c>
      <c r="D48" s="38"/>
      <c r="E48" s="38" t="s">
        <v>183</v>
      </c>
      <c r="K48" s="37">
        <f>$L48*VLOOKUP($R48,武学奇术!$A:$ZZ,31,FALSE)</f>
        <v>303394.840006865</v>
      </c>
      <c r="L48" s="37">
        <f t="shared" si="12"/>
        <v>303394.840006865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318085.030126793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233366.180618712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155924.034375879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138984.231256415</v>
      </c>
      <c r="Q48" s="38">
        <v>1</v>
      </c>
      <c r="R48" s="39" t="s">
        <v>162</v>
      </c>
      <c r="S48" s="39" t="s">
        <v>106</v>
      </c>
      <c r="T48" s="39" t="s">
        <v>189</v>
      </c>
      <c r="U48" s="39" t="s">
        <v>89</v>
      </c>
      <c r="V48" s="39" t="s">
        <v>129</v>
      </c>
      <c r="W48" s="39" t="s">
        <v>91</v>
      </c>
      <c r="X48" s="39" t="s">
        <v>80</v>
      </c>
      <c r="Y48" s="39" t="s">
        <v>92</v>
      </c>
      <c r="Z48" s="39" t="s">
        <v>193</v>
      </c>
      <c r="AA48" s="39" t="s">
        <v>194</v>
      </c>
      <c r="AB48" s="39" t="s">
        <v>203</v>
      </c>
      <c r="AC48" s="39" t="s">
        <v>99</v>
      </c>
      <c r="AD48" s="39" t="s">
        <v>121</v>
      </c>
      <c r="AE48" s="39" t="s">
        <v>83</v>
      </c>
      <c r="AF48" s="39" t="s">
        <v>84</v>
      </c>
      <c r="AG48" s="39" t="s">
        <v>80</v>
      </c>
      <c r="AH48" s="39" t="s">
        <v>80</v>
      </c>
      <c r="AI48" s="39" t="s">
        <v>80</v>
      </c>
      <c r="AJ48" s="39" t="s">
        <v>80</v>
      </c>
      <c r="AK48" s="39" t="s">
        <v>80</v>
      </c>
      <c r="AL48" s="39" t="s">
        <v>80</v>
      </c>
      <c r="AM48" t="str">
        <f>VLOOKUP($R48,武学奇术!$A:$ZZ,25,FALSE)</f>
        <v>双刀</v>
      </c>
      <c r="AN48" s="24">
        <f>VLOOKUP($R48,武学奇术!$A:$ZZ,26,FALSE)</f>
        <v>5.71032</v>
      </c>
      <c r="AO48" s="25">
        <f>VLOOKUP($R48,武学奇术!$A:$ZZ,27,FALSE)*(1+IF(OR($AM48=$F$4,$AM48=$F$5),$B$22,0))</f>
        <v>2526.72</v>
      </c>
      <c r="AP48" s="24">
        <f>VLOOKUP($R48,武学奇术!$A:$ZZ,28,FALSE)</f>
        <v>8.56464</v>
      </c>
      <c r="AQ48" s="25">
        <f>VLOOKUP($R48,武学奇术!$A:$ZZ,29,FALSE)*(1+IF(OR($AM48=$F$4,$AM48=$F$5),$B$22,0))</f>
        <v>1370.88</v>
      </c>
      <c r="AR48" s="24" cm="1">
        <f t="array" ref="AR48">$G$3+IFERROR(VLOOKUP($AM48,$F$4:$G$7,2,FALSE),0)+VLOOKUP($R48,武学奇术!$A:$ZZ,2,FALSE)+SUM(_xlfn.XLOOKUP($S48:$AL48,增益!$A:$A,增益!$B:$B,0))</f>
        <v>0.4543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4371.3</v>
      </c>
      <c r="AU48" cm="1">
        <f t="array" ref="AU48">$E$10*(1+$AS48)+VLOOKUP($R48,武学奇术!$A:$ZZ,4,FALSE)+SUM(_xlfn.XLOOKUP($S48:$AL48,增益!$A:$A,增益!$D:$D,0))-$I$2</f>
        <v>4371.3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0.4085</v>
      </c>
      <c r="AW48" s="31" cm="1">
        <f t="array" ref="AW48">$G$10+VLOOKUP($R48,武学奇术!$A:$ZZ,7,FALSE)+SUM(_xlfn.XLOOKUP($S48:$AL48,增益!$A:$A,增益!$G:$G,0))</f>
        <v>0.135</v>
      </c>
      <c r="AX48" s="24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0.03</v>
      </c>
      <c r="BB48" s="31" cm="1">
        <f t="array" ref="BB48">$G$11+VLOOKUP($R48,武学奇术!$A:$ZZ,10,FALSE)+SUM(_xlfn.XLOOKUP($S48:$AL48,增益!$A:$A,增益!$J:$J,0))</f>
        <v>0.12</v>
      </c>
      <c r="BC48">
        <f t="shared" si="15"/>
        <v>0</v>
      </c>
      <c r="BD48">
        <f t="shared" si="16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0.03</v>
      </c>
      <c r="BF48" s="31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0.03</v>
      </c>
      <c r="BJ48" s="31" cm="1">
        <f t="array" ref="BJ48">$G$13+VLOOKUP($R48,武学奇术!$A:$ZZ,14,FALSE)+SUM(_xlfn.XLOOKUP($S48:$AL48,增益!$A:$A,增益!$N:$N,0))</f>
        <v>0.02</v>
      </c>
      <c r="BK48">
        <f t="shared" si="19"/>
        <v>649.11</v>
      </c>
      <c r="BL48">
        <f t="shared" si="20"/>
        <v>1707.09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0.18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0.9771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0.8861</v>
      </c>
      <c r="BQ48" s="24" cm="1">
        <f t="array" ref="BQ48">1+$B$13+VLOOKUP($R48,武学奇术!$A:$ZZ,18,FALSE)+SUM(_xlfn.XLOOKUP($S48:$AL48,增益!$A:$A,增益!$R:$R,0))</f>
        <v>2.04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1"/>
        <v>0.86580831</v>
      </c>
      <c r="BU48" s="24">
        <f t="shared" si="22"/>
        <v>0.04289169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0.31</v>
      </c>
      <c r="BX48" s="24" cm="1">
        <f t="array" ref="BX48">SUM(_xlfn.XLOOKUP($S48:$AL48,增益!$A:$A,增益!$X:$X,0))</f>
        <v>0</v>
      </c>
    </row>
    <row r="49" spans="1:76">
      <c r="A49" t="s">
        <v>188</v>
      </c>
      <c r="B49">
        <v>0.6</v>
      </c>
      <c r="D49" s="38"/>
      <c r="E49" s="38"/>
      <c r="K49" s="37">
        <f>$L49*VLOOKUP($R49,武学奇术!$A:$ZZ,31,FALSE)</f>
        <v>227588.06096541</v>
      </c>
      <c r="L49" s="37">
        <f t="shared" si="12"/>
        <v>227588.06096541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238607.876321517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175055.503937833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116964.645255645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104258.546853637</v>
      </c>
      <c r="Q49" s="38">
        <v>1</v>
      </c>
      <c r="R49" s="39" t="s">
        <v>165</v>
      </c>
      <c r="S49" s="39" t="s">
        <v>106</v>
      </c>
      <c r="T49" s="39" t="s">
        <v>189</v>
      </c>
      <c r="U49" s="39" t="s">
        <v>89</v>
      </c>
      <c r="V49" s="39" t="s">
        <v>129</v>
      </c>
      <c r="W49" s="39" t="s">
        <v>91</v>
      </c>
      <c r="X49" s="39" t="s">
        <v>80</v>
      </c>
      <c r="Y49" s="39" t="s">
        <v>92</v>
      </c>
      <c r="Z49" s="39" t="s">
        <v>193</v>
      </c>
      <c r="AA49" s="39" t="s">
        <v>194</v>
      </c>
      <c r="AB49" s="39" t="s">
        <v>203</v>
      </c>
      <c r="AC49" s="39" t="s">
        <v>99</v>
      </c>
      <c r="AD49" s="39" t="s">
        <v>121</v>
      </c>
      <c r="AE49" s="39" t="s">
        <v>83</v>
      </c>
      <c r="AF49" s="39" t="s">
        <v>84</v>
      </c>
      <c r="AG49" s="39" t="s">
        <v>80</v>
      </c>
      <c r="AH49" s="39" t="s">
        <v>80</v>
      </c>
      <c r="AI49" s="39" t="s">
        <v>80</v>
      </c>
      <c r="AJ49" s="39" t="s">
        <v>80</v>
      </c>
      <c r="AK49" s="39" t="s">
        <v>80</v>
      </c>
      <c r="AL49" s="39" t="s">
        <v>80</v>
      </c>
      <c r="AM49" t="str">
        <f>VLOOKUP($R49,武学奇术!$A:$ZZ,25,FALSE)</f>
        <v>双刀</v>
      </c>
      <c r="AN49" s="24">
        <f>VLOOKUP($R49,武学奇术!$A:$ZZ,26,FALSE)</f>
        <v>4.28274</v>
      </c>
      <c r="AO49" s="25">
        <f>VLOOKUP($R49,武学奇术!$A:$ZZ,27,FALSE)*(1+IF(OR($AM49=$F$4,$AM49=$F$5),$B$22,0))</f>
        <v>1895.04</v>
      </c>
      <c r="AP49" s="24">
        <f>VLOOKUP($R49,武学奇术!$A:$ZZ,28,FALSE)</f>
        <v>6.42411</v>
      </c>
      <c r="AQ49" s="25">
        <f>VLOOKUP($R49,武学奇术!$A:$ZZ,29,FALSE)*(1+IF(OR($AM49=$F$4,$AM49=$F$5),$B$22,0))</f>
        <v>1031.52</v>
      </c>
      <c r="AR49" s="24" cm="1">
        <f t="array" ref="AR49">$G$3+IFERROR(VLOOKUP($AM49,$F$4:$G$7,2,FALSE),0)+VLOOKUP($R49,武学奇术!$A:$ZZ,2,FALSE)+SUM(_xlfn.XLOOKUP($S49:$AL49,增益!$A:$A,增益!$B:$B,0))</f>
        <v>0.4543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4371.3</v>
      </c>
      <c r="AU49" cm="1">
        <f t="array" ref="AU49">$E$10*(1+$AS49)+VLOOKUP($R49,武学奇术!$A:$ZZ,4,FALSE)+SUM(_xlfn.XLOOKUP($S49:$AL49,增益!$A:$A,增益!$D:$D,0))-$I$2</f>
        <v>4371.3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0.4085</v>
      </c>
      <c r="AW49" s="31" cm="1">
        <f t="array" ref="AW49">$G$10+VLOOKUP($R49,武学奇术!$A:$ZZ,7,FALSE)+SUM(_xlfn.XLOOKUP($S49:$AL49,增益!$A:$A,增益!$G:$G,0))</f>
        <v>0.135</v>
      </c>
      <c r="AX49" s="24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0.03</v>
      </c>
      <c r="BB49" s="31" cm="1">
        <f t="array" ref="BB49">$G$11+VLOOKUP($R49,武学奇术!$A:$ZZ,10,FALSE)+SUM(_xlfn.XLOOKUP($S49:$AL49,增益!$A:$A,增益!$J:$J,0))</f>
        <v>0.12</v>
      </c>
      <c r="BC49">
        <f t="shared" si="15"/>
        <v>0</v>
      </c>
      <c r="BD49">
        <f t="shared" si="16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0.03</v>
      </c>
      <c r="BF49" s="31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0.03</v>
      </c>
      <c r="BJ49" s="31" cm="1">
        <f t="array" ref="BJ49">$G$13+VLOOKUP($R49,武学奇术!$A:$ZZ,14,FALSE)+SUM(_xlfn.XLOOKUP($S49:$AL49,增益!$A:$A,增益!$N:$N,0))</f>
        <v>0.02</v>
      </c>
      <c r="BK49">
        <f t="shared" si="19"/>
        <v>649.11</v>
      </c>
      <c r="BL49">
        <f t="shared" si="20"/>
        <v>1707.09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0.18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0.9771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0.8861</v>
      </c>
      <c r="BQ49" s="24" cm="1">
        <f t="array" ref="BQ49">1+$B$13+VLOOKUP($R49,武学奇术!$A:$ZZ,18,FALSE)+SUM(_xlfn.XLOOKUP($S49:$AL49,增益!$A:$A,增益!$R:$R,0))</f>
        <v>2.04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1"/>
        <v>0.86580831</v>
      </c>
      <c r="BU49" s="24">
        <f t="shared" si="22"/>
        <v>0.04289169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0.31</v>
      </c>
      <c r="BX49" s="24" cm="1">
        <f t="array" ref="BX49">SUM(_xlfn.XLOOKUP($S49:$AL49,增益!$A:$A,增益!$X:$X,0))</f>
        <v>0</v>
      </c>
    </row>
    <row r="50" spans="1:76">
      <c r="A50" t="s">
        <v>182</v>
      </c>
      <c r="B50">
        <v>0.7</v>
      </c>
      <c r="D50" s="38"/>
      <c r="E50" s="38"/>
      <c r="K50" s="37">
        <f>$L50*VLOOKUP($R50,武学奇术!$A:$ZZ,31,FALSE)</f>
        <v>18789.085307205</v>
      </c>
      <c r="L50" s="37">
        <f t="shared" si="12"/>
        <v>18789.085307205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19416.5009308576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16699.9023474883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11158.9085809526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9947.51912672876</v>
      </c>
      <c r="Q50" s="38">
        <v>1</v>
      </c>
      <c r="R50" s="39" t="s">
        <v>110</v>
      </c>
      <c r="S50" s="39" t="s">
        <v>106</v>
      </c>
      <c r="T50" s="39" t="s">
        <v>189</v>
      </c>
      <c r="U50" s="39" t="s">
        <v>89</v>
      </c>
      <c r="V50" s="39" t="s">
        <v>129</v>
      </c>
      <c r="W50" s="39" t="s">
        <v>91</v>
      </c>
      <c r="X50" s="39" t="s">
        <v>80</v>
      </c>
      <c r="Y50" s="39" t="s">
        <v>92</v>
      </c>
      <c r="Z50" s="39" t="s">
        <v>80</v>
      </c>
      <c r="AA50" s="39" t="s">
        <v>80</v>
      </c>
      <c r="AB50" s="39" t="s">
        <v>203</v>
      </c>
      <c r="AC50" s="39" t="s">
        <v>93</v>
      </c>
      <c r="AD50" s="39" t="s">
        <v>121</v>
      </c>
      <c r="AE50" s="39" t="s">
        <v>83</v>
      </c>
      <c r="AF50" s="39" t="s">
        <v>84</v>
      </c>
      <c r="AG50" s="39" t="s">
        <v>80</v>
      </c>
      <c r="AH50" s="39" t="s">
        <v>80</v>
      </c>
      <c r="AI50" s="39" t="s">
        <v>80</v>
      </c>
      <c r="AJ50" s="39" t="s">
        <v>80</v>
      </c>
      <c r="AK50" s="39" t="s">
        <v>80</v>
      </c>
      <c r="AL50" s="39" t="s">
        <v>80</v>
      </c>
      <c r="AM50" t="str">
        <f>VLOOKUP($R50,武学奇术!$A:$ZZ,25,FALSE)</f>
        <v>双刀</v>
      </c>
      <c r="AN50" s="24">
        <f>VLOOKUP($R50,武学奇术!$A:$ZZ,26,FALSE)</f>
        <v>0.6587</v>
      </c>
      <c r="AO50" s="25">
        <f>VLOOKUP($R50,武学奇术!$A:$ZZ,27,FALSE)*(1+IF(OR($AM50=$F$4,$AM50=$F$5),$B$22,0))</f>
        <v>292.8</v>
      </c>
      <c r="AP50" s="24">
        <f>VLOOKUP($R50,武学奇术!$A:$ZZ,28,FALSE)</f>
        <v>0.9881</v>
      </c>
      <c r="AQ50" s="25">
        <f>VLOOKUP($R50,武学奇术!$A:$ZZ,29,FALSE)*(1+IF(OR($AM50=$F$4,$AM50=$F$5),$B$22,0))</f>
        <v>160</v>
      </c>
      <c r="AR50" s="24" cm="1">
        <f t="array" ref="AR50">$G$3+IFERROR(VLOOKUP($AM50,$F$4:$G$7,2,FALSE),0)+VLOOKUP($R50,武学奇术!$A:$ZZ,2,FALSE)+SUM(_xlfn.XLOOKUP($S50:$AL50,增益!$A:$A,增益!$B:$B,0))</f>
        <v>0.4043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4371.3</v>
      </c>
      <c r="AU50" cm="1">
        <f t="array" ref="AU50">$E$10*(1+$AS50)+VLOOKUP($R50,武学奇术!$A:$ZZ,4,FALSE)+SUM(_xlfn.XLOOKUP($S50:$AL50,增益!$A:$A,增益!$D:$D,0))-$I$2</f>
        <v>4371.3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0.4085</v>
      </c>
      <c r="AW50" s="31" cm="1">
        <f t="array" ref="AW50">$G$10+VLOOKUP($R50,武学奇术!$A:$ZZ,7,FALSE)+SUM(_xlfn.XLOOKUP($S50:$AL50,增益!$A:$A,增益!$G:$G,0))</f>
        <v>0.135</v>
      </c>
      <c r="AX50" s="24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0.03</v>
      </c>
      <c r="BB50" s="31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0.03</v>
      </c>
      <c r="BF50" s="31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0.03</v>
      </c>
      <c r="BJ50" s="31" cm="1">
        <f t="array" ref="BJ50">$G$13+VLOOKUP($R50,武学奇术!$A:$ZZ,14,FALSE)+SUM(_xlfn.XLOOKUP($S50:$AL50,增益!$A:$A,增益!$N:$N,0))</f>
        <v>0.02</v>
      </c>
      <c r="BK50">
        <f t="shared" si="19"/>
        <v>649.11</v>
      </c>
      <c r="BL50">
        <f t="shared" si="20"/>
        <v>1707.09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0.18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0.9771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0.8861</v>
      </c>
      <c r="BQ50" s="24" cm="1">
        <f t="array" ref="BQ50">1+$B$13+VLOOKUP($R50,武学奇术!$A:$ZZ,18,FALSE)+SUM(_xlfn.XLOOKUP($S50:$AL50,增益!$A:$A,增益!$R:$R,0))</f>
        <v>1.74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1"/>
        <v>0.86580831</v>
      </c>
      <c r="BU50" s="24">
        <f t="shared" si="22"/>
        <v>0.02208246</v>
      </c>
      <c r="BV50" s="24">
        <f>IF(VLOOKUP($R50,武学奇术!$A:$ZZ,22,FALSE)=1,0,(1-$BO50))*(1-$BR50)</f>
        <v>0.02080923</v>
      </c>
      <c r="BW50" s="24" cm="1">
        <f t="array" ref="BW50">SUM(_xlfn.XLOOKUP($S50:$AL50,增益!$A:$A,增益!$W:$W,0))+$I$5</f>
        <v>0.11</v>
      </c>
      <c r="BX50" s="24" cm="1">
        <f t="array" ref="BX50">SUM(_xlfn.XLOOKUP($S50:$AL50,增益!$A:$A,增益!$X:$X,0))</f>
        <v>0</v>
      </c>
    </row>
    <row r="51" spans="1:76">
      <c r="A51" t="s">
        <v>190</v>
      </c>
      <c r="B51">
        <v>2.5</v>
      </c>
      <c r="D51" s="38"/>
      <c r="E51" s="38"/>
      <c r="K51" s="37">
        <f>$L51*VLOOKUP($R51,武学奇术!$A:$ZZ,31,FALSE)</f>
        <v>239477.583526784</v>
      </c>
      <c r="L51" s="88">
        <f>SUM(L41:L49)*0.2*(1+BX51)</f>
        <v>478955.167053569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38">
        <v>1</v>
      </c>
      <c r="R51" s="39" t="s">
        <v>168</v>
      </c>
      <c r="S51" s="39" t="s">
        <v>169</v>
      </c>
      <c r="T51" s="39" t="s">
        <v>80</v>
      </c>
      <c r="U51" s="39" t="s">
        <v>80</v>
      </c>
      <c r="V51" s="39" t="s">
        <v>80</v>
      </c>
      <c r="W51" s="39" t="s">
        <v>80</v>
      </c>
      <c r="X51" s="39" t="s">
        <v>80</v>
      </c>
      <c r="Y51" s="39" t="s">
        <v>80</v>
      </c>
      <c r="Z51" s="39" t="s">
        <v>80</v>
      </c>
      <c r="AA51" s="39" t="s">
        <v>80</v>
      </c>
      <c r="AB51" s="39" t="s">
        <v>80</v>
      </c>
      <c r="AC51" s="39" t="s">
        <v>80</v>
      </c>
      <c r="AD51" s="39" t="s">
        <v>80</v>
      </c>
      <c r="AE51" s="39" t="s">
        <v>83</v>
      </c>
      <c r="AF51" s="39" t="s">
        <v>84</v>
      </c>
      <c r="AG51" s="39" t="s">
        <v>80</v>
      </c>
      <c r="AH51" s="39" t="s">
        <v>80</v>
      </c>
      <c r="AI51" s="39" t="s">
        <v>80</v>
      </c>
      <c r="AJ51" s="39" t="s">
        <v>80</v>
      </c>
      <c r="AK51" s="39" t="s">
        <v>80</v>
      </c>
      <c r="AL51" s="39" t="s">
        <v>80</v>
      </c>
      <c r="AM51" t="str">
        <f>VLOOKUP($R51,武学奇术!$A:$ZZ,25,FALSE)</f>
        <v>心法</v>
      </c>
      <c r="AN51" s="24">
        <f>VLOOKUP($R51,武学奇术!$A:$ZZ,26,FALSE)</f>
        <v>0</v>
      </c>
      <c r="AO51" s="25">
        <f>VLOOKUP($R51,武学奇术!$A:$ZZ,27,FALSE)*(1+IF(OR($AM51=$F$4,$AM51=$F$5),$B$22,0))</f>
        <v>0</v>
      </c>
      <c r="AP51" s="24">
        <f>VLOOKUP($R51,武学奇术!$A:$ZZ,28,FALSE)</f>
        <v>0</v>
      </c>
      <c r="AQ51" s="25">
        <f>VLOOKUP($R51,武学奇术!$A:$ZZ,29,FALSE)*(1+IF(OR($AM51=$F$4,$AM51=$F$5),$B$22,0))</f>
        <v>0</v>
      </c>
      <c r="AR51" s="24" cm="1">
        <f t="array" ref="AR51">$G$3+IFERROR(VLOOKUP($AM51,$F$4:$G$7,2,FALSE),0)+VLOOKUP($R51,武学奇术!$A:$ZZ,2,FALSE)+SUM(_xlfn.XLOOKUP($S51:$AL51,增益!$A:$A,增益!$B:$B,0))</f>
        <v>0.1842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4371.3</v>
      </c>
      <c r="AU51" cm="1">
        <f t="array" ref="AU51">$E$10*(1+$AS51)+VLOOKUP($R51,武学奇术!$A:$ZZ,4,FALSE)+SUM(_xlfn.XLOOKUP($S51:$AL51,增益!$A:$A,增益!$D:$D,0))-$I$2</f>
        <v>4371.3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0.2585</v>
      </c>
      <c r="AW51" s="31" cm="1">
        <f t="array" ref="AW51">$G$10+VLOOKUP($R51,武学奇术!$A:$ZZ,7,FALSE)+SUM(_xlfn.XLOOKUP($S51:$AL51,增益!$A:$A,增益!$G:$G,0))</f>
        <v>0.025</v>
      </c>
      <c r="AX51" s="24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</v>
      </c>
      <c r="BC51">
        <f t="shared" si="15"/>
        <v>0</v>
      </c>
      <c r="BD51">
        <f t="shared" si="16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</v>
      </c>
      <c r="BG51">
        <f t="shared" si="17"/>
        <v>0</v>
      </c>
      <c r="BH51">
        <f t="shared" si="18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</v>
      </c>
      <c r="BK51">
        <f t="shared" si="19"/>
        <v>649.11</v>
      </c>
      <c r="BL51">
        <f t="shared" si="20"/>
        <v>1707.09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0.15</v>
      </c>
      <c r="BO51" s="24">
        <f>MIN(IF(VLOOKUP($R51,武学奇术!$A:$ZZ,23,FALSE)=1,100%,$B$8),100%)</f>
        <v>0.9771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0.8861</v>
      </c>
      <c r="BQ51" s="24" cm="1">
        <f t="array" ref="BQ51">1+$B$13+VLOOKUP($R51,武学奇术!$A:$ZZ,18,FALSE)+SUM(_xlfn.XLOOKUP($S51:$AL51,增益!$A:$A,增益!$R:$R,0))</f>
        <v>1.54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1"/>
        <v>0.86580831</v>
      </c>
      <c r="BU51" s="24">
        <f t="shared" si="22"/>
        <v>0.02208246</v>
      </c>
      <c r="BV51" s="24">
        <f>IF(VLOOKUP($R51,武学奇术!$A:$ZZ,22,FALSE)=1,0,(1-$BO51))*(1-$BR51)</f>
        <v>0.02080923</v>
      </c>
      <c r="BW51" s="24" cm="1">
        <f t="array" ref="BW51">SUM(_xlfn.XLOOKUP($S51:$AL51,增益!$A:$A,增益!$W:$W,0))+$I$5</f>
        <v>0.11</v>
      </c>
      <c r="BX51" s="24" cm="1">
        <f t="array" ref="BX51">SUM(_xlfn.XLOOKUP($S51:$AL51,增益!$A:$A,增益!$X:$X,0))</f>
        <v>0.2</v>
      </c>
    </row>
    <row r="52" spans="1:76">
      <c r="A52" t="s">
        <v>190</v>
      </c>
      <c r="B52">
        <v>2.25</v>
      </c>
      <c r="D52" s="38"/>
      <c r="E52" s="38"/>
      <c r="H52" s="4"/>
      <c r="K52" s="37">
        <f>$L52*VLOOKUP($R52,武学奇术!$A:$ZZ,31,FALSE)</f>
        <v>0</v>
      </c>
      <c r="L52" s="37">
        <f t="shared" si="12"/>
        <v>0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8">
        <v>1</v>
      </c>
      <c r="R52" s="39" t="s">
        <v>80</v>
      </c>
      <c r="S52" s="39" t="s">
        <v>80</v>
      </c>
      <c r="T52" s="39" t="s">
        <v>80</v>
      </c>
      <c r="U52" s="39" t="s">
        <v>80</v>
      </c>
      <c r="V52" s="39" t="s">
        <v>80</v>
      </c>
      <c r="W52" s="39" t="s">
        <v>80</v>
      </c>
      <c r="X52" s="39" t="s">
        <v>80</v>
      </c>
      <c r="Y52" s="39" t="s">
        <v>80</v>
      </c>
      <c r="Z52" s="39" t="s">
        <v>80</v>
      </c>
      <c r="AA52" s="39" t="s">
        <v>80</v>
      </c>
      <c r="AB52" s="39" t="s">
        <v>80</v>
      </c>
      <c r="AC52" s="39" t="s">
        <v>80</v>
      </c>
      <c r="AD52" s="39" t="s">
        <v>80</v>
      </c>
      <c r="AE52" s="39" t="s">
        <v>83</v>
      </c>
      <c r="AF52" s="39" t="s">
        <v>84</v>
      </c>
      <c r="AG52" s="39" t="s">
        <v>80</v>
      </c>
      <c r="AH52" s="39" t="s">
        <v>80</v>
      </c>
      <c r="AI52" s="39" t="s">
        <v>80</v>
      </c>
      <c r="AJ52" s="39" t="s">
        <v>80</v>
      </c>
      <c r="AK52" s="39" t="s">
        <v>80</v>
      </c>
      <c r="AL52" s="39" t="s">
        <v>80</v>
      </c>
      <c r="AM52" t="str">
        <f>VLOOKUP($R52,武学奇术!$A:$ZZ,25,FALSE)</f>
        <v>心法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0.1842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4371.3</v>
      </c>
      <c r="AU52" cm="1">
        <f t="array" ref="AU52">$E$10*(1+$AS52)+VLOOKUP($R52,武学奇术!$A:$ZZ,4,FALSE)+SUM(_xlfn.XLOOKUP($S52:$AL52,增益!$A:$A,增益!$D:$D,0))-$I$2</f>
        <v>4371.3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0.2585</v>
      </c>
      <c r="AW52" s="31" cm="1">
        <f t="array" ref="AW52">$G$10+VLOOKUP($R52,武学奇术!$A:$ZZ,7,FALSE)+SUM(_xlfn.XLOOKUP($S52:$AL52,增益!$A:$A,增益!$G:$G,0))</f>
        <v>0.025</v>
      </c>
      <c r="AX52" s="24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</v>
      </c>
      <c r="BC52">
        <f t="shared" si="15"/>
        <v>0</v>
      </c>
      <c r="BD52">
        <f t="shared" si="16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</v>
      </c>
      <c r="BG52">
        <f t="shared" si="17"/>
        <v>0</v>
      </c>
      <c r="BH52">
        <f t="shared" si="18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</v>
      </c>
      <c r="BK52">
        <f t="shared" si="19"/>
        <v>649.11</v>
      </c>
      <c r="BL52">
        <f t="shared" si="20"/>
        <v>1707.09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0.15</v>
      </c>
      <c r="BO52" s="24">
        <f>MIN(IF(VLOOKUP($R52,武学奇术!$A:$ZZ,23,FALSE)=1,100%,$B$8),100%)</f>
        <v>0.9771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0.8861</v>
      </c>
      <c r="BQ52" s="24" cm="1">
        <f t="array" ref="BQ52">1+$B$13+VLOOKUP($R52,武学奇术!$A:$ZZ,18,FALSE)+SUM(_xlfn.XLOOKUP($S52:$AL52,增益!$A:$A,增益!$R:$R,0))</f>
        <v>1.54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1"/>
        <v>0.86580831</v>
      </c>
      <c r="BU52" s="24">
        <f t="shared" si="22"/>
        <v>0.02208246</v>
      </c>
      <c r="BV52" s="24">
        <f>IF(VLOOKUP($R52,武学奇术!$A:$ZZ,22,FALSE)=1,0,(1-$BO52))*(1-$BR52)</f>
        <v>0.02080923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</v>
      </c>
    </row>
    <row r="53" spans="1:76">
      <c r="A53" t="s">
        <v>190</v>
      </c>
      <c r="B53">
        <v>2</v>
      </c>
      <c r="D53" s="38"/>
      <c r="E53" s="38"/>
      <c r="K53" s="37">
        <f>$L53*VLOOKUP($R53,武学奇术!$A:$ZZ,31,FALSE)</f>
        <v>17938.1356421193</v>
      </c>
      <c r="L53" s="37">
        <f t="shared" si="12"/>
        <v>17938.1356421193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18485.7157988959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16291.1988824762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10938.2933721277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9809.0320164953</v>
      </c>
      <c r="Q53" s="38">
        <v>1</v>
      </c>
      <c r="R53" s="39" t="s">
        <v>110</v>
      </c>
      <c r="S53" s="39" t="s">
        <v>106</v>
      </c>
      <c r="T53" s="39" t="s">
        <v>189</v>
      </c>
      <c r="U53" s="39" t="s">
        <v>89</v>
      </c>
      <c r="V53" s="39" t="s">
        <v>90</v>
      </c>
      <c r="W53" s="39" t="s">
        <v>91</v>
      </c>
      <c r="X53" s="39" t="s">
        <v>80</v>
      </c>
      <c r="Y53" s="39" t="s">
        <v>80</v>
      </c>
      <c r="Z53" s="39" t="s">
        <v>80</v>
      </c>
      <c r="AA53" s="39" t="s">
        <v>80</v>
      </c>
      <c r="AB53" s="39" t="s">
        <v>203</v>
      </c>
      <c r="AC53" s="39" t="s">
        <v>93</v>
      </c>
      <c r="AD53" s="39" t="s">
        <v>80</v>
      </c>
      <c r="AE53" s="39" t="s">
        <v>83</v>
      </c>
      <c r="AF53" s="39" t="s">
        <v>84</v>
      </c>
      <c r="AG53" s="39" t="s">
        <v>80</v>
      </c>
      <c r="AH53" s="39" t="s">
        <v>80</v>
      </c>
      <c r="AI53" s="39" t="s">
        <v>80</v>
      </c>
      <c r="AJ53" s="39" t="s">
        <v>80</v>
      </c>
      <c r="AK53" s="39" t="s">
        <v>80</v>
      </c>
      <c r="AL53" s="39" t="s">
        <v>80</v>
      </c>
      <c r="AM53" t="str">
        <f>VLOOKUP($R53,武学奇术!$A:$ZZ,25,FALSE)</f>
        <v>双刀</v>
      </c>
      <c r="AN53" s="24">
        <f>VLOOKUP($R53,武学奇术!$A:$ZZ,26,FALSE)</f>
        <v>0.6587</v>
      </c>
      <c r="AO53" s="25">
        <f>VLOOKUP($R53,武学奇术!$A:$ZZ,27,FALSE)*(1+IF(OR($AM53=$F$4,$AM53=$F$5),$B$22,0))</f>
        <v>292.8</v>
      </c>
      <c r="AP53" s="24">
        <f>VLOOKUP($R53,武学奇术!$A:$ZZ,28,FALSE)</f>
        <v>0.9881</v>
      </c>
      <c r="AQ53" s="25">
        <f>VLOOKUP($R53,武学奇术!$A:$ZZ,29,FALSE)*(1+IF(OR($AM53=$F$4,$AM53=$F$5),$B$22,0))</f>
        <v>160</v>
      </c>
      <c r="AR53" s="24" cm="1">
        <f t="array" ref="AR53">$G$3+IFERROR(VLOOKUP($AM53,$F$4:$G$7,2,FALSE),0)+VLOOKUP($R53,武学奇术!$A:$ZZ,2,FALSE)+SUM(_xlfn.XLOOKUP($S53:$AL53,增益!$A:$A,增益!$B:$B,0))</f>
        <v>0.4043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4371.3</v>
      </c>
      <c r="AU53" cm="1">
        <f t="array" ref="AU53">$E$10*(1+$AS53)+VLOOKUP($R53,武学奇术!$A:$ZZ,4,FALSE)+SUM(_xlfn.XLOOKUP($S53:$AL53,增益!$A:$A,增益!$D:$D,0))-$I$2</f>
        <v>4371.3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0.4085</v>
      </c>
      <c r="AW53" s="31" cm="1">
        <f t="array" ref="AW53">$G$10+VLOOKUP($R53,武学奇术!$A:$ZZ,7,FALSE)+SUM(_xlfn.XLOOKUP($S53:$AL53,增益!$A:$A,增益!$G:$G,0))</f>
        <v>0.135</v>
      </c>
      <c r="AX53" s="24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31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31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31" cm="1">
        <f t="array" ref="BJ53">$G$13+VLOOKUP($R53,武学奇术!$A:$ZZ,14,FALSE)+SUM(_xlfn.XLOOKUP($S53:$AL53,增益!$A:$A,增益!$N:$N,0))</f>
        <v>0.02</v>
      </c>
      <c r="BK53">
        <f t="shared" si="19"/>
        <v>649.11</v>
      </c>
      <c r="BL53">
        <f t="shared" si="20"/>
        <v>1707.09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31" cm="1">
        <f t="array" ref="BN53">$G$14+VLOOKUP($R53,武学奇术!$A:$ZZ,16,FALSE)+SUM(_xlfn.XLOOKUP($S53:$AL53,增益!$A:$A,增益!$P:$P,0))</f>
        <v>0.26</v>
      </c>
      <c r="BO53" s="24">
        <f>MIN(IF(VLOOKUP($R53,武学奇术!$A:$ZZ,23,FALSE)=1,100%,$B$8),100%)</f>
        <v>0.9771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0.8861</v>
      </c>
      <c r="BQ53" s="24" cm="1">
        <f t="array" ref="BQ53">1+$B$13+VLOOKUP($R53,武学奇术!$A:$ZZ,18,FALSE)+SUM(_xlfn.XLOOKUP($S53:$AL53,增益!$A:$A,增益!$R:$R,0))</f>
        <v>1.69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1"/>
        <v>0.86580831</v>
      </c>
      <c r="BU53" s="24">
        <f t="shared" si="22"/>
        <v>0.02208246</v>
      </c>
      <c r="BV53" s="24">
        <f>IF(VLOOKUP($R53,武学奇术!$A:$ZZ,22,FALSE)=1,0,(1-$BO53))*(1-$BR53)</f>
        <v>0.02080923</v>
      </c>
      <c r="BW53" s="24" cm="1">
        <f t="array" ref="BW53">SUM(_xlfn.XLOOKUP($S53:$AL53,增益!$A:$A,增益!$W:$W,0))+$I$5</f>
        <v>0.11</v>
      </c>
      <c r="BX53" s="24" cm="1">
        <f t="array" ref="BX53">SUM(_xlfn.XLOOKUP($S53:$AL53,增益!$A:$A,增益!$X:$X,0))</f>
        <v>0</v>
      </c>
    </row>
    <row r="54" spans="1:76">
      <c r="A54" t="s">
        <v>179</v>
      </c>
      <c r="B54" s="95">
        <v>0.1</v>
      </c>
      <c r="D54" s="38"/>
      <c r="E54" s="38"/>
      <c r="K54" s="37">
        <f>$L54*VLOOKUP($R54,武学奇术!$A:$ZZ,31,FALSE)</f>
        <v>35210.6377812902</v>
      </c>
      <c r="L54" s="37">
        <f t="shared" si="12"/>
        <v>35210.6377812902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36273.3794966468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32121.9342942786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21463.5381636963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19133.0509242233</v>
      </c>
      <c r="Q54" s="38">
        <v>1</v>
      </c>
      <c r="R54" s="39" t="s">
        <v>115</v>
      </c>
      <c r="S54" s="39" t="s">
        <v>106</v>
      </c>
      <c r="T54" s="39" t="s">
        <v>189</v>
      </c>
      <c r="U54" s="39" t="s">
        <v>89</v>
      </c>
      <c r="V54" s="39" t="s">
        <v>90</v>
      </c>
      <c r="W54" s="39" t="s">
        <v>91</v>
      </c>
      <c r="X54" s="39" t="s">
        <v>80</v>
      </c>
      <c r="Y54" s="39" t="s">
        <v>92</v>
      </c>
      <c r="Z54" s="39" t="s">
        <v>80</v>
      </c>
      <c r="AA54" s="39" t="s">
        <v>80</v>
      </c>
      <c r="AB54" s="39" t="s">
        <v>203</v>
      </c>
      <c r="AC54" s="39" t="s">
        <v>93</v>
      </c>
      <c r="AD54" s="39" t="s">
        <v>80</v>
      </c>
      <c r="AE54" s="39" t="s">
        <v>83</v>
      </c>
      <c r="AF54" s="39" t="s">
        <v>84</v>
      </c>
      <c r="AG54" s="39" t="s">
        <v>80</v>
      </c>
      <c r="AH54" s="39" t="s">
        <v>80</v>
      </c>
      <c r="AI54" s="39" t="s">
        <v>80</v>
      </c>
      <c r="AJ54" s="39" t="s">
        <v>80</v>
      </c>
      <c r="AK54" s="39" t="s">
        <v>80</v>
      </c>
      <c r="AL54" s="39" t="s">
        <v>80</v>
      </c>
      <c r="AM54" t="str">
        <f>VLOOKUP($R54,武学奇术!$A:$ZZ,25,FALSE)</f>
        <v>双刀</v>
      </c>
      <c r="AN54" s="24">
        <f>VLOOKUP($R54,武学奇术!$A:$ZZ,26,FALSE)</f>
        <v>1.2672</v>
      </c>
      <c r="AO54" s="25">
        <f>VLOOKUP($R54,武学奇术!$A:$ZZ,27,FALSE)*(1+IF(OR($AM54=$F$4,$AM54=$F$5),$B$22,0))</f>
        <v>562.56</v>
      </c>
      <c r="AP54" s="24">
        <f>VLOOKUP($R54,武学奇术!$A:$ZZ,28,FALSE)</f>
        <v>1.90092</v>
      </c>
      <c r="AQ54" s="25">
        <f>VLOOKUP($R54,武学奇术!$A:$ZZ,29,FALSE)*(1+IF(OR($AM54=$F$4,$AM54=$F$5),$B$22,0))</f>
        <v>307.2</v>
      </c>
      <c r="AR54" s="24" cm="1">
        <f t="array" ref="AR54">$G$3+IFERROR(VLOOKUP($AM54,$F$4:$G$7,2,FALSE),0)+VLOOKUP($R54,武学奇术!$A:$ZZ,2,FALSE)+SUM(_xlfn.XLOOKUP($S54:$AL54,增益!$A:$A,增益!$B:$B,0))</f>
        <v>0.4043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4371.3</v>
      </c>
      <c r="AU54" cm="1">
        <f t="array" ref="AU54">$E$10*(1+$AS54)+VLOOKUP($R54,武学奇术!$A:$ZZ,4,FALSE)+SUM(_xlfn.XLOOKUP($S54:$AL54,增益!$A:$A,增益!$D:$D,0))-$I$2</f>
        <v>4371.3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0.4085</v>
      </c>
      <c r="AW54" s="31" cm="1">
        <f t="array" ref="AW54">$G$10+VLOOKUP($R54,武学奇术!$A:$ZZ,7,FALSE)+SUM(_xlfn.XLOOKUP($S54:$AL54,增益!$A:$A,增益!$G:$G,0))</f>
        <v>0.135</v>
      </c>
      <c r="AX54" s="24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0.03</v>
      </c>
      <c r="BB54" s="31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0.03</v>
      </c>
      <c r="BF54" s="31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0.03</v>
      </c>
      <c r="BJ54" s="31" cm="1">
        <f t="array" ref="BJ54">$G$13+VLOOKUP($R54,武学奇术!$A:$ZZ,14,FALSE)+SUM(_xlfn.XLOOKUP($S54:$AL54,增益!$A:$A,增益!$N:$N,0))</f>
        <v>0.02</v>
      </c>
      <c r="BK54">
        <f t="shared" si="19"/>
        <v>649.11</v>
      </c>
      <c r="BL54">
        <f t="shared" si="20"/>
        <v>1707.09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0.18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0.9771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0.8861</v>
      </c>
      <c r="BQ54" s="24" cm="1">
        <f t="array" ref="BQ54">1+$B$13+VLOOKUP($R54,武学奇术!$A:$ZZ,18,FALSE)+SUM(_xlfn.XLOOKUP($S54:$AL54,增益!$A:$A,增益!$R:$R,0))</f>
        <v>1.69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1"/>
        <v>0.86580831</v>
      </c>
      <c r="BU54" s="24">
        <f t="shared" si="22"/>
        <v>0.02208246</v>
      </c>
      <c r="BV54" s="24">
        <f>IF(VLOOKUP($R54,武学奇术!$A:$ZZ,22,FALSE)=1,0,(1-$BO54))*(1-$BR54)</f>
        <v>0.02080923</v>
      </c>
      <c r="BW54" s="24" cm="1">
        <f t="array" ref="BW54">SUM(_xlfn.XLOOKUP($S54:$AL54,增益!$A:$A,增益!$W:$W,0))+$I$5</f>
        <v>0.11</v>
      </c>
      <c r="BX54" s="24" cm="1">
        <f t="array" ref="BX54">SUM(_xlfn.XLOOKUP($S54:$AL54,增益!$A:$A,增益!$X:$X,0))</f>
        <v>0</v>
      </c>
    </row>
    <row r="55" spans="1:76">
      <c r="A55" t="s">
        <v>196</v>
      </c>
      <c r="B55">
        <v>3</v>
      </c>
      <c r="D55" s="38"/>
      <c r="E55" s="38"/>
      <c r="K55" s="37">
        <f>$L55*VLOOKUP($R55,武学奇术!$A:$ZZ,31,FALSE)</f>
        <v>52867.6347548517</v>
      </c>
      <c r="L55" s="37">
        <f t="shared" si="12"/>
        <v>52867.6347548517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55365.1533249792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41638.3544247106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27821.6850879292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24800.1446760729</v>
      </c>
      <c r="Q55" s="38">
        <v>1</v>
      </c>
      <c r="R55" s="39" t="s">
        <v>123</v>
      </c>
      <c r="S55" s="39" t="s">
        <v>106</v>
      </c>
      <c r="T55" s="39" t="s">
        <v>189</v>
      </c>
      <c r="U55" s="39" t="s">
        <v>89</v>
      </c>
      <c r="V55" s="39" t="s">
        <v>90</v>
      </c>
      <c r="W55" s="39" t="s">
        <v>91</v>
      </c>
      <c r="X55" s="39" t="s">
        <v>80</v>
      </c>
      <c r="Y55" s="39" t="s">
        <v>92</v>
      </c>
      <c r="Z55" s="39" t="s">
        <v>80</v>
      </c>
      <c r="AA55" s="39" t="s">
        <v>80</v>
      </c>
      <c r="AB55" s="39" t="s">
        <v>203</v>
      </c>
      <c r="AC55" s="39" t="s">
        <v>93</v>
      </c>
      <c r="AD55" s="39" t="s">
        <v>80</v>
      </c>
      <c r="AE55" s="39" t="s">
        <v>83</v>
      </c>
      <c r="AF55" s="39" t="s">
        <v>84</v>
      </c>
      <c r="AG55" s="39" t="s">
        <v>80</v>
      </c>
      <c r="AH55" s="39" t="s">
        <v>80</v>
      </c>
      <c r="AI55" s="39" t="s">
        <v>80</v>
      </c>
      <c r="AJ55" s="39" t="s">
        <v>80</v>
      </c>
      <c r="AK55" s="39" t="s">
        <v>80</v>
      </c>
      <c r="AL55" s="39" t="s">
        <v>80</v>
      </c>
      <c r="AM55" t="str">
        <f>VLOOKUP($R55,武学奇术!$A:$ZZ,25,FALSE)</f>
        <v>拳甲</v>
      </c>
      <c r="AN55" s="24">
        <f>VLOOKUP($R55,武学奇术!$A:$ZZ,26,FALSE)</f>
        <v>1.58662</v>
      </c>
      <c r="AO55" s="25">
        <f>VLOOKUP($R55,武学奇术!$A:$ZZ,27,FALSE)*(1+IF(OR($AM55=$F$4,$AM55=$F$5),$B$22,0))</f>
        <v>703.36</v>
      </c>
      <c r="AP55" s="24">
        <f>VLOOKUP($R55,武学奇术!$A:$ZZ,28,FALSE)</f>
        <v>2.37986</v>
      </c>
      <c r="AQ55" s="25">
        <f>VLOOKUP($R55,武学奇术!$A:$ZZ,29,FALSE)*(1+IF(OR($AM55=$F$4,$AM55=$F$5),$B$22,0))</f>
        <v>383.04</v>
      </c>
      <c r="AR55" s="24" cm="1">
        <f t="array" ref="AR55">$G$3+IFERROR(VLOOKUP($AM55,$F$4:$G$7,2,FALSE),0)+VLOOKUP($R55,武学奇术!$A:$ZZ,2,FALSE)+SUM(_xlfn.XLOOKUP($S55:$AL55,增益!$A:$A,增益!$B:$B,0))</f>
        <v>0.4543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4371.3</v>
      </c>
      <c r="AU55" cm="1">
        <f t="array" ref="AU55">$E$10*(1+$AS55)+VLOOKUP($R55,武学奇术!$A:$ZZ,4,FALSE)+SUM(_xlfn.XLOOKUP($S55:$AL55,增益!$A:$A,增益!$D:$D,0))-$I$2</f>
        <v>4371.3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0.4085</v>
      </c>
      <c r="AW55" s="31" cm="1">
        <f t="array" ref="AW55">$G$10+VLOOKUP($R55,武学奇术!$A:$ZZ,7,FALSE)+SUM(_xlfn.XLOOKUP($S55:$AL55,增益!$A:$A,增益!$G:$G,0))</f>
        <v>0.135</v>
      </c>
      <c r="AX55" s="24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0.03</v>
      </c>
      <c r="BB55" s="31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0.03</v>
      </c>
      <c r="BF55" s="31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0.03</v>
      </c>
      <c r="BJ55" s="31" cm="1">
        <f t="array" ref="BJ55">$G$13+VLOOKUP($R55,武学奇术!$A:$ZZ,14,FALSE)+SUM(_xlfn.XLOOKUP($S55:$AL55,增益!$A:$A,增益!$N:$N,0))</f>
        <v>0.02</v>
      </c>
      <c r="BK55">
        <f t="shared" si="19"/>
        <v>649.11</v>
      </c>
      <c r="BL55">
        <f t="shared" si="20"/>
        <v>1707.09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0.18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0.9771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0.8861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1"/>
        <v>0.86580831</v>
      </c>
      <c r="BU55" s="24">
        <f t="shared" si="22"/>
        <v>0.02208246</v>
      </c>
      <c r="BV55" s="24">
        <f>IF(VLOOKUP($R55,武学奇术!$A:$ZZ,22,FALSE)=1,0,(1-$BO55))*(1-$BR55)</f>
        <v>0.02080923</v>
      </c>
      <c r="BW55" s="24" cm="1">
        <f t="array" ref="BW55">SUM(_xlfn.XLOOKUP($S55:$AL55,增益!$A:$A,增益!$W:$W,0))+$I$5</f>
        <v>0.11</v>
      </c>
      <c r="BX55" s="24" cm="1">
        <f t="array" ref="BX55">SUM(_xlfn.XLOOKUP($S55:$AL55,增益!$A:$A,增益!$X:$X,0))</f>
        <v>0</v>
      </c>
    </row>
    <row r="56" spans="1:76">
      <c r="A56" t="s">
        <v>205</v>
      </c>
      <c r="B56">
        <v>6</v>
      </c>
      <c r="C56" s="38" t="s">
        <v>193</v>
      </c>
      <c r="D56" s="38"/>
      <c r="K56" s="37">
        <f>$L56*VLOOKUP($R56,武学奇术!$A:$ZZ,31,FALSE)</f>
        <v>36160.0511117469</v>
      </c>
      <c r="L56" s="37">
        <f t="shared" si="12"/>
        <v>36160.0511117469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37868.3804227207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28478.4195984829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19029.3368958396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16963.5481631732</v>
      </c>
      <c r="Q56" s="38">
        <v>1</v>
      </c>
      <c r="R56" s="39" t="s">
        <v>126</v>
      </c>
      <c r="S56" s="39" t="s">
        <v>106</v>
      </c>
      <c r="T56" s="39" t="s">
        <v>189</v>
      </c>
      <c r="U56" s="39" t="s">
        <v>89</v>
      </c>
      <c r="V56" s="39" t="s">
        <v>90</v>
      </c>
      <c r="W56" s="39" t="s">
        <v>91</v>
      </c>
      <c r="X56" s="39" t="s">
        <v>80</v>
      </c>
      <c r="Y56" s="39" t="s">
        <v>92</v>
      </c>
      <c r="Z56" s="39" t="s">
        <v>80</v>
      </c>
      <c r="AA56" s="39" t="s">
        <v>80</v>
      </c>
      <c r="AB56" s="39" t="s">
        <v>203</v>
      </c>
      <c r="AC56" s="39" t="s">
        <v>93</v>
      </c>
      <c r="AD56" s="39" t="s">
        <v>80</v>
      </c>
      <c r="AE56" s="39" t="s">
        <v>83</v>
      </c>
      <c r="AF56" s="39" t="s">
        <v>84</v>
      </c>
      <c r="AG56" s="39" t="s">
        <v>80</v>
      </c>
      <c r="AH56" s="39" t="s">
        <v>80</v>
      </c>
      <c r="AI56" s="39" t="s">
        <v>80</v>
      </c>
      <c r="AJ56" s="39" t="s">
        <v>80</v>
      </c>
      <c r="AK56" s="39" t="s">
        <v>80</v>
      </c>
      <c r="AL56" s="39" t="s">
        <v>80</v>
      </c>
      <c r="AM56" t="str">
        <f>VLOOKUP($R56,武学奇术!$A:$ZZ,25,FALSE)</f>
        <v>拳甲</v>
      </c>
      <c r="AN56" s="24">
        <f>VLOOKUP($R56,武学奇术!$A:$ZZ,26,FALSE)</f>
        <v>1.08472</v>
      </c>
      <c r="AO56" s="25">
        <f>VLOOKUP($R56,武学奇术!$A:$ZZ,27,FALSE)*(1+IF(OR($AM56=$F$4,$AM56=$F$5),$B$22,0))</f>
        <v>483.84</v>
      </c>
      <c r="AP56" s="24">
        <f>VLOOKUP($R56,武学奇术!$A:$ZZ,28,FALSE)</f>
        <v>1.62708</v>
      </c>
      <c r="AQ56" s="25">
        <f>VLOOKUP($R56,武学奇术!$A:$ZZ,29,FALSE)*(1+IF(OR($AM56=$F$4,$AM56=$F$5),$B$22,0))</f>
        <v>262.08</v>
      </c>
      <c r="AR56" s="24" cm="1">
        <f t="array" ref="AR56">$G$3+IFERROR(VLOOKUP($AM56,$F$4:$G$7,2,FALSE),0)+VLOOKUP($R56,武学奇术!$A:$ZZ,2,FALSE)+SUM(_xlfn.XLOOKUP($S56:$AL56,增益!$A:$A,增益!$B:$B,0))</f>
        <v>0.4543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4371.3</v>
      </c>
      <c r="AU56" cm="1">
        <f t="array" ref="AU56">$E$10*(1+$AS56)+VLOOKUP($R56,武学奇术!$A:$ZZ,4,FALSE)+SUM(_xlfn.XLOOKUP($S56:$AL56,增益!$A:$A,增益!$D:$D,0))-$I$2</f>
        <v>4371.3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0.4085</v>
      </c>
      <c r="AW56" s="31" cm="1">
        <f t="array" ref="AW56">$G$10+VLOOKUP($R56,武学奇术!$A:$ZZ,7,FALSE)+SUM(_xlfn.XLOOKUP($S56:$AL56,增益!$A:$A,增益!$G:$G,0))</f>
        <v>0.135</v>
      </c>
      <c r="AX56" s="24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0.03</v>
      </c>
      <c r="BB56" s="31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0.03</v>
      </c>
      <c r="BF56" s="31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0.03</v>
      </c>
      <c r="BJ56" s="31" cm="1">
        <f t="array" ref="BJ56">$G$13+VLOOKUP($R56,武学奇术!$A:$ZZ,14,FALSE)+SUM(_xlfn.XLOOKUP($S56:$AL56,增益!$A:$A,增益!$N:$N,0))</f>
        <v>0.02</v>
      </c>
      <c r="BK56">
        <f t="shared" si="19"/>
        <v>649.11</v>
      </c>
      <c r="BL56">
        <f t="shared" si="20"/>
        <v>1707.09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0.18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0.9771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0.8861</v>
      </c>
      <c r="BQ56" s="24" cm="1">
        <f t="array" ref="BQ56">1+$B$13+VLOOKUP($R56,武学奇术!$A:$ZZ,18,FALSE)+SUM(_xlfn.XLOOKUP($S56:$AL56,增益!$A:$A,增益!$R:$R,0))</f>
        <v>1.99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21"/>
        <v>0.86580831</v>
      </c>
      <c r="BU56" s="24">
        <f t="shared" si="22"/>
        <v>0.02208246</v>
      </c>
      <c r="BV56" s="24">
        <f>IF(VLOOKUP($R56,武学奇术!$A:$ZZ,22,FALSE)=1,0,(1-$BO56))*(1-$BR56)</f>
        <v>0.02080923</v>
      </c>
      <c r="BW56" s="24" cm="1">
        <f t="array" ref="BW56">SUM(_xlfn.XLOOKUP($S56:$AL56,增益!$A:$A,增益!$W:$W,0))+$I$5</f>
        <v>0.11</v>
      </c>
      <c r="BX56" s="24" cm="1">
        <f t="array" ref="BX56">SUM(_xlfn.XLOOKUP($S56:$AL56,增益!$A:$A,增益!$X:$X,0))</f>
        <v>0</v>
      </c>
    </row>
    <row r="57" spans="1:76">
      <c r="A57" t="s">
        <v>202</v>
      </c>
      <c r="B57">
        <v>0.7</v>
      </c>
      <c r="C57" s="38"/>
      <c r="D57" s="38" t="s">
        <v>178</v>
      </c>
      <c r="K57" s="37">
        <f>$L57*VLOOKUP($R57,武学奇术!$A:$ZZ,31,FALSE)</f>
        <v>87830.276455481</v>
      </c>
      <c r="L57" s="37">
        <f t="shared" si="12"/>
        <v>54893.9227846756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56678.2306764024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49369.809285454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32573.6957910359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28577.1624817355</v>
      </c>
      <c r="Q57" s="38">
        <v>1</v>
      </c>
      <c r="R57" s="39" t="s">
        <v>128</v>
      </c>
      <c r="S57" s="39" t="s">
        <v>106</v>
      </c>
      <c r="T57" s="39" t="s">
        <v>189</v>
      </c>
      <c r="U57" s="39" t="s">
        <v>89</v>
      </c>
      <c r="V57" s="39" t="s">
        <v>129</v>
      </c>
      <c r="W57" s="39" t="s">
        <v>91</v>
      </c>
      <c r="X57" s="39" t="s">
        <v>80</v>
      </c>
      <c r="Y57" s="39" t="s">
        <v>92</v>
      </c>
      <c r="Z57" s="39" t="s">
        <v>80</v>
      </c>
      <c r="AA57" s="39" t="s">
        <v>80</v>
      </c>
      <c r="AB57" s="39" t="s">
        <v>203</v>
      </c>
      <c r="AC57" s="39" t="s">
        <v>99</v>
      </c>
      <c r="AD57" s="39" t="s">
        <v>80</v>
      </c>
      <c r="AE57" s="39" t="s">
        <v>83</v>
      </c>
      <c r="AF57" s="39" t="s">
        <v>84</v>
      </c>
      <c r="AG57" s="39" t="s">
        <v>80</v>
      </c>
      <c r="AH57" s="39" t="s">
        <v>80</v>
      </c>
      <c r="AI57" s="39" t="s">
        <v>80</v>
      </c>
      <c r="AJ57" s="39" t="s">
        <v>80</v>
      </c>
      <c r="AK57" s="39" t="s">
        <v>80</v>
      </c>
      <c r="AL57" s="39" t="s">
        <v>80</v>
      </c>
      <c r="AM57" t="str">
        <f>VLOOKUP($R57,武学奇术!$A:$ZZ,25,FALSE)</f>
        <v>拳甲</v>
      </c>
      <c r="AN57" s="24">
        <f>VLOOKUP($R57,武学奇术!$A:$ZZ,26,FALSE)</f>
        <v>2.173248</v>
      </c>
      <c r="AO57" s="25">
        <f>VLOOKUP($R57,武学奇术!$A:$ZZ,27,FALSE)*(1+IF(OR($AM57=$F$4,$AM57=$F$5),$B$22,0))</f>
        <v>0</v>
      </c>
      <c r="AP57" s="24">
        <f>VLOOKUP($R57,武学奇术!$A:$ZZ,28,FALSE)</f>
        <v>3.259872</v>
      </c>
      <c r="AQ57" s="25">
        <f>VLOOKUP($R57,武学奇术!$A:$ZZ,29,FALSE)*(1+IF(OR($AM57=$F$4,$AM57=$F$5),$B$22,0))</f>
        <v>0</v>
      </c>
      <c r="AR57" s="24" cm="1">
        <f t="array" ref="AR57">$G$3+IFERROR(VLOOKUP($AM57,$F$4:$G$7,2,FALSE),0)+VLOOKUP($R57,武学奇术!$A:$ZZ,2,FALSE)+SUM(_xlfn.XLOOKUP($S57:$AL57,增益!$A:$A,增益!$B:$B,0))</f>
        <v>0.4043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4371.3</v>
      </c>
      <c r="AU57" cm="1">
        <f t="array" ref="AU57">$E$10*(1+$AS57)+VLOOKUP($R57,武学奇术!$A:$ZZ,4,FALSE)+SUM(_xlfn.XLOOKUP($S57:$AL57,增益!$A:$A,增益!$D:$D,0))-$I$2</f>
        <v>4371.3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0.4085</v>
      </c>
      <c r="AW57" s="31" cm="1">
        <f t="array" ref="AW57">$G$10+VLOOKUP($R57,武学奇术!$A:$ZZ,7,FALSE)+SUM(_xlfn.XLOOKUP($S57:$AL57,增益!$A:$A,增益!$G:$G,0))</f>
        <v>0.135</v>
      </c>
      <c r="AX57" s="24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0.03</v>
      </c>
      <c r="BB57" s="31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0.03</v>
      </c>
      <c r="BF57" s="31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0.03</v>
      </c>
      <c r="BJ57" s="31" cm="1">
        <f t="array" ref="BJ57">$G$13+VLOOKUP($R57,武学奇术!$A:$ZZ,14,FALSE)+SUM(_xlfn.XLOOKUP($S57:$AL57,增益!$A:$A,增益!$N:$N,0))</f>
        <v>0.02</v>
      </c>
      <c r="BK57">
        <f t="shared" si="19"/>
        <v>649.11</v>
      </c>
      <c r="BL57">
        <f t="shared" si="20"/>
        <v>1707.09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0.18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0.9771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0.8861</v>
      </c>
      <c r="BQ57" s="24" cm="1">
        <f t="array" ref="BQ57">1+$B$13+VLOOKUP($R57,武学奇术!$A:$ZZ,18,FALSE)+SUM(_xlfn.XLOOKUP($S57:$AL57,增益!$A:$A,增益!$R:$R,0))</f>
        <v>1.74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1"/>
        <v>0.86580831</v>
      </c>
      <c r="BU57" s="24">
        <f t="shared" si="22"/>
        <v>0.02208246</v>
      </c>
      <c r="BV57" s="24">
        <f>IF(VLOOKUP($R57,武学奇术!$A:$ZZ,22,FALSE)=1,0,(1-$BO57))*(1-$BR57)</f>
        <v>0.02080923</v>
      </c>
      <c r="BW57" s="24" cm="1">
        <f t="array" ref="BW57">SUM(_xlfn.XLOOKUP($S57:$AL57,增益!$A:$A,增益!$W:$W,0))+$I$5</f>
        <v>0.11</v>
      </c>
      <c r="BX57" s="24" cm="1">
        <f t="array" ref="BX57">SUM(_xlfn.XLOOKUP($S57:$AL57,增益!$A:$A,增益!$X:$X,0))</f>
        <v>0</v>
      </c>
    </row>
    <row r="58" spans="1:76">
      <c r="A58" t="s">
        <v>206</v>
      </c>
      <c r="B58">
        <v>1.5</v>
      </c>
      <c r="C58" s="38"/>
      <c r="D58" s="38"/>
      <c r="K58" s="37">
        <f>$L58*VLOOKUP($R58,武学奇术!$A:$ZZ,31,FALSE)</f>
        <v>351160.487189229</v>
      </c>
      <c r="L58" s="37">
        <f t="shared" si="12"/>
        <v>351160.487189229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368164.329434018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270098.266891113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180472.710506871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160872.63072403</v>
      </c>
      <c r="Q58" s="38">
        <v>1</v>
      </c>
      <c r="R58" s="39" t="s">
        <v>132</v>
      </c>
      <c r="S58" s="39" t="s">
        <v>106</v>
      </c>
      <c r="T58" s="39" t="s">
        <v>189</v>
      </c>
      <c r="U58" s="39" t="s">
        <v>89</v>
      </c>
      <c r="V58" s="39" t="s">
        <v>129</v>
      </c>
      <c r="W58" s="39" t="s">
        <v>91</v>
      </c>
      <c r="X58" s="39" t="s">
        <v>80</v>
      </c>
      <c r="Y58" s="39" t="s">
        <v>92</v>
      </c>
      <c r="Z58" s="39" t="s">
        <v>80</v>
      </c>
      <c r="AA58" s="39" t="s">
        <v>80</v>
      </c>
      <c r="AB58" s="39" t="s">
        <v>203</v>
      </c>
      <c r="AC58" s="39" t="s">
        <v>99</v>
      </c>
      <c r="AD58" s="39" t="s">
        <v>80</v>
      </c>
      <c r="AE58" s="39" t="s">
        <v>83</v>
      </c>
      <c r="AF58" s="39" t="s">
        <v>84</v>
      </c>
      <c r="AG58" s="39" t="s">
        <v>80</v>
      </c>
      <c r="AH58" s="39" t="s">
        <v>80</v>
      </c>
      <c r="AI58" s="39" t="s">
        <v>80</v>
      </c>
      <c r="AJ58" s="39" t="s">
        <v>80</v>
      </c>
      <c r="AK58" s="39" t="s">
        <v>80</v>
      </c>
      <c r="AL58" s="39" t="s">
        <v>80</v>
      </c>
      <c r="AM58" t="str">
        <f>VLOOKUP($R58,武学奇术!$A:$ZZ,25,FALSE)</f>
        <v>拳甲</v>
      </c>
      <c r="AN58" s="24">
        <f>VLOOKUP($R58,武学奇术!$A:$ZZ,26,FALSE)</f>
        <v>7.79674</v>
      </c>
      <c r="AO58" s="25">
        <f>VLOOKUP($R58,武学奇术!$A:$ZZ,27,FALSE)*(1+IF(OR($AM58=$F$4,$AM58=$F$5),$B$22,0))</f>
        <v>3458.56</v>
      </c>
      <c r="AP58" s="24">
        <f>VLOOKUP($R58,武学奇术!$A:$ZZ,28,FALSE)</f>
        <v>11.69518</v>
      </c>
      <c r="AQ58" s="25">
        <f>VLOOKUP($R58,武学奇术!$A:$ZZ,29,FALSE)*(1+IF(OR($AM58=$F$4,$AM58=$F$5),$B$22,0))</f>
        <v>1881.6</v>
      </c>
      <c r="AR58" s="24" cm="1">
        <f t="array" ref="AR58">$G$3+IFERROR(VLOOKUP($AM58,$F$4:$G$7,2,FALSE),0)+VLOOKUP($R58,武学奇术!$A:$ZZ,2,FALSE)+SUM(_xlfn.XLOOKUP($S58:$AL58,增益!$A:$A,增益!$B:$B,0))</f>
        <v>0.4543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4371.3</v>
      </c>
      <c r="AU58" cm="1">
        <f t="array" ref="AU58">$E$10*(1+$AS58)+VLOOKUP($R58,武学奇术!$A:$ZZ,4,FALSE)+SUM(_xlfn.XLOOKUP($S58:$AL58,增益!$A:$A,增益!$D:$D,0))-$I$2</f>
        <v>4371.3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0.4085</v>
      </c>
      <c r="AW58" s="31" cm="1">
        <f t="array" ref="AW58">$G$10+VLOOKUP($R58,武学奇术!$A:$ZZ,7,FALSE)+SUM(_xlfn.XLOOKUP($S58:$AL58,增益!$A:$A,增益!$G:$G,0))</f>
        <v>0.135</v>
      </c>
      <c r="AX58" s="24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0.03</v>
      </c>
      <c r="BB58" s="31" cm="1">
        <f t="array" ref="BB58">$G$11+VLOOKUP($R58,武学奇术!$A:$ZZ,10,FALSE)+SUM(_xlfn.XLOOKUP($S58:$AL58,增益!$A:$A,增益!$J:$J,0))</f>
        <v>0.02</v>
      </c>
      <c r="BC58">
        <f t="shared" si="15"/>
        <v>0</v>
      </c>
      <c r="BD58">
        <f t="shared" si="16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0.03</v>
      </c>
      <c r="BF58" s="31" cm="1">
        <f t="array" ref="BF58">$G$12+VLOOKUP($R58,武学奇术!$A:$ZZ,12,FALSE)+SUM(_xlfn.XLOOKUP($S58:$AL58,增益!$A:$A,增益!$L:$L,0))</f>
        <v>0.02</v>
      </c>
      <c r="BG58">
        <f t="shared" si="17"/>
        <v>0</v>
      </c>
      <c r="BH58">
        <f t="shared" si="18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0.03</v>
      </c>
      <c r="BJ58" s="31" cm="1">
        <f t="array" ref="BJ58">$G$13+VLOOKUP($R58,武学奇术!$A:$ZZ,14,FALSE)+SUM(_xlfn.XLOOKUP($S58:$AL58,增益!$A:$A,增益!$N:$N,0))</f>
        <v>0.02</v>
      </c>
      <c r="BK58">
        <f t="shared" si="19"/>
        <v>649.11</v>
      </c>
      <c r="BL58">
        <f t="shared" si="20"/>
        <v>1707.09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0.18</v>
      </c>
      <c r="BN58" s="31" cm="1">
        <f t="array" ref="BN58">$G$14+VLOOKUP($R58,武学奇术!$A:$ZZ,16,FALSE)+SUM(_xlfn.XLOOKUP($S58:$AL58,增益!$A:$A,增益!$P:$P,0))</f>
        <v>0.26</v>
      </c>
      <c r="BO58" s="24">
        <f>MIN(IF(VLOOKUP($R58,武学奇术!$A:$ZZ,23,FALSE)=1,100%,$B$8),100%)</f>
        <v>0.9771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0.8861</v>
      </c>
      <c r="BQ58" s="24" cm="1">
        <f t="array" ref="BQ58">1+$B$13+VLOOKUP($R58,武学奇术!$A:$ZZ,18,FALSE)+SUM(_xlfn.XLOOKUP($S58:$AL58,增益!$A:$A,增益!$R:$R,0))</f>
        <v>2.04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1"/>
        <v>0.86580831</v>
      </c>
      <c r="BU58" s="24">
        <f t="shared" si="22"/>
        <v>0.04289169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0.11</v>
      </c>
      <c r="BX58" s="24" cm="1">
        <f t="array" ref="BX58">SUM(_xlfn.XLOOKUP($S58:$AL58,增益!$A:$A,增益!$X:$X,0))</f>
        <v>0</v>
      </c>
    </row>
    <row r="59" spans="1:76">
      <c r="A59" t="s">
        <v>207</v>
      </c>
      <c r="B59">
        <v>1</v>
      </c>
      <c r="C59" s="38"/>
      <c r="D59" s="38"/>
      <c r="E59" s="38" t="s">
        <v>183</v>
      </c>
      <c r="K59" s="37">
        <f>$L59*VLOOKUP($R59,武学奇术!$A:$ZZ,31,FALSE)</f>
        <v>351160.487189229</v>
      </c>
      <c r="L59" s="37">
        <f t="shared" si="12"/>
        <v>351160.487189229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368164.329434018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270098.266891113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180472.710506871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160872.63072403</v>
      </c>
      <c r="Q59" s="38">
        <v>1</v>
      </c>
      <c r="R59" s="39" t="s">
        <v>132</v>
      </c>
      <c r="S59" s="39" t="s">
        <v>106</v>
      </c>
      <c r="T59" s="39" t="s">
        <v>189</v>
      </c>
      <c r="U59" s="39" t="s">
        <v>89</v>
      </c>
      <c r="V59" s="39" t="s">
        <v>129</v>
      </c>
      <c r="W59" s="39" t="s">
        <v>91</v>
      </c>
      <c r="X59" s="39" t="s">
        <v>80</v>
      </c>
      <c r="Y59" s="39" t="s">
        <v>92</v>
      </c>
      <c r="Z59" s="39" t="s">
        <v>80</v>
      </c>
      <c r="AA59" s="39" t="s">
        <v>80</v>
      </c>
      <c r="AB59" s="39" t="s">
        <v>203</v>
      </c>
      <c r="AC59" s="39" t="s">
        <v>99</v>
      </c>
      <c r="AD59" s="39" t="s">
        <v>121</v>
      </c>
      <c r="AE59" s="39" t="s">
        <v>83</v>
      </c>
      <c r="AF59" s="39" t="s">
        <v>84</v>
      </c>
      <c r="AG59" s="39" t="s">
        <v>80</v>
      </c>
      <c r="AH59" s="39" t="s">
        <v>80</v>
      </c>
      <c r="AI59" s="39" t="s">
        <v>80</v>
      </c>
      <c r="AJ59" s="39" t="s">
        <v>80</v>
      </c>
      <c r="AK59" s="39" t="s">
        <v>80</v>
      </c>
      <c r="AL59" s="39" t="s">
        <v>80</v>
      </c>
      <c r="AM59" t="str">
        <f>VLOOKUP($R59,武学奇术!$A:$ZZ,25,FALSE)</f>
        <v>拳甲</v>
      </c>
      <c r="AN59" s="24">
        <f>VLOOKUP($R59,武学奇术!$A:$ZZ,26,FALSE)</f>
        <v>7.79674</v>
      </c>
      <c r="AO59" s="25">
        <f>VLOOKUP($R59,武学奇术!$A:$ZZ,27,FALSE)*(1+IF(OR($AM59=$F$4,$AM59=$F$5),$B$22,0))</f>
        <v>3458.56</v>
      </c>
      <c r="AP59" s="24">
        <f>VLOOKUP($R59,武学奇术!$A:$ZZ,28,FALSE)</f>
        <v>11.69518</v>
      </c>
      <c r="AQ59" s="25">
        <f>VLOOKUP($R59,武学奇术!$A:$ZZ,29,FALSE)*(1+IF(OR($AM59=$F$4,$AM59=$F$5),$B$22,0))</f>
        <v>1881.6</v>
      </c>
      <c r="AR59" s="24" cm="1">
        <f t="array" ref="AR59">$G$3+IFERROR(VLOOKUP($AM59,$F$4:$G$7,2,FALSE),0)+VLOOKUP($R59,武学奇术!$A:$ZZ,2,FALSE)+SUM(_xlfn.XLOOKUP($S59:$AL59,增益!$A:$A,增益!$B:$B,0))</f>
        <v>0.4543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4371.3</v>
      </c>
      <c r="AU59" cm="1">
        <f t="array" ref="AU59">$E$10*(1+$AS59)+VLOOKUP($R59,武学奇术!$A:$ZZ,4,FALSE)+SUM(_xlfn.XLOOKUP($S59:$AL59,增益!$A:$A,增益!$D:$D,0))-$I$2</f>
        <v>4371.3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0.4085</v>
      </c>
      <c r="AW59" s="31" cm="1">
        <f t="array" ref="AW59">$G$10+VLOOKUP($R59,武学奇术!$A:$ZZ,7,FALSE)+SUM(_xlfn.XLOOKUP($S59:$AL59,增益!$A:$A,增益!$G:$G,0))</f>
        <v>0.135</v>
      </c>
      <c r="AX59" s="24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0.03</v>
      </c>
      <c r="BB59" s="31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0.03</v>
      </c>
      <c r="BF59" s="31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0.03</v>
      </c>
      <c r="BJ59" s="31" cm="1">
        <f t="array" ref="BJ59">$G$13+VLOOKUP($R59,武学奇术!$A:$ZZ,14,FALSE)+SUM(_xlfn.XLOOKUP($S59:$AL59,增益!$A:$A,增益!$N:$N,0))</f>
        <v>0.02</v>
      </c>
      <c r="BK59">
        <f t="shared" si="19"/>
        <v>649.11</v>
      </c>
      <c r="BL59">
        <f t="shared" si="20"/>
        <v>1707.09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0.18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0.9771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0.8861</v>
      </c>
      <c r="BQ59" s="24" cm="1">
        <f t="array" ref="BQ59">1+$B$13+VLOOKUP($R59,武学奇术!$A:$ZZ,18,FALSE)+SUM(_xlfn.XLOOKUP($S59:$AL59,增益!$A:$A,增益!$R:$R,0))</f>
        <v>2.04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1"/>
        <v>0.86580831</v>
      </c>
      <c r="BU59" s="24">
        <f t="shared" si="22"/>
        <v>0.04289169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t="s">
        <v>190</v>
      </c>
      <c r="B60">
        <v>2.25</v>
      </c>
      <c r="C60" s="38"/>
      <c r="D60" s="38"/>
      <c r="E60" s="38"/>
      <c r="K60" s="37">
        <f>$L60*VLOOKUP($R60,武学奇术!$A:$ZZ,31,FALSE)</f>
        <v>351160.487189229</v>
      </c>
      <c r="L60" s="37">
        <f t="shared" si="12"/>
        <v>351160.487189229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368164.329434018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270098.266891113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180472.710506871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160872.63072403</v>
      </c>
      <c r="Q60" s="38">
        <v>1</v>
      </c>
      <c r="R60" s="39" t="s">
        <v>132</v>
      </c>
      <c r="S60" s="39" t="s">
        <v>106</v>
      </c>
      <c r="T60" s="39" t="s">
        <v>189</v>
      </c>
      <c r="U60" s="39" t="s">
        <v>89</v>
      </c>
      <c r="V60" s="39" t="s">
        <v>129</v>
      </c>
      <c r="W60" s="39" t="s">
        <v>91</v>
      </c>
      <c r="X60" s="39" t="s">
        <v>80</v>
      </c>
      <c r="Y60" s="39" t="s">
        <v>92</v>
      </c>
      <c r="Z60" s="39" t="s">
        <v>80</v>
      </c>
      <c r="AA60" s="39" t="s">
        <v>80</v>
      </c>
      <c r="AB60" s="39" t="s">
        <v>203</v>
      </c>
      <c r="AC60" s="39" t="s">
        <v>93</v>
      </c>
      <c r="AD60" s="39" t="s">
        <v>121</v>
      </c>
      <c r="AE60" s="39" t="s">
        <v>83</v>
      </c>
      <c r="AF60" s="39" t="s">
        <v>84</v>
      </c>
      <c r="AG60" s="39" t="s">
        <v>80</v>
      </c>
      <c r="AH60" s="39" t="s">
        <v>80</v>
      </c>
      <c r="AI60" s="39" t="s">
        <v>80</v>
      </c>
      <c r="AJ60" s="39" t="s">
        <v>80</v>
      </c>
      <c r="AK60" s="39" t="s">
        <v>80</v>
      </c>
      <c r="AL60" s="39" t="s">
        <v>80</v>
      </c>
      <c r="AM60" t="str">
        <f>VLOOKUP($R60,武学奇术!$A:$ZZ,25,FALSE)</f>
        <v>拳甲</v>
      </c>
      <c r="AN60" s="24">
        <f>VLOOKUP($R60,武学奇术!$A:$ZZ,26,FALSE)</f>
        <v>7.79674</v>
      </c>
      <c r="AO60" s="25">
        <f>VLOOKUP($R60,武学奇术!$A:$ZZ,27,FALSE)*(1+IF(OR($AM60=$F$4,$AM60=$F$5),$B$22,0))</f>
        <v>3458.56</v>
      </c>
      <c r="AP60" s="24">
        <f>VLOOKUP($R60,武学奇术!$A:$ZZ,28,FALSE)</f>
        <v>11.69518</v>
      </c>
      <c r="AQ60" s="25">
        <f>VLOOKUP($R60,武学奇术!$A:$ZZ,29,FALSE)*(1+IF(OR($AM60=$F$4,$AM60=$F$5),$B$22,0))</f>
        <v>1881.6</v>
      </c>
      <c r="AR60" s="24" cm="1">
        <f t="array" ref="AR60">$G$3+IFERROR(VLOOKUP($AM60,$F$4:$G$7,2,FALSE),0)+VLOOKUP($R60,武学奇术!$A:$ZZ,2,FALSE)+SUM(_xlfn.XLOOKUP($S60:$AL60,增益!$A:$A,增益!$B:$B,0))</f>
        <v>0.4543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4371.3</v>
      </c>
      <c r="AU60" cm="1">
        <f t="array" ref="AU60">$E$10*(1+$AS60)+VLOOKUP($R60,武学奇术!$A:$ZZ,4,FALSE)+SUM(_xlfn.XLOOKUP($S60:$AL60,增益!$A:$A,增益!$D:$D,0))-$I$2</f>
        <v>4371.3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0.4085</v>
      </c>
      <c r="AW60" s="31" cm="1">
        <f t="array" ref="AW60">$G$10+VLOOKUP($R60,武学奇术!$A:$ZZ,7,FALSE)+SUM(_xlfn.XLOOKUP($S60:$AL60,增益!$A:$A,增益!$G:$G,0))</f>
        <v>0.135</v>
      </c>
      <c r="AX60" s="24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0.03</v>
      </c>
      <c r="BB60" s="31" cm="1">
        <f t="array" ref="BB60">$G$11+VLOOKUP($R60,武学奇术!$A:$ZZ,10,FALSE)+SUM(_xlfn.XLOOKUP($S60:$AL60,增益!$A:$A,增益!$J:$J,0))</f>
        <v>0.02</v>
      </c>
      <c r="BC60">
        <f t="shared" si="15"/>
        <v>0</v>
      </c>
      <c r="BD60">
        <f t="shared" si="16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0.03</v>
      </c>
      <c r="BF60" s="31" cm="1">
        <f t="array" ref="BF60">$G$12+VLOOKUP($R60,武学奇术!$A:$ZZ,12,FALSE)+SUM(_xlfn.XLOOKUP($S60:$AL60,增益!$A:$A,增益!$L:$L,0))</f>
        <v>0.02</v>
      </c>
      <c r="BG60">
        <f t="shared" si="17"/>
        <v>0</v>
      </c>
      <c r="BH60">
        <f t="shared" si="18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0.03</v>
      </c>
      <c r="BJ60" s="31" cm="1">
        <f t="array" ref="BJ60">$G$13+VLOOKUP($R60,武学奇术!$A:$ZZ,14,FALSE)+SUM(_xlfn.XLOOKUP($S60:$AL60,增益!$A:$A,增益!$N:$N,0))</f>
        <v>0.02</v>
      </c>
      <c r="BK60">
        <f t="shared" si="19"/>
        <v>649.11</v>
      </c>
      <c r="BL60">
        <f t="shared" si="20"/>
        <v>1707.09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0.18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0.9771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0.8861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1"/>
        <v>0.86580831</v>
      </c>
      <c r="BU60" s="24">
        <f t="shared" si="22"/>
        <v>0.04289169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t="s">
        <v>179</v>
      </c>
      <c r="B61" s="95">
        <v>0.1</v>
      </c>
      <c r="C61" s="38"/>
      <c r="D61" s="38"/>
      <c r="E61" s="38"/>
      <c r="K61" s="37">
        <f>$L61*VLOOKUP($R61,武学奇术!$A:$ZZ,31,FALSE)</f>
        <v>192841.79211573</v>
      </c>
      <c r="L61" s="37">
        <f t="shared" ref="L61:L73" si="23">($M61*$BT61+$N61*$BR61+$O61*$BU61+$P61*$BV61)</f>
        <v>192841.79211573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202179.192913651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148329.472802286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99107.4475066919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88341.2114561351</v>
      </c>
      <c r="Q61" s="38">
        <v>1</v>
      </c>
      <c r="R61" s="39" t="s">
        <v>156</v>
      </c>
      <c r="S61" s="39" t="s">
        <v>106</v>
      </c>
      <c r="T61" s="39" t="s">
        <v>189</v>
      </c>
      <c r="U61" s="39" t="s">
        <v>89</v>
      </c>
      <c r="V61" s="39" t="s">
        <v>129</v>
      </c>
      <c r="W61" s="39" t="s">
        <v>91</v>
      </c>
      <c r="X61" s="39" t="s">
        <v>80</v>
      </c>
      <c r="Y61" s="39" t="s">
        <v>92</v>
      </c>
      <c r="Z61" s="39" t="s">
        <v>80</v>
      </c>
      <c r="AA61" s="39" t="s">
        <v>80</v>
      </c>
      <c r="AB61" s="39" t="s">
        <v>203</v>
      </c>
      <c r="AC61" s="39" t="s">
        <v>93</v>
      </c>
      <c r="AD61" s="39" t="s">
        <v>80</v>
      </c>
      <c r="AE61" s="39" t="s">
        <v>83</v>
      </c>
      <c r="AF61" s="39" t="s">
        <v>84</v>
      </c>
      <c r="AG61" s="39" t="s">
        <v>80</v>
      </c>
      <c r="AH61" s="39" t="s">
        <v>80</v>
      </c>
      <c r="AI61" s="39" t="s">
        <v>80</v>
      </c>
      <c r="AJ61" s="39" t="s">
        <v>80</v>
      </c>
      <c r="AK61" s="39" t="s">
        <v>80</v>
      </c>
      <c r="AL61" s="39" t="s">
        <v>80</v>
      </c>
      <c r="AM61" t="str">
        <f>VLOOKUP($R61,武学奇术!$A:$ZZ,25,FALSE)</f>
        <v>双刀</v>
      </c>
      <c r="AN61" s="24">
        <f>VLOOKUP($R61,武学奇术!$A:$ZZ,26,FALSE)</f>
        <v>4.28274</v>
      </c>
      <c r="AO61" s="25">
        <f>VLOOKUP($R61,武学奇术!$A:$ZZ,27,FALSE)*(1+IF(OR($AM61=$F$4,$AM61=$F$5),$B$22,0))</f>
        <v>1895.04</v>
      </c>
      <c r="AP61" s="24">
        <f>VLOOKUP($R61,武学奇术!$A:$ZZ,28,FALSE)</f>
        <v>6.42411</v>
      </c>
      <c r="AQ61" s="25">
        <f>VLOOKUP($R61,武学奇术!$A:$ZZ,29,FALSE)*(1+IF(OR($AM61=$F$4,$AM61=$F$5),$B$22,0))</f>
        <v>1031.52</v>
      </c>
      <c r="AR61" s="24" cm="1">
        <f t="array" ref="AR61">$G$3+IFERROR(VLOOKUP($AM61,$F$4:$G$7,2,FALSE),0)+VLOOKUP($R61,武学奇术!$A:$ZZ,2,FALSE)+SUM(_xlfn.XLOOKUP($S61:$AL61,增益!$A:$A,增益!$B:$B,0))</f>
        <v>0.4543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4371.3</v>
      </c>
      <c r="AU61" cm="1">
        <f t="array" ref="AU61">$E$10*(1+$AS61)+VLOOKUP($R61,武学奇术!$A:$ZZ,4,FALSE)+SUM(_xlfn.XLOOKUP($S61:$AL61,增益!$A:$A,增益!$D:$D,0))-$I$2</f>
        <v>4371.3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0.4085</v>
      </c>
      <c r="AW61" s="31" cm="1">
        <f t="array" ref="AW61">$G$10+VLOOKUP($R61,武学奇术!$A:$ZZ,7,FALSE)+SUM(_xlfn.XLOOKUP($S61:$AL61,增益!$A:$A,增益!$G:$G,0))</f>
        <v>0.135</v>
      </c>
      <c r="AX61" s="24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0.03</v>
      </c>
      <c r="BB61" s="31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0.03</v>
      </c>
      <c r="BF61" s="31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0.03</v>
      </c>
      <c r="BJ61" s="31" cm="1">
        <f t="array" ref="BJ61">$G$13+VLOOKUP($R61,武学奇术!$A:$ZZ,14,FALSE)+SUM(_xlfn.XLOOKUP($S61:$AL61,增益!$A:$A,增益!$N:$N,0))</f>
        <v>0.02</v>
      </c>
      <c r="BK61">
        <f t="shared" si="19"/>
        <v>649.11</v>
      </c>
      <c r="BL61">
        <f t="shared" si="20"/>
        <v>1707.09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0.18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0.9771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0.8861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1"/>
        <v>0.86580831</v>
      </c>
      <c r="BU61" s="24">
        <f t="shared" si="22"/>
        <v>0.04289169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t="s">
        <v>196</v>
      </c>
      <c r="B62">
        <v>3</v>
      </c>
      <c r="C62" s="38"/>
      <c r="D62" s="38"/>
      <c r="E62" s="38"/>
      <c r="K62" s="37">
        <f>$L62*VLOOKUP($R62,武学奇术!$A:$ZZ,31,FALSE)</f>
        <v>257075.017105054</v>
      </c>
      <c r="L62" s="37">
        <f t="shared" si="23"/>
        <v>257075.017105054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269522.430107435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197737.756096771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132118.838287958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117765.264652382</v>
      </c>
      <c r="Q62" s="38">
        <v>1</v>
      </c>
      <c r="R62" s="39" t="s">
        <v>162</v>
      </c>
      <c r="S62" s="39" t="s">
        <v>106</v>
      </c>
      <c r="T62" s="39" t="s">
        <v>189</v>
      </c>
      <c r="U62" s="39" t="s">
        <v>89</v>
      </c>
      <c r="V62" s="39" t="s">
        <v>129</v>
      </c>
      <c r="W62" s="39" t="s">
        <v>91</v>
      </c>
      <c r="X62" s="39" t="s">
        <v>80</v>
      </c>
      <c r="Y62" s="39" t="s">
        <v>92</v>
      </c>
      <c r="Z62" s="39" t="s">
        <v>80</v>
      </c>
      <c r="AA62" s="39" t="s">
        <v>80</v>
      </c>
      <c r="AB62" s="39" t="s">
        <v>203</v>
      </c>
      <c r="AC62" s="39" t="s">
        <v>93</v>
      </c>
      <c r="AD62" s="39" t="s">
        <v>80</v>
      </c>
      <c r="AE62" s="39" t="s">
        <v>83</v>
      </c>
      <c r="AF62" s="39" t="s">
        <v>84</v>
      </c>
      <c r="AG62" s="39" t="s">
        <v>80</v>
      </c>
      <c r="AH62" s="39" t="s">
        <v>80</v>
      </c>
      <c r="AI62" s="39" t="s">
        <v>80</v>
      </c>
      <c r="AJ62" s="39" t="s">
        <v>80</v>
      </c>
      <c r="AK62" s="39" t="s">
        <v>80</v>
      </c>
      <c r="AL62" s="39" t="s">
        <v>80</v>
      </c>
      <c r="AM62" t="str">
        <f>VLOOKUP($R62,武学奇术!$A:$ZZ,25,FALSE)</f>
        <v>双刀</v>
      </c>
      <c r="AN62" s="24">
        <f>VLOOKUP($R62,武学奇术!$A:$ZZ,26,FALSE)</f>
        <v>5.71032</v>
      </c>
      <c r="AO62" s="25">
        <f>VLOOKUP($R62,武学奇术!$A:$ZZ,27,FALSE)*(1+IF(OR($AM62=$F$4,$AM62=$F$5),$B$22,0))</f>
        <v>2526.72</v>
      </c>
      <c r="AP62" s="24">
        <f>VLOOKUP($R62,武学奇术!$A:$ZZ,28,FALSE)</f>
        <v>8.56464</v>
      </c>
      <c r="AQ62" s="25">
        <f>VLOOKUP($R62,武学奇术!$A:$ZZ,29,FALSE)*(1+IF(OR($AM62=$F$4,$AM62=$F$5),$B$22,0))</f>
        <v>1370.88</v>
      </c>
      <c r="AR62" s="24" cm="1">
        <f t="array" ref="AR62">$G$3+IFERROR(VLOOKUP($AM62,$F$4:$G$7,2,FALSE),0)+VLOOKUP($R62,武学奇术!$A:$ZZ,2,FALSE)+SUM(_xlfn.XLOOKUP($S62:$AL62,增益!$A:$A,增益!$B:$B,0))</f>
        <v>0.4543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4371.3</v>
      </c>
      <c r="AU62" cm="1">
        <f t="array" ref="AU62">$E$10*(1+$AS62)+VLOOKUP($R62,武学奇术!$A:$ZZ,4,FALSE)+SUM(_xlfn.XLOOKUP($S62:$AL62,增益!$A:$A,增益!$D:$D,0))-$I$2</f>
        <v>4371.3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0.4085</v>
      </c>
      <c r="AW62" s="31" cm="1">
        <f t="array" ref="AW62">$G$10+VLOOKUP($R62,武学奇术!$A:$ZZ,7,FALSE)+SUM(_xlfn.XLOOKUP($S62:$AL62,增益!$A:$A,增益!$G:$G,0))</f>
        <v>0.135</v>
      </c>
      <c r="AX62" s="24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0.03</v>
      </c>
      <c r="BB62" s="31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0.03</v>
      </c>
      <c r="BF62" s="31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0.03</v>
      </c>
      <c r="BJ62" s="31" cm="1">
        <f t="array" ref="BJ62">$G$13+VLOOKUP($R62,武学奇术!$A:$ZZ,14,FALSE)+SUM(_xlfn.XLOOKUP($S62:$AL62,增益!$A:$A,增益!$N:$N,0))</f>
        <v>0.02</v>
      </c>
      <c r="BK62">
        <f t="shared" si="19"/>
        <v>649.11</v>
      </c>
      <c r="BL62">
        <f t="shared" si="20"/>
        <v>1707.09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0.18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0.9771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0.8861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1"/>
        <v>0.86580831</v>
      </c>
      <c r="BU62" s="24">
        <f t="shared" si="22"/>
        <v>0.04289169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t="s">
        <v>208</v>
      </c>
      <c r="B63">
        <v>0.7</v>
      </c>
      <c r="K63" s="37">
        <f>$L63*VLOOKUP($R63,武学奇术!$A:$ZZ,31,FALSE)</f>
        <v>192841.79211573</v>
      </c>
      <c r="L63" s="37">
        <f t="shared" si="23"/>
        <v>192841.79211573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202179.192913651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148329.472802286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99107.4475066919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88341.2114561351</v>
      </c>
      <c r="Q63" s="38">
        <v>1</v>
      </c>
      <c r="R63" s="39" t="s">
        <v>165</v>
      </c>
      <c r="S63" s="39" t="s">
        <v>106</v>
      </c>
      <c r="T63" s="39" t="s">
        <v>189</v>
      </c>
      <c r="U63" s="39" t="s">
        <v>89</v>
      </c>
      <c r="V63" s="39" t="s">
        <v>129</v>
      </c>
      <c r="W63" s="39" t="s">
        <v>91</v>
      </c>
      <c r="X63" s="39" t="s">
        <v>80</v>
      </c>
      <c r="Y63" s="39" t="s">
        <v>92</v>
      </c>
      <c r="Z63" s="39" t="s">
        <v>80</v>
      </c>
      <c r="AA63" s="39" t="s">
        <v>80</v>
      </c>
      <c r="AB63" s="39" t="s">
        <v>203</v>
      </c>
      <c r="AC63" s="39" t="s">
        <v>93</v>
      </c>
      <c r="AD63" s="39" t="s">
        <v>80</v>
      </c>
      <c r="AE63" s="39" t="s">
        <v>83</v>
      </c>
      <c r="AF63" s="39" t="s">
        <v>84</v>
      </c>
      <c r="AG63" s="39" t="s">
        <v>80</v>
      </c>
      <c r="AH63" s="39" t="s">
        <v>80</v>
      </c>
      <c r="AI63" s="39" t="s">
        <v>80</v>
      </c>
      <c r="AJ63" s="39" t="s">
        <v>80</v>
      </c>
      <c r="AK63" s="39" t="s">
        <v>80</v>
      </c>
      <c r="AL63" s="39" t="s">
        <v>80</v>
      </c>
      <c r="AM63" t="str">
        <f>VLOOKUP($R63,武学奇术!$A:$ZZ,25,FALSE)</f>
        <v>双刀</v>
      </c>
      <c r="AN63" s="24">
        <f>VLOOKUP($R63,武学奇术!$A:$ZZ,26,FALSE)</f>
        <v>4.28274</v>
      </c>
      <c r="AO63" s="25">
        <f>VLOOKUP($R63,武学奇术!$A:$ZZ,27,FALSE)*(1+IF(OR($AM63=$F$4,$AM63=$F$5),$B$22,0))</f>
        <v>1895.04</v>
      </c>
      <c r="AP63" s="24">
        <f>VLOOKUP($R63,武学奇术!$A:$ZZ,28,FALSE)</f>
        <v>6.42411</v>
      </c>
      <c r="AQ63" s="25">
        <f>VLOOKUP($R63,武学奇术!$A:$ZZ,29,FALSE)*(1+IF(OR($AM63=$F$4,$AM63=$F$5),$B$22,0))</f>
        <v>1031.52</v>
      </c>
      <c r="AR63" s="24" cm="1">
        <f t="array" ref="AR63">$G$3+IFERROR(VLOOKUP($AM63,$F$4:$G$7,2,FALSE),0)+VLOOKUP($R63,武学奇术!$A:$ZZ,2,FALSE)+SUM(_xlfn.XLOOKUP($S63:$AL63,增益!$A:$A,增益!$B:$B,0))</f>
        <v>0.4543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4371.3</v>
      </c>
      <c r="AU63" cm="1">
        <f t="array" ref="AU63">$E$10*(1+$AS63)+VLOOKUP($R63,武学奇术!$A:$ZZ,4,FALSE)+SUM(_xlfn.XLOOKUP($S63:$AL63,增益!$A:$A,增益!$D:$D,0))-$I$2</f>
        <v>4371.3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0.4085</v>
      </c>
      <c r="AW63" s="31" cm="1">
        <f t="array" ref="AW63">$G$10+VLOOKUP($R63,武学奇术!$A:$ZZ,7,FALSE)+SUM(_xlfn.XLOOKUP($S63:$AL63,增益!$A:$A,增益!$G:$G,0))</f>
        <v>0.135</v>
      </c>
      <c r="AX63" s="24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0.03</v>
      </c>
      <c r="BB63" s="31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0.03</v>
      </c>
      <c r="BF63" s="31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0.03</v>
      </c>
      <c r="BJ63" s="31" cm="1">
        <f t="array" ref="BJ63">$G$13+VLOOKUP($R63,武学奇术!$A:$ZZ,14,FALSE)+SUM(_xlfn.XLOOKUP($S63:$AL63,增益!$A:$A,增益!$N:$N,0))</f>
        <v>0.02</v>
      </c>
      <c r="BK63">
        <f t="shared" si="19"/>
        <v>649.11</v>
      </c>
      <c r="BL63">
        <f t="shared" si="20"/>
        <v>1707.09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0.18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0.9771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0.8861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1"/>
        <v>0.86580831</v>
      </c>
      <c r="BU63" s="24">
        <f t="shared" si="22"/>
        <v>0.04289169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K64" s="37">
        <f>$L64*VLOOKUP($R64,武学奇术!$A:$ZZ,31,FALSE)</f>
        <v>15833.507040299</v>
      </c>
      <c r="L64" s="37">
        <f t="shared" si="23"/>
        <v>15833.507040299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16257.7519731448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14837.1228976643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9913.26339825905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8836.06539084083</v>
      </c>
      <c r="Q64" s="38">
        <v>1</v>
      </c>
      <c r="R64" s="39" t="s">
        <v>110</v>
      </c>
      <c r="S64" s="39" t="s">
        <v>106</v>
      </c>
      <c r="T64" s="39" t="s">
        <v>189</v>
      </c>
      <c r="U64" s="39" t="s">
        <v>89</v>
      </c>
      <c r="V64" s="39" t="s">
        <v>80</v>
      </c>
      <c r="W64" s="39" t="s">
        <v>80</v>
      </c>
      <c r="X64" s="39" t="s">
        <v>80</v>
      </c>
      <c r="Y64" s="39" t="s">
        <v>92</v>
      </c>
      <c r="Z64" s="39" t="s">
        <v>80</v>
      </c>
      <c r="AA64" s="39" t="s">
        <v>80</v>
      </c>
      <c r="AB64" s="39" t="s">
        <v>209</v>
      </c>
      <c r="AC64" s="39" t="s">
        <v>93</v>
      </c>
      <c r="AD64" s="39" t="s">
        <v>80</v>
      </c>
      <c r="AE64" s="39" t="s">
        <v>83</v>
      </c>
      <c r="AF64" s="39" t="s">
        <v>84</v>
      </c>
      <c r="AG64" s="39" t="s">
        <v>80</v>
      </c>
      <c r="AH64" s="39" t="s">
        <v>80</v>
      </c>
      <c r="AI64" s="39" t="s">
        <v>80</v>
      </c>
      <c r="AJ64" s="39" t="s">
        <v>80</v>
      </c>
      <c r="AK64" s="39" t="s">
        <v>80</v>
      </c>
      <c r="AL64" s="39" t="s">
        <v>80</v>
      </c>
      <c r="AM64" t="str">
        <f>VLOOKUP($R64,武学奇术!$A:$ZZ,25,FALSE)</f>
        <v>双刀</v>
      </c>
      <c r="AN64" s="24">
        <f>VLOOKUP($R64,武学奇术!$A:$ZZ,26,FALSE)</f>
        <v>0.6587</v>
      </c>
      <c r="AO64" s="25">
        <f>VLOOKUP($R64,武学奇术!$A:$ZZ,27,FALSE)*(1+IF(OR($AM64=$F$4,$AM64=$F$5),$B$22,0))</f>
        <v>292.8</v>
      </c>
      <c r="AP64" s="24">
        <f>VLOOKUP($R64,武学奇术!$A:$ZZ,28,FALSE)</f>
        <v>0.9881</v>
      </c>
      <c r="AQ64" s="25">
        <f>VLOOKUP($R64,武学奇术!$A:$ZZ,29,FALSE)*(1+IF(OR($AM64=$F$4,$AM64=$F$5),$B$22,0))</f>
        <v>160</v>
      </c>
      <c r="AR64" s="24" cm="1">
        <f t="array" ref="AR64">$G$3+IFERROR(VLOOKUP($AM64,$F$4:$G$7,2,FALSE),0)+VLOOKUP($R64,武学奇术!$A:$ZZ,2,FALSE)+SUM(_xlfn.XLOOKUP($S64:$AL64,增益!$A:$A,增益!$B:$B,0))</f>
        <v>0.4043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4371.3</v>
      </c>
      <c r="AU64" cm="1">
        <f t="array" ref="AU64">$E$10*(1+$AS64)+VLOOKUP($R64,武学奇术!$A:$ZZ,4,FALSE)+SUM(_xlfn.XLOOKUP($S64:$AL64,增益!$A:$A,增益!$D:$D,0))-$I$2</f>
        <v>4371.3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0.3585</v>
      </c>
      <c r="AW64" s="31" cm="1">
        <f t="array" ref="AW64">$G$10+VLOOKUP($R64,武学奇术!$A:$ZZ,7,FALSE)+SUM(_xlfn.XLOOKUP($S64:$AL64,增益!$A:$A,增益!$G:$G,0))</f>
        <v>0.045</v>
      </c>
      <c r="AX64" s="24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-0.04</v>
      </c>
      <c r="BB64" s="31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-0.04</v>
      </c>
      <c r="BF64" s="31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-0.04</v>
      </c>
      <c r="BJ64" s="31" cm="1">
        <f t="array" ref="BJ64">$G$13+VLOOKUP($R64,武学奇术!$A:$ZZ,14,FALSE)+SUM(_xlfn.XLOOKUP($S64:$AL64,增益!$A:$A,增益!$N:$N,0))</f>
        <v>0.02</v>
      </c>
      <c r="BK64">
        <f t="shared" si="19"/>
        <v>649.11</v>
      </c>
      <c r="BL64">
        <f t="shared" si="20"/>
        <v>1707.09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0.13</v>
      </c>
      <c r="BN64" s="31" cm="1">
        <f t="array" ref="BN64">$G$14+VLOOKUP($R64,武学奇术!$A:$ZZ,16,FALSE)+SUM(_xlfn.XLOOKUP($S64:$AL64,增益!$A:$A,增益!$P:$P,0))</f>
        <v>0.17</v>
      </c>
      <c r="BO64" s="24">
        <f>MIN(IF(VLOOKUP($R64,武学奇术!$A:$ZZ,23,FALSE)=1,100%,$B$8),100%)</f>
        <v>0.9771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0.8861</v>
      </c>
      <c r="BQ64" s="24" cm="1">
        <f t="array" ref="BQ64">1+$B$13+VLOOKUP($R64,武学奇术!$A:$ZZ,18,FALSE)+SUM(_xlfn.XLOOKUP($S64:$AL64,增益!$A:$A,增益!$R:$R,0))</f>
        <v>1.64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1"/>
        <v>0.86580831</v>
      </c>
      <c r="BU64" s="24">
        <f t="shared" si="22"/>
        <v>0.02208246</v>
      </c>
      <c r="BV64" s="24">
        <f>IF(VLOOKUP($R64,武学奇术!$A:$ZZ,22,FALSE)=1,0,(1-$BO64))*(1-$BR64)</f>
        <v>0.02080923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K65" s="37">
        <f>$L65*VLOOKUP($R65,武学奇术!$A:$ZZ,31,FALSE)</f>
        <v>214232.129852496</v>
      </c>
      <c r="L65" s="88">
        <f>SUM(L55,L56,L58:L63)*0.2*(1+BX65)</f>
        <v>428464.259704992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38">
        <v>1</v>
      </c>
      <c r="R65" s="39" t="s">
        <v>168</v>
      </c>
      <c r="S65" s="39" t="s">
        <v>169</v>
      </c>
      <c r="T65" s="39" t="s">
        <v>80</v>
      </c>
      <c r="U65" s="39" t="s">
        <v>80</v>
      </c>
      <c r="V65" s="39" t="s">
        <v>80</v>
      </c>
      <c r="W65" s="39" t="s">
        <v>80</v>
      </c>
      <c r="X65" s="39" t="s">
        <v>80</v>
      </c>
      <c r="Y65" s="39" t="s">
        <v>80</v>
      </c>
      <c r="Z65" s="39" t="s">
        <v>80</v>
      </c>
      <c r="AA65" s="39" t="s">
        <v>80</v>
      </c>
      <c r="AB65" s="39" t="s">
        <v>80</v>
      </c>
      <c r="AC65" s="39" t="s">
        <v>80</v>
      </c>
      <c r="AD65" s="39" t="s">
        <v>80</v>
      </c>
      <c r="AE65" s="39" t="s">
        <v>83</v>
      </c>
      <c r="AF65" s="39" t="s">
        <v>84</v>
      </c>
      <c r="AG65" s="39" t="s">
        <v>80</v>
      </c>
      <c r="AH65" s="39" t="s">
        <v>80</v>
      </c>
      <c r="AI65" s="39" t="s">
        <v>80</v>
      </c>
      <c r="AJ65" s="39" t="s">
        <v>80</v>
      </c>
      <c r="AK65" s="39" t="s">
        <v>80</v>
      </c>
      <c r="AL65" s="39" t="s">
        <v>80</v>
      </c>
      <c r="AM65" t="str">
        <f>VLOOKUP($R65,武学奇术!$A:$ZZ,25,FALSE)</f>
        <v>心法</v>
      </c>
      <c r="AN65" s="24">
        <f>VLOOKUP($R65,武学奇术!$A:$ZZ,26,FALSE)</f>
        <v>0</v>
      </c>
      <c r="AO65" s="25">
        <f>VLOOKUP($R65,武学奇术!$A:$ZZ,27,FALSE)*(1+IF(OR($AM65=$F$4,$AM65=$F$5),$B$22,0))</f>
        <v>0</v>
      </c>
      <c r="AP65" s="24">
        <f>VLOOKUP($R65,武学奇术!$A:$ZZ,28,FALSE)</f>
        <v>0</v>
      </c>
      <c r="AQ65" s="25">
        <f>VLOOKUP($R65,武学奇术!$A:$ZZ,29,FALSE)*(1+IF(OR($AM65=$F$4,$AM65=$F$5),$B$22,0))</f>
        <v>0</v>
      </c>
      <c r="AR65" s="24" cm="1">
        <f t="array" ref="AR65">$G$3+IFERROR(VLOOKUP($AM65,$F$4:$G$7,2,FALSE),0)+VLOOKUP($R65,武学奇术!$A:$ZZ,2,FALSE)+SUM(_xlfn.XLOOKUP($S65:$AL65,增益!$A:$A,增益!$B:$B,0))</f>
        <v>0.1842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4371.3</v>
      </c>
      <c r="AU65" cm="1">
        <f t="array" ref="AU65">$E$10*(1+$AS65)+VLOOKUP($R65,武学奇术!$A:$ZZ,4,FALSE)+SUM(_xlfn.XLOOKUP($S65:$AL65,增益!$A:$A,增益!$D:$D,0))-$I$2</f>
        <v>4371.3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0.2585</v>
      </c>
      <c r="AW65" s="31" cm="1">
        <f t="array" ref="AW65">$G$10+VLOOKUP($R65,武学奇术!$A:$ZZ,7,FALSE)+SUM(_xlfn.XLOOKUP($S65:$AL65,增益!$A:$A,增益!$G:$G,0))</f>
        <v>0.025</v>
      </c>
      <c r="AX65" s="24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1" cm="1">
        <f t="array" ref="BB65">$G$11+VLOOKUP($R65,武学奇术!$A:$ZZ,10,FALSE)+SUM(_xlfn.XLOOKUP($S65:$AL65,增益!$A:$A,增益!$J:$J,0))</f>
        <v>0</v>
      </c>
      <c r="BC65">
        <f t="shared" si="15"/>
        <v>0</v>
      </c>
      <c r="BD65">
        <f t="shared" si="16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1" cm="1">
        <f t="array" ref="BF65">$G$12+VLOOKUP($R65,武学奇术!$A:$ZZ,12,FALSE)+SUM(_xlfn.XLOOKUP($S65:$AL65,增益!$A:$A,增益!$L:$L,0))</f>
        <v>0</v>
      </c>
      <c r="BG65">
        <f t="shared" si="17"/>
        <v>0</v>
      </c>
      <c r="BH65">
        <f t="shared" si="18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1" cm="1">
        <f t="array" ref="BJ65">$G$13+VLOOKUP($R65,武学奇术!$A:$ZZ,14,FALSE)+SUM(_xlfn.XLOOKUP($S65:$AL65,增益!$A:$A,增益!$N:$N,0))</f>
        <v>0</v>
      </c>
      <c r="BK65">
        <f t="shared" si="19"/>
        <v>649.11</v>
      </c>
      <c r="BL65">
        <f t="shared" si="20"/>
        <v>1707.09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1" cm="1">
        <f t="array" ref="BN65">$G$14+VLOOKUP($R65,武学奇术!$A:$ZZ,16,FALSE)+SUM(_xlfn.XLOOKUP($S65:$AL65,增益!$A:$A,增益!$P:$P,0))</f>
        <v>0.15</v>
      </c>
      <c r="BO65" s="24">
        <f>MIN(IF(VLOOKUP($R65,武学奇术!$A:$ZZ,23,FALSE)=1,100%,$B$8),100%)</f>
        <v>0.9771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0.8861</v>
      </c>
      <c r="BQ65" s="24" cm="1">
        <f t="array" ref="BQ65">1+$B$13+VLOOKUP($R65,武学奇术!$A:$ZZ,18,FALSE)+SUM(_xlfn.XLOOKUP($S65:$AL65,增益!$A:$A,增益!$R:$R,0))</f>
        <v>1.54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1"/>
        <v>0.86580831</v>
      </c>
      <c r="BU65" s="24">
        <f t="shared" si="22"/>
        <v>0.02208246</v>
      </c>
      <c r="BV65" s="24">
        <f>IF(VLOOKUP($R65,武学奇术!$A:$ZZ,22,FALSE)=1,0,(1-$BO65))*(1-$BR65)</f>
        <v>0.02080923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0.2</v>
      </c>
    </row>
    <row r="66" spans="1:76">
      <c r="K66" s="37">
        <f>$L66*VLOOKUP($R66,武学奇术!$A:$ZZ,31,FALSE)</f>
        <v>230231.039719842</v>
      </c>
      <c r="L66" s="37">
        <f t="shared" si="23"/>
        <v>230231.039719842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237027.570785725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211849.430164821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140253.000464926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123580.497104059</v>
      </c>
      <c r="Q66" s="38">
        <v>1</v>
      </c>
      <c r="R66" s="39" t="s">
        <v>210</v>
      </c>
      <c r="S66" s="39" t="s">
        <v>106</v>
      </c>
      <c r="T66" s="39" t="s">
        <v>189</v>
      </c>
      <c r="U66" s="39" t="s">
        <v>89</v>
      </c>
      <c r="V66" s="39" t="s">
        <v>90</v>
      </c>
      <c r="W66" s="39" t="s">
        <v>91</v>
      </c>
      <c r="X66" s="39" t="s">
        <v>80</v>
      </c>
      <c r="Y66" s="39" t="s">
        <v>92</v>
      </c>
      <c r="Z66" s="39" t="s">
        <v>80</v>
      </c>
      <c r="AA66" s="39" t="s">
        <v>80</v>
      </c>
      <c r="AB66" s="39" t="s">
        <v>203</v>
      </c>
      <c r="AC66" s="39" t="s">
        <v>93</v>
      </c>
      <c r="AD66" s="39" t="s">
        <v>80</v>
      </c>
      <c r="AE66" s="39" t="s">
        <v>83</v>
      </c>
      <c r="AF66" s="39" t="s">
        <v>84</v>
      </c>
      <c r="AG66" s="39" t="s">
        <v>80</v>
      </c>
      <c r="AH66" s="39" t="s">
        <v>80</v>
      </c>
      <c r="AI66" s="39" t="s">
        <v>80</v>
      </c>
      <c r="AJ66" s="39" t="s">
        <v>80</v>
      </c>
      <c r="AK66" s="39" t="s">
        <v>80</v>
      </c>
      <c r="AL66" s="39" t="s">
        <v>80</v>
      </c>
      <c r="AM66" t="str">
        <f>VLOOKUP($R66,武学奇术!$A:$ZZ,25,FALSE)</f>
        <v>群体奇术</v>
      </c>
      <c r="AN66" s="24">
        <f>VLOOKUP($R66,武学奇术!$A:$ZZ,26,FALSE)</f>
        <v>10.315755</v>
      </c>
      <c r="AO66" s="25">
        <f>VLOOKUP($R66,武学奇术!$A:$ZZ,27,FALSE)*(1+IF(OR($AM66=$F$4,$AM66=$F$5),$B$22,0))</f>
        <v>1992.6</v>
      </c>
      <c r="AP66" s="24">
        <f>VLOOKUP($R66,武学奇术!$A:$ZZ,28,FALSE)</f>
        <v>15.4736325</v>
      </c>
      <c r="AQ66" s="25">
        <f>VLOOKUP($R66,武学奇术!$A:$ZZ,29,FALSE)*(1+IF(OR($AM66=$F$4,$AM66=$F$5),$B$22,0))</f>
        <v>0</v>
      </c>
      <c r="AR66" s="24" cm="1">
        <f t="array" ref="AR66">$G$3+IFERROR(VLOOKUP($AM66,$F$4:$G$7,2,FALSE),0)+VLOOKUP($R66,武学奇术!$A:$ZZ,2,FALSE)+SUM(_xlfn.XLOOKUP($S66:$AL66,增益!$A:$A,增益!$B:$B,0))</f>
        <v>0.2342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4371.3</v>
      </c>
      <c r="AU66" cm="1">
        <f t="array" ref="AU66">$E$10*(1+$AS66)+VLOOKUP($R66,武学奇术!$A:$ZZ,4,FALSE)+SUM(_xlfn.XLOOKUP($S66:$AL66,增益!$A:$A,增益!$D:$D,0))-$I$2</f>
        <v>4371.3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0.4085</v>
      </c>
      <c r="AW66" s="31" cm="1">
        <f t="array" ref="AW66">$G$10+VLOOKUP($R66,武学奇术!$A:$ZZ,7,FALSE)+SUM(_xlfn.XLOOKUP($S66:$AL66,增益!$A:$A,增益!$G:$G,0))</f>
        <v>0.135</v>
      </c>
      <c r="AX66" s="24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0.03</v>
      </c>
      <c r="BB66" s="31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0.03</v>
      </c>
      <c r="BF66" s="31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0.03</v>
      </c>
      <c r="BJ66" s="31" cm="1">
        <f t="array" ref="BJ66">$G$13+VLOOKUP($R66,武学奇术!$A:$ZZ,14,FALSE)+SUM(_xlfn.XLOOKUP($S66:$AL66,增益!$A:$A,增益!$N:$N,0))</f>
        <v>0.02</v>
      </c>
      <c r="BK66">
        <f t="shared" si="19"/>
        <v>649.11</v>
      </c>
      <c r="BL66">
        <f t="shared" si="20"/>
        <v>1707.09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0.18</v>
      </c>
      <c r="BN66" s="31" cm="1">
        <f t="array" ref="BN66">$G$14+VLOOKUP($R66,武学奇术!$A:$ZZ,16,FALSE)+SUM(_xlfn.XLOOKUP($S66:$AL66,增益!$A:$A,增益!$P:$P,0))</f>
        <v>0.26</v>
      </c>
      <c r="BO66" s="24">
        <f>MIN(IF(VLOOKUP($R66,武学奇术!$A:$ZZ,23,FALSE)=1,100%,$B$8),100%)</f>
        <v>0.9771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0.8861</v>
      </c>
      <c r="BQ66" s="24" cm="1">
        <f t="array" ref="BQ66">1+$B$13+VLOOKUP($R66,武学奇术!$A:$ZZ,18,FALSE)+SUM(_xlfn.XLOOKUP($S66:$AL66,增益!$A:$A,增益!$R:$R,0))</f>
        <v>1.69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1"/>
        <v>0.86580831</v>
      </c>
      <c r="BU66" s="24">
        <f t="shared" si="22"/>
        <v>0.02208246</v>
      </c>
      <c r="BV66" s="24">
        <f>IF(VLOOKUP($R66,武学奇术!$A:$ZZ,22,FALSE)=1,0,(1-$BO66))*(1-$BR66)</f>
        <v>0.02080923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B67" s="95"/>
      <c r="K67" s="37">
        <f>$L67*VLOOKUP($R67,武学奇术!$A:$ZZ,31,FALSE)</f>
        <v>0</v>
      </c>
      <c r="L67" s="37">
        <f t="shared" si="23"/>
        <v>0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8">
        <v>1</v>
      </c>
      <c r="R67" s="39" t="s">
        <v>80</v>
      </c>
      <c r="S67" s="39" t="s">
        <v>80</v>
      </c>
      <c r="T67" s="39" t="s">
        <v>80</v>
      </c>
      <c r="U67" s="39" t="s">
        <v>80</v>
      </c>
      <c r="V67" s="39" t="s">
        <v>80</v>
      </c>
      <c r="W67" s="39" t="s">
        <v>80</v>
      </c>
      <c r="X67" s="39" t="s">
        <v>80</v>
      </c>
      <c r="Y67" s="39" t="s">
        <v>80</v>
      </c>
      <c r="Z67" s="39" t="s">
        <v>80</v>
      </c>
      <c r="AA67" s="39" t="s">
        <v>80</v>
      </c>
      <c r="AB67" s="39" t="s">
        <v>80</v>
      </c>
      <c r="AC67" s="39" t="s">
        <v>80</v>
      </c>
      <c r="AD67" s="39" t="s">
        <v>80</v>
      </c>
      <c r="AE67" s="39" t="s">
        <v>83</v>
      </c>
      <c r="AF67" s="39" t="s">
        <v>84</v>
      </c>
      <c r="AG67" s="39" t="s">
        <v>80</v>
      </c>
      <c r="AH67" s="39" t="s">
        <v>80</v>
      </c>
      <c r="AI67" s="39" t="s">
        <v>80</v>
      </c>
      <c r="AJ67" s="39" t="s">
        <v>80</v>
      </c>
      <c r="AK67" s="39" t="s">
        <v>80</v>
      </c>
      <c r="AL67" s="39" t="s">
        <v>80</v>
      </c>
      <c r="AM67" t="str">
        <f>VLOOKUP($R67,武学奇术!$A:$ZZ,25,FALSE)</f>
        <v>心法</v>
      </c>
      <c r="AN67" s="24">
        <f>VLOOKUP($R67,武学奇术!$A:$ZZ,26,FALSE)</f>
        <v>0</v>
      </c>
      <c r="AO67" s="25">
        <f>VLOOKUP($R67,武学奇术!$A:$ZZ,27,FALSE)*(1+IF(OR($AM67=$F$4,$AM67=$F$5),$B$22,0))</f>
        <v>0</v>
      </c>
      <c r="AP67" s="24">
        <f>VLOOKUP($R67,武学奇术!$A:$ZZ,28,FALSE)</f>
        <v>0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0.1842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4371.3</v>
      </c>
      <c r="AU67" cm="1">
        <f t="array" ref="AU67">$E$10*(1+$AS67)+VLOOKUP($R67,武学奇术!$A:$ZZ,4,FALSE)+SUM(_xlfn.XLOOKUP($S67:$AL67,增益!$A:$A,增益!$D:$D,0))-$I$2</f>
        <v>4371.3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0.2585</v>
      </c>
      <c r="AW67" s="31" cm="1">
        <f t="array" ref="AW67">$G$10+VLOOKUP($R67,武学奇术!$A:$ZZ,7,FALSE)+SUM(_xlfn.XLOOKUP($S67:$AL67,增益!$A:$A,增益!$G:$G,0))</f>
        <v>0.025</v>
      </c>
      <c r="AX67" s="24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</v>
      </c>
      <c r="BC67">
        <f t="shared" ref="BC67:BC98" si="26">$D$12*(1+$AX67)</f>
        <v>0</v>
      </c>
      <c r="BD67">
        <f t="shared" ref="BD67:BD98" si="27">$E$12*(1+$AX67)</f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</v>
      </c>
      <c r="BG67">
        <f t="shared" ref="BG67:BG98" si="28">$D$13*(1+$AX67)</f>
        <v>0</v>
      </c>
      <c r="BH67">
        <f t="shared" ref="BH67:BH98" si="29">$E$13*(1+$AX67)</f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</v>
      </c>
      <c r="BK67">
        <f t="shared" ref="BK67:BK98" si="30">$D$14*(1+$AX67)</f>
        <v>649.11</v>
      </c>
      <c r="BL67">
        <f t="shared" ref="BL67:BL98" si="31">$E$14*(1+$AX67)</f>
        <v>1707.09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0.15</v>
      </c>
      <c r="BO67" s="24">
        <f>MIN(IF(VLOOKUP($R67,武学奇术!$A:$ZZ,23,FALSE)=1,100%,$B$8),100%)</f>
        <v>0.9771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0.8861</v>
      </c>
      <c r="BQ67" s="24" cm="1">
        <f t="array" ref="BQ67">1+$B$13+VLOOKUP($R67,武学奇术!$A:$ZZ,18,FALSE)+SUM(_xlfn.XLOOKUP($S67:$AL67,增益!$A:$A,增益!$R:$R,0))</f>
        <v>1.54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2">MIN((1-BR67)*BO67,BO67*BP67)</f>
        <v>0.86580831</v>
      </c>
      <c r="BU67" s="24">
        <f t="shared" ref="BU67:BU98" si="33">1-BR67-BT67-BV67</f>
        <v>0.02208246</v>
      </c>
      <c r="BV67" s="24">
        <f>IF(VLOOKUP($R67,武学奇术!$A:$ZZ,22,FALSE)=1,0,(1-$BO67))*(1-$BR67)</f>
        <v>0.02080923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K68" s="37">
        <f>$L68*VLOOKUP($R68,武学奇术!$A:$ZZ,31,FALSE)</f>
        <v>32836.8130753129</v>
      </c>
      <c r="L68" s="37">
        <f t="shared" si="23"/>
        <v>32836.8130753129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33834.5762262845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29876.9396191216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20020.4593054938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17909.8522264531</v>
      </c>
      <c r="Q68" s="38">
        <v>1</v>
      </c>
      <c r="R68" s="39" t="s">
        <v>115</v>
      </c>
      <c r="S68" s="39" t="s">
        <v>78</v>
      </c>
      <c r="T68" s="39" t="s">
        <v>189</v>
      </c>
      <c r="U68" s="39" t="s">
        <v>89</v>
      </c>
      <c r="V68" s="39" t="s">
        <v>90</v>
      </c>
      <c r="W68" s="39" t="s">
        <v>91</v>
      </c>
      <c r="X68" s="39" t="s">
        <v>80</v>
      </c>
      <c r="Y68" s="39" t="s">
        <v>80</v>
      </c>
      <c r="Z68" s="39" t="s">
        <v>80</v>
      </c>
      <c r="AA68" s="39" t="s">
        <v>80</v>
      </c>
      <c r="AB68" s="39" t="s">
        <v>203</v>
      </c>
      <c r="AC68" s="39" t="s">
        <v>93</v>
      </c>
      <c r="AD68" s="39" t="s">
        <v>80</v>
      </c>
      <c r="AE68" s="39" t="s">
        <v>83</v>
      </c>
      <c r="AF68" s="39" t="s">
        <v>84</v>
      </c>
      <c r="AG68" s="39" t="s">
        <v>80</v>
      </c>
      <c r="AH68" s="39" t="s">
        <v>80</v>
      </c>
      <c r="AI68" s="39" t="s">
        <v>80</v>
      </c>
      <c r="AJ68" s="39" t="s">
        <v>80</v>
      </c>
      <c r="AK68" s="39" t="s">
        <v>80</v>
      </c>
      <c r="AL68" s="39" t="s">
        <v>80</v>
      </c>
      <c r="AM68" t="str">
        <f>VLOOKUP($R68,武学奇术!$A:$ZZ,25,FALSE)</f>
        <v>双刀</v>
      </c>
      <c r="AN68" s="24">
        <f>VLOOKUP($R68,武学奇术!$A:$ZZ,26,FALSE)</f>
        <v>1.2672</v>
      </c>
      <c r="AO68" s="25">
        <f>VLOOKUP($R68,武学奇术!$A:$ZZ,27,FALSE)*(1+IF(OR($AM68=$F$4,$AM68=$F$5),$B$22,0))</f>
        <v>562.56</v>
      </c>
      <c r="AP68" s="24">
        <f>VLOOKUP($R68,武学奇术!$A:$ZZ,28,FALSE)</f>
        <v>1.90092</v>
      </c>
      <c r="AQ68" s="25">
        <f>VLOOKUP($R68,武学奇术!$A:$ZZ,29,FALSE)*(1+IF(OR($AM68=$F$4,$AM68=$F$5),$B$22,0))</f>
        <v>307.2</v>
      </c>
      <c r="AR68" s="24" cm="1">
        <f t="array" ref="AR68">$G$3+IFERROR(VLOOKUP($AM68,$F$4:$G$7,2,FALSE),0)+VLOOKUP($R68,武学奇术!$A:$ZZ,2,FALSE)+SUM(_xlfn.XLOOKUP($S68:$AL68,增益!$A:$A,增益!$B:$B,0))</f>
        <v>0.3643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4371.3</v>
      </c>
      <c r="AU68" cm="1">
        <f t="array" ref="AU68">$E$10*(1+$AS68)+VLOOKUP($R68,武学奇术!$A:$ZZ,4,FALSE)+SUM(_xlfn.XLOOKUP($S68:$AL68,增益!$A:$A,增益!$D:$D,0))-$I$2</f>
        <v>4371.3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0.3685</v>
      </c>
      <c r="AW68" s="31" cm="1">
        <f t="array" ref="AW68">$G$10+VLOOKUP($R68,武学奇术!$A:$ZZ,7,FALSE)+SUM(_xlfn.XLOOKUP($S68:$AL68,增益!$A:$A,增益!$G:$G,0))</f>
        <v>0.135</v>
      </c>
      <c r="AX68" s="24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31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31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31" cm="1">
        <f t="array" ref="BJ68">$G$13+VLOOKUP($R68,武学奇术!$A:$ZZ,14,FALSE)+SUM(_xlfn.XLOOKUP($S68:$AL68,增益!$A:$A,增益!$N:$N,0))</f>
        <v>0.02</v>
      </c>
      <c r="BK68">
        <f t="shared" si="30"/>
        <v>649.11</v>
      </c>
      <c r="BL68">
        <f t="shared" si="31"/>
        <v>1707.09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0.9771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0.8861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2"/>
        <v>0.86580831</v>
      </c>
      <c r="BU68" s="24">
        <f t="shared" si="33"/>
        <v>0.02208246</v>
      </c>
      <c r="BV68" s="24">
        <f>IF(VLOOKUP($R68,武学奇术!$A:$ZZ,22,FALSE)=1,0,(1-$BO68))*(1-$BR68)</f>
        <v>0.02080923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K69" s="37">
        <f>$L69*VLOOKUP($R69,武学奇术!$A:$ZZ,31,FALSE)</f>
        <v>51000.2158944047</v>
      </c>
      <c r="L69" s="37">
        <f t="shared" si="23"/>
        <v>51000.2158944047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53404.7243942345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40224.2699849883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26836.5449217259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23877.334299016</v>
      </c>
      <c r="Q69" s="38">
        <v>1</v>
      </c>
      <c r="R69" s="39" t="s">
        <v>123</v>
      </c>
      <c r="S69" s="39" t="s">
        <v>87</v>
      </c>
      <c r="T69" s="39" t="s">
        <v>189</v>
      </c>
      <c r="U69" s="39" t="s">
        <v>89</v>
      </c>
      <c r="V69" s="39" t="s">
        <v>90</v>
      </c>
      <c r="W69" s="39" t="s">
        <v>91</v>
      </c>
      <c r="X69" s="39" t="s">
        <v>80</v>
      </c>
      <c r="Y69" s="39" t="s">
        <v>92</v>
      </c>
      <c r="Z69" s="39" t="s">
        <v>80</v>
      </c>
      <c r="AA69" s="39" t="s">
        <v>80</v>
      </c>
      <c r="AB69" s="39" t="s">
        <v>203</v>
      </c>
      <c r="AC69" s="39" t="s">
        <v>93</v>
      </c>
      <c r="AD69" s="39" t="s">
        <v>80</v>
      </c>
      <c r="AE69" s="39" t="s">
        <v>83</v>
      </c>
      <c r="AF69" s="39" t="s">
        <v>84</v>
      </c>
      <c r="AG69" s="39" t="s">
        <v>80</v>
      </c>
      <c r="AH69" s="39" t="s">
        <v>80</v>
      </c>
      <c r="AI69" s="39" t="s">
        <v>80</v>
      </c>
      <c r="AJ69" s="39" t="s">
        <v>80</v>
      </c>
      <c r="AK69" s="39" t="s">
        <v>80</v>
      </c>
      <c r="AL69" s="39" t="s">
        <v>80</v>
      </c>
      <c r="AM69" t="str">
        <f>VLOOKUP($R69,武学奇术!$A:$ZZ,25,FALSE)</f>
        <v>拳甲</v>
      </c>
      <c r="AN69" s="24">
        <f>VLOOKUP($R69,武学奇术!$A:$ZZ,26,FALSE)</f>
        <v>1.58662</v>
      </c>
      <c r="AO69" s="25">
        <f>VLOOKUP($R69,武学奇术!$A:$ZZ,27,FALSE)*(1+IF(OR($AM69=$F$4,$AM69=$F$5),$B$22,0))</f>
        <v>703.36</v>
      </c>
      <c r="AP69" s="24">
        <f>VLOOKUP($R69,武学奇术!$A:$ZZ,28,FALSE)</f>
        <v>2.37986</v>
      </c>
      <c r="AQ69" s="25">
        <f>VLOOKUP($R69,武学奇术!$A:$ZZ,29,FALSE)*(1+IF(OR($AM69=$F$4,$AM69=$F$5),$B$22,0))</f>
        <v>383.04</v>
      </c>
      <c r="AR69" s="24" cm="1">
        <f t="array" ref="AR69">$G$3+IFERROR(VLOOKUP($AM69,$F$4:$G$7,2,FALSE),0)+VLOOKUP($R69,武学奇术!$A:$ZZ,2,FALSE)+SUM(_xlfn.XLOOKUP($S69:$AL69,增益!$A:$A,增益!$B:$B,0))</f>
        <v>0.4243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4371.3</v>
      </c>
      <c r="AU69" cm="1">
        <f t="array" ref="AU69">$E$10*(1+$AS69)+VLOOKUP($R69,武学奇术!$A:$ZZ,4,FALSE)+SUM(_xlfn.XLOOKUP($S69:$AL69,增益!$A:$A,增益!$D:$D,0))-$I$2</f>
        <v>4371.3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0.3785</v>
      </c>
      <c r="AW69" s="31" cm="1">
        <f t="array" ref="AW69">$G$10+VLOOKUP($R69,武学奇术!$A:$ZZ,7,FALSE)+SUM(_xlfn.XLOOKUP($S69:$AL69,增益!$A:$A,增益!$G:$G,0))</f>
        <v>0.135</v>
      </c>
      <c r="AX69" s="24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0.03</v>
      </c>
      <c r="BB69" s="31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0.03</v>
      </c>
      <c r="BF69" s="31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0.03</v>
      </c>
      <c r="BJ69" s="31" cm="1">
        <f t="array" ref="BJ69">$G$13+VLOOKUP($R69,武学奇术!$A:$ZZ,14,FALSE)+SUM(_xlfn.XLOOKUP($S69:$AL69,增益!$A:$A,增益!$N:$N,0))</f>
        <v>0.02</v>
      </c>
      <c r="BK69">
        <f t="shared" si="30"/>
        <v>649.11</v>
      </c>
      <c r="BL69">
        <f t="shared" si="31"/>
        <v>1707.09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0.18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0.9771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0.8861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2"/>
        <v>0.86580831</v>
      </c>
      <c r="BU69" s="24">
        <f t="shared" si="33"/>
        <v>0.02208246</v>
      </c>
      <c r="BV69" s="24">
        <f>IF(VLOOKUP($R69,武学奇术!$A:$ZZ,22,FALSE)=1,0,(1-$BO69))*(1-$BR69)</f>
        <v>0.02080923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A70" t="s">
        <v>211</v>
      </c>
      <c r="B70">
        <v>20.45</v>
      </c>
      <c r="K70" s="37">
        <f>$L70*VLOOKUP($R70,武学奇术!$A:$ZZ,31,FALSE)</f>
        <v>34882.7216484869</v>
      </c>
      <c r="L70" s="37">
        <f t="shared" si="23"/>
        <v>34882.7216484869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36527.4291687095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27511.2000362332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18355.4920445776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16332.3173956492</v>
      </c>
      <c r="Q70" s="38">
        <v>1</v>
      </c>
      <c r="R70" s="39" t="s">
        <v>126</v>
      </c>
      <c r="S70" s="39" t="s">
        <v>87</v>
      </c>
      <c r="T70" s="39" t="s">
        <v>189</v>
      </c>
      <c r="U70" s="39" t="s">
        <v>89</v>
      </c>
      <c r="V70" s="39" t="s">
        <v>90</v>
      </c>
      <c r="W70" s="39" t="s">
        <v>91</v>
      </c>
      <c r="X70" s="39" t="s">
        <v>80</v>
      </c>
      <c r="Y70" s="39" t="s">
        <v>92</v>
      </c>
      <c r="Z70" s="39" t="s">
        <v>80</v>
      </c>
      <c r="AA70" s="39" t="s">
        <v>80</v>
      </c>
      <c r="AB70" s="39" t="s">
        <v>203</v>
      </c>
      <c r="AC70" s="39" t="s">
        <v>93</v>
      </c>
      <c r="AD70" s="39" t="s">
        <v>80</v>
      </c>
      <c r="AE70" s="39" t="s">
        <v>83</v>
      </c>
      <c r="AF70" s="39" t="s">
        <v>84</v>
      </c>
      <c r="AG70" s="39" t="s">
        <v>80</v>
      </c>
      <c r="AH70" s="39" t="s">
        <v>80</v>
      </c>
      <c r="AI70" s="39" t="s">
        <v>80</v>
      </c>
      <c r="AJ70" s="39" t="s">
        <v>80</v>
      </c>
      <c r="AK70" s="39" t="s">
        <v>80</v>
      </c>
      <c r="AL70" s="39" t="s">
        <v>80</v>
      </c>
      <c r="AM70" t="str">
        <f>VLOOKUP($R70,武学奇术!$A:$ZZ,25,FALSE)</f>
        <v>拳甲</v>
      </c>
      <c r="AN70" s="24">
        <f>VLOOKUP($R70,武学奇术!$A:$ZZ,26,FALSE)</f>
        <v>1.08472</v>
      </c>
      <c r="AO70" s="25">
        <f>VLOOKUP($R70,武学奇术!$A:$ZZ,27,FALSE)*(1+IF(OR($AM70=$F$4,$AM70=$F$5),$B$22,0))</f>
        <v>483.84</v>
      </c>
      <c r="AP70" s="24">
        <f>VLOOKUP($R70,武学奇术!$A:$ZZ,28,FALSE)</f>
        <v>1.62708</v>
      </c>
      <c r="AQ70" s="25">
        <f>VLOOKUP($R70,武学奇术!$A:$ZZ,29,FALSE)*(1+IF(OR($AM70=$F$4,$AM70=$F$5),$B$22,0))</f>
        <v>262.08</v>
      </c>
      <c r="AR70" s="24" cm="1">
        <f t="array" ref="AR70">$G$3+IFERROR(VLOOKUP($AM70,$F$4:$G$7,2,FALSE),0)+VLOOKUP($R70,武学奇术!$A:$ZZ,2,FALSE)+SUM(_xlfn.XLOOKUP($S70:$AL70,增益!$A:$A,增益!$B:$B,0))</f>
        <v>0.4243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4371.3</v>
      </c>
      <c r="AU70" cm="1">
        <f t="array" ref="AU70">$E$10*(1+$AS70)+VLOOKUP($R70,武学奇术!$A:$ZZ,4,FALSE)+SUM(_xlfn.XLOOKUP($S70:$AL70,增益!$A:$A,增益!$D:$D,0))-$I$2</f>
        <v>4371.3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0.3785</v>
      </c>
      <c r="AW70" s="31" cm="1">
        <f t="array" ref="AW70">$G$10+VLOOKUP($R70,武学奇术!$A:$ZZ,7,FALSE)+SUM(_xlfn.XLOOKUP($S70:$AL70,增益!$A:$A,增益!$G:$G,0))</f>
        <v>0.135</v>
      </c>
      <c r="AX70" s="24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0.03</v>
      </c>
      <c r="BB70" s="31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0.03</v>
      </c>
      <c r="BF70" s="31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0.03</v>
      </c>
      <c r="BJ70" s="31" cm="1">
        <f t="array" ref="BJ70">$G$13+VLOOKUP($R70,武学奇术!$A:$ZZ,14,FALSE)+SUM(_xlfn.XLOOKUP($S70:$AL70,增益!$A:$A,增益!$N:$N,0))</f>
        <v>0.02</v>
      </c>
      <c r="BK70">
        <f t="shared" si="30"/>
        <v>649.11</v>
      </c>
      <c r="BL70">
        <f t="shared" si="31"/>
        <v>1707.09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0.18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0.9771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0.8861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2"/>
        <v>0.86580831</v>
      </c>
      <c r="BU70" s="24">
        <f t="shared" si="33"/>
        <v>0.02208246</v>
      </c>
      <c r="BV70" s="24">
        <f>IF(VLOOKUP($R70,武学奇术!$A:$ZZ,22,FALSE)=1,0,(1-$BO70))*(1-$BR70)</f>
        <v>0.02080923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A71" t="s">
        <v>175</v>
      </c>
      <c r="B71">
        <v>0.8</v>
      </c>
      <c r="K71" s="37">
        <f>$L71*VLOOKUP($R71,武学奇术!$A:$ZZ,31,FALSE)</f>
        <v>81409.7847213305</v>
      </c>
      <c r="L71" s="37">
        <f t="shared" si="23"/>
        <v>50881.1154508315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52530.9030331747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45809.4036053816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30190.1741569969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26447.4567544519</v>
      </c>
      <c r="Q71" s="38">
        <v>1</v>
      </c>
      <c r="R71" s="39" t="s">
        <v>120</v>
      </c>
      <c r="S71" s="39" t="s">
        <v>97</v>
      </c>
      <c r="T71" s="39" t="s">
        <v>189</v>
      </c>
      <c r="U71" s="39" t="s">
        <v>89</v>
      </c>
      <c r="V71" s="39" t="s">
        <v>129</v>
      </c>
      <c r="W71" s="39" t="s">
        <v>91</v>
      </c>
      <c r="X71" s="39" t="s">
        <v>80</v>
      </c>
      <c r="Y71" s="39" t="s">
        <v>92</v>
      </c>
      <c r="Z71" s="39" t="s">
        <v>80</v>
      </c>
      <c r="AA71" s="39" t="s">
        <v>80</v>
      </c>
      <c r="AB71" s="39" t="s">
        <v>203</v>
      </c>
      <c r="AC71" s="39" t="s">
        <v>93</v>
      </c>
      <c r="AD71" s="39" t="s">
        <v>121</v>
      </c>
      <c r="AE71" s="39" t="s">
        <v>83</v>
      </c>
      <c r="AF71" s="39" t="s">
        <v>84</v>
      </c>
      <c r="AG71" s="39" t="s">
        <v>212</v>
      </c>
      <c r="AH71" s="39" t="s">
        <v>80</v>
      </c>
      <c r="AI71" s="39" t="s">
        <v>80</v>
      </c>
      <c r="AJ71" s="39" t="s">
        <v>80</v>
      </c>
      <c r="AK71" s="39" t="s">
        <v>80</v>
      </c>
      <c r="AL71" s="39" t="s">
        <v>80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0.5343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4371.3</v>
      </c>
      <c r="AU71" cm="1">
        <f t="array" ref="AU71">$E$10*(1+$AS71)+VLOOKUP($R71,武学奇术!$A:$ZZ,4,FALSE)+SUM(_xlfn.XLOOKUP($S71:$AL71,增益!$A:$A,增益!$D:$D,0))-$I$2</f>
        <v>4371.3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0.3885</v>
      </c>
      <c r="AW71" s="31" cm="1">
        <f t="array" ref="AW71">$G$10+VLOOKUP($R71,武学奇术!$A:$ZZ,7,FALSE)+SUM(_xlfn.XLOOKUP($S71:$AL71,增益!$A:$A,增益!$G:$G,0))</f>
        <v>0.135</v>
      </c>
      <c r="AX71" s="24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0.03</v>
      </c>
      <c r="BB71" s="31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0.03</v>
      </c>
      <c r="BF71" s="31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0.03</v>
      </c>
      <c r="BJ71" s="31" cm="1">
        <f t="array" ref="BJ71">$G$13+VLOOKUP($R71,武学奇术!$A:$ZZ,14,FALSE)+SUM(_xlfn.XLOOKUP($S71:$AL71,增益!$A:$A,增益!$N:$N,0))</f>
        <v>0.02</v>
      </c>
      <c r="BK71">
        <f t="shared" si="30"/>
        <v>649.11</v>
      </c>
      <c r="BL71">
        <f t="shared" si="31"/>
        <v>1707.09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0.18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0.9771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0.8861</v>
      </c>
      <c r="BQ71" s="24" cm="1">
        <f t="array" ref="BQ71">1+$B$13+VLOOKUP($R71,武学奇术!$A:$ZZ,18,FALSE)+SUM(_xlfn.XLOOKUP($S71:$AL71,增益!$A:$A,增益!$R:$R,0))</f>
        <v>1.74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2"/>
        <v>0.86580831</v>
      </c>
      <c r="BU71" s="24">
        <f t="shared" si="33"/>
        <v>0.02208246</v>
      </c>
      <c r="BV71" s="24">
        <f>IF(VLOOKUP($R71,武学奇术!$A:$ZZ,22,FALSE)=1,0,(1-$BO71))*(1-$BR71)</f>
        <v>0.02080923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t="s">
        <v>177</v>
      </c>
      <c r="B72">
        <v>0.7</v>
      </c>
      <c r="D72" s="38" t="s">
        <v>178</v>
      </c>
      <c r="K72" s="37">
        <f>$L72*VLOOKUP($R72,武学奇术!$A:$ZZ,31,FALSE)</f>
        <v>378728.180542268</v>
      </c>
      <c r="L72" s="37">
        <f t="shared" si="23"/>
        <v>378728.180542268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397039.139908697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291571.868618122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194627.029367009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173274.896794667</v>
      </c>
      <c r="Q72" s="38">
        <v>1</v>
      </c>
      <c r="R72" s="39" t="s">
        <v>132</v>
      </c>
      <c r="S72" s="39" t="s">
        <v>97</v>
      </c>
      <c r="T72" s="39" t="s">
        <v>189</v>
      </c>
      <c r="U72" s="39" t="s">
        <v>89</v>
      </c>
      <c r="V72" s="39" t="s">
        <v>129</v>
      </c>
      <c r="W72" s="39" t="s">
        <v>91</v>
      </c>
      <c r="X72" s="39" t="s">
        <v>80</v>
      </c>
      <c r="Y72" s="39" t="s">
        <v>92</v>
      </c>
      <c r="Z72" s="39" t="s">
        <v>80</v>
      </c>
      <c r="AA72" s="39" t="s">
        <v>80</v>
      </c>
      <c r="AB72" s="39" t="s">
        <v>203</v>
      </c>
      <c r="AC72" s="39" t="s">
        <v>99</v>
      </c>
      <c r="AD72" s="39" t="s">
        <v>121</v>
      </c>
      <c r="AE72" s="39" t="s">
        <v>83</v>
      </c>
      <c r="AF72" s="39" t="s">
        <v>84</v>
      </c>
      <c r="AG72" s="39" t="s">
        <v>212</v>
      </c>
      <c r="AH72" s="39" t="s">
        <v>80</v>
      </c>
      <c r="AI72" s="39" t="s">
        <v>80</v>
      </c>
      <c r="AJ72" s="39" t="s">
        <v>80</v>
      </c>
      <c r="AK72" s="39" t="s">
        <v>80</v>
      </c>
      <c r="AL72" s="39" t="s">
        <v>80</v>
      </c>
      <c r="AM72" t="str">
        <f>VLOOKUP($R72,武学奇术!$A:$ZZ,25,FALSE)</f>
        <v>拳甲</v>
      </c>
      <c r="AN72" s="24">
        <f>VLOOKUP($R72,武学奇术!$A:$ZZ,26,FALSE)</f>
        <v>7.79674</v>
      </c>
      <c r="AO72" s="25">
        <f>VLOOKUP($R72,武学奇术!$A:$ZZ,27,FALSE)*(1+IF(OR($AM72=$F$4,$AM72=$F$5),$B$22,0))</f>
        <v>3458.56</v>
      </c>
      <c r="AP72" s="24">
        <f>VLOOKUP($R72,武学奇术!$A:$ZZ,28,FALSE)</f>
        <v>11.69518</v>
      </c>
      <c r="AQ72" s="25">
        <f>VLOOKUP($R72,武学奇术!$A:$ZZ,29,FALSE)*(1+IF(OR($AM72=$F$4,$AM72=$F$5),$B$22,0))</f>
        <v>1881.6</v>
      </c>
      <c r="AR72" s="24" cm="1">
        <f t="array" ref="AR72">$G$3+IFERROR(VLOOKUP($AM72,$F$4:$G$7,2,FALSE),0)+VLOOKUP($R72,武学奇术!$A:$ZZ,2,FALSE)+SUM(_xlfn.XLOOKUP($S72:$AL72,增益!$A:$A,增益!$B:$B,0))</f>
        <v>0.5843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4371.3</v>
      </c>
      <c r="AU72" cm="1">
        <f t="array" ref="AU72">$E$10*(1+$AS72)+VLOOKUP($R72,武学奇术!$A:$ZZ,4,FALSE)+SUM(_xlfn.XLOOKUP($S72:$AL72,增益!$A:$A,增益!$D:$D,0))-$I$2</f>
        <v>4371.3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0.3885</v>
      </c>
      <c r="AW72" s="31" cm="1">
        <f t="array" ref="AW72">$G$10+VLOOKUP($R72,武学奇术!$A:$ZZ,7,FALSE)+SUM(_xlfn.XLOOKUP($S72:$AL72,增益!$A:$A,增益!$G:$G,0))</f>
        <v>0.135</v>
      </c>
      <c r="AX72" s="24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0.03</v>
      </c>
      <c r="BB72" s="31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0.03</v>
      </c>
      <c r="BF72" s="31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0.03</v>
      </c>
      <c r="BJ72" s="31" cm="1">
        <f t="array" ref="BJ72">$G$13+VLOOKUP($R72,武学奇术!$A:$ZZ,14,FALSE)+SUM(_xlfn.XLOOKUP($S72:$AL72,增益!$A:$A,增益!$N:$N,0))</f>
        <v>0.02</v>
      </c>
      <c r="BK72">
        <f t="shared" si="30"/>
        <v>649.11</v>
      </c>
      <c r="BL72">
        <f t="shared" si="31"/>
        <v>1707.09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0.18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0.9771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0.8861</v>
      </c>
      <c r="BQ72" s="24" cm="1">
        <f t="array" ref="BQ72">1+$B$13+VLOOKUP($R72,武学奇术!$A:$ZZ,18,FALSE)+SUM(_xlfn.XLOOKUP($S72:$AL72,增益!$A:$A,增益!$R:$R,0))</f>
        <v>2.04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2"/>
        <v>0.86580831</v>
      </c>
      <c r="BU72" s="24">
        <f t="shared" si="33"/>
        <v>0.04289169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t="s">
        <v>179</v>
      </c>
      <c r="B73">
        <v>0.1</v>
      </c>
      <c r="D73" s="38"/>
      <c r="K73" s="37">
        <f>$L73*VLOOKUP($R73,武学奇术!$A:$ZZ,31,FALSE)</f>
        <v>383042.038594303</v>
      </c>
      <c r="L73" s="37">
        <f t="shared" si="23"/>
        <v>383042.038594303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401575.676221672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294755.932180527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196850.82167729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175363.915813449</v>
      </c>
      <c r="Q73" s="38">
        <v>1</v>
      </c>
      <c r="R73" s="39" t="s">
        <v>132</v>
      </c>
      <c r="S73" s="39" t="s">
        <v>103</v>
      </c>
      <c r="T73" s="39" t="s">
        <v>189</v>
      </c>
      <c r="U73" s="39" t="s">
        <v>89</v>
      </c>
      <c r="V73" s="39" t="s">
        <v>129</v>
      </c>
      <c r="W73" s="39" t="s">
        <v>91</v>
      </c>
      <c r="X73" s="39" t="s">
        <v>80</v>
      </c>
      <c r="Y73" s="39" t="s">
        <v>92</v>
      </c>
      <c r="Z73" s="39" t="s">
        <v>80</v>
      </c>
      <c r="AA73" s="39" t="s">
        <v>80</v>
      </c>
      <c r="AB73" s="39" t="s">
        <v>203</v>
      </c>
      <c r="AC73" s="39" t="s">
        <v>99</v>
      </c>
      <c r="AD73" s="39" t="s">
        <v>121</v>
      </c>
      <c r="AE73" s="39" t="s">
        <v>83</v>
      </c>
      <c r="AF73" s="39" t="s">
        <v>84</v>
      </c>
      <c r="AG73" s="39" t="s">
        <v>212</v>
      </c>
      <c r="AH73" s="39" t="s">
        <v>80</v>
      </c>
      <c r="AI73" s="39" t="s">
        <v>80</v>
      </c>
      <c r="AJ73" s="39" t="s">
        <v>80</v>
      </c>
      <c r="AK73" s="39" t="s">
        <v>80</v>
      </c>
      <c r="AL73" s="39" t="s">
        <v>80</v>
      </c>
      <c r="AM73" t="str">
        <f>VLOOKUP($R73,武学奇术!$A:$ZZ,25,FALSE)</f>
        <v>拳甲</v>
      </c>
      <c r="AN73" s="24">
        <f>VLOOKUP($R73,武学奇术!$A:$ZZ,26,FALSE)</f>
        <v>7.79674</v>
      </c>
      <c r="AO73" s="25">
        <f>VLOOKUP($R73,武学奇术!$A:$ZZ,27,FALSE)*(1+IF(OR($AM73=$F$4,$AM73=$F$5),$B$22,0))</f>
        <v>3458.56</v>
      </c>
      <c r="AP73" s="24">
        <f>VLOOKUP($R73,武学奇术!$A:$ZZ,28,FALSE)</f>
        <v>11.69518</v>
      </c>
      <c r="AQ73" s="25">
        <f>VLOOKUP($R73,武学奇术!$A:$ZZ,29,FALSE)*(1+IF(OR($AM73=$F$4,$AM73=$F$5),$B$22,0))</f>
        <v>1881.6</v>
      </c>
      <c r="AR73" s="24" cm="1">
        <f t="array" ref="AR73">$G$3+IFERROR(VLOOKUP($AM73,$F$4:$G$7,2,FALSE),0)+VLOOKUP($R73,武学奇术!$A:$ZZ,2,FALSE)+SUM(_xlfn.XLOOKUP($S73:$AL73,增益!$A:$A,增益!$B:$B,0))</f>
        <v>0.5943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4371.3</v>
      </c>
      <c r="AU73" cm="1">
        <f t="array" ref="AU73">$E$10*(1+$AS73)+VLOOKUP($R73,武学奇术!$A:$ZZ,4,FALSE)+SUM(_xlfn.XLOOKUP($S73:$AL73,增益!$A:$A,增益!$D:$D,0))-$I$2</f>
        <v>4371.3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0.3985</v>
      </c>
      <c r="AW73" s="31" cm="1">
        <f t="array" ref="AW73">$G$10+VLOOKUP($R73,武学奇术!$A:$ZZ,7,FALSE)+SUM(_xlfn.XLOOKUP($S73:$AL73,增益!$A:$A,增益!$G:$G,0))</f>
        <v>0.135</v>
      </c>
      <c r="AX73" s="24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0.03</v>
      </c>
      <c r="BB73" s="31" cm="1">
        <f t="array" ref="BB73">$G$11+VLOOKUP($R73,武学奇术!$A:$ZZ,10,FALSE)+SUM(_xlfn.XLOOKUP($S73:$AL73,增益!$A:$A,增益!$J:$J,0))</f>
        <v>0.02</v>
      </c>
      <c r="BC73">
        <f t="shared" si="26"/>
        <v>0</v>
      </c>
      <c r="BD73">
        <f t="shared" si="27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0.03</v>
      </c>
      <c r="BF73" s="31" cm="1">
        <f t="array" ref="BF73">$G$12+VLOOKUP($R73,武学奇术!$A:$ZZ,12,FALSE)+SUM(_xlfn.XLOOKUP($S73:$AL73,增益!$A:$A,增益!$L:$L,0))</f>
        <v>0.02</v>
      </c>
      <c r="BG73">
        <f t="shared" si="28"/>
        <v>0</v>
      </c>
      <c r="BH73">
        <f t="shared" si="29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0.03</v>
      </c>
      <c r="BJ73" s="31" cm="1">
        <f t="array" ref="BJ73">$G$13+VLOOKUP($R73,武学奇术!$A:$ZZ,14,FALSE)+SUM(_xlfn.XLOOKUP($S73:$AL73,增益!$A:$A,增益!$N:$N,0))</f>
        <v>0.02</v>
      </c>
      <c r="BK73">
        <f t="shared" si="30"/>
        <v>649.11</v>
      </c>
      <c r="BL73">
        <f t="shared" si="31"/>
        <v>1707.09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0.18</v>
      </c>
      <c r="BN73" s="31" cm="1">
        <f t="array" ref="BN73">$G$14+VLOOKUP($R73,武学奇术!$A:$ZZ,16,FALSE)+SUM(_xlfn.XLOOKUP($S73:$AL73,增益!$A:$A,增益!$P:$P,0))</f>
        <v>0.26</v>
      </c>
      <c r="BO73" s="24">
        <f>MIN(IF(VLOOKUP($R73,武学奇术!$A:$ZZ,23,FALSE)=1,100%,$B$8),100%)</f>
        <v>0.9771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0.8861</v>
      </c>
      <c r="BQ73" s="24" cm="1">
        <f t="array" ref="BQ73">1+$B$13+VLOOKUP($R73,武学奇术!$A:$ZZ,18,FALSE)+SUM(_xlfn.XLOOKUP($S73:$AL73,增益!$A:$A,增益!$R:$R,0))</f>
        <v>2.04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2"/>
        <v>0.86580831</v>
      </c>
      <c r="BU73" s="24">
        <f t="shared" si="33"/>
        <v>0.04289169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A74" t="s">
        <v>187</v>
      </c>
      <c r="B74">
        <v>0.9</v>
      </c>
      <c r="D74" s="38"/>
      <c r="K74" s="37">
        <f>$L74*VLOOKUP($R74,武学奇术!$A:$ZZ,31,FALSE)</f>
        <v>387380.024477536</v>
      </c>
      <c r="L74" s="37">
        <f t="shared" ref="L74:L136" si="34">($M74*$BT74+$N74*$BR74+$O74*$BU74+$P74*$BV74)</f>
        <v>387380.024477536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406137.683910469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297956.851800462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199087.099956112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177465.420800771</v>
      </c>
      <c r="Q74" s="38">
        <v>1</v>
      </c>
      <c r="R74" s="39" t="s">
        <v>132</v>
      </c>
      <c r="S74" s="39" t="s">
        <v>106</v>
      </c>
      <c r="T74" s="39" t="s">
        <v>189</v>
      </c>
      <c r="U74" s="39" t="s">
        <v>89</v>
      </c>
      <c r="V74" s="39" t="s">
        <v>129</v>
      </c>
      <c r="W74" s="39" t="s">
        <v>91</v>
      </c>
      <c r="X74" s="39" t="s">
        <v>80</v>
      </c>
      <c r="Y74" s="39" t="s">
        <v>92</v>
      </c>
      <c r="Z74" s="39" t="s">
        <v>80</v>
      </c>
      <c r="AA74" s="39" t="s">
        <v>80</v>
      </c>
      <c r="AB74" s="39" t="s">
        <v>203</v>
      </c>
      <c r="AC74" s="39" t="s">
        <v>93</v>
      </c>
      <c r="AD74" s="39" t="s">
        <v>80</v>
      </c>
      <c r="AE74" s="39" t="s">
        <v>83</v>
      </c>
      <c r="AF74" s="39" t="s">
        <v>84</v>
      </c>
      <c r="AG74" s="39" t="s">
        <v>212</v>
      </c>
      <c r="AH74" s="39" t="s">
        <v>80</v>
      </c>
      <c r="AI74" s="39" t="s">
        <v>80</v>
      </c>
      <c r="AJ74" s="39" t="s">
        <v>80</v>
      </c>
      <c r="AK74" s="39" t="s">
        <v>80</v>
      </c>
      <c r="AL74" s="39" t="s">
        <v>80</v>
      </c>
      <c r="AM74" t="str">
        <f>VLOOKUP($R74,武学奇术!$A:$ZZ,25,FALSE)</f>
        <v>拳甲</v>
      </c>
      <c r="AN74" s="24">
        <f>VLOOKUP($R74,武学奇术!$A:$ZZ,26,FALSE)</f>
        <v>7.79674</v>
      </c>
      <c r="AO74" s="25">
        <f>VLOOKUP($R74,武学奇术!$A:$ZZ,27,FALSE)*(1+IF(OR($AM74=$F$4,$AM74=$F$5),$B$22,0))</f>
        <v>3458.56</v>
      </c>
      <c r="AP74" s="24">
        <f>VLOOKUP($R74,武学奇术!$A:$ZZ,28,FALSE)</f>
        <v>11.69518</v>
      </c>
      <c r="AQ74" s="25">
        <f>VLOOKUP($R74,武学奇术!$A:$ZZ,29,FALSE)*(1+IF(OR($AM74=$F$4,$AM74=$F$5),$B$22,0))</f>
        <v>1881.6</v>
      </c>
      <c r="AR74" s="24" cm="1">
        <f t="array" ref="AR74">$G$3+IFERROR(VLOOKUP($AM74,$F$4:$G$7,2,FALSE),0)+VLOOKUP($R74,武学奇术!$A:$ZZ,2,FALSE)+SUM(_xlfn.XLOOKUP($S74:$AL74,增益!$A:$A,增益!$B:$B,0))</f>
        <v>0.6043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4371.3</v>
      </c>
      <c r="AU74" cm="1">
        <f t="array" ref="AU74">$E$10*(1+$AS74)+VLOOKUP($R74,武学奇术!$A:$ZZ,4,FALSE)+SUM(_xlfn.XLOOKUP($S74:$AL74,增益!$A:$A,增益!$D:$D,0))-$I$2</f>
        <v>4371.3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0.4085</v>
      </c>
      <c r="AW74" s="31" cm="1">
        <f t="array" ref="AW74">$G$10+VLOOKUP($R74,武学奇术!$A:$ZZ,7,FALSE)+SUM(_xlfn.XLOOKUP($S74:$AL74,增益!$A:$A,增益!$G:$G,0))</f>
        <v>0.135</v>
      </c>
      <c r="AX74" s="24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0.03</v>
      </c>
      <c r="BB74" s="31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0.03</v>
      </c>
      <c r="BF74" s="31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0.03</v>
      </c>
      <c r="BJ74" s="31" cm="1">
        <f t="array" ref="BJ74">$G$13+VLOOKUP($R74,武学奇术!$A:$ZZ,14,FALSE)+SUM(_xlfn.XLOOKUP($S74:$AL74,增益!$A:$A,增益!$N:$N,0))</f>
        <v>0.02</v>
      </c>
      <c r="BK74">
        <f t="shared" si="30"/>
        <v>649.11</v>
      </c>
      <c r="BL74">
        <f t="shared" si="31"/>
        <v>1707.09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0.18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0.9771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0.8861</v>
      </c>
      <c r="BQ74" s="24" cm="1">
        <f t="array" ref="BQ74">1+$B$13+VLOOKUP($R74,武学奇术!$A:$ZZ,18,FALSE)+SUM(_xlfn.XLOOKUP($S74:$AL74,增益!$A:$A,增益!$R:$R,0))</f>
        <v>2.04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2"/>
        <v>0.86580831</v>
      </c>
      <c r="BU74" s="24">
        <f t="shared" si="33"/>
        <v>0.04289169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t="s">
        <v>188</v>
      </c>
      <c r="B75">
        <v>0.6</v>
      </c>
      <c r="D75" s="38"/>
      <c r="K75" s="37">
        <f>$L75*VLOOKUP($R75,武学奇术!$A:$ZZ,31,FALSE)</f>
        <v>212731.958393223</v>
      </c>
      <c r="L75" s="37">
        <f t="shared" si="34"/>
        <v>212731.958393223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223032.441168515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163628.53140116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109329.628023782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97452.9364911486</v>
      </c>
      <c r="Q75" s="38">
        <v>1</v>
      </c>
      <c r="R75" s="39" t="s">
        <v>156</v>
      </c>
      <c r="S75" s="39" t="s">
        <v>106</v>
      </c>
      <c r="T75" s="39" t="s">
        <v>189</v>
      </c>
      <c r="U75" s="39" t="s">
        <v>89</v>
      </c>
      <c r="V75" s="39" t="s">
        <v>129</v>
      </c>
      <c r="W75" s="39" t="s">
        <v>91</v>
      </c>
      <c r="X75" s="39" t="s">
        <v>80</v>
      </c>
      <c r="Y75" s="39" t="s">
        <v>92</v>
      </c>
      <c r="Z75" s="39" t="s">
        <v>80</v>
      </c>
      <c r="AA75" s="39" t="s">
        <v>80</v>
      </c>
      <c r="AB75" s="39" t="s">
        <v>203</v>
      </c>
      <c r="AC75" s="39" t="s">
        <v>93</v>
      </c>
      <c r="AD75" s="39" t="s">
        <v>80</v>
      </c>
      <c r="AE75" s="39" t="s">
        <v>83</v>
      </c>
      <c r="AF75" s="39" t="s">
        <v>84</v>
      </c>
      <c r="AG75" s="39" t="s">
        <v>212</v>
      </c>
      <c r="AH75" s="39" t="s">
        <v>80</v>
      </c>
      <c r="AI75" s="39" t="s">
        <v>80</v>
      </c>
      <c r="AJ75" s="39" t="s">
        <v>80</v>
      </c>
      <c r="AK75" s="39" t="s">
        <v>80</v>
      </c>
      <c r="AL75" s="39" t="s">
        <v>80</v>
      </c>
      <c r="AM75" t="str">
        <f>VLOOKUP($R75,武学奇术!$A:$ZZ,25,FALSE)</f>
        <v>双刀</v>
      </c>
      <c r="AN75" s="24">
        <f>VLOOKUP($R75,武学奇术!$A:$ZZ,26,FALSE)</f>
        <v>4.28274</v>
      </c>
      <c r="AO75" s="25">
        <f>VLOOKUP($R75,武学奇术!$A:$ZZ,27,FALSE)*(1+IF(OR($AM75=$F$4,$AM75=$F$5),$B$22,0))</f>
        <v>1895.04</v>
      </c>
      <c r="AP75" s="24">
        <f>VLOOKUP($R75,武学奇术!$A:$ZZ,28,FALSE)</f>
        <v>6.42411</v>
      </c>
      <c r="AQ75" s="25">
        <f>VLOOKUP($R75,武学奇术!$A:$ZZ,29,FALSE)*(1+IF(OR($AM75=$F$4,$AM75=$F$5),$B$22,0))</f>
        <v>1031.52</v>
      </c>
      <c r="AR75" s="24" cm="1">
        <f t="array" ref="AR75">$G$3+IFERROR(VLOOKUP($AM75,$F$4:$G$7,2,FALSE),0)+VLOOKUP($R75,武学奇术!$A:$ZZ,2,FALSE)+SUM(_xlfn.XLOOKUP($S75:$AL75,增益!$A:$A,增益!$B:$B,0))</f>
        <v>0.6043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4371.3</v>
      </c>
      <c r="AU75" cm="1">
        <f t="array" ref="AU75">$E$10*(1+$AS75)+VLOOKUP($R75,武学奇术!$A:$ZZ,4,FALSE)+SUM(_xlfn.XLOOKUP($S75:$AL75,增益!$A:$A,增益!$D:$D,0))-$I$2</f>
        <v>4371.3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0.4085</v>
      </c>
      <c r="AW75" s="31" cm="1">
        <f t="array" ref="AW75">$G$10+VLOOKUP($R75,武学奇术!$A:$ZZ,7,FALSE)+SUM(_xlfn.XLOOKUP($S75:$AL75,增益!$A:$A,增益!$G:$G,0))</f>
        <v>0.135</v>
      </c>
      <c r="AX75" s="24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0.03</v>
      </c>
      <c r="BB75" s="31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0.03</v>
      </c>
      <c r="BF75" s="31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0.03</v>
      </c>
      <c r="BJ75" s="31" cm="1">
        <f t="array" ref="BJ75">$G$13+VLOOKUP($R75,武学奇术!$A:$ZZ,14,FALSE)+SUM(_xlfn.XLOOKUP($S75:$AL75,增益!$A:$A,增益!$N:$N,0))</f>
        <v>0.02</v>
      </c>
      <c r="BK75">
        <f t="shared" si="30"/>
        <v>649.11</v>
      </c>
      <c r="BL75">
        <f t="shared" si="31"/>
        <v>1707.09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0.18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0.9771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0.8861</v>
      </c>
      <c r="BQ75" s="24" cm="1">
        <f t="array" ref="BQ75">1+$B$13+VLOOKUP($R75,武学奇术!$A:$ZZ,18,FALSE)+SUM(_xlfn.XLOOKUP($S75:$AL75,增益!$A:$A,增益!$R:$R,0))</f>
        <v>2.04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2"/>
        <v>0.86580831</v>
      </c>
      <c r="BU75" s="24">
        <f t="shared" si="33"/>
        <v>0.04289169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A76" t="s">
        <v>182</v>
      </c>
      <c r="B76">
        <v>0.7</v>
      </c>
      <c r="D76" s="38"/>
      <c r="E76" s="38" t="s">
        <v>183</v>
      </c>
      <c r="K76" s="37">
        <f>$L76*VLOOKUP($R76,武学奇术!$A:$ZZ,31,FALSE)</f>
        <v>283590.352706895</v>
      </c>
      <c r="L76" s="37">
        <f t="shared" si="34"/>
        <v>283590.352706895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297321.621825867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218132.903875439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145745.893051895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129911.85730717</v>
      </c>
      <c r="Q76" s="38">
        <v>1</v>
      </c>
      <c r="R76" s="39" t="s">
        <v>162</v>
      </c>
      <c r="S76" s="39" t="s">
        <v>106</v>
      </c>
      <c r="T76" s="39" t="s">
        <v>189</v>
      </c>
      <c r="U76" s="39" t="s">
        <v>89</v>
      </c>
      <c r="V76" s="39" t="s">
        <v>129</v>
      </c>
      <c r="W76" s="39" t="s">
        <v>91</v>
      </c>
      <c r="X76" s="39" t="s">
        <v>80</v>
      </c>
      <c r="Y76" s="39" t="s">
        <v>92</v>
      </c>
      <c r="Z76" s="39" t="s">
        <v>80</v>
      </c>
      <c r="AA76" s="39" t="s">
        <v>80</v>
      </c>
      <c r="AB76" s="39" t="s">
        <v>203</v>
      </c>
      <c r="AC76" s="39" t="s">
        <v>93</v>
      </c>
      <c r="AD76" s="39" t="s">
        <v>80</v>
      </c>
      <c r="AE76" s="39" t="s">
        <v>83</v>
      </c>
      <c r="AF76" s="39" t="s">
        <v>84</v>
      </c>
      <c r="AG76" s="39" t="s">
        <v>212</v>
      </c>
      <c r="AH76" s="39" t="s">
        <v>80</v>
      </c>
      <c r="AI76" s="39" t="s">
        <v>80</v>
      </c>
      <c r="AJ76" s="39" t="s">
        <v>80</v>
      </c>
      <c r="AK76" s="39" t="s">
        <v>80</v>
      </c>
      <c r="AL76" s="39" t="s">
        <v>80</v>
      </c>
      <c r="AM76" t="str">
        <f>VLOOKUP($R76,武学奇术!$A:$ZZ,25,FALSE)</f>
        <v>双刀</v>
      </c>
      <c r="AN76" s="24">
        <f>VLOOKUP($R76,武学奇术!$A:$ZZ,26,FALSE)</f>
        <v>5.71032</v>
      </c>
      <c r="AO76" s="25">
        <f>VLOOKUP($R76,武学奇术!$A:$ZZ,27,FALSE)*(1+IF(OR($AM76=$F$4,$AM76=$F$5),$B$22,0))</f>
        <v>2526.72</v>
      </c>
      <c r="AP76" s="24">
        <f>VLOOKUP($R76,武学奇术!$A:$ZZ,28,FALSE)</f>
        <v>8.56464</v>
      </c>
      <c r="AQ76" s="25">
        <f>VLOOKUP($R76,武学奇术!$A:$ZZ,29,FALSE)*(1+IF(OR($AM76=$F$4,$AM76=$F$5),$B$22,0))</f>
        <v>1370.88</v>
      </c>
      <c r="AR76" s="24" cm="1">
        <f t="array" ref="AR76">$G$3+IFERROR(VLOOKUP($AM76,$F$4:$G$7,2,FALSE),0)+VLOOKUP($R76,武学奇术!$A:$ZZ,2,FALSE)+SUM(_xlfn.XLOOKUP($S76:$AL76,增益!$A:$A,增益!$B:$B,0))</f>
        <v>0.6043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4371.3</v>
      </c>
      <c r="AU76" cm="1">
        <f t="array" ref="AU76">$E$10*(1+$AS76)+VLOOKUP($R76,武学奇术!$A:$ZZ,4,FALSE)+SUM(_xlfn.XLOOKUP($S76:$AL76,增益!$A:$A,增益!$D:$D,0))-$I$2</f>
        <v>4371.3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0.4085</v>
      </c>
      <c r="AW76" s="31" cm="1">
        <f t="array" ref="AW76">$G$10+VLOOKUP($R76,武学奇术!$A:$ZZ,7,FALSE)+SUM(_xlfn.XLOOKUP($S76:$AL76,增益!$A:$A,增益!$G:$G,0))</f>
        <v>0.135</v>
      </c>
      <c r="AX76" s="24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0.03</v>
      </c>
      <c r="BB76" s="31" cm="1">
        <f t="array" ref="BB76">$G$11+VLOOKUP($R76,武学奇术!$A:$ZZ,10,FALSE)+SUM(_xlfn.XLOOKUP($S76:$AL76,增益!$A:$A,增益!$J:$J,0))</f>
        <v>0.02</v>
      </c>
      <c r="BC76">
        <f t="shared" si="26"/>
        <v>0</v>
      </c>
      <c r="BD76">
        <f t="shared" si="27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0.03</v>
      </c>
      <c r="BF76" s="31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0.03</v>
      </c>
      <c r="BJ76" s="31" cm="1">
        <f t="array" ref="BJ76">$G$13+VLOOKUP($R76,武学奇术!$A:$ZZ,14,FALSE)+SUM(_xlfn.XLOOKUP($S76:$AL76,增益!$A:$A,增益!$N:$N,0))</f>
        <v>0.02</v>
      </c>
      <c r="BK76">
        <f t="shared" si="30"/>
        <v>649.11</v>
      </c>
      <c r="BL76">
        <f t="shared" si="31"/>
        <v>1707.09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0.18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0.9771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0.8861</v>
      </c>
      <c r="BQ76" s="24" cm="1">
        <f t="array" ref="BQ76">1+$B$13+VLOOKUP($R76,武学奇术!$A:$ZZ,18,FALSE)+SUM(_xlfn.XLOOKUP($S76:$AL76,增益!$A:$A,增益!$R:$R,0))</f>
        <v>2.04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2"/>
        <v>0.86580831</v>
      </c>
      <c r="BU76" s="24">
        <f t="shared" si="33"/>
        <v>0.04289169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t="s">
        <v>190</v>
      </c>
      <c r="B77">
        <v>2.5</v>
      </c>
      <c r="D77" s="38"/>
      <c r="E77" s="38"/>
      <c r="K77" s="37">
        <f>$L77*VLOOKUP($R77,武学奇术!$A:$ZZ,31,FALSE)</f>
        <v>192841.79211573</v>
      </c>
      <c r="L77" s="37">
        <f t="shared" si="34"/>
        <v>192841.79211573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202179.192913651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148329.472802286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99107.4475066919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88341.2114561351</v>
      </c>
      <c r="Q77" s="38">
        <v>1</v>
      </c>
      <c r="R77" s="39" t="s">
        <v>165</v>
      </c>
      <c r="S77" s="39" t="s">
        <v>106</v>
      </c>
      <c r="T77" s="39" t="s">
        <v>189</v>
      </c>
      <c r="U77" s="39" t="s">
        <v>89</v>
      </c>
      <c r="V77" s="39" t="s">
        <v>129</v>
      </c>
      <c r="W77" s="39" t="s">
        <v>91</v>
      </c>
      <c r="X77" s="39" t="s">
        <v>80</v>
      </c>
      <c r="Y77" s="39" t="s">
        <v>92</v>
      </c>
      <c r="Z77" s="39" t="s">
        <v>80</v>
      </c>
      <c r="AA77" s="39" t="s">
        <v>80</v>
      </c>
      <c r="AB77" s="39" t="s">
        <v>203</v>
      </c>
      <c r="AC77" s="39" t="s">
        <v>93</v>
      </c>
      <c r="AD77" s="39" t="s">
        <v>80</v>
      </c>
      <c r="AE77" s="39" t="s">
        <v>83</v>
      </c>
      <c r="AF77" s="39" t="s">
        <v>84</v>
      </c>
      <c r="AG77" s="39" t="s">
        <v>80</v>
      </c>
      <c r="AH77" s="39" t="s">
        <v>80</v>
      </c>
      <c r="AI77" s="39" t="s">
        <v>80</v>
      </c>
      <c r="AJ77" s="39" t="s">
        <v>80</v>
      </c>
      <c r="AK77" s="39" t="s">
        <v>80</v>
      </c>
      <c r="AL77" s="39" t="s">
        <v>80</v>
      </c>
      <c r="AM77" t="str">
        <f>VLOOKUP($R77,武学奇术!$A:$ZZ,25,FALSE)</f>
        <v>双刀</v>
      </c>
      <c r="AN77" s="24">
        <f>VLOOKUP($R77,武学奇术!$A:$ZZ,26,FALSE)</f>
        <v>4.28274</v>
      </c>
      <c r="AO77" s="25">
        <f>VLOOKUP($R77,武学奇术!$A:$ZZ,27,FALSE)*(1+IF(OR($AM77=$F$4,$AM77=$F$5),$B$22,0))</f>
        <v>1895.04</v>
      </c>
      <c r="AP77" s="24">
        <f>VLOOKUP($R77,武学奇术!$A:$ZZ,28,FALSE)</f>
        <v>6.42411</v>
      </c>
      <c r="AQ77" s="25">
        <f>VLOOKUP($R77,武学奇术!$A:$ZZ,29,FALSE)*(1+IF(OR($AM77=$F$4,$AM77=$F$5),$B$22,0))</f>
        <v>1031.52</v>
      </c>
      <c r="AR77" s="24" cm="1">
        <f t="array" ref="AR77">$G$3+IFERROR(VLOOKUP($AM77,$F$4:$G$7,2,FALSE),0)+VLOOKUP($R77,武学奇术!$A:$ZZ,2,FALSE)+SUM(_xlfn.XLOOKUP($S77:$AL77,增益!$A:$A,增益!$B:$B,0))</f>
        <v>0.4543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4371.3</v>
      </c>
      <c r="AU77" cm="1">
        <f t="array" ref="AU77">$E$10*(1+$AS77)+VLOOKUP($R77,武学奇术!$A:$ZZ,4,FALSE)+SUM(_xlfn.XLOOKUP($S77:$AL77,增益!$A:$A,增益!$D:$D,0))-$I$2</f>
        <v>4371.3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0.4085</v>
      </c>
      <c r="AW77" s="31" cm="1">
        <f t="array" ref="AW77">$G$10+VLOOKUP($R77,武学奇术!$A:$ZZ,7,FALSE)+SUM(_xlfn.XLOOKUP($S77:$AL77,增益!$A:$A,增益!$G:$G,0))</f>
        <v>0.135</v>
      </c>
      <c r="AX77" s="24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0.03</v>
      </c>
      <c r="BB77" s="31" cm="1">
        <f t="array" ref="BB77">$G$11+VLOOKUP($R77,武学奇术!$A:$ZZ,10,FALSE)+SUM(_xlfn.XLOOKUP($S77:$AL77,增益!$A:$A,增益!$J:$J,0))</f>
        <v>0.02</v>
      </c>
      <c r="BC77">
        <f t="shared" si="26"/>
        <v>0</v>
      </c>
      <c r="BD77">
        <f t="shared" si="27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0.03</v>
      </c>
      <c r="BF77" s="31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0.03</v>
      </c>
      <c r="BJ77" s="31" cm="1">
        <f t="array" ref="BJ77">$G$13+VLOOKUP($R77,武学奇术!$A:$ZZ,14,FALSE)+SUM(_xlfn.XLOOKUP($S77:$AL77,增益!$A:$A,增益!$N:$N,0))</f>
        <v>0.02</v>
      </c>
      <c r="BK77">
        <f t="shared" si="30"/>
        <v>649.11</v>
      </c>
      <c r="BL77">
        <f t="shared" si="31"/>
        <v>1707.09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0.18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0.9771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0.8861</v>
      </c>
      <c r="BQ77" s="24" cm="1">
        <f t="array" ref="BQ77">1+$B$13+VLOOKUP($R77,武学奇术!$A:$ZZ,18,FALSE)+SUM(_xlfn.XLOOKUP($S77:$AL77,增益!$A:$A,增益!$R:$R,0))</f>
        <v>2.04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2"/>
        <v>0.86580831</v>
      </c>
      <c r="BU77" s="24">
        <f t="shared" si="33"/>
        <v>0.04289169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t="s">
        <v>190</v>
      </c>
      <c r="B78">
        <v>2.25</v>
      </c>
      <c r="D78" s="38"/>
      <c r="E78" s="38"/>
      <c r="F78" s="38" t="s">
        <v>184</v>
      </c>
      <c r="K78" s="37">
        <f>$L78*VLOOKUP($R78,武学奇术!$A:$ZZ,31,FALSE)</f>
        <v>230903.674124742</v>
      </c>
      <c r="L78" s="88">
        <f>SUM(L69,L70,L72:L77)*0.2*(1+BX78)</f>
        <v>461807.348249483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38">
        <v>1</v>
      </c>
      <c r="R78" s="39" t="s">
        <v>168</v>
      </c>
      <c r="S78" s="39" t="s">
        <v>169</v>
      </c>
      <c r="T78" s="39" t="s">
        <v>80</v>
      </c>
      <c r="U78" s="39" t="s">
        <v>80</v>
      </c>
      <c r="V78" s="39" t="s">
        <v>80</v>
      </c>
      <c r="W78" s="39" t="s">
        <v>80</v>
      </c>
      <c r="X78" s="39" t="s">
        <v>80</v>
      </c>
      <c r="Y78" s="39" t="s">
        <v>80</v>
      </c>
      <c r="Z78" s="39" t="s">
        <v>80</v>
      </c>
      <c r="AA78" s="39" t="s">
        <v>80</v>
      </c>
      <c r="AB78" s="39" t="s">
        <v>80</v>
      </c>
      <c r="AC78" s="39" t="s">
        <v>80</v>
      </c>
      <c r="AD78" s="39" t="s">
        <v>80</v>
      </c>
      <c r="AE78" s="39" t="s">
        <v>83</v>
      </c>
      <c r="AF78" s="39" t="s">
        <v>84</v>
      </c>
      <c r="AG78" s="39" t="s">
        <v>80</v>
      </c>
      <c r="AH78" s="39" t="s">
        <v>80</v>
      </c>
      <c r="AI78" s="39" t="s">
        <v>80</v>
      </c>
      <c r="AJ78" s="39" t="s">
        <v>80</v>
      </c>
      <c r="AK78" s="39" t="s">
        <v>80</v>
      </c>
      <c r="AL78" s="39" t="s">
        <v>80</v>
      </c>
      <c r="AM78" t="str">
        <f>VLOOKUP($R78,武学奇术!$A:$ZZ,25,FALSE)</f>
        <v>心法</v>
      </c>
      <c r="AN78" s="24">
        <f>VLOOKUP($R78,武学奇术!$A:$ZZ,26,FALSE)</f>
        <v>0</v>
      </c>
      <c r="AO78" s="25">
        <f>VLOOKUP($R78,武学奇术!$A:$ZZ,27,FALSE)*(1+IF(OR($AM78=$F$4,$AM78=$F$5),$B$22,0))</f>
        <v>0</v>
      </c>
      <c r="AP78" s="24">
        <f>VLOOKUP($R78,武学奇术!$A:$ZZ,28,FALSE)</f>
        <v>0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0.1842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4371.3</v>
      </c>
      <c r="AU78" cm="1">
        <f t="array" ref="AU78">$E$10*(1+$AS78)+VLOOKUP($R78,武学奇术!$A:$ZZ,4,FALSE)+SUM(_xlfn.XLOOKUP($S78:$AL78,增益!$A:$A,增益!$D:$D,0))-$I$2</f>
        <v>4371.3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0.2585</v>
      </c>
      <c r="AW78" s="31" cm="1">
        <f t="array" ref="AW78">$G$10+VLOOKUP($R78,武学奇术!$A:$ZZ,7,FALSE)+SUM(_xlfn.XLOOKUP($S78:$AL78,增益!$A:$A,增益!$G:$G,0))</f>
        <v>0.025</v>
      </c>
      <c r="AX78" s="24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1" cm="1">
        <f t="array" ref="BB78">$G$11+VLOOKUP($R78,武学奇术!$A:$ZZ,10,FALSE)+SUM(_xlfn.XLOOKUP($S78:$AL78,增益!$A:$A,增益!$J:$J,0))</f>
        <v>0</v>
      </c>
      <c r="BC78">
        <f t="shared" si="26"/>
        <v>0</v>
      </c>
      <c r="BD78">
        <f t="shared" si="27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1" cm="1">
        <f t="array" ref="BF78">$G$12+VLOOKUP($R78,武学奇术!$A:$ZZ,12,FALSE)+SUM(_xlfn.XLOOKUP($S78:$AL78,增益!$A:$A,增益!$L:$L,0))</f>
        <v>0</v>
      </c>
      <c r="BG78">
        <f t="shared" si="28"/>
        <v>0</v>
      </c>
      <c r="BH78">
        <f t="shared" si="29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1" cm="1">
        <f t="array" ref="BJ78">$G$13+VLOOKUP($R78,武学奇术!$A:$ZZ,14,FALSE)+SUM(_xlfn.XLOOKUP($S78:$AL78,增益!$A:$A,增益!$N:$N,0))</f>
        <v>0</v>
      </c>
      <c r="BK78">
        <f t="shared" si="30"/>
        <v>649.11</v>
      </c>
      <c r="BL78">
        <f t="shared" si="31"/>
        <v>1707.09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1" cm="1">
        <f t="array" ref="BN78">$G$14+VLOOKUP($R78,武学奇术!$A:$ZZ,16,FALSE)+SUM(_xlfn.XLOOKUP($S78:$AL78,增益!$A:$A,增益!$P:$P,0))</f>
        <v>0.15</v>
      </c>
      <c r="BO78" s="24">
        <f>MIN(IF(VLOOKUP($R78,武学奇术!$A:$ZZ,23,FALSE)=1,100%,$B$8),100%)</f>
        <v>0.9771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0.8861</v>
      </c>
      <c r="BQ78" s="24" cm="1">
        <f t="array" ref="BQ78">1+$B$13+VLOOKUP($R78,武学奇术!$A:$ZZ,18,FALSE)+SUM(_xlfn.XLOOKUP($S78:$AL78,增益!$A:$A,增益!$R:$R,0))</f>
        <v>1.54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32"/>
        <v>0.86580831</v>
      </c>
      <c r="BU78" s="24">
        <f t="shared" si="33"/>
        <v>0.02208246</v>
      </c>
      <c r="BV78" s="24">
        <f>IF(VLOOKUP($R78,武学奇术!$A:$ZZ,22,FALSE)=1,0,(1-$BO78))*(1-$BR78)</f>
        <v>0.02080923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0.2</v>
      </c>
    </row>
    <row r="79" spans="1:76">
      <c r="A79" t="s">
        <v>190</v>
      </c>
      <c r="B79">
        <v>2</v>
      </c>
      <c r="D79" s="38"/>
      <c r="F79" s="38"/>
      <c r="K79" s="37">
        <f>$L79*VLOOKUP($R79,武学奇术!$A:$ZZ,31,FALSE)</f>
        <v>32453.9166412235</v>
      </c>
      <c r="L79" s="37">
        <f t="shared" si="34"/>
        <v>32453.9166412235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33334.4277221064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30281.2489496837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20325.87056226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18221.1863469765</v>
      </c>
      <c r="Q79" s="38">
        <v>1</v>
      </c>
      <c r="R79" s="39" t="s">
        <v>197</v>
      </c>
      <c r="S79" s="39" t="s">
        <v>106</v>
      </c>
      <c r="T79" s="39" t="s">
        <v>189</v>
      </c>
      <c r="U79" s="39" t="s">
        <v>89</v>
      </c>
      <c r="V79" s="39" t="s">
        <v>80</v>
      </c>
      <c r="W79" s="39" t="s">
        <v>80</v>
      </c>
      <c r="X79" s="39" t="s">
        <v>80</v>
      </c>
      <c r="Y79" s="39" t="s">
        <v>92</v>
      </c>
      <c r="Z79" s="39" t="s">
        <v>80</v>
      </c>
      <c r="AA79" s="39" t="s">
        <v>80</v>
      </c>
      <c r="AB79" s="39" t="s">
        <v>209</v>
      </c>
      <c r="AC79" s="39" t="s">
        <v>93</v>
      </c>
      <c r="AD79" s="39" t="s">
        <v>80</v>
      </c>
      <c r="AE79" s="39" t="s">
        <v>83</v>
      </c>
      <c r="AF79" s="39" t="s">
        <v>84</v>
      </c>
      <c r="AG79" s="39" t="s">
        <v>80</v>
      </c>
      <c r="AH79" s="39" t="s">
        <v>80</v>
      </c>
      <c r="AI79" s="39" t="s">
        <v>80</v>
      </c>
      <c r="AJ79" s="39" t="s">
        <v>80</v>
      </c>
      <c r="AK79" s="39" t="s">
        <v>80</v>
      </c>
      <c r="AL79" s="39" t="s">
        <v>80</v>
      </c>
      <c r="AM79" t="str">
        <f>VLOOKUP($R79,武学奇术!$A:$ZZ,25,FALSE)</f>
        <v>拳甲</v>
      </c>
      <c r="AN79" s="24">
        <f>VLOOKUP($R79,武学奇术!$A:$ZZ,26,FALSE)</f>
        <v>1.28702</v>
      </c>
      <c r="AO79" s="25">
        <f>VLOOKUP($R79,武学奇术!$A:$ZZ,27,FALSE)*(1+IF(OR($AM79=$F$4,$AM79=$F$5),$B$22,0))</f>
        <v>571.2</v>
      </c>
      <c r="AP79" s="24">
        <f>VLOOKUP($R79,武学奇术!$A:$ZZ,28,FALSE)</f>
        <v>1.9306</v>
      </c>
      <c r="AQ79" s="25">
        <f>VLOOKUP($R79,武学奇术!$A:$ZZ,29,FALSE)*(1+IF(OR($AM79=$F$4,$AM79=$F$5),$B$22,0))</f>
        <v>622.72</v>
      </c>
      <c r="AR79" s="24" cm="1">
        <f t="array" ref="AR79">$G$3+IFERROR(VLOOKUP($AM79,$F$4:$G$7,2,FALSE),0)+VLOOKUP($R79,武学奇术!$A:$ZZ,2,FALSE)+SUM(_xlfn.XLOOKUP($S79:$AL79,增益!$A:$A,增益!$B:$B,0))</f>
        <v>0.4043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4371.3</v>
      </c>
      <c r="AU79" cm="1">
        <f t="array" ref="AU79">$E$10*(1+$AS79)+VLOOKUP($R79,武学奇术!$A:$ZZ,4,FALSE)+SUM(_xlfn.XLOOKUP($S79:$AL79,增益!$A:$A,增益!$D:$D,0))-$I$2</f>
        <v>4371.3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0.3585</v>
      </c>
      <c r="AW79" s="31" cm="1">
        <f t="array" ref="AW79">$G$10+VLOOKUP($R79,武学奇术!$A:$ZZ,7,FALSE)+SUM(_xlfn.XLOOKUP($S79:$AL79,增益!$A:$A,增益!$G:$G,0))</f>
        <v>0.045</v>
      </c>
      <c r="AX79" s="24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-0.04</v>
      </c>
      <c r="BB79" s="31" cm="1">
        <f t="array" ref="BB79">$G$11+VLOOKUP($R79,武学奇术!$A:$ZZ,10,FALSE)+SUM(_xlfn.XLOOKUP($S79:$AL79,增益!$A:$A,增益!$J:$J,0))</f>
        <v>0.02</v>
      </c>
      <c r="BC79">
        <f t="shared" si="26"/>
        <v>0</v>
      </c>
      <c r="BD79">
        <f t="shared" si="27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-0.04</v>
      </c>
      <c r="BF79" s="31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-0.04</v>
      </c>
      <c r="BJ79" s="31" cm="1">
        <f t="array" ref="BJ79">$G$13+VLOOKUP($R79,武学奇术!$A:$ZZ,14,FALSE)+SUM(_xlfn.XLOOKUP($S79:$AL79,增益!$A:$A,增益!$N:$N,0))</f>
        <v>0.02</v>
      </c>
      <c r="BK79">
        <f t="shared" si="30"/>
        <v>649.11</v>
      </c>
      <c r="BL79">
        <f t="shared" si="31"/>
        <v>1707.09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0.13</v>
      </c>
      <c r="BN79" s="31" cm="1">
        <f t="array" ref="BN79">$G$14+VLOOKUP($R79,武学奇术!$A:$ZZ,16,FALSE)+SUM(_xlfn.XLOOKUP($S79:$AL79,增益!$A:$A,增益!$P:$P,0))</f>
        <v>0.17</v>
      </c>
      <c r="BO79" s="24">
        <f>MIN(IF(VLOOKUP($R79,武学奇术!$A:$ZZ,23,FALSE)=1,100%,$B$8),100%)</f>
        <v>0.9771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0.8861</v>
      </c>
      <c r="BQ79" s="24" cm="1">
        <f t="array" ref="BQ79">1+$B$13+VLOOKUP($R79,武学奇术!$A:$ZZ,18,FALSE)+SUM(_xlfn.XLOOKUP($S79:$AL79,增益!$A:$A,增益!$R:$R,0))</f>
        <v>1.64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2"/>
        <v>0.86580831</v>
      </c>
      <c r="BU79" s="24">
        <f t="shared" si="33"/>
        <v>0.02208246</v>
      </c>
      <c r="BV79" s="24">
        <f>IF(VLOOKUP($R79,武学奇术!$A:$ZZ,22,FALSE)=1,0,(1-$BO79))*(1-$BR79)</f>
        <v>0.02080923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</v>
      </c>
    </row>
    <row r="80" spans="1:76">
      <c r="A80" t="s">
        <v>179</v>
      </c>
      <c r="B80" s="95">
        <v>0.1</v>
      </c>
      <c r="D80" s="38"/>
      <c r="F80" s="38"/>
      <c r="K80" s="37">
        <f>$L80*VLOOKUP($R80,武学奇术!$A:$ZZ,31,FALSE)</f>
        <v>41456.6636772021</v>
      </c>
      <c r="L80" s="37">
        <f t="shared" si="34"/>
        <v>41456.6636772021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42567.385778761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38848.7124723844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25955.7230358299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23134.6220180416</v>
      </c>
      <c r="Q80" s="38">
        <v>1</v>
      </c>
      <c r="R80" s="39" t="s">
        <v>213</v>
      </c>
      <c r="S80" s="39" t="s">
        <v>106</v>
      </c>
      <c r="T80" s="39" t="s">
        <v>189</v>
      </c>
      <c r="U80" s="39" t="s">
        <v>89</v>
      </c>
      <c r="V80" s="39" t="s">
        <v>80</v>
      </c>
      <c r="W80" s="39" t="s">
        <v>80</v>
      </c>
      <c r="X80" s="39" t="s">
        <v>80</v>
      </c>
      <c r="Y80" s="39" t="s">
        <v>92</v>
      </c>
      <c r="Z80" s="39" t="s">
        <v>80</v>
      </c>
      <c r="AA80" s="39" t="s">
        <v>80</v>
      </c>
      <c r="AB80" s="39" t="s">
        <v>209</v>
      </c>
      <c r="AC80" s="39" t="s">
        <v>93</v>
      </c>
      <c r="AD80" s="39" t="s">
        <v>80</v>
      </c>
      <c r="AE80" s="39" t="s">
        <v>83</v>
      </c>
      <c r="AF80" s="39" t="s">
        <v>84</v>
      </c>
      <c r="AG80" s="39" t="s">
        <v>80</v>
      </c>
      <c r="AH80" s="39" t="s">
        <v>80</v>
      </c>
      <c r="AI80" s="39" t="s">
        <v>80</v>
      </c>
      <c r="AJ80" s="39" t="s">
        <v>80</v>
      </c>
      <c r="AK80" s="39" t="s">
        <v>80</v>
      </c>
      <c r="AL80" s="39" t="s">
        <v>80</v>
      </c>
      <c r="AM80" t="str">
        <f>VLOOKUP($R80,武学奇术!$A:$ZZ,25,FALSE)</f>
        <v>拳甲</v>
      </c>
      <c r="AN80" s="24">
        <f>VLOOKUP($R80,武学奇术!$A:$ZZ,26,FALSE)</f>
        <v>1.72536</v>
      </c>
      <c r="AO80" s="25">
        <f>VLOOKUP($R80,武学奇术!$A:$ZZ,27,FALSE)*(1+IF(OR($AM80=$F$4,$AM80=$F$5),$B$22,0))</f>
        <v>766.08</v>
      </c>
      <c r="AP80" s="24">
        <f>VLOOKUP($R80,武学奇术!$A:$ZZ,28,FALSE)</f>
        <v>2.58776</v>
      </c>
      <c r="AQ80" s="25">
        <f>VLOOKUP($R80,武学奇术!$A:$ZZ,29,FALSE)*(1+IF(OR($AM80=$F$4,$AM80=$F$5),$B$22,0))</f>
        <v>416.64</v>
      </c>
      <c r="AR80" s="24" cm="1">
        <f t="array" ref="AR80">$G$3+IFERROR(VLOOKUP($AM80,$F$4:$G$7,2,FALSE),0)+VLOOKUP($R80,武学奇术!$A:$ZZ,2,FALSE)+SUM(_xlfn.XLOOKUP($S80:$AL80,增益!$A:$A,增益!$B:$B,0))</f>
        <v>0.4043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4371.3</v>
      </c>
      <c r="AU80" cm="1">
        <f t="array" ref="AU80">$E$10*(1+$AS80)+VLOOKUP($R80,武学奇术!$A:$ZZ,4,FALSE)+SUM(_xlfn.XLOOKUP($S80:$AL80,增益!$A:$A,增益!$D:$D,0))-$I$2</f>
        <v>4371.3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0.3585</v>
      </c>
      <c r="AW80" s="31" cm="1">
        <f t="array" ref="AW80">$G$10+VLOOKUP($R80,武学奇术!$A:$ZZ,7,FALSE)+SUM(_xlfn.XLOOKUP($S80:$AL80,增益!$A:$A,增益!$G:$G,0))</f>
        <v>0.045</v>
      </c>
      <c r="AX80" s="24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-0.04</v>
      </c>
      <c r="BB80" s="31" cm="1">
        <f t="array" ref="BB80">$G$11+VLOOKUP($R80,武学奇术!$A:$ZZ,10,FALSE)+SUM(_xlfn.XLOOKUP($S80:$AL80,增益!$A:$A,增益!$J:$J,0))</f>
        <v>0.02</v>
      </c>
      <c r="BC80">
        <f t="shared" si="26"/>
        <v>0</v>
      </c>
      <c r="BD80">
        <f t="shared" si="27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-0.04</v>
      </c>
      <c r="BF80" s="31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-0.04</v>
      </c>
      <c r="BJ80" s="31" cm="1">
        <f t="array" ref="BJ80">$G$13+VLOOKUP($R80,武学奇术!$A:$ZZ,14,FALSE)+SUM(_xlfn.XLOOKUP($S80:$AL80,增益!$A:$A,增益!$N:$N,0))</f>
        <v>0.02</v>
      </c>
      <c r="BK80">
        <f t="shared" si="30"/>
        <v>649.11</v>
      </c>
      <c r="BL80">
        <f t="shared" si="31"/>
        <v>1707.09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0.13</v>
      </c>
      <c r="BN80" s="31" cm="1">
        <f t="array" ref="BN80">$G$14+VLOOKUP($R80,武学奇术!$A:$ZZ,16,FALSE)+SUM(_xlfn.XLOOKUP($S80:$AL80,增益!$A:$A,增益!$P:$P,0))</f>
        <v>0.17</v>
      </c>
      <c r="BO80" s="24">
        <f>MIN(IF(VLOOKUP($R80,武学奇术!$A:$ZZ,23,FALSE)=1,100%,$B$8),100%)</f>
        <v>0.9771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0.8861</v>
      </c>
      <c r="BQ80" s="24" cm="1">
        <f t="array" ref="BQ80">1+$B$13+VLOOKUP($R80,武学奇术!$A:$ZZ,18,FALSE)+SUM(_xlfn.XLOOKUP($S80:$AL80,增益!$A:$A,增益!$R:$R,0))</f>
        <v>1.64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2"/>
        <v>0.86580831</v>
      </c>
      <c r="BU80" s="24">
        <f t="shared" si="33"/>
        <v>0.02208246</v>
      </c>
      <c r="BV80" s="24">
        <f>IF(VLOOKUP($R80,武学奇术!$A:$ZZ,22,FALSE)=1,0,(1-$BO80))*(1-$BR80)</f>
        <v>0.02080923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A81" t="s">
        <v>196</v>
      </c>
      <c r="B81">
        <v>3</v>
      </c>
      <c r="D81" s="38"/>
      <c r="K81" s="37">
        <f>$L81*VLOOKUP($R81,武学奇术!$A:$ZZ,31,FALSE)</f>
        <v>73349.2031444723</v>
      </c>
      <c r="L81" s="37">
        <f t="shared" si="34"/>
        <v>45843.2519652952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47185.3250458719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42316.979387532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27920.3106780307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24494.7106986304</v>
      </c>
      <c r="Q81" s="38">
        <v>1</v>
      </c>
      <c r="R81" s="39" t="s">
        <v>120</v>
      </c>
      <c r="S81" s="39" t="s">
        <v>106</v>
      </c>
      <c r="T81" s="39" t="s">
        <v>189</v>
      </c>
      <c r="U81" s="39" t="s">
        <v>89</v>
      </c>
      <c r="V81" s="39" t="s">
        <v>90</v>
      </c>
      <c r="W81" s="39" t="s">
        <v>91</v>
      </c>
      <c r="X81" s="39" t="s">
        <v>80</v>
      </c>
      <c r="Y81" s="39" t="s">
        <v>92</v>
      </c>
      <c r="Z81" s="39" t="s">
        <v>80</v>
      </c>
      <c r="AA81" s="39" t="s">
        <v>80</v>
      </c>
      <c r="AB81" s="39" t="s">
        <v>203</v>
      </c>
      <c r="AC81" s="39" t="s">
        <v>93</v>
      </c>
      <c r="AD81" s="39" t="s">
        <v>80</v>
      </c>
      <c r="AE81" s="39" t="s">
        <v>83</v>
      </c>
      <c r="AF81" s="39" t="s">
        <v>84</v>
      </c>
      <c r="AG81" s="39" t="s">
        <v>80</v>
      </c>
      <c r="AH81" s="39" t="s">
        <v>80</v>
      </c>
      <c r="AI81" s="39" t="s">
        <v>80</v>
      </c>
      <c r="AJ81" s="39" t="s">
        <v>80</v>
      </c>
      <c r="AK81" s="39" t="s">
        <v>80</v>
      </c>
      <c r="AL81" s="39" t="s">
        <v>80</v>
      </c>
      <c r="AM81" t="str">
        <f>VLOOKUP($R81,武学奇术!$A:$ZZ,25,FALSE)</f>
        <v>拳甲</v>
      </c>
      <c r="AN81" s="24">
        <f>VLOOKUP($R81,武学奇术!$A:$ZZ,26,FALSE)</f>
        <v>1.862784</v>
      </c>
      <c r="AO81" s="25">
        <f>VLOOKUP($R81,武学奇术!$A:$ZZ,27,FALSE)*(1+IF(OR($AM81=$F$4,$AM81=$F$5),$B$22,0))</f>
        <v>0</v>
      </c>
      <c r="AP81" s="24">
        <f>VLOOKUP($R81,武学奇术!$A:$ZZ,28,FALSE)</f>
        <v>2.794176</v>
      </c>
      <c r="AQ81" s="25">
        <f>VLOOKUP($R81,武学奇术!$A:$ZZ,29,FALSE)*(1+IF(OR($AM81=$F$4,$AM81=$F$5),$B$22,0))</f>
        <v>0</v>
      </c>
      <c r="AR81" s="24" cm="1">
        <f t="array" ref="AR81">$G$3+IFERROR(VLOOKUP($AM81,$F$4:$G$7,2,FALSE),0)+VLOOKUP($R81,武学奇术!$A:$ZZ,2,FALSE)+SUM(_xlfn.XLOOKUP($S81:$AL81,增益!$A:$A,增益!$B:$B,0))</f>
        <v>0.4043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4371.3</v>
      </c>
      <c r="AU81" cm="1">
        <f t="array" ref="AU81">$E$10*(1+$AS81)+VLOOKUP($R81,武学奇术!$A:$ZZ,4,FALSE)+SUM(_xlfn.XLOOKUP($S81:$AL81,增益!$A:$A,增益!$D:$D,0))-$I$2</f>
        <v>4371.3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0.4085</v>
      </c>
      <c r="AW81" s="31" cm="1">
        <f t="array" ref="AW81">$G$10+VLOOKUP($R81,武学奇术!$A:$ZZ,7,FALSE)+SUM(_xlfn.XLOOKUP($S81:$AL81,增益!$A:$A,增益!$G:$G,0))</f>
        <v>0.135</v>
      </c>
      <c r="AX81" s="24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0.03</v>
      </c>
      <c r="BB81" s="31" cm="1">
        <f t="array" ref="BB81">$G$11+VLOOKUP($R81,武学奇术!$A:$ZZ,10,FALSE)+SUM(_xlfn.XLOOKUP($S81:$AL81,增益!$A:$A,增益!$J:$J,0))</f>
        <v>0.02</v>
      </c>
      <c r="BC81">
        <f t="shared" si="26"/>
        <v>0</v>
      </c>
      <c r="BD81">
        <f t="shared" si="27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0.03</v>
      </c>
      <c r="BF81" s="31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0.03</v>
      </c>
      <c r="BJ81" s="31" cm="1">
        <f t="array" ref="BJ81">$G$13+VLOOKUP($R81,武学奇术!$A:$ZZ,14,FALSE)+SUM(_xlfn.XLOOKUP($S81:$AL81,增益!$A:$A,增益!$N:$N,0))</f>
        <v>0.02</v>
      </c>
      <c r="BK81">
        <f t="shared" si="30"/>
        <v>649.11</v>
      </c>
      <c r="BL81">
        <f t="shared" si="31"/>
        <v>1707.09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0.18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0.9771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0.8861</v>
      </c>
      <c r="BQ81" s="24" cm="1">
        <f t="array" ref="BQ81">1+$B$13+VLOOKUP($R81,武学奇术!$A:$ZZ,18,FALSE)+SUM(_xlfn.XLOOKUP($S81:$AL81,增益!$A:$A,增益!$R:$R,0))</f>
        <v>1.69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2"/>
        <v>0.86580831</v>
      </c>
      <c r="BU81" s="24">
        <f t="shared" si="33"/>
        <v>0.02208246</v>
      </c>
      <c r="BV81" s="24">
        <f>IF(VLOOKUP($R81,武学奇术!$A:$ZZ,22,FALSE)=1,0,(1-$BO81))*(1-$BR81)</f>
        <v>0.02080923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t="s">
        <v>214</v>
      </c>
      <c r="B82">
        <v>1.7</v>
      </c>
      <c r="D82" s="38"/>
      <c r="K82" s="37">
        <f>$L82*VLOOKUP($R82,武学奇术!$A:$ZZ,31,FALSE)</f>
        <v>18306.011518209</v>
      </c>
      <c r="L82" s="37">
        <f t="shared" si="34"/>
        <v>18306.011518209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18858.55550181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16699.9023474883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11158.9085809526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9947.51912672876</v>
      </c>
      <c r="Q82" s="38">
        <v>1</v>
      </c>
      <c r="R82" s="39" t="s">
        <v>110</v>
      </c>
      <c r="S82" s="39" t="s">
        <v>106</v>
      </c>
      <c r="T82" s="39" t="s">
        <v>189</v>
      </c>
      <c r="U82" s="39" t="s">
        <v>89</v>
      </c>
      <c r="V82" s="39" t="s">
        <v>90</v>
      </c>
      <c r="W82" s="39" t="s">
        <v>91</v>
      </c>
      <c r="X82" s="39" t="s">
        <v>80</v>
      </c>
      <c r="Y82" s="39" t="s">
        <v>92</v>
      </c>
      <c r="Z82" s="39" t="s">
        <v>80</v>
      </c>
      <c r="AA82" s="39" t="s">
        <v>80</v>
      </c>
      <c r="AB82" s="39" t="s">
        <v>203</v>
      </c>
      <c r="AC82" s="39" t="s">
        <v>93</v>
      </c>
      <c r="AD82" s="39" t="s">
        <v>80</v>
      </c>
      <c r="AE82" s="39" t="s">
        <v>83</v>
      </c>
      <c r="AF82" s="39" t="s">
        <v>84</v>
      </c>
      <c r="AG82" s="39" t="s">
        <v>80</v>
      </c>
      <c r="AH82" s="39" t="s">
        <v>80</v>
      </c>
      <c r="AI82" s="39" t="s">
        <v>80</v>
      </c>
      <c r="AJ82" s="39" t="s">
        <v>80</v>
      </c>
      <c r="AK82" s="39" t="s">
        <v>80</v>
      </c>
      <c r="AL82" s="39" t="s">
        <v>80</v>
      </c>
      <c r="AM82" t="str">
        <f>VLOOKUP($R82,武学奇术!$A:$ZZ,25,FALSE)</f>
        <v>双刀</v>
      </c>
      <c r="AN82" s="24">
        <f>VLOOKUP($R82,武学奇术!$A:$ZZ,26,FALSE)</f>
        <v>0.6587</v>
      </c>
      <c r="AO82" s="25">
        <f>VLOOKUP($R82,武学奇术!$A:$ZZ,27,FALSE)*(1+IF(OR($AM82=$F$4,$AM82=$F$5),$B$22,0))</f>
        <v>292.8</v>
      </c>
      <c r="AP82" s="24">
        <f>VLOOKUP($R82,武学奇术!$A:$ZZ,28,FALSE)</f>
        <v>0.9881</v>
      </c>
      <c r="AQ82" s="25">
        <f>VLOOKUP($R82,武学奇术!$A:$ZZ,29,FALSE)*(1+IF(OR($AM82=$F$4,$AM82=$F$5),$B$22,0))</f>
        <v>160</v>
      </c>
      <c r="AR82" s="24" cm="1">
        <f t="array" ref="AR82">$G$3+IFERROR(VLOOKUP($AM82,$F$4:$G$7,2,FALSE),0)+VLOOKUP($R82,武学奇术!$A:$ZZ,2,FALSE)+SUM(_xlfn.XLOOKUP($S82:$AL82,增益!$A:$A,增益!$B:$B,0))</f>
        <v>0.4043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4371.3</v>
      </c>
      <c r="AU82" cm="1">
        <f t="array" ref="AU82">$E$10*(1+$AS82)+VLOOKUP($R82,武学奇术!$A:$ZZ,4,FALSE)+SUM(_xlfn.XLOOKUP($S82:$AL82,增益!$A:$A,增益!$D:$D,0))-$I$2</f>
        <v>4371.3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0.4085</v>
      </c>
      <c r="AW82" s="31" cm="1">
        <f t="array" ref="AW82">$G$10+VLOOKUP($R82,武学奇术!$A:$ZZ,7,FALSE)+SUM(_xlfn.XLOOKUP($S82:$AL82,增益!$A:$A,增益!$G:$G,0))</f>
        <v>0.135</v>
      </c>
      <c r="AX82" s="24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0.03</v>
      </c>
      <c r="BB82" s="31" cm="1">
        <f t="array" ref="BB82">$G$11+VLOOKUP($R82,武学奇术!$A:$ZZ,10,FALSE)+SUM(_xlfn.XLOOKUP($S82:$AL82,增益!$A:$A,增益!$J:$J,0))</f>
        <v>0.02</v>
      </c>
      <c r="BC82">
        <f t="shared" si="26"/>
        <v>0</v>
      </c>
      <c r="BD82">
        <f t="shared" si="27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0.03</v>
      </c>
      <c r="BF82" s="31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0.03</v>
      </c>
      <c r="BJ82" s="31" cm="1">
        <f t="array" ref="BJ82">$G$13+VLOOKUP($R82,武学奇术!$A:$ZZ,14,FALSE)+SUM(_xlfn.XLOOKUP($S82:$AL82,增益!$A:$A,增益!$N:$N,0))</f>
        <v>0.02</v>
      </c>
      <c r="BK82">
        <f t="shared" si="30"/>
        <v>649.11</v>
      </c>
      <c r="BL82">
        <f t="shared" si="31"/>
        <v>1707.09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0.18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0.9771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0.8861</v>
      </c>
      <c r="BQ82" s="24" cm="1">
        <f t="array" ref="BQ82">1+$B$13+VLOOKUP($R82,武学奇术!$A:$ZZ,18,FALSE)+SUM(_xlfn.XLOOKUP($S82:$AL82,增益!$A:$A,增益!$R:$R,0))</f>
        <v>1.69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2"/>
        <v>0.86580831</v>
      </c>
      <c r="BU82" s="24">
        <f t="shared" si="33"/>
        <v>0.02208246</v>
      </c>
      <c r="BV82" s="24">
        <f>IF(VLOOKUP($R82,武学奇术!$A:$ZZ,22,FALSE)=1,0,(1-$BO82))*(1-$BR82)</f>
        <v>0.02080923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t="s">
        <v>175</v>
      </c>
      <c r="B83">
        <v>0.8</v>
      </c>
      <c r="K83" s="37">
        <f>$L83*VLOOKUP($R83,武学奇术!$A:$ZZ,31,FALSE)</f>
        <v>35210.6377812902</v>
      </c>
      <c r="L83" s="37">
        <f t="shared" si="34"/>
        <v>35210.6377812902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36273.3794966468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32121.9342942786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21463.5381636963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19133.0509242233</v>
      </c>
      <c r="Q83" s="38">
        <v>1</v>
      </c>
      <c r="R83" s="39" t="s">
        <v>115</v>
      </c>
      <c r="S83" s="39" t="s">
        <v>106</v>
      </c>
      <c r="T83" s="39" t="s">
        <v>189</v>
      </c>
      <c r="U83" s="39" t="s">
        <v>89</v>
      </c>
      <c r="V83" s="39" t="s">
        <v>90</v>
      </c>
      <c r="W83" s="39" t="s">
        <v>91</v>
      </c>
      <c r="X83" s="39" t="s">
        <v>80</v>
      </c>
      <c r="Y83" s="39" t="s">
        <v>92</v>
      </c>
      <c r="Z83" s="39" t="s">
        <v>80</v>
      </c>
      <c r="AA83" s="39" t="s">
        <v>80</v>
      </c>
      <c r="AB83" s="39" t="s">
        <v>203</v>
      </c>
      <c r="AC83" s="39" t="s">
        <v>93</v>
      </c>
      <c r="AD83" s="39" t="s">
        <v>80</v>
      </c>
      <c r="AE83" s="39" t="s">
        <v>83</v>
      </c>
      <c r="AF83" s="39" t="s">
        <v>84</v>
      </c>
      <c r="AG83" s="39" t="s">
        <v>80</v>
      </c>
      <c r="AH83" s="39" t="s">
        <v>80</v>
      </c>
      <c r="AI83" s="39" t="s">
        <v>80</v>
      </c>
      <c r="AJ83" s="39" t="s">
        <v>80</v>
      </c>
      <c r="AK83" s="39" t="s">
        <v>80</v>
      </c>
      <c r="AL83" s="39" t="s">
        <v>80</v>
      </c>
      <c r="AM83" t="str">
        <f>VLOOKUP($R83,武学奇术!$A:$ZZ,25,FALSE)</f>
        <v>双刀</v>
      </c>
      <c r="AN83" s="24">
        <f>VLOOKUP($R83,武学奇术!$A:$ZZ,26,FALSE)</f>
        <v>1.2672</v>
      </c>
      <c r="AO83" s="25">
        <f>VLOOKUP($R83,武学奇术!$A:$ZZ,27,FALSE)*(1+IF(OR($AM83=$F$4,$AM83=$F$5),$B$22,0))</f>
        <v>562.56</v>
      </c>
      <c r="AP83" s="24">
        <f>VLOOKUP($R83,武学奇术!$A:$ZZ,28,FALSE)</f>
        <v>1.90092</v>
      </c>
      <c r="AQ83" s="25">
        <f>VLOOKUP($R83,武学奇术!$A:$ZZ,29,FALSE)*(1+IF(OR($AM83=$F$4,$AM83=$F$5),$B$22,0))</f>
        <v>307.2</v>
      </c>
      <c r="AR83" s="24" cm="1">
        <f t="array" ref="AR83">$G$3+IFERROR(VLOOKUP($AM83,$F$4:$G$7,2,FALSE),0)+VLOOKUP($R83,武学奇术!$A:$ZZ,2,FALSE)+SUM(_xlfn.XLOOKUP($S83:$AL83,增益!$A:$A,增益!$B:$B,0))</f>
        <v>0.4043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4371.3</v>
      </c>
      <c r="AU83" cm="1">
        <f t="array" ref="AU83">$E$10*(1+$AS83)+VLOOKUP($R83,武学奇术!$A:$ZZ,4,FALSE)+SUM(_xlfn.XLOOKUP($S83:$AL83,增益!$A:$A,增益!$D:$D,0))-$I$2</f>
        <v>4371.3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0.4085</v>
      </c>
      <c r="AW83" s="31" cm="1">
        <f t="array" ref="AW83">$G$10+VLOOKUP($R83,武学奇术!$A:$ZZ,7,FALSE)+SUM(_xlfn.XLOOKUP($S83:$AL83,增益!$A:$A,增益!$G:$G,0))</f>
        <v>0.135</v>
      </c>
      <c r="AX83" s="24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0.03</v>
      </c>
      <c r="BB83" s="31" cm="1">
        <f t="array" ref="BB83">$G$11+VLOOKUP($R83,武学奇术!$A:$ZZ,10,FALSE)+SUM(_xlfn.XLOOKUP($S83:$AL83,增益!$A:$A,增益!$J:$J,0))</f>
        <v>0.02</v>
      </c>
      <c r="BC83">
        <f t="shared" si="26"/>
        <v>0</v>
      </c>
      <c r="BD83">
        <f t="shared" si="27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0.03</v>
      </c>
      <c r="BF83" s="31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0.03</v>
      </c>
      <c r="BJ83" s="31" cm="1">
        <f t="array" ref="BJ83">$G$13+VLOOKUP($R83,武学奇术!$A:$ZZ,14,FALSE)+SUM(_xlfn.XLOOKUP($S83:$AL83,增益!$A:$A,增益!$N:$N,0))</f>
        <v>0.02</v>
      </c>
      <c r="BK83">
        <f t="shared" si="30"/>
        <v>649.11</v>
      </c>
      <c r="BL83">
        <f t="shared" si="31"/>
        <v>1707.09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0.18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0.9771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0.8861</v>
      </c>
      <c r="BQ83" s="24" cm="1">
        <f t="array" ref="BQ83">1+$B$13+VLOOKUP($R83,武学奇术!$A:$ZZ,18,FALSE)+SUM(_xlfn.XLOOKUP($S83:$AL83,增益!$A:$A,增益!$R:$R,0))</f>
        <v>1.69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2"/>
        <v>0.86580831</v>
      </c>
      <c r="BU83" s="24">
        <f t="shared" si="33"/>
        <v>0.02208246</v>
      </c>
      <c r="BV83" s="24">
        <f>IF(VLOOKUP($R83,武学奇术!$A:$ZZ,22,FALSE)=1,0,(1-$BO83))*(1-$BR83)</f>
        <v>0.02080923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A84" t="s">
        <v>211</v>
      </c>
      <c r="B84">
        <v>30.35</v>
      </c>
      <c r="K84" s="37">
        <f>$L84*VLOOKUP($R84,武学奇术!$A:$ZZ,31,FALSE)</f>
        <v>51808.1919644082</v>
      </c>
      <c r="L84" s="37">
        <f t="shared" si="34"/>
        <v>51808.1919644082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54271.2338802067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40619.7005022003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27271.9768242245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24455.2866097821</v>
      </c>
      <c r="Q84" s="38">
        <v>1</v>
      </c>
      <c r="R84" s="39" t="s">
        <v>123</v>
      </c>
      <c r="S84" s="39" t="s">
        <v>106</v>
      </c>
      <c r="T84" s="39" t="s">
        <v>189</v>
      </c>
      <c r="U84" s="39" t="s">
        <v>89</v>
      </c>
      <c r="V84" s="39" t="s">
        <v>90</v>
      </c>
      <c r="W84" s="39" t="s">
        <v>91</v>
      </c>
      <c r="X84" s="39" t="s">
        <v>80</v>
      </c>
      <c r="Y84" s="39" t="s">
        <v>80</v>
      </c>
      <c r="Z84" s="39" t="s">
        <v>80</v>
      </c>
      <c r="AA84" s="39" t="s">
        <v>80</v>
      </c>
      <c r="AB84" s="39" t="s">
        <v>203</v>
      </c>
      <c r="AC84" s="39" t="s">
        <v>93</v>
      </c>
      <c r="AD84" s="39" t="s">
        <v>80</v>
      </c>
      <c r="AE84" s="39" t="s">
        <v>83</v>
      </c>
      <c r="AF84" s="39" t="s">
        <v>84</v>
      </c>
      <c r="AG84" s="39" t="s">
        <v>80</v>
      </c>
      <c r="AH84" s="39" t="s">
        <v>80</v>
      </c>
      <c r="AI84" s="39" t="s">
        <v>80</v>
      </c>
      <c r="AJ84" s="39" t="s">
        <v>80</v>
      </c>
      <c r="AK84" s="39" t="s">
        <v>80</v>
      </c>
      <c r="AL84" s="39" t="s">
        <v>80</v>
      </c>
      <c r="AM84" t="str">
        <f>VLOOKUP($R84,武学奇术!$A:$ZZ,25,FALSE)</f>
        <v>拳甲</v>
      </c>
      <c r="AN84" s="24">
        <f>VLOOKUP($R84,武学奇术!$A:$ZZ,26,FALSE)</f>
        <v>1.58662</v>
      </c>
      <c r="AO84" s="25">
        <f>VLOOKUP($R84,武学奇术!$A:$ZZ,27,FALSE)*(1+IF(OR($AM84=$F$4,$AM84=$F$5),$B$22,0))</f>
        <v>703.36</v>
      </c>
      <c r="AP84" s="24">
        <f>VLOOKUP($R84,武学奇术!$A:$ZZ,28,FALSE)</f>
        <v>2.37986</v>
      </c>
      <c r="AQ84" s="25">
        <f>VLOOKUP($R84,武学奇术!$A:$ZZ,29,FALSE)*(1+IF(OR($AM84=$F$4,$AM84=$F$5),$B$22,0))</f>
        <v>383.04</v>
      </c>
      <c r="AR84" s="24" cm="1">
        <f t="array" ref="AR84">$G$3+IFERROR(VLOOKUP($AM84,$F$4:$G$7,2,FALSE),0)+VLOOKUP($R84,武学奇术!$A:$ZZ,2,FALSE)+SUM(_xlfn.XLOOKUP($S84:$AL84,增益!$A:$A,增益!$B:$B,0))</f>
        <v>0.4543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4371.3</v>
      </c>
      <c r="AU84" cm="1">
        <f t="array" ref="AU84">$E$10*(1+$AS84)+VLOOKUP($R84,武学奇术!$A:$ZZ,4,FALSE)+SUM(_xlfn.XLOOKUP($S84:$AL84,增益!$A:$A,增益!$D:$D,0))-$I$2</f>
        <v>4371.3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0.4085</v>
      </c>
      <c r="AW84" s="31" cm="1">
        <f t="array" ref="AW84">$G$10+VLOOKUP($R84,武学奇术!$A:$ZZ,7,FALSE)+SUM(_xlfn.XLOOKUP($S84:$AL84,增益!$A:$A,增益!$G:$G,0))</f>
        <v>0.135</v>
      </c>
      <c r="AX84" s="24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31" cm="1">
        <f t="array" ref="BB84">$G$11+VLOOKUP($R84,武学奇术!$A:$ZZ,10,FALSE)+SUM(_xlfn.XLOOKUP($S84:$AL84,增益!$A:$A,增益!$J:$J,0))</f>
        <v>0.02</v>
      </c>
      <c r="BC84">
        <f t="shared" si="26"/>
        <v>0</v>
      </c>
      <c r="BD84">
        <f t="shared" si="27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31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31" cm="1">
        <f t="array" ref="BJ84">$G$13+VLOOKUP($R84,武学奇术!$A:$ZZ,14,FALSE)+SUM(_xlfn.XLOOKUP($S84:$AL84,增益!$A:$A,增益!$N:$N,0))</f>
        <v>0.02</v>
      </c>
      <c r="BK84">
        <f t="shared" si="30"/>
        <v>649.11</v>
      </c>
      <c r="BL84">
        <f t="shared" si="31"/>
        <v>1707.09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0.9771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0.8861</v>
      </c>
      <c r="BQ84" s="24" cm="1">
        <f t="array" ref="BQ84">1+$B$13+VLOOKUP($R84,武学奇术!$A:$ZZ,18,FALSE)+SUM(_xlfn.XLOOKUP($S84:$AL84,增益!$A:$A,增益!$R:$R,0))</f>
        <v>1.99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2"/>
        <v>0.86580831</v>
      </c>
      <c r="BU84" s="24">
        <f t="shared" si="33"/>
        <v>0.02208246</v>
      </c>
      <c r="BV84" s="24">
        <f>IF(VLOOKUP($R84,武学奇术!$A:$ZZ,22,FALSE)=1,0,(1-$BO84))*(1-$BR84)</f>
        <v>0.02080923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K85" s="37">
        <f>$L85*VLOOKUP($R85,武学奇术!$A:$ZZ,31,FALSE)</f>
        <v>35435.6311423494</v>
      </c>
      <c r="L85" s="37">
        <f t="shared" si="34"/>
        <v>35435.6311423494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37120.3842677201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27781.9128318785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18653.4594310151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16727.7241717499</v>
      </c>
      <c r="Q85" s="38">
        <v>1</v>
      </c>
      <c r="R85" s="39" t="s">
        <v>126</v>
      </c>
      <c r="S85" s="39" t="s">
        <v>106</v>
      </c>
      <c r="T85" s="39" t="s">
        <v>189</v>
      </c>
      <c r="U85" s="39" t="s">
        <v>89</v>
      </c>
      <c r="V85" s="39" t="s">
        <v>90</v>
      </c>
      <c r="W85" s="39" t="s">
        <v>91</v>
      </c>
      <c r="X85" s="39" t="s">
        <v>80</v>
      </c>
      <c r="Y85" s="39" t="s">
        <v>80</v>
      </c>
      <c r="Z85" s="39" t="s">
        <v>80</v>
      </c>
      <c r="AA85" s="39" t="s">
        <v>80</v>
      </c>
      <c r="AB85" s="39" t="s">
        <v>203</v>
      </c>
      <c r="AC85" s="39" t="s">
        <v>93</v>
      </c>
      <c r="AD85" s="39" t="s">
        <v>80</v>
      </c>
      <c r="AE85" s="39" t="s">
        <v>83</v>
      </c>
      <c r="AF85" s="39" t="s">
        <v>84</v>
      </c>
      <c r="AG85" s="39" t="s">
        <v>80</v>
      </c>
      <c r="AH85" s="39" t="s">
        <v>80</v>
      </c>
      <c r="AI85" s="39" t="s">
        <v>80</v>
      </c>
      <c r="AJ85" s="39" t="s">
        <v>80</v>
      </c>
      <c r="AK85" s="39" t="s">
        <v>80</v>
      </c>
      <c r="AL85" s="39" t="s">
        <v>80</v>
      </c>
      <c r="AM85" t="str">
        <f>VLOOKUP($R85,武学奇术!$A:$ZZ,25,FALSE)</f>
        <v>拳甲</v>
      </c>
      <c r="AN85" s="24">
        <f>VLOOKUP($R85,武学奇术!$A:$ZZ,26,FALSE)</f>
        <v>1.08472</v>
      </c>
      <c r="AO85" s="25">
        <f>VLOOKUP($R85,武学奇术!$A:$ZZ,27,FALSE)*(1+IF(OR($AM85=$F$4,$AM85=$F$5),$B$22,0))</f>
        <v>483.84</v>
      </c>
      <c r="AP85" s="24">
        <f>VLOOKUP($R85,武学奇术!$A:$ZZ,28,FALSE)</f>
        <v>1.62708</v>
      </c>
      <c r="AQ85" s="25">
        <f>VLOOKUP($R85,武学奇术!$A:$ZZ,29,FALSE)*(1+IF(OR($AM85=$F$4,$AM85=$F$5),$B$22,0))</f>
        <v>262.08</v>
      </c>
      <c r="AR85" s="24" cm="1">
        <f t="array" ref="AR85">$G$3+IFERROR(VLOOKUP($AM85,$F$4:$G$7,2,FALSE),0)+VLOOKUP($R85,武学奇术!$A:$ZZ,2,FALSE)+SUM(_xlfn.XLOOKUP($S85:$AL85,增益!$A:$A,增益!$B:$B,0))</f>
        <v>0.4543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4371.3</v>
      </c>
      <c r="AU85" cm="1">
        <f t="array" ref="AU85">$E$10*(1+$AS85)+VLOOKUP($R85,武学奇术!$A:$ZZ,4,FALSE)+SUM(_xlfn.XLOOKUP($S85:$AL85,增益!$A:$A,增益!$D:$D,0))-$I$2</f>
        <v>4371.3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0.4085</v>
      </c>
      <c r="AW85" s="31" cm="1">
        <f t="array" ref="AW85">$G$10+VLOOKUP($R85,武学奇术!$A:$ZZ,7,FALSE)+SUM(_xlfn.XLOOKUP($S85:$AL85,增益!$A:$A,增益!$G:$G,0))</f>
        <v>0.135</v>
      </c>
      <c r="AX85" s="24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31" cm="1">
        <f t="array" ref="BB85">$G$11+VLOOKUP($R85,武学奇术!$A:$ZZ,10,FALSE)+SUM(_xlfn.XLOOKUP($S85:$AL85,增益!$A:$A,增益!$J:$J,0))</f>
        <v>0.02</v>
      </c>
      <c r="BC85">
        <f t="shared" si="26"/>
        <v>0</v>
      </c>
      <c r="BD85">
        <f t="shared" si="27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31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31" cm="1">
        <f t="array" ref="BJ85">$G$13+VLOOKUP($R85,武学奇术!$A:$ZZ,14,FALSE)+SUM(_xlfn.XLOOKUP($S85:$AL85,增益!$A:$A,增益!$N:$N,0))</f>
        <v>0.02</v>
      </c>
      <c r="BK85">
        <f t="shared" si="30"/>
        <v>649.11</v>
      </c>
      <c r="BL85">
        <f t="shared" si="31"/>
        <v>1707.09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0.9771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0.8861</v>
      </c>
      <c r="BQ85" s="24" cm="1">
        <f t="array" ref="BQ85">1+$B$13+VLOOKUP($R85,武学奇术!$A:$ZZ,18,FALSE)+SUM(_xlfn.XLOOKUP($S85:$AL85,增益!$A:$A,增益!$R:$R,0))</f>
        <v>1.99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2"/>
        <v>0.86580831</v>
      </c>
      <c r="BU85" s="24">
        <f t="shared" si="33"/>
        <v>0.02208246</v>
      </c>
      <c r="BV85" s="24">
        <f>IF(VLOOKUP($R85,武学奇术!$A:$ZZ,22,FALSE)=1,0,(1-$BO85))*(1-$BR85)</f>
        <v>0.02080923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A86" t="s">
        <v>177</v>
      </c>
      <c r="B86">
        <v>0.7</v>
      </c>
      <c r="K86" s="37">
        <f>$L86*VLOOKUP($R86,武学奇术!$A:$ZZ,31,FALSE)</f>
        <v>86170.9403175284</v>
      </c>
      <c r="L86" s="37">
        <f t="shared" si="34"/>
        <v>53856.8376984553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55628.2643797039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48189.3958575734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31970.2668848873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28244.6849863869</v>
      </c>
      <c r="Q86" s="38">
        <v>1</v>
      </c>
      <c r="R86" s="39" t="s">
        <v>128</v>
      </c>
      <c r="S86" s="39" t="s">
        <v>106</v>
      </c>
      <c r="T86" s="39" t="s">
        <v>189</v>
      </c>
      <c r="U86" s="39" t="s">
        <v>89</v>
      </c>
      <c r="V86" s="39" t="s">
        <v>129</v>
      </c>
      <c r="W86" s="39" t="s">
        <v>91</v>
      </c>
      <c r="X86" s="39" t="s">
        <v>80</v>
      </c>
      <c r="Y86" s="39" t="s">
        <v>80</v>
      </c>
      <c r="Z86" s="39" t="s">
        <v>80</v>
      </c>
      <c r="AA86" s="39" t="s">
        <v>80</v>
      </c>
      <c r="AB86" s="39" t="s">
        <v>203</v>
      </c>
      <c r="AC86" s="39" t="s">
        <v>93</v>
      </c>
      <c r="AD86" s="39" t="s">
        <v>80</v>
      </c>
      <c r="AE86" s="39" t="s">
        <v>83</v>
      </c>
      <c r="AF86" s="39" t="s">
        <v>84</v>
      </c>
      <c r="AG86" s="39" t="s">
        <v>80</v>
      </c>
      <c r="AH86" s="39" t="s">
        <v>80</v>
      </c>
      <c r="AI86" s="39" t="s">
        <v>80</v>
      </c>
      <c r="AJ86" s="39" t="s">
        <v>80</v>
      </c>
      <c r="AK86" s="39" t="s">
        <v>80</v>
      </c>
      <c r="AL86" s="39" t="s">
        <v>80</v>
      </c>
      <c r="AM86" t="str">
        <f>VLOOKUP($R86,武学奇术!$A:$ZZ,25,FALSE)</f>
        <v>拳甲</v>
      </c>
      <c r="AN86" s="24">
        <f>VLOOKUP($R86,武学奇术!$A:$ZZ,26,FALSE)</f>
        <v>2.173248</v>
      </c>
      <c r="AO86" s="25">
        <f>VLOOKUP($R86,武学奇术!$A:$ZZ,27,FALSE)*(1+IF(OR($AM86=$F$4,$AM86=$F$5),$B$22,0))</f>
        <v>0</v>
      </c>
      <c r="AP86" s="24">
        <f>VLOOKUP($R86,武学奇术!$A:$ZZ,28,FALSE)</f>
        <v>3.259872</v>
      </c>
      <c r="AQ86" s="25">
        <f>VLOOKUP($R86,武学奇术!$A:$ZZ,29,FALSE)*(1+IF(OR($AM86=$F$4,$AM86=$F$5),$B$22,0))</f>
        <v>0</v>
      </c>
      <c r="AR86" s="24" cm="1">
        <f t="array" ref="AR86">$G$3+IFERROR(VLOOKUP($AM86,$F$4:$G$7,2,FALSE),0)+VLOOKUP($R86,武学奇术!$A:$ZZ,2,FALSE)+SUM(_xlfn.XLOOKUP($S86:$AL86,增益!$A:$A,增益!$B:$B,0))</f>
        <v>0.4043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4371.3</v>
      </c>
      <c r="AU86" cm="1">
        <f t="array" ref="AU86">$E$10*(1+$AS86)+VLOOKUP($R86,武学奇术!$A:$ZZ,4,FALSE)+SUM(_xlfn.XLOOKUP($S86:$AL86,增益!$A:$A,增益!$D:$D,0))-$I$2</f>
        <v>4371.3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0.4085</v>
      </c>
      <c r="AW86" s="31" cm="1">
        <f t="array" ref="AW86">$G$10+VLOOKUP($R86,武学奇术!$A:$ZZ,7,FALSE)+SUM(_xlfn.XLOOKUP($S86:$AL86,增益!$A:$A,增益!$G:$G,0))</f>
        <v>0.135</v>
      </c>
      <c r="AX86" s="24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31" cm="1">
        <f t="array" ref="BB86">$G$11+VLOOKUP($R86,武学奇术!$A:$ZZ,10,FALSE)+SUM(_xlfn.XLOOKUP($S86:$AL86,增益!$A:$A,增益!$J:$J,0))</f>
        <v>0.02</v>
      </c>
      <c r="BC86">
        <f t="shared" si="26"/>
        <v>0</v>
      </c>
      <c r="BD86">
        <f t="shared" si="27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31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31" cm="1">
        <f t="array" ref="BJ86">$G$13+VLOOKUP($R86,武学奇术!$A:$ZZ,14,FALSE)+SUM(_xlfn.XLOOKUP($S86:$AL86,增益!$A:$A,增益!$N:$N,0))</f>
        <v>0.02</v>
      </c>
      <c r="BK86">
        <f t="shared" si="30"/>
        <v>649.11</v>
      </c>
      <c r="BL86">
        <f t="shared" si="31"/>
        <v>1707.09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0.9771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0.8861</v>
      </c>
      <c r="BQ86" s="24" cm="1">
        <f t="array" ref="BQ86">1+$B$13+VLOOKUP($R86,武学奇术!$A:$ZZ,18,FALSE)+SUM(_xlfn.XLOOKUP($S86:$AL86,增益!$A:$A,增益!$R:$R,0))</f>
        <v>1.74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2"/>
        <v>0.86580831</v>
      </c>
      <c r="BU86" s="24">
        <f t="shared" si="33"/>
        <v>0.02208246</v>
      </c>
      <c r="BV86" s="24">
        <f>IF(VLOOKUP($R86,武学奇术!$A:$ZZ,22,FALSE)=1,0,(1-$BO86))*(1-$BR86)</f>
        <v>0.02080923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A87" t="s">
        <v>179</v>
      </c>
      <c r="B87">
        <v>0.1</v>
      </c>
      <c r="K87" s="37">
        <f>$L87*VLOOKUP($R87,武学奇术!$A:$ZZ,31,FALSE)</f>
        <v>344106.557301537</v>
      </c>
      <c r="L87" s="37">
        <f t="shared" si="34"/>
        <v>344106.557301537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360890.509231093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263490.80379664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176907.112368183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158635.851553669</v>
      </c>
      <c r="Q87" s="38">
        <v>1</v>
      </c>
      <c r="R87" s="39" t="s">
        <v>132</v>
      </c>
      <c r="S87" s="39" t="s">
        <v>106</v>
      </c>
      <c r="T87" s="39" t="s">
        <v>189</v>
      </c>
      <c r="U87" s="39" t="s">
        <v>89</v>
      </c>
      <c r="V87" s="39" t="s">
        <v>129</v>
      </c>
      <c r="W87" s="39" t="s">
        <v>91</v>
      </c>
      <c r="X87" s="39" t="s">
        <v>80</v>
      </c>
      <c r="Y87" s="39" t="s">
        <v>80</v>
      </c>
      <c r="Z87" s="39" t="s">
        <v>80</v>
      </c>
      <c r="AA87" s="39" t="s">
        <v>80</v>
      </c>
      <c r="AB87" s="39" t="s">
        <v>203</v>
      </c>
      <c r="AC87" s="39" t="s">
        <v>93</v>
      </c>
      <c r="AD87" s="39" t="s">
        <v>80</v>
      </c>
      <c r="AE87" s="39" t="s">
        <v>83</v>
      </c>
      <c r="AF87" s="39" t="s">
        <v>84</v>
      </c>
      <c r="AG87" s="39" t="s">
        <v>80</v>
      </c>
      <c r="AH87" s="39" t="s">
        <v>80</v>
      </c>
      <c r="AI87" s="39" t="s">
        <v>80</v>
      </c>
      <c r="AJ87" s="39" t="s">
        <v>80</v>
      </c>
      <c r="AK87" s="39" t="s">
        <v>80</v>
      </c>
      <c r="AL87" s="39" t="s">
        <v>80</v>
      </c>
      <c r="AM87" t="str">
        <f>VLOOKUP($R87,武学奇术!$A:$ZZ,25,FALSE)</f>
        <v>拳甲</v>
      </c>
      <c r="AN87" s="24">
        <f>VLOOKUP($R87,武学奇术!$A:$ZZ,26,FALSE)</f>
        <v>7.79674</v>
      </c>
      <c r="AO87" s="25">
        <f>VLOOKUP($R87,武学奇术!$A:$ZZ,27,FALSE)*(1+IF(OR($AM87=$F$4,$AM87=$F$5),$B$22,0))</f>
        <v>3458.56</v>
      </c>
      <c r="AP87" s="24">
        <f>VLOOKUP($R87,武学奇术!$A:$ZZ,28,FALSE)</f>
        <v>11.69518</v>
      </c>
      <c r="AQ87" s="25">
        <f>VLOOKUP($R87,武学奇术!$A:$ZZ,29,FALSE)*(1+IF(OR($AM87=$F$4,$AM87=$F$5),$B$22,0))</f>
        <v>1881.6</v>
      </c>
      <c r="AR87" s="24" cm="1">
        <f t="array" ref="AR87">$G$3+IFERROR(VLOOKUP($AM87,$F$4:$G$7,2,FALSE),0)+VLOOKUP($R87,武学奇术!$A:$ZZ,2,FALSE)+SUM(_xlfn.XLOOKUP($S87:$AL87,增益!$A:$A,增益!$B:$B,0))</f>
        <v>0.4543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4371.3</v>
      </c>
      <c r="AU87" cm="1">
        <f t="array" ref="AU87">$E$10*(1+$AS87)+VLOOKUP($R87,武学奇术!$A:$ZZ,4,FALSE)+SUM(_xlfn.XLOOKUP($S87:$AL87,增益!$A:$A,增益!$D:$D,0))-$I$2</f>
        <v>4371.3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0.4085</v>
      </c>
      <c r="AW87" s="31" cm="1">
        <f t="array" ref="AW87">$G$10+VLOOKUP($R87,武学奇术!$A:$ZZ,7,FALSE)+SUM(_xlfn.XLOOKUP($S87:$AL87,增益!$A:$A,增益!$G:$G,0))</f>
        <v>0.135</v>
      </c>
      <c r="AX87" s="24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31" cm="1">
        <f t="array" ref="BB87">$G$11+VLOOKUP($R87,武学奇术!$A:$ZZ,10,FALSE)+SUM(_xlfn.XLOOKUP($S87:$AL87,增益!$A:$A,增益!$J:$J,0))</f>
        <v>0.02</v>
      </c>
      <c r="BC87">
        <f t="shared" si="26"/>
        <v>0</v>
      </c>
      <c r="BD87">
        <f t="shared" si="27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31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31" cm="1">
        <f t="array" ref="BJ87">$G$13+VLOOKUP($R87,武学奇术!$A:$ZZ,14,FALSE)+SUM(_xlfn.XLOOKUP($S87:$AL87,增益!$A:$A,增益!$N:$N,0))</f>
        <v>0.02</v>
      </c>
      <c r="BK87">
        <f t="shared" si="30"/>
        <v>649.11</v>
      </c>
      <c r="BL87">
        <f t="shared" si="31"/>
        <v>1707.09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0.9771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0.8861</v>
      </c>
      <c r="BQ87" s="24" cm="1">
        <f t="array" ref="BQ87">1+$B$13+VLOOKUP($R87,武学奇术!$A:$ZZ,18,FALSE)+SUM(_xlfn.XLOOKUP($S87:$AL87,增益!$A:$A,增益!$R:$R,0))</f>
        <v>2.04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2"/>
        <v>0.86580831</v>
      </c>
      <c r="BU87" s="24">
        <f t="shared" si="33"/>
        <v>0.04289169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t="s">
        <v>187</v>
      </c>
      <c r="B88">
        <v>0.9</v>
      </c>
      <c r="K88" s="37">
        <f>$L88*VLOOKUP($R88,武学奇术!$A:$ZZ,31,FALSE)</f>
        <v>351160.487189229</v>
      </c>
      <c r="L88" s="37">
        <f t="shared" si="34"/>
        <v>351160.487189229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368164.329434018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270098.266891113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180472.710506871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160872.63072403</v>
      </c>
      <c r="Q88" s="38">
        <v>1</v>
      </c>
      <c r="R88" s="39" t="s">
        <v>132</v>
      </c>
      <c r="S88" s="39" t="s">
        <v>106</v>
      </c>
      <c r="T88" s="39" t="s">
        <v>189</v>
      </c>
      <c r="U88" s="39" t="s">
        <v>89</v>
      </c>
      <c r="V88" s="39" t="s">
        <v>129</v>
      </c>
      <c r="W88" s="39" t="s">
        <v>91</v>
      </c>
      <c r="X88" s="39" t="s">
        <v>80</v>
      </c>
      <c r="Y88" s="39" t="s">
        <v>92</v>
      </c>
      <c r="Z88" s="39" t="s">
        <v>80</v>
      </c>
      <c r="AA88" s="39" t="s">
        <v>80</v>
      </c>
      <c r="AB88" s="39" t="s">
        <v>203</v>
      </c>
      <c r="AC88" s="39" t="s">
        <v>93</v>
      </c>
      <c r="AD88" s="39" t="s">
        <v>80</v>
      </c>
      <c r="AE88" s="39" t="s">
        <v>83</v>
      </c>
      <c r="AF88" s="39" t="s">
        <v>84</v>
      </c>
      <c r="AG88" s="39" t="s">
        <v>80</v>
      </c>
      <c r="AH88" s="39" t="s">
        <v>80</v>
      </c>
      <c r="AI88" s="39" t="s">
        <v>80</v>
      </c>
      <c r="AJ88" s="39" t="s">
        <v>80</v>
      </c>
      <c r="AK88" s="39" t="s">
        <v>80</v>
      </c>
      <c r="AL88" s="39" t="s">
        <v>80</v>
      </c>
      <c r="AM88" t="str">
        <f>VLOOKUP($R88,武学奇术!$A:$ZZ,25,FALSE)</f>
        <v>拳甲</v>
      </c>
      <c r="AN88" s="24">
        <f>VLOOKUP($R88,武学奇术!$A:$ZZ,26,FALSE)</f>
        <v>7.79674</v>
      </c>
      <c r="AO88" s="25">
        <f>VLOOKUP($R88,武学奇术!$A:$ZZ,27,FALSE)*(1+IF(OR($AM88=$F$4,$AM88=$F$5),$B$22,0))</f>
        <v>3458.56</v>
      </c>
      <c r="AP88" s="24">
        <f>VLOOKUP($R88,武学奇术!$A:$ZZ,28,FALSE)</f>
        <v>11.69518</v>
      </c>
      <c r="AQ88" s="25">
        <f>VLOOKUP($R88,武学奇术!$A:$ZZ,29,FALSE)*(1+IF(OR($AM88=$F$4,$AM88=$F$5),$B$22,0))</f>
        <v>1881.6</v>
      </c>
      <c r="AR88" s="24" cm="1">
        <f t="array" ref="AR88">$G$3+IFERROR(VLOOKUP($AM88,$F$4:$G$7,2,FALSE),0)+VLOOKUP($R88,武学奇术!$A:$ZZ,2,FALSE)+SUM(_xlfn.XLOOKUP($S88:$AL88,增益!$A:$A,增益!$B:$B,0))</f>
        <v>0.4543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4371.3</v>
      </c>
      <c r="AU88" cm="1">
        <f t="array" ref="AU88">$E$10*(1+$AS88)+VLOOKUP($R88,武学奇术!$A:$ZZ,4,FALSE)+SUM(_xlfn.XLOOKUP($S88:$AL88,增益!$A:$A,增益!$D:$D,0))-$I$2</f>
        <v>4371.3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0.4085</v>
      </c>
      <c r="AW88" s="31" cm="1">
        <f t="array" ref="AW88">$G$10+VLOOKUP($R88,武学奇术!$A:$ZZ,7,FALSE)+SUM(_xlfn.XLOOKUP($S88:$AL88,增益!$A:$A,增益!$G:$G,0))</f>
        <v>0.135</v>
      </c>
      <c r="AX88" s="24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0.03</v>
      </c>
      <c r="BB88" s="31" cm="1">
        <f t="array" ref="BB88">$G$11+VLOOKUP($R88,武学奇术!$A:$ZZ,10,FALSE)+SUM(_xlfn.XLOOKUP($S88:$AL88,增益!$A:$A,增益!$J:$J,0))</f>
        <v>0.02</v>
      </c>
      <c r="BC88">
        <f t="shared" si="26"/>
        <v>0</v>
      </c>
      <c r="BD88">
        <f t="shared" si="27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0.03</v>
      </c>
      <c r="BF88" s="31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0.03</v>
      </c>
      <c r="BJ88" s="31" cm="1">
        <f t="array" ref="BJ88">$G$13+VLOOKUP($R88,武学奇术!$A:$ZZ,14,FALSE)+SUM(_xlfn.XLOOKUP($S88:$AL88,增益!$A:$A,增益!$N:$N,0))</f>
        <v>0.02</v>
      </c>
      <c r="BK88">
        <f t="shared" si="30"/>
        <v>649.11</v>
      </c>
      <c r="BL88">
        <f t="shared" si="31"/>
        <v>1707.09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0.18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0.9771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0.8861</v>
      </c>
      <c r="BQ88" s="24" cm="1">
        <f t="array" ref="BQ88">1+$B$13+VLOOKUP($R88,武学奇术!$A:$ZZ,18,FALSE)+SUM(_xlfn.XLOOKUP($S88:$AL88,增益!$A:$A,增益!$R:$R,0))</f>
        <v>2.04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2"/>
        <v>0.86580831</v>
      </c>
      <c r="BU88" s="24">
        <f t="shared" si="33"/>
        <v>0.04289169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t="s">
        <v>188</v>
      </c>
      <c r="B89">
        <v>0.6</v>
      </c>
      <c r="D89" s="38" t="s">
        <v>178</v>
      </c>
      <c r="K89" s="37">
        <f>$L89*VLOOKUP($R89,武学奇术!$A:$ZZ,31,FALSE)</f>
        <v>351160.487189229</v>
      </c>
      <c r="L89" s="37">
        <f t="shared" si="34"/>
        <v>351160.487189229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368164.329434018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270098.266891113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180472.710506871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160872.63072403</v>
      </c>
      <c r="Q89" s="38">
        <v>1</v>
      </c>
      <c r="R89" s="39" t="s">
        <v>132</v>
      </c>
      <c r="S89" s="39" t="s">
        <v>106</v>
      </c>
      <c r="T89" s="39" t="s">
        <v>189</v>
      </c>
      <c r="U89" s="39" t="s">
        <v>89</v>
      </c>
      <c r="V89" s="39" t="s">
        <v>129</v>
      </c>
      <c r="W89" s="39" t="s">
        <v>91</v>
      </c>
      <c r="X89" s="39" t="s">
        <v>80</v>
      </c>
      <c r="Y89" s="39" t="s">
        <v>92</v>
      </c>
      <c r="Z89" s="39" t="s">
        <v>80</v>
      </c>
      <c r="AA89" s="39" t="s">
        <v>80</v>
      </c>
      <c r="AB89" s="39" t="s">
        <v>203</v>
      </c>
      <c r="AC89" s="39" t="s">
        <v>99</v>
      </c>
      <c r="AD89" s="39" t="s">
        <v>80</v>
      </c>
      <c r="AE89" s="39" t="s">
        <v>83</v>
      </c>
      <c r="AF89" s="39" t="s">
        <v>84</v>
      </c>
      <c r="AG89" s="39" t="s">
        <v>80</v>
      </c>
      <c r="AH89" s="39" t="s">
        <v>80</v>
      </c>
      <c r="AI89" s="39" t="s">
        <v>80</v>
      </c>
      <c r="AJ89" s="39" t="s">
        <v>80</v>
      </c>
      <c r="AK89" s="39" t="s">
        <v>80</v>
      </c>
      <c r="AL89" s="39" t="s">
        <v>80</v>
      </c>
      <c r="AM89" t="str">
        <f>VLOOKUP($R89,武学奇术!$A:$ZZ,25,FALSE)</f>
        <v>拳甲</v>
      </c>
      <c r="AN89" s="24">
        <f>VLOOKUP($R89,武学奇术!$A:$ZZ,26,FALSE)</f>
        <v>7.79674</v>
      </c>
      <c r="AO89" s="25">
        <f>VLOOKUP($R89,武学奇术!$A:$ZZ,27,FALSE)*(1+IF(OR($AM89=$F$4,$AM89=$F$5),$B$22,0))</f>
        <v>3458.56</v>
      </c>
      <c r="AP89" s="24">
        <f>VLOOKUP($R89,武学奇术!$A:$ZZ,28,FALSE)</f>
        <v>11.69518</v>
      </c>
      <c r="AQ89" s="25">
        <f>VLOOKUP($R89,武学奇术!$A:$ZZ,29,FALSE)*(1+IF(OR($AM89=$F$4,$AM89=$F$5),$B$22,0))</f>
        <v>1881.6</v>
      </c>
      <c r="AR89" s="24" cm="1">
        <f t="array" ref="AR89">$G$3+IFERROR(VLOOKUP($AM89,$F$4:$G$7,2,FALSE),0)+VLOOKUP($R89,武学奇术!$A:$ZZ,2,FALSE)+SUM(_xlfn.XLOOKUP($S89:$AL89,增益!$A:$A,增益!$B:$B,0))</f>
        <v>0.4543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4371.3</v>
      </c>
      <c r="AU89" cm="1">
        <f t="array" ref="AU89">$E$10*(1+$AS89)+VLOOKUP($R89,武学奇术!$A:$ZZ,4,FALSE)+SUM(_xlfn.XLOOKUP($S89:$AL89,增益!$A:$A,增益!$D:$D,0))-$I$2</f>
        <v>4371.3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0.4085</v>
      </c>
      <c r="AW89" s="31" cm="1">
        <f t="array" ref="AW89">$G$10+VLOOKUP($R89,武学奇术!$A:$ZZ,7,FALSE)+SUM(_xlfn.XLOOKUP($S89:$AL89,增益!$A:$A,增益!$G:$G,0))</f>
        <v>0.135</v>
      </c>
      <c r="AX89" s="24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0.03</v>
      </c>
      <c r="BB89" s="31" cm="1">
        <f t="array" ref="BB89">$G$11+VLOOKUP($R89,武学奇术!$A:$ZZ,10,FALSE)+SUM(_xlfn.XLOOKUP($S89:$AL89,增益!$A:$A,增益!$J:$J,0))</f>
        <v>0.02</v>
      </c>
      <c r="BC89">
        <f t="shared" si="26"/>
        <v>0</v>
      </c>
      <c r="BD89">
        <f t="shared" si="27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0.03</v>
      </c>
      <c r="BF89" s="31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0.03</v>
      </c>
      <c r="BJ89" s="31" cm="1">
        <f t="array" ref="BJ89">$G$13+VLOOKUP($R89,武学奇术!$A:$ZZ,14,FALSE)+SUM(_xlfn.XLOOKUP($S89:$AL89,增益!$A:$A,增益!$N:$N,0))</f>
        <v>0.02</v>
      </c>
      <c r="BK89">
        <f t="shared" si="30"/>
        <v>649.11</v>
      </c>
      <c r="BL89">
        <f t="shared" si="31"/>
        <v>1707.09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0.18</v>
      </c>
      <c r="BN89" s="31" cm="1">
        <f t="array" ref="BN89">$G$14+VLOOKUP($R89,武学奇术!$A:$ZZ,16,FALSE)+SUM(_xlfn.XLOOKUP($S89:$AL89,增益!$A:$A,增益!$P:$P,0))</f>
        <v>0.26</v>
      </c>
      <c r="BO89" s="24">
        <f>MIN(IF(VLOOKUP($R89,武学奇术!$A:$ZZ,23,FALSE)=1,100%,$B$8),100%)</f>
        <v>0.9771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0.8861</v>
      </c>
      <c r="BQ89" s="24" cm="1">
        <f t="array" ref="BQ89">1+$B$13+VLOOKUP($R89,武学奇术!$A:$ZZ,18,FALSE)+SUM(_xlfn.XLOOKUP($S89:$AL89,增益!$A:$A,增益!$R:$R,0))</f>
        <v>2.04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2"/>
        <v>0.86580831</v>
      </c>
      <c r="BU89" s="24">
        <f t="shared" si="33"/>
        <v>0.04289169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0.11</v>
      </c>
      <c r="BX89" s="24" cm="1">
        <f t="array" ref="BX89">SUM(_xlfn.XLOOKUP($S89:$AL89,增益!$A:$A,增益!$X:$X,0))</f>
        <v>0</v>
      </c>
    </row>
    <row r="90" spans="1:76">
      <c r="A90" t="s">
        <v>182</v>
      </c>
      <c r="B90">
        <v>0.7</v>
      </c>
      <c r="D90" s="38"/>
      <c r="K90" s="37">
        <f>$L90*VLOOKUP($R90,武学奇术!$A:$ZZ,31,FALSE)</f>
        <v>192841.79211573</v>
      </c>
      <c r="L90" s="37">
        <f t="shared" si="34"/>
        <v>192841.79211573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202179.192913651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148329.472802286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99107.4475066919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88341.2114561351</v>
      </c>
      <c r="Q90" s="38">
        <v>1</v>
      </c>
      <c r="R90" s="39" t="s">
        <v>156</v>
      </c>
      <c r="S90" s="39" t="s">
        <v>106</v>
      </c>
      <c r="T90" s="39" t="s">
        <v>189</v>
      </c>
      <c r="U90" s="39" t="s">
        <v>89</v>
      </c>
      <c r="V90" s="39" t="s">
        <v>129</v>
      </c>
      <c r="W90" s="39" t="s">
        <v>91</v>
      </c>
      <c r="X90" s="39" t="s">
        <v>80</v>
      </c>
      <c r="Y90" s="39" t="s">
        <v>92</v>
      </c>
      <c r="Z90" s="39" t="s">
        <v>80</v>
      </c>
      <c r="AA90" s="39" t="s">
        <v>80</v>
      </c>
      <c r="AB90" s="39" t="s">
        <v>203</v>
      </c>
      <c r="AC90" s="39" t="s">
        <v>99</v>
      </c>
      <c r="AD90" s="39" t="s">
        <v>80</v>
      </c>
      <c r="AE90" s="39" t="s">
        <v>83</v>
      </c>
      <c r="AF90" s="39" t="s">
        <v>84</v>
      </c>
      <c r="AG90" s="39" t="s">
        <v>80</v>
      </c>
      <c r="AH90" s="39" t="s">
        <v>80</v>
      </c>
      <c r="AI90" s="39" t="s">
        <v>80</v>
      </c>
      <c r="AJ90" s="39" t="s">
        <v>80</v>
      </c>
      <c r="AK90" s="39" t="s">
        <v>80</v>
      </c>
      <c r="AL90" s="39" t="s">
        <v>80</v>
      </c>
      <c r="AM90" t="str">
        <f>VLOOKUP($R90,武学奇术!$A:$ZZ,25,FALSE)</f>
        <v>双刀</v>
      </c>
      <c r="AN90" s="24">
        <f>VLOOKUP($R90,武学奇术!$A:$ZZ,26,FALSE)</f>
        <v>4.28274</v>
      </c>
      <c r="AO90" s="25">
        <f>VLOOKUP($R90,武学奇术!$A:$ZZ,27,FALSE)*(1+IF(OR($AM90=$F$4,$AM90=$F$5),$B$22,0))</f>
        <v>1895.04</v>
      </c>
      <c r="AP90" s="24">
        <f>VLOOKUP($R90,武学奇术!$A:$ZZ,28,FALSE)</f>
        <v>6.42411</v>
      </c>
      <c r="AQ90" s="25">
        <f>VLOOKUP($R90,武学奇术!$A:$ZZ,29,FALSE)*(1+IF(OR($AM90=$F$4,$AM90=$F$5),$B$22,0))</f>
        <v>1031.52</v>
      </c>
      <c r="AR90" s="24" cm="1">
        <f t="array" ref="AR90">$G$3+IFERROR(VLOOKUP($AM90,$F$4:$G$7,2,FALSE),0)+VLOOKUP($R90,武学奇术!$A:$ZZ,2,FALSE)+SUM(_xlfn.XLOOKUP($S90:$AL90,增益!$A:$A,增益!$B:$B,0))</f>
        <v>0.4543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4371.3</v>
      </c>
      <c r="AU90" cm="1">
        <f t="array" ref="AU90">$E$10*(1+$AS90)+VLOOKUP($R90,武学奇术!$A:$ZZ,4,FALSE)+SUM(_xlfn.XLOOKUP($S90:$AL90,增益!$A:$A,增益!$D:$D,0))-$I$2</f>
        <v>4371.3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0.4085</v>
      </c>
      <c r="AW90" s="31" cm="1">
        <f t="array" ref="AW90">$G$10+VLOOKUP($R90,武学奇术!$A:$ZZ,7,FALSE)+SUM(_xlfn.XLOOKUP($S90:$AL90,增益!$A:$A,增益!$G:$G,0))</f>
        <v>0.135</v>
      </c>
      <c r="AX90" s="24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0.03</v>
      </c>
      <c r="BB90" s="31" cm="1">
        <f t="array" ref="BB90">$G$11+VLOOKUP($R90,武学奇术!$A:$ZZ,10,FALSE)+SUM(_xlfn.XLOOKUP($S90:$AL90,增益!$A:$A,增益!$J:$J,0))</f>
        <v>0.02</v>
      </c>
      <c r="BC90">
        <f t="shared" si="26"/>
        <v>0</v>
      </c>
      <c r="BD90">
        <f t="shared" si="27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0.03</v>
      </c>
      <c r="BF90" s="31" cm="1">
        <f t="array" ref="BF90">$G$12+VLOOKUP($R90,武学奇术!$A:$ZZ,12,FALSE)+SUM(_xlfn.XLOOKUP($S90:$AL90,增益!$A:$A,增益!$L:$L,0))</f>
        <v>0.02</v>
      </c>
      <c r="BG90">
        <f t="shared" si="28"/>
        <v>0</v>
      </c>
      <c r="BH90">
        <f t="shared" si="29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0.03</v>
      </c>
      <c r="BJ90" s="31" cm="1">
        <f t="array" ref="BJ90">$G$13+VLOOKUP($R90,武学奇术!$A:$ZZ,14,FALSE)+SUM(_xlfn.XLOOKUP($S90:$AL90,增益!$A:$A,增益!$N:$N,0))</f>
        <v>0.02</v>
      </c>
      <c r="BK90">
        <f t="shared" si="30"/>
        <v>649.11</v>
      </c>
      <c r="BL90">
        <f t="shared" si="31"/>
        <v>1707.09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0.18</v>
      </c>
      <c r="BN90" s="31" cm="1">
        <f t="array" ref="BN90">$G$14+VLOOKUP($R90,武学奇术!$A:$ZZ,16,FALSE)+SUM(_xlfn.XLOOKUP($S90:$AL90,增益!$A:$A,增益!$P:$P,0))</f>
        <v>0.26</v>
      </c>
      <c r="BO90" s="24">
        <f>MIN(IF(VLOOKUP($R90,武学奇术!$A:$ZZ,23,FALSE)=1,100%,$B$8),100%)</f>
        <v>0.9771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0.8861</v>
      </c>
      <c r="BQ90" s="24" cm="1">
        <f t="array" ref="BQ90">1+$B$13+VLOOKUP($R90,武学奇术!$A:$ZZ,18,FALSE)+SUM(_xlfn.XLOOKUP($S90:$AL90,增益!$A:$A,增益!$R:$R,0))</f>
        <v>2.04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2"/>
        <v>0.86580831</v>
      </c>
      <c r="BU90" s="24">
        <f t="shared" si="33"/>
        <v>0.04289169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</v>
      </c>
    </row>
    <row r="91" spans="1:76">
      <c r="A91" t="s">
        <v>190</v>
      </c>
      <c r="B91">
        <v>2.5</v>
      </c>
      <c r="D91" s="38"/>
      <c r="E91" s="38" t="s">
        <v>183</v>
      </c>
      <c r="F91" s="38" t="s">
        <v>184</v>
      </c>
      <c r="G91" s="38" t="s">
        <v>212</v>
      </c>
      <c r="K91" s="37">
        <f>$L91*VLOOKUP($R91,武学奇术!$A:$ZZ,31,FALSE)</f>
        <v>257075.017105054</v>
      </c>
      <c r="L91" s="37">
        <f t="shared" si="34"/>
        <v>257075.017105054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269522.430107435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197737.756096771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132118.838287958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117765.264652382</v>
      </c>
      <c r="Q91" s="38">
        <v>1</v>
      </c>
      <c r="R91" s="39" t="s">
        <v>162</v>
      </c>
      <c r="S91" s="39" t="s">
        <v>106</v>
      </c>
      <c r="T91" s="39" t="s">
        <v>189</v>
      </c>
      <c r="U91" s="39" t="s">
        <v>89</v>
      </c>
      <c r="V91" s="39" t="s">
        <v>129</v>
      </c>
      <c r="W91" s="39" t="s">
        <v>91</v>
      </c>
      <c r="X91" s="39" t="s">
        <v>80</v>
      </c>
      <c r="Y91" s="39" t="s">
        <v>92</v>
      </c>
      <c r="Z91" s="39" t="s">
        <v>80</v>
      </c>
      <c r="AA91" s="39" t="s">
        <v>80</v>
      </c>
      <c r="AB91" s="39" t="s">
        <v>203</v>
      </c>
      <c r="AC91" s="39" t="s">
        <v>99</v>
      </c>
      <c r="AD91" s="39" t="s">
        <v>80</v>
      </c>
      <c r="AE91" s="39" t="s">
        <v>83</v>
      </c>
      <c r="AF91" s="39" t="s">
        <v>84</v>
      </c>
      <c r="AG91" s="39" t="s">
        <v>80</v>
      </c>
      <c r="AH91" s="39" t="s">
        <v>80</v>
      </c>
      <c r="AI91" s="39" t="s">
        <v>80</v>
      </c>
      <c r="AJ91" s="39" t="s">
        <v>80</v>
      </c>
      <c r="AK91" s="39" t="s">
        <v>80</v>
      </c>
      <c r="AL91" s="39" t="s">
        <v>80</v>
      </c>
      <c r="AM91" t="str">
        <f>VLOOKUP($R91,武学奇术!$A:$ZZ,25,FALSE)</f>
        <v>双刀</v>
      </c>
      <c r="AN91" s="24">
        <f>VLOOKUP($R91,武学奇术!$A:$ZZ,26,FALSE)</f>
        <v>5.71032</v>
      </c>
      <c r="AO91" s="25">
        <f>VLOOKUP($R91,武学奇术!$A:$ZZ,27,FALSE)*(1+IF(OR($AM91=$F$4,$AM91=$F$5),$B$22,0))</f>
        <v>2526.72</v>
      </c>
      <c r="AP91" s="24">
        <f>VLOOKUP($R91,武学奇术!$A:$ZZ,28,FALSE)</f>
        <v>8.56464</v>
      </c>
      <c r="AQ91" s="25">
        <f>VLOOKUP($R91,武学奇术!$A:$ZZ,29,FALSE)*(1+IF(OR($AM91=$F$4,$AM91=$F$5),$B$22,0))</f>
        <v>1370.88</v>
      </c>
      <c r="AR91" s="24" cm="1">
        <f t="array" ref="AR91">$G$3+IFERROR(VLOOKUP($AM91,$F$4:$G$7,2,FALSE),0)+VLOOKUP($R91,武学奇术!$A:$ZZ,2,FALSE)+SUM(_xlfn.XLOOKUP($S91:$AL91,增益!$A:$A,增益!$B:$B,0))</f>
        <v>0.4543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4371.3</v>
      </c>
      <c r="AU91" cm="1">
        <f t="array" ref="AU91">$E$10*(1+$AS91)+VLOOKUP($R91,武学奇术!$A:$ZZ,4,FALSE)+SUM(_xlfn.XLOOKUP($S91:$AL91,增益!$A:$A,增益!$D:$D,0))-$I$2</f>
        <v>4371.3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0.4085</v>
      </c>
      <c r="AW91" s="31" cm="1">
        <f t="array" ref="AW91">$G$10+VLOOKUP($R91,武学奇术!$A:$ZZ,7,FALSE)+SUM(_xlfn.XLOOKUP($S91:$AL91,增益!$A:$A,增益!$G:$G,0))</f>
        <v>0.135</v>
      </c>
      <c r="AX91" s="24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0.03</v>
      </c>
      <c r="BB91" s="31" cm="1">
        <f t="array" ref="BB91">$G$11+VLOOKUP($R91,武学奇术!$A:$ZZ,10,FALSE)+SUM(_xlfn.XLOOKUP($S91:$AL91,增益!$A:$A,增益!$J:$J,0))</f>
        <v>0.02</v>
      </c>
      <c r="BC91">
        <f t="shared" si="26"/>
        <v>0</v>
      </c>
      <c r="BD91">
        <f t="shared" si="27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0.03</v>
      </c>
      <c r="BF91" s="31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0.03</v>
      </c>
      <c r="BJ91" s="31" cm="1">
        <f t="array" ref="BJ91">$G$13+VLOOKUP($R91,武学奇术!$A:$ZZ,14,FALSE)+SUM(_xlfn.XLOOKUP($S91:$AL91,增益!$A:$A,增益!$N:$N,0))</f>
        <v>0.02</v>
      </c>
      <c r="BK91">
        <f t="shared" si="30"/>
        <v>649.11</v>
      </c>
      <c r="BL91">
        <f t="shared" si="31"/>
        <v>1707.09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0.18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0.9771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0.8861</v>
      </c>
      <c r="BQ91" s="24" cm="1">
        <f t="array" ref="BQ91">1+$B$13+VLOOKUP($R91,武学奇术!$A:$ZZ,18,FALSE)+SUM(_xlfn.XLOOKUP($S91:$AL91,增益!$A:$A,增益!$R:$R,0))</f>
        <v>2.04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2"/>
        <v>0.86580831</v>
      </c>
      <c r="BU91" s="24">
        <f t="shared" si="33"/>
        <v>0.04289169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0.11</v>
      </c>
      <c r="BX91" s="24" cm="1">
        <f t="array" ref="BX91">SUM(_xlfn.XLOOKUP($S91:$AL91,增益!$A:$A,增益!$X:$X,0))</f>
        <v>0</v>
      </c>
    </row>
    <row r="92" spans="1:76">
      <c r="A92" t="s">
        <v>190</v>
      </c>
      <c r="B92">
        <v>2.25</v>
      </c>
      <c r="D92" s="38"/>
      <c r="E92" s="38"/>
      <c r="F92" s="38"/>
      <c r="G92" s="38"/>
      <c r="K92" s="37">
        <f>$L92*VLOOKUP($R92,武学奇术!$A:$ZZ,31,FALSE)</f>
        <v>227588.06096541</v>
      </c>
      <c r="L92" s="37">
        <f t="shared" si="34"/>
        <v>227588.06096541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238607.876321517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175055.503937833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116964.645255645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104258.546853637</v>
      </c>
      <c r="Q92" s="38">
        <v>1</v>
      </c>
      <c r="R92" s="39" t="s">
        <v>165</v>
      </c>
      <c r="S92" s="39" t="s">
        <v>106</v>
      </c>
      <c r="T92" s="39" t="s">
        <v>189</v>
      </c>
      <c r="U92" s="39" t="s">
        <v>89</v>
      </c>
      <c r="V92" s="39" t="s">
        <v>129</v>
      </c>
      <c r="W92" s="39" t="s">
        <v>91</v>
      </c>
      <c r="X92" s="39" t="s">
        <v>80</v>
      </c>
      <c r="Y92" s="39" t="s">
        <v>92</v>
      </c>
      <c r="Z92" s="39" t="s">
        <v>193</v>
      </c>
      <c r="AA92" s="39" t="s">
        <v>194</v>
      </c>
      <c r="AB92" s="39" t="s">
        <v>203</v>
      </c>
      <c r="AC92" s="39" t="s">
        <v>99</v>
      </c>
      <c r="AD92" s="39" t="s">
        <v>199</v>
      </c>
      <c r="AE92" s="39" t="s">
        <v>83</v>
      </c>
      <c r="AF92" s="39" t="s">
        <v>84</v>
      </c>
      <c r="AG92" s="39" t="s">
        <v>80</v>
      </c>
      <c r="AH92" s="39" t="s">
        <v>80</v>
      </c>
      <c r="AI92" s="39" t="s">
        <v>80</v>
      </c>
      <c r="AJ92" s="39" t="s">
        <v>80</v>
      </c>
      <c r="AK92" s="39" t="s">
        <v>80</v>
      </c>
      <c r="AL92" s="39" t="s">
        <v>80</v>
      </c>
      <c r="AM92" t="str">
        <f>VLOOKUP($R92,武学奇术!$A:$ZZ,25,FALSE)</f>
        <v>双刀</v>
      </c>
      <c r="AN92" s="24">
        <f>VLOOKUP($R92,武学奇术!$A:$ZZ,26,FALSE)</f>
        <v>4.28274</v>
      </c>
      <c r="AO92" s="25">
        <f>VLOOKUP($R92,武学奇术!$A:$ZZ,27,FALSE)*(1+IF(OR($AM92=$F$4,$AM92=$F$5),$B$22,0))</f>
        <v>1895.04</v>
      </c>
      <c r="AP92" s="24">
        <f>VLOOKUP($R92,武学奇术!$A:$ZZ,28,FALSE)</f>
        <v>6.42411</v>
      </c>
      <c r="AQ92" s="25">
        <f>VLOOKUP($R92,武学奇术!$A:$ZZ,29,FALSE)*(1+IF(OR($AM92=$F$4,$AM92=$F$5),$B$22,0))</f>
        <v>1031.52</v>
      </c>
      <c r="AR92" s="24" cm="1">
        <f t="array" ref="AR92">$G$3+IFERROR(VLOOKUP($AM92,$F$4:$G$7,2,FALSE),0)+VLOOKUP($R92,武学奇术!$A:$ZZ,2,FALSE)+SUM(_xlfn.XLOOKUP($S92:$AL92,增益!$A:$A,增益!$B:$B,0))</f>
        <v>0.4543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4371.3</v>
      </c>
      <c r="AU92" cm="1">
        <f t="array" ref="AU92">$E$10*(1+$AS92)+VLOOKUP($R92,武学奇术!$A:$ZZ,4,FALSE)+SUM(_xlfn.XLOOKUP($S92:$AL92,增益!$A:$A,增益!$D:$D,0))-$I$2</f>
        <v>4371.3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0.4085</v>
      </c>
      <c r="AW92" s="31" cm="1">
        <f t="array" ref="AW92">$G$10+VLOOKUP($R92,武学奇术!$A:$ZZ,7,FALSE)+SUM(_xlfn.XLOOKUP($S92:$AL92,增益!$A:$A,增益!$G:$G,0))</f>
        <v>0.135</v>
      </c>
      <c r="AX92" s="24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0.03</v>
      </c>
      <c r="BB92" s="31" cm="1">
        <f t="array" ref="BB92">$G$11+VLOOKUP($R92,武学奇术!$A:$ZZ,10,FALSE)+SUM(_xlfn.XLOOKUP($S92:$AL92,增益!$A:$A,增益!$J:$J,0))</f>
        <v>0.12</v>
      </c>
      <c r="BC92">
        <f t="shared" si="26"/>
        <v>0</v>
      </c>
      <c r="BD92">
        <f t="shared" si="27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0.03</v>
      </c>
      <c r="BF92" s="31" cm="1">
        <f t="array" ref="BF92">$G$12+VLOOKUP($R92,武学奇术!$A:$ZZ,12,FALSE)+SUM(_xlfn.XLOOKUP($S92:$AL92,增益!$A:$A,增益!$L:$L,0))</f>
        <v>0.02</v>
      </c>
      <c r="BG92">
        <f t="shared" si="28"/>
        <v>0</v>
      </c>
      <c r="BH92">
        <f t="shared" si="29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0.03</v>
      </c>
      <c r="BJ92" s="31" cm="1">
        <f t="array" ref="BJ92">$G$13+VLOOKUP($R92,武学奇术!$A:$ZZ,14,FALSE)+SUM(_xlfn.XLOOKUP($S92:$AL92,增益!$A:$A,增益!$N:$N,0))</f>
        <v>0.02</v>
      </c>
      <c r="BK92">
        <f t="shared" si="30"/>
        <v>649.11</v>
      </c>
      <c r="BL92">
        <f t="shared" si="31"/>
        <v>1707.09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0.18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0.9771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0.8861</v>
      </c>
      <c r="BQ92" s="24" cm="1">
        <f t="array" ref="BQ92">1+$B$13+VLOOKUP($R92,武学奇术!$A:$ZZ,18,FALSE)+SUM(_xlfn.XLOOKUP($S92:$AL92,增益!$A:$A,增益!$R:$R,0))</f>
        <v>2.04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2"/>
        <v>0.86580831</v>
      </c>
      <c r="BU92" s="24">
        <f t="shared" si="33"/>
        <v>0.04289169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0.31</v>
      </c>
      <c r="BX92" s="24" cm="1">
        <f t="array" ref="BX92">SUM(_xlfn.XLOOKUP($S92:$AL92,增益!$A:$A,增益!$X:$X,0))</f>
        <v>0</v>
      </c>
    </row>
    <row r="93" spans="1:76">
      <c r="A93" t="s">
        <v>190</v>
      </c>
      <c r="B93">
        <v>2</v>
      </c>
      <c r="D93" s="38"/>
      <c r="E93" s="38"/>
      <c r="G93" s="38"/>
      <c r="K93" s="37">
        <f>$L93*VLOOKUP($R93,武学奇术!$A:$ZZ,31,FALSE)</f>
        <v>39805.1774386751</v>
      </c>
      <c r="L93" s="37">
        <f t="shared" si="34"/>
        <v>39805.1774386751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40883.8240259955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37156.0161951889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24929.1609914607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22335.3470235222</v>
      </c>
      <c r="Q93" s="38">
        <v>1</v>
      </c>
      <c r="R93" s="39" t="s">
        <v>197</v>
      </c>
      <c r="S93" s="39" t="s">
        <v>106</v>
      </c>
      <c r="T93" s="39" t="s">
        <v>189</v>
      </c>
      <c r="U93" s="39" t="s">
        <v>89</v>
      </c>
      <c r="V93" s="39" t="s">
        <v>80</v>
      </c>
      <c r="W93" s="39" t="s">
        <v>80</v>
      </c>
      <c r="X93" s="39" t="s">
        <v>80</v>
      </c>
      <c r="Y93" s="39" t="s">
        <v>92</v>
      </c>
      <c r="Z93" s="39" t="s">
        <v>193</v>
      </c>
      <c r="AA93" s="39" t="s">
        <v>194</v>
      </c>
      <c r="AB93" s="39" t="s">
        <v>203</v>
      </c>
      <c r="AC93" s="39" t="s">
        <v>93</v>
      </c>
      <c r="AD93" s="39" t="s">
        <v>200</v>
      </c>
      <c r="AE93" s="39" t="s">
        <v>83</v>
      </c>
      <c r="AF93" s="39" t="s">
        <v>84</v>
      </c>
      <c r="AG93" s="39" t="s">
        <v>80</v>
      </c>
      <c r="AH93" s="39" t="s">
        <v>80</v>
      </c>
      <c r="AI93" s="39" t="s">
        <v>80</v>
      </c>
      <c r="AJ93" s="39" t="s">
        <v>80</v>
      </c>
      <c r="AK93" s="39" t="s">
        <v>80</v>
      </c>
      <c r="AL93" s="39" t="s">
        <v>80</v>
      </c>
      <c r="AM93" t="str">
        <f>VLOOKUP($R93,武学奇术!$A:$ZZ,25,FALSE)</f>
        <v>拳甲</v>
      </c>
      <c r="AN93" s="24">
        <f>VLOOKUP($R93,武学奇术!$A:$ZZ,26,FALSE)</f>
        <v>1.28702</v>
      </c>
      <c r="AO93" s="25">
        <f>VLOOKUP($R93,武学奇术!$A:$ZZ,27,FALSE)*(1+IF(OR($AM93=$F$4,$AM93=$F$5),$B$22,0))</f>
        <v>571.2</v>
      </c>
      <c r="AP93" s="24">
        <f>VLOOKUP($R93,武学奇术!$A:$ZZ,28,FALSE)</f>
        <v>1.9306</v>
      </c>
      <c r="AQ93" s="25">
        <f>VLOOKUP($R93,武学奇术!$A:$ZZ,29,FALSE)*(1+IF(OR($AM93=$F$4,$AM93=$F$5),$B$22,0))</f>
        <v>622.72</v>
      </c>
      <c r="AR93" s="24" cm="1">
        <f t="array" ref="AR93">$G$3+IFERROR(VLOOKUP($AM93,$F$4:$G$7,2,FALSE),0)+VLOOKUP($R93,武学奇术!$A:$ZZ,2,FALSE)+SUM(_xlfn.XLOOKUP($S93:$AL93,增益!$A:$A,增益!$B:$B,0))</f>
        <v>0.4043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4371.3</v>
      </c>
      <c r="AU93" cm="1">
        <f t="array" ref="AU93">$E$10*(1+$AS93)+VLOOKUP($R93,武学奇术!$A:$ZZ,4,FALSE)+SUM(_xlfn.XLOOKUP($S93:$AL93,增益!$A:$A,增益!$D:$D,0))-$I$2</f>
        <v>4371.3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0.4085</v>
      </c>
      <c r="AW93" s="31" cm="1">
        <f t="array" ref="AW93">$G$10+VLOOKUP($R93,武学奇术!$A:$ZZ,7,FALSE)+SUM(_xlfn.XLOOKUP($S93:$AL93,增益!$A:$A,增益!$G:$G,0))</f>
        <v>0.045</v>
      </c>
      <c r="AX93" s="24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0.03</v>
      </c>
      <c r="BB93" s="31" cm="1">
        <f t="array" ref="BB93">$G$11+VLOOKUP($R93,武学奇术!$A:$ZZ,10,FALSE)+SUM(_xlfn.XLOOKUP($S93:$AL93,增益!$A:$A,增益!$J:$J,0))</f>
        <v>0.12</v>
      </c>
      <c r="BC93">
        <f t="shared" si="26"/>
        <v>0</v>
      </c>
      <c r="BD93">
        <f t="shared" si="27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0.03</v>
      </c>
      <c r="BF93" s="31" cm="1">
        <f t="array" ref="BF93">$G$12+VLOOKUP($R93,武学奇术!$A:$ZZ,12,FALSE)+SUM(_xlfn.XLOOKUP($S93:$AL93,增益!$A:$A,增益!$L:$L,0))</f>
        <v>0.02</v>
      </c>
      <c r="BG93">
        <f t="shared" si="28"/>
        <v>0</v>
      </c>
      <c r="BH93">
        <f t="shared" si="29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0.03</v>
      </c>
      <c r="BJ93" s="31" cm="1">
        <f t="array" ref="BJ93">$G$13+VLOOKUP($R93,武学奇术!$A:$ZZ,14,FALSE)+SUM(_xlfn.XLOOKUP($S93:$AL93,增益!$A:$A,增益!$N:$N,0))</f>
        <v>0.02</v>
      </c>
      <c r="BK93">
        <f t="shared" si="30"/>
        <v>649.11</v>
      </c>
      <c r="BL93">
        <f t="shared" si="31"/>
        <v>1707.09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0.18</v>
      </c>
      <c r="BN93" s="31" cm="1">
        <f t="array" ref="BN93">$G$14+VLOOKUP($R93,武学奇术!$A:$ZZ,16,FALSE)+SUM(_xlfn.XLOOKUP($S93:$AL93,增益!$A:$A,增益!$P:$P,0))</f>
        <v>0.17</v>
      </c>
      <c r="BO93" s="24">
        <f>MIN(IF(VLOOKUP($R93,武学奇术!$A:$ZZ,23,FALSE)=1,100%,$B$8),100%)</f>
        <v>0.9771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0.8861</v>
      </c>
      <c r="BQ93" s="24" cm="1">
        <f t="array" ref="BQ93">1+$B$13+VLOOKUP($R93,武学奇术!$A:$ZZ,18,FALSE)+SUM(_xlfn.XLOOKUP($S93:$AL93,增益!$A:$A,增益!$R:$R,0))</f>
        <v>1.64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32"/>
        <v>0.86580831</v>
      </c>
      <c r="BU93" s="24">
        <f t="shared" si="33"/>
        <v>0.02208246</v>
      </c>
      <c r="BV93" s="24">
        <f>IF(VLOOKUP($R93,武学奇术!$A:$ZZ,22,FALSE)=1,0,(1-$BO93))*(1-$BR93)</f>
        <v>0.02080923</v>
      </c>
      <c r="BW93" s="24" cm="1">
        <f t="array" ref="BW93">SUM(_xlfn.XLOOKUP($S93:$AL93,增益!$A:$A,增益!$W:$W,0))+$I$5</f>
        <v>0.31</v>
      </c>
      <c r="BX93" s="24" cm="1">
        <f t="array" ref="BX93">SUM(_xlfn.XLOOKUP($S93:$AL93,增益!$A:$A,增益!$X:$X,0))</f>
        <v>0</v>
      </c>
    </row>
    <row r="94" spans="1:76">
      <c r="A94" t="s">
        <v>179</v>
      </c>
      <c r="B94" s="95">
        <v>0.1</v>
      </c>
      <c r="D94" s="38"/>
      <c r="G94" s="38"/>
      <c r="K94" s="37">
        <f>$L94*VLOOKUP($R94,武学奇术!$A:$ZZ,31,FALSE)</f>
        <v>227588.06096541</v>
      </c>
      <c r="L94" s="37">
        <f t="shared" si="34"/>
        <v>227588.06096541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238607.876321517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175055.503937833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116964.645255645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104258.546853637</v>
      </c>
      <c r="Q94" s="38">
        <v>1</v>
      </c>
      <c r="R94" s="39" t="s">
        <v>156</v>
      </c>
      <c r="S94" s="39" t="s">
        <v>106</v>
      </c>
      <c r="T94" s="39" t="s">
        <v>189</v>
      </c>
      <c r="U94" s="39" t="s">
        <v>89</v>
      </c>
      <c r="V94" s="39" t="s">
        <v>129</v>
      </c>
      <c r="W94" s="39" t="s">
        <v>91</v>
      </c>
      <c r="X94" s="39" t="s">
        <v>80</v>
      </c>
      <c r="Y94" s="39" t="s">
        <v>92</v>
      </c>
      <c r="Z94" s="39" t="s">
        <v>193</v>
      </c>
      <c r="AA94" s="39" t="s">
        <v>194</v>
      </c>
      <c r="AB94" s="39" t="s">
        <v>203</v>
      </c>
      <c r="AC94" s="39" t="s">
        <v>93</v>
      </c>
      <c r="AD94" s="39" t="s">
        <v>201</v>
      </c>
      <c r="AE94" s="39" t="s">
        <v>83</v>
      </c>
      <c r="AF94" s="39" t="s">
        <v>84</v>
      </c>
      <c r="AG94" s="39" t="s">
        <v>80</v>
      </c>
      <c r="AH94" s="39" t="s">
        <v>80</v>
      </c>
      <c r="AI94" s="39" t="s">
        <v>80</v>
      </c>
      <c r="AJ94" s="39" t="s">
        <v>80</v>
      </c>
      <c r="AK94" s="39" t="s">
        <v>80</v>
      </c>
      <c r="AL94" s="39" t="s">
        <v>80</v>
      </c>
      <c r="AM94" t="str">
        <f>VLOOKUP($R94,武学奇术!$A:$ZZ,25,FALSE)</f>
        <v>双刀</v>
      </c>
      <c r="AN94" s="24">
        <f>VLOOKUP($R94,武学奇术!$A:$ZZ,26,FALSE)</f>
        <v>4.28274</v>
      </c>
      <c r="AO94" s="25">
        <f>VLOOKUP($R94,武学奇术!$A:$ZZ,27,FALSE)*(1+IF(OR($AM94=$F$4,$AM94=$F$5),$B$22,0))</f>
        <v>1895.04</v>
      </c>
      <c r="AP94" s="24">
        <f>VLOOKUP($R94,武学奇术!$A:$ZZ,28,FALSE)</f>
        <v>6.42411</v>
      </c>
      <c r="AQ94" s="25">
        <f>VLOOKUP($R94,武学奇术!$A:$ZZ,29,FALSE)*(1+IF(OR($AM94=$F$4,$AM94=$F$5),$B$22,0))</f>
        <v>1031.52</v>
      </c>
      <c r="AR94" s="24" cm="1">
        <f t="array" ref="AR94">$G$3+IFERROR(VLOOKUP($AM94,$F$4:$G$7,2,FALSE),0)+VLOOKUP($R94,武学奇术!$A:$ZZ,2,FALSE)+SUM(_xlfn.XLOOKUP($S94:$AL94,增益!$A:$A,增益!$B:$B,0))</f>
        <v>0.4543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4371.3</v>
      </c>
      <c r="AU94" cm="1">
        <f t="array" ref="AU94">$E$10*(1+$AS94)+VLOOKUP($R94,武学奇术!$A:$ZZ,4,FALSE)+SUM(_xlfn.XLOOKUP($S94:$AL94,增益!$A:$A,增益!$D:$D,0))-$I$2</f>
        <v>4371.3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0.4085</v>
      </c>
      <c r="AW94" s="31" cm="1">
        <f t="array" ref="AW94">$G$10+VLOOKUP($R94,武学奇术!$A:$ZZ,7,FALSE)+SUM(_xlfn.XLOOKUP($S94:$AL94,增益!$A:$A,增益!$G:$G,0))</f>
        <v>0.135</v>
      </c>
      <c r="AX94" s="24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0.03</v>
      </c>
      <c r="BB94" s="31" cm="1">
        <f t="array" ref="BB94">$G$11+VLOOKUP($R94,武学奇术!$A:$ZZ,10,FALSE)+SUM(_xlfn.XLOOKUP($S94:$AL94,增益!$A:$A,增益!$J:$J,0))</f>
        <v>0.12</v>
      </c>
      <c r="BC94">
        <f t="shared" si="26"/>
        <v>0</v>
      </c>
      <c r="BD94">
        <f t="shared" si="27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0.03</v>
      </c>
      <c r="BF94" s="31" cm="1">
        <f t="array" ref="BF94">$G$12+VLOOKUP($R94,武学奇术!$A:$ZZ,12,FALSE)+SUM(_xlfn.XLOOKUP($S94:$AL94,增益!$A:$A,增益!$L:$L,0))</f>
        <v>0.02</v>
      </c>
      <c r="BG94">
        <f t="shared" si="28"/>
        <v>0</v>
      </c>
      <c r="BH94">
        <f t="shared" si="29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0.03</v>
      </c>
      <c r="BJ94" s="31" cm="1">
        <f t="array" ref="BJ94">$G$13+VLOOKUP($R94,武学奇术!$A:$ZZ,14,FALSE)+SUM(_xlfn.XLOOKUP($S94:$AL94,增益!$A:$A,增益!$N:$N,0))</f>
        <v>0.02</v>
      </c>
      <c r="BK94">
        <f t="shared" si="30"/>
        <v>649.11</v>
      </c>
      <c r="BL94">
        <f t="shared" si="31"/>
        <v>1707.09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0.18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0.9771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0.8861</v>
      </c>
      <c r="BQ94" s="24" cm="1">
        <f t="array" ref="BQ94">1+$B$13+VLOOKUP($R94,武学奇术!$A:$ZZ,18,FALSE)+SUM(_xlfn.XLOOKUP($S94:$AL94,增益!$A:$A,增益!$R:$R,0))</f>
        <v>2.04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2"/>
        <v>0.86580831</v>
      </c>
      <c r="BU94" s="24">
        <f t="shared" si="33"/>
        <v>0.04289169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0.31</v>
      </c>
      <c r="BX94" s="24" cm="1">
        <f t="array" ref="BX94">SUM(_xlfn.XLOOKUP($S94:$AL94,增益!$A:$A,增益!$X:$X,0))</f>
        <v>0</v>
      </c>
    </row>
    <row r="95" spans="1:76">
      <c r="A95" t="s">
        <v>196</v>
      </c>
      <c r="B95">
        <v>3</v>
      </c>
      <c r="D95" s="38"/>
      <c r="G95" s="38"/>
      <c r="K95" s="37">
        <f>$L95*VLOOKUP($R95,武学奇术!$A:$ZZ,31,FALSE)</f>
        <v>303394.840006865</v>
      </c>
      <c r="L95" s="37">
        <f t="shared" si="34"/>
        <v>303394.840006865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318085.030126793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233366.180618712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155924.034375879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138984.231256415</v>
      </c>
      <c r="Q95" s="38">
        <v>1</v>
      </c>
      <c r="R95" s="39" t="s">
        <v>162</v>
      </c>
      <c r="S95" s="39" t="s">
        <v>106</v>
      </c>
      <c r="T95" s="39" t="s">
        <v>189</v>
      </c>
      <c r="U95" s="39" t="s">
        <v>89</v>
      </c>
      <c r="V95" s="39" t="s">
        <v>129</v>
      </c>
      <c r="W95" s="39" t="s">
        <v>91</v>
      </c>
      <c r="X95" s="39" t="s">
        <v>80</v>
      </c>
      <c r="Y95" s="39" t="s">
        <v>92</v>
      </c>
      <c r="Z95" s="39" t="s">
        <v>193</v>
      </c>
      <c r="AA95" s="39" t="s">
        <v>194</v>
      </c>
      <c r="AB95" s="39" t="s">
        <v>203</v>
      </c>
      <c r="AC95" s="39" t="s">
        <v>99</v>
      </c>
      <c r="AD95" s="39" t="s">
        <v>121</v>
      </c>
      <c r="AE95" s="39" t="s">
        <v>83</v>
      </c>
      <c r="AF95" s="39" t="s">
        <v>84</v>
      </c>
      <c r="AG95" s="39" t="s">
        <v>80</v>
      </c>
      <c r="AH95" s="39" t="s">
        <v>80</v>
      </c>
      <c r="AI95" s="39" t="s">
        <v>80</v>
      </c>
      <c r="AJ95" s="39" t="s">
        <v>80</v>
      </c>
      <c r="AK95" s="39" t="s">
        <v>80</v>
      </c>
      <c r="AL95" s="39" t="s">
        <v>80</v>
      </c>
      <c r="AM95" t="str">
        <f>VLOOKUP($R95,武学奇术!$A:$ZZ,25,FALSE)</f>
        <v>双刀</v>
      </c>
      <c r="AN95" s="24">
        <f>VLOOKUP($R95,武学奇术!$A:$ZZ,26,FALSE)</f>
        <v>5.71032</v>
      </c>
      <c r="AO95" s="25">
        <f>VLOOKUP($R95,武学奇术!$A:$ZZ,27,FALSE)*(1+IF(OR($AM95=$F$4,$AM95=$F$5),$B$22,0))</f>
        <v>2526.72</v>
      </c>
      <c r="AP95" s="24">
        <f>VLOOKUP($R95,武学奇术!$A:$ZZ,28,FALSE)</f>
        <v>8.56464</v>
      </c>
      <c r="AQ95" s="25">
        <f>VLOOKUP($R95,武学奇术!$A:$ZZ,29,FALSE)*(1+IF(OR($AM95=$F$4,$AM95=$F$5),$B$22,0))</f>
        <v>1370.88</v>
      </c>
      <c r="AR95" s="24" cm="1">
        <f t="array" ref="AR95">$G$3+IFERROR(VLOOKUP($AM95,$F$4:$G$7,2,FALSE),0)+VLOOKUP($R95,武学奇术!$A:$ZZ,2,FALSE)+SUM(_xlfn.XLOOKUP($S95:$AL95,增益!$A:$A,增益!$B:$B,0))</f>
        <v>0.4543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4371.3</v>
      </c>
      <c r="AU95" cm="1">
        <f t="array" ref="AU95">$E$10*(1+$AS95)+VLOOKUP($R95,武学奇术!$A:$ZZ,4,FALSE)+SUM(_xlfn.XLOOKUP($S95:$AL95,增益!$A:$A,增益!$D:$D,0))-$I$2</f>
        <v>4371.3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0.4085</v>
      </c>
      <c r="AW95" s="31" cm="1">
        <f t="array" ref="AW95">$G$10+VLOOKUP($R95,武学奇术!$A:$ZZ,7,FALSE)+SUM(_xlfn.XLOOKUP($S95:$AL95,增益!$A:$A,增益!$G:$G,0))</f>
        <v>0.135</v>
      </c>
      <c r="AX95" s="24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0.03</v>
      </c>
      <c r="BB95" s="31" cm="1">
        <f t="array" ref="BB95">$G$11+VLOOKUP($R95,武学奇术!$A:$ZZ,10,FALSE)+SUM(_xlfn.XLOOKUP($S95:$AL95,增益!$A:$A,增益!$J:$J,0))</f>
        <v>0.12</v>
      </c>
      <c r="BC95">
        <f t="shared" si="26"/>
        <v>0</v>
      </c>
      <c r="BD95">
        <f t="shared" si="27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0.03</v>
      </c>
      <c r="BF95" s="31" cm="1">
        <f t="array" ref="BF95">$G$12+VLOOKUP($R95,武学奇术!$A:$ZZ,12,FALSE)+SUM(_xlfn.XLOOKUP($S95:$AL95,增益!$A:$A,增益!$L:$L,0))</f>
        <v>0.02</v>
      </c>
      <c r="BG95">
        <f t="shared" si="28"/>
        <v>0</v>
      </c>
      <c r="BH95">
        <f t="shared" si="29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0.03</v>
      </c>
      <c r="BJ95" s="31" cm="1">
        <f t="array" ref="BJ95">$G$13+VLOOKUP($R95,武学奇术!$A:$ZZ,14,FALSE)+SUM(_xlfn.XLOOKUP($S95:$AL95,增益!$A:$A,增益!$N:$N,0))</f>
        <v>0.02</v>
      </c>
      <c r="BK95">
        <f t="shared" si="30"/>
        <v>649.11</v>
      </c>
      <c r="BL95">
        <f t="shared" si="31"/>
        <v>1707.09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0.18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0.9771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0.8861</v>
      </c>
      <c r="BQ95" s="24" cm="1">
        <f t="array" ref="BQ95">1+$B$13+VLOOKUP($R95,武学奇术!$A:$ZZ,18,FALSE)+SUM(_xlfn.XLOOKUP($S95:$AL95,增益!$A:$A,增益!$R:$R,0))</f>
        <v>2.04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2"/>
        <v>0.86580831</v>
      </c>
      <c r="BU95" s="24">
        <f t="shared" si="33"/>
        <v>0.04289169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0.31</v>
      </c>
      <c r="BX95" s="24" cm="1">
        <f t="array" ref="BX95">SUM(_xlfn.XLOOKUP($S95:$AL95,增益!$A:$A,增益!$X:$X,0))</f>
        <v>0</v>
      </c>
    </row>
    <row r="96" spans="1:76">
      <c r="A96" t="s">
        <v>179</v>
      </c>
      <c r="B96">
        <v>0.1</v>
      </c>
      <c r="D96" s="38"/>
      <c r="K96" s="37">
        <f>$L96*VLOOKUP($R96,武学奇术!$A:$ZZ,31,FALSE)</f>
        <v>227588.06096541</v>
      </c>
      <c r="L96" s="37">
        <f t="shared" si="34"/>
        <v>227588.06096541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238607.876321517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175055.503937833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116964.645255645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104258.546853637</v>
      </c>
      <c r="Q96" s="38">
        <v>1</v>
      </c>
      <c r="R96" s="39" t="s">
        <v>165</v>
      </c>
      <c r="S96" s="39" t="s">
        <v>106</v>
      </c>
      <c r="T96" s="39" t="s">
        <v>189</v>
      </c>
      <c r="U96" s="39" t="s">
        <v>89</v>
      </c>
      <c r="V96" s="39" t="s">
        <v>129</v>
      </c>
      <c r="W96" s="39" t="s">
        <v>91</v>
      </c>
      <c r="X96" s="39" t="s">
        <v>80</v>
      </c>
      <c r="Y96" s="39" t="s">
        <v>92</v>
      </c>
      <c r="Z96" s="39" t="s">
        <v>193</v>
      </c>
      <c r="AA96" s="39" t="s">
        <v>194</v>
      </c>
      <c r="AB96" s="39" t="s">
        <v>203</v>
      </c>
      <c r="AC96" s="39" t="s">
        <v>99</v>
      </c>
      <c r="AD96" s="39" t="s">
        <v>121</v>
      </c>
      <c r="AE96" s="39" t="s">
        <v>83</v>
      </c>
      <c r="AF96" s="39" t="s">
        <v>84</v>
      </c>
      <c r="AG96" s="39" t="s">
        <v>80</v>
      </c>
      <c r="AH96" s="39" t="s">
        <v>80</v>
      </c>
      <c r="AI96" s="39" t="s">
        <v>80</v>
      </c>
      <c r="AJ96" s="39" t="s">
        <v>80</v>
      </c>
      <c r="AK96" s="39" t="s">
        <v>80</v>
      </c>
      <c r="AL96" s="39" t="s">
        <v>80</v>
      </c>
      <c r="AM96" t="str">
        <f>VLOOKUP($R96,武学奇术!$A:$ZZ,25,FALSE)</f>
        <v>双刀</v>
      </c>
      <c r="AN96" s="24">
        <f>VLOOKUP($R96,武学奇术!$A:$ZZ,26,FALSE)</f>
        <v>4.28274</v>
      </c>
      <c r="AO96" s="25">
        <f>VLOOKUP($R96,武学奇术!$A:$ZZ,27,FALSE)*(1+IF(OR($AM96=$F$4,$AM96=$F$5),$B$22,0))</f>
        <v>1895.04</v>
      </c>
      <c r="AP96" s="24">
        <f>VLOOKUP($R96,武学奇术!$A:$ZZ,28,FALSE)</f>
        <v>6.42411</v>
      </c>
      <c r="AQ96" s="25">
        <f>VLOOKUP($R96,武学奇术!$A:$ZZ,29,FALSE)*(1+IF(OR($AM96=$F$4,$AM96=$F$5),$B$22,0))</f>
        <v>1031.52</v>
      </c>
      <c r="AR96" s="24" cm="1">
        <f t="array" ref="AR96">$G$3+IFERROR(VLOOKUP($AM96,$F$4:$G$7,2,FALSE),0)+VLOOKUP($R96,武学奇术!$A:$ZZ,2,FALSE)+SUM(_xlfn.XLOOKUP($S96:$AL96,增益!$A:$A,增益!$B:$B,0))</f>
        <v>0.4543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4371.3</v>
      </c>
      <c r="AU96" cm="1">
        <f t="array" ref="AU96">$E$10*(1+$AS96)+VLOOKUP($R96,武学奇术!$A:$ZZ,4,FALSE)+SUM(_xlfn.XLOOKUP($S96:$AL96,增益!$A:$A,增益!$D:$D,0))-$I$2</f>
        <v>4371.3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0.4085</v>
      </c>
      <c r="AW96" s="31" cm="1">
        <f t="array" ref="AW96">$G$10+VLOOKUP($R96,武学奇术!$A:$ZZ,7,FALSE)+SUM(_xlfn.XLOOKUP($S96:$AL96,增益!$A:$A,增益!$G:$G,0))</f>
        <v>0.135</v>
      </c>
      <c r="AX96" s="24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0.03</v>
      </c>
      <c r="BB96" s="31" cm="1">
        <f t="array" ref="BB96">$G$11+VLOOKUP($R96,武学奇术!$A:$ZZ,10,FALSE)+SUM(_xlfn.XLOOKUP($S96:$AL96,增益!$A:$A,增益!$J:$J,0))</f>
        <v>0.12</v>
      </c>
      <c r="BC96">
        <f t="shared" si="26"/>
        <v>0</v>
      </c>
      <c r="BD96">
        <f t="shared" si="27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0.03</v>
      </c>
      <c r="BF96" s="31" cm="1">
        <f t="array" ref="BF96">$G$12+VLOOKUP($R96,武学奇术!$A:$ZZ,12,FALSE)+SUM(_xlfn.XLOOKUP($S96:$AL96,增益!$A:$A,增益!$L:$L,0))</f>
        <v>0.02</v>
      </c>
      <c r="BG96">
        <f t="shared" si="28"/>
        <v>0</v>
      </c>
      <c r="BH96">
        <f t="shared" si="29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0.03</v>
      </c>
      <c r="BJ96" s="31" cm="1">
        <f t="array" ref="BJ96">$G$13+VLOOKUP($R96,武学奇术!$A:$ZZ,14,FALSE)+SUM(_xlfn.XLOOKUP($S96:$AL96,增益!$A:$A,增益!$N:$N,0))</f>
        <v>0.02</v>
      </c>
      <c r="BK96">
        <f t="shared" si="30"/>
        <v>649.11</v>
      </c>
      <c r="BL96">
        <f t="shared" si="31"/>
        <v>1707.09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0.18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0.9771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0.8861</v>
      </c>
      <c r="BQ96" s="24" cm="1">
        <f t="array" ref="BQ96">1+$B$13+VLOOKUP($R96,武学奇术!$A:$ZZ,18,FALSE)+SUM(_xlfn.XLOOKUP($S96:$AL96,增益!$A:$A,增益!$R:$R,0))</f>
        <v>2.04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2"/>
        <v>0.86580831</v>
      </c>
      <c r="BU96" s="24">
        <f t="shared" si="33"/>
        <v>0.04289169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0.31</v>
      </c>
      <c r="BX96" s="24" cm="1">
        <f t="array" ref="BX96">SUM(_xlfn.XLOOKUP($S96:$AL96,增益!$A:$A,增益!$X:$X,0))</f>
        <v>0</v>
      </c>
    </row>
    <row r="97" spans="1:76">
      <c r="A97" t="s">
        <v>215</v>
      </c>
      <c r="B97">
        <v>0.7</v>
      </c>
      <c r="D97" s="38"/>
      <c r="K97" s="37">
        <f>$L97*VLOOKUP($R97,武学奇术!$A:$ZZ,31,FALSE)</f>
        <v>308369.662429276</v>
      </c>
      <c r="L97" s="88">
        <f>SUM(L84,L85,L87:L92,L94:L96)*0.2*(1+BX97)</f>
        <v>616739.324858552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8">
        <v>1</v>
      </c>
      <c r="R97" s="39" t="s">
        <v>168</v>
      </c>
      <c r="S97" s="39" t="s">
        <v>169</v>
      </c>
      <c r="T97" s="39" t="s">
        <v>80</v>
      </c>
      <c r="U97" s="39" t="s">
        <v>80</v>
      </c>
      <c r="V97" s="39" t="s">
        <v>80</v>
      </c>
      <c r="W97" s="39" t="s">
        <v>80</v>
      </c>
      <c r="X97" s="39" t="s">
        <v>80</v>
      </c>
      <c r="Y97" s="39" t="s">
        <v>80</v>
      </c>
      <c r="Z97" s="39" t="s">
        <v>80</v>
      </c>
      <c r="AA97" s="39" t="s">
        <v>80</v>
      </c>
      <c r="AB97" s="39" t="s">
        <v>80</v>
      </c>
      <c r="AC97" s="39" t="s">
        <v>80</v>
      </c>
      <c r="AD97" s="39" t="s">
        <v>80</v>
      </c>
      <c r="AE97" s="39" t="s">
        <v>83</v>
      </c>
      <c r="AF97" s="39" t="s">
        <v>84</v>
      </c>
      <c r="AG97" s="39" t="s">
        <v>80</v>
      </c>
      <c r="AH97" s="39" t="s">
        <v>80</v>
      </c>
      <c r="AI97" s="39" t="s">
        <v>80</v>
      </c>
      <c r="AJ97" s="39" t="s">
        <v>80</v>
      </c>
      <c r="AK97" s="39" t="s">
        <v>80</v>
      </c>
      <c r="AL97" s="39" t="s">
        <v>80</v>
      </c>
      <c r="AM97" t="str">
        <f>VLOOKUP($R97,武学奇术!$A:$ZZ,25,FALSE)</f>
        <v>心法</v>
      </c>
      <c r="AN97" s="24">
        <f>VLOOKUP($R97,武学奇术!$A:$ZZ,26,FALSE)</f>
        <v>0</v>
      </c>
      <c r="AO97" s="25">
        <f>VLOOKUP($R97,武学奇术!$A:$ZZ,27,FALSE)*(1+IF(OR($AM97=$F$4,$AM97=$F$5),$B$22,0))</f>
        <v>0</v>
      </c>
      <c r="AP97" s="24">
        <f>VLOOKUP($R97,武学奇术!$A:$ZZ,28,FALSE)</f>
        <v>0</v>
      </c>
      <c r="AQ97" s="25">
        <f>VLOOKUP($R97,武学奇术!$A:$ZZ,29,FALSE)*(1+IF(OR($AM97=$F$4,$AM97=$F$5),$B$22,0))</f>
        <v>0</v>
      </c>
      <c r="AR97" s="24" cm="1">
        <f t="array" ref="AR97">$G$3+IFERROR(VLOOKUP($AM97,$F$4:$G$7,2,FALSE),0)+VLOOKUP($R97,武学奇术!$A:$ZZ,2,FALSE)+SUM(_xlfn.XLOOKUP($S97:$AL97,增益!$A:$A,增益!$B:$B,0))</f>
        <v>0.1842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4371.3</v>
      </c>
      <c r="AU97" cm="1">
        <f t="array" ref="AU97">$E$10*(1+$AS97)+VLOOKUP($R97,武学奇术!$A:$ZZ,4,FALSE)+SUM(_xlfn.XLOOKUP($S97:$AL97,增益!$A:$A,增益!$D:$D,0))-$I$2</f>
        <v>4371.3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0.2585</v>
      </c>
      <c r="AW97" s="31" cm="1">
        <f t="array" ref="AW97">$G$10+VLOOKUP($R97,武学奇术!$A:$ZZ,7,FALSE)+SUM(_xlfn.XLOOKUP($S97:$AL97,增益!$A:$A,增益!$G:$G,0))</f>
        <v>0.025</v>
      </c>
      <c r="AX97" s="24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</v>
      </c>
      <c r="BC97">
        <f t="shared" si="26"/>
        <v>0</v>
      </c>
      <c r="BD97">
        <f t="shared" si="27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</v>
      </c>
      <c r="BG97">
        <f t="shared" si="28"/>
        <v>0</v>
      </c>
      <c r="BH97">
        <f t="shared" si="29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</v>
      </c>
      <c r="BK97">
        <f t="shared" si="30"/>
        <v>649.11</v>
      </c>
      <c r="BL97">
        <f t="shared" si="31"/>
        <v>1707.09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0.15</v>
      </c>
      <c r="BO97" s="24">
        <f>MIN(IF(VLOOKUP($R97,武学奇术!$A:$ZZ,23,FALSE)=1,100%,$B$8),100%)</f>
        <v>0.9771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0.8861</v>
      </c>
      <c r="BQ97" s="24" cm="1">
        <f t="array" ref="BQ97">1+$B$13+VLOOKUP($R97,武学奇术!$A:$ZZ,18,FALSE)+SUM(_xlfn.XLOOKUP($S97:$AL97,增益!$A:$A,增益!$R:$R,0))</f>
        <v>1.54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2"/>
        <v>0.86580831</v>
      </c>
      <c r="BU97" s="24">
        <f t="shared" si="33"/>
        <v>0.02208246</v>
      </c>
      <c r="BV97" s="24">
        <f>IF(VLOOKUP($R97,武学奇术!$A:$ZZ,22,FALSE)=1,0,(1-$BO97))*(1-$BR97)</f>
        <v>0.02080923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0.2</v>
      </c>
    </row>
    <row r="98" spans="1:76">
      <c r="A98" t="s">
        <v>216</v>
      </c>
      <c r="B98">
        <v>0.8</v>
      </c>
      <c r="D98" s="38"/>
      <c r="K98" s="37">
        <f>$L98*VLOOKUP($R98,武学奇术!$A:$ZZ,31,FALSE)</f>
        <v>19415.4301908686</v>
      </c>
      <c r="L98" s="37">
        <f t="shared" si="34"/>
        <v>19415.4301908686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19934.9448567504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18202.0413455204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12155.4541809454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10827.9147726164</v>
      </c>
      <c r="Q98" s="38">
        <v>1</v>
      </c>
      <c r="R98" s="39" t="s">
        <v>110</v>
      </c>
      <c r="S98" s="39" t="s">
        <v>106</v>
      </c>
      <c r="T98" s="39" t="s">
        <v>189</v>
      </c>
      <c r="U98" s="39" t="s">
        <v>89</v>
      </c>
      <c r="V98" s="39" t="s">
        <v>80</v>
      </c>
      <c r="W98" s="39" t="s">
        <v>80</v>
      </c>
      <c r="X98" s="39" t="s">
        <v>80</v>
      </c>
      <c r="Y98" s="39" t="s">
        <v>92</v>
      </c>
      <c r="Z98" s="39" t="s">
        <v>193</v>
      </c>
      <c r="AA98" s="39" t="s">
        <v>194</v>
      </c>
      <c r="AB98" s="39" t="s">
        <v>203</v>
      </c>
      <c r="AC98" s="39" t="s">
        <v>99</v>
      </c>
      <c r="AD98" s="39" t="s">
        <v>121</v>
      </c>
      <c r="AE98" s="39" t="s">
        <v>83</v>
      </c>
      <c r="AF98" s="39" t="s">
        <v>84</v>
      </c>
      <c r="AG98" s="39" t="s">
        <v>80</v>
      </c>
      <c r="AH98" s="39" t="s">
        <v>80</v>
      </c>
      <c r="AI98" s="39" t="s">
        <v>80</v>
      </c>
      <c r="AJ98" s="39" t="s">
        <v>80</v>
      </c>
      <c r="AK98" s="39" t="s">
        <v>80</v>
      </c>
      <c r="AL98" s="39" t="s">
        <v>80</v>
      </c>
      <c r="AM98" t="str">
        <f>VLOOKUP($R98,武学奇术!$A:$ZZ,25,FALSE)</f>
        <v>双刀</v>
      </c>
      <c r="AN98" s="24">
        <f>VLOOKUP($R98,武学奇术!$A:$ZZ,26,FALSE)</f>
        <v>0.6587</v>
      </c>
      <c r="AO98" s="25">
        <f>VLOOKUP($R98,武学奇术!$A:$ZZ,27,FALSE)*(1+IF(OR($AM98=$F$4,$AM98=$F$5),$B$22,0))</f>
        <v>292.8</v>
      </c>
      <c r="AP98" s="24">
        <f>VLOOKUP($R98,武学奇术!$A:$ZZ,28,FALSE)</f>
        <v>0.9881</v>
      </c>
      <c r="AQ98" s="25">
        <f>VLOOKUP($R98,武学奇术!$A:$ZZ,29,FALSE)*(1+IF(OR($AM98=$F$4,$AM98=$F$5),$B$22,0))</f>
        <v>160</v>
      </c>
      <c r="AR98" s="24" cm="1">
        <f t="array" ref="AR98">$G$3+IFERROR(VLOOKUP($AM98,$F$4:$G$7,2,FALSE),0)+VLOOKUP($R98,武学奇术!$A:$ZZ,2,FALSE)+SUM(_xlfn.XLOOKUP($S98:$AL98,增益!$A:$A,增益!$B:$B,0))</f>
        <v>0.4043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4371.3</v>
      </c>
      <c r="AU98" cm="1">
        <f t="array" ref="AU98">$E$10*(1+$AS98)+VLOOKUP($R98,武学奇术!$A:$ZZ,4,FALSE)+SUM(_xlfn.XLOOKUP($S98:$AL98,增益!$A:$A,增益!$D:$D,0))-$I$2</f>
        <v>4371.3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0.4085</v>
      </c>
      <c r="AW98" s="31" cm="1">
        <f t="array" ref="AW98">$G$10+VLOOKUP($R98,武学奇术!$A:$ZZ,7,FALSE)+SUM(_xlfn.XLOOKUP($S98:$AL98,增益!$A:$A,增益!$G:$G,0))</f>
        <v>0.045</v>
      </c>
      <c r="AX98" s="24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0.03</v>
      </c>
      <c r="BB98" s="31" cm="1">
        <f t="array" ref="BB98">$G$11+VLOOKUP($R98,武学奇术!$A:$ZZ,10,FALSE)+SUM(_xlfn.XLOOKUP($S98:$AL98,增益!$A:$A,增益!$J:$J,0))</f>
        <v>0.12</v>
      </c>
      <c r="BC98">
        <f t="shared" si="26"/>
        <v>0</v>
      </c>
      <c r="BD98">
        <f t="shared" si="27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0.03</v>
      </c>
      <c r="BF98" s="31" cm="1">
        <f t="array" ref="BF98">$G$12+VLOOKUP($R98,武学奇术!$A:$ZZ,12,FALSE)+SUM(_xlfn.XLOOKUP($S98:$AL98,增益!$A:$A,增益!$L:$L,0))</f>
        <v>0.02</v>
      </c>
      <c r="BG98">
        <f t="shared" si="28"/>
        <v>0</v>
      </c>
      <c r="BH98">
        <f t="shared" si="29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0.03</v>
      </c>
      <c r="BJ98" s="31" cm="1">
        <f t="array" ref="BJ98">$G$13+VLOOKUP($R98,武学奇术!$A:$ZZ,14,FALSE)+SUM(_xlfn.XLOOKUP($S98:$AL98,增益!$A:$A,增益!$N:$N,0))</f>
        <v>0.02</v>
      </c>
      <c r="BK98">
        <f t="shared" si="30"/>
        <v>649.11</v>
      </c>
      <c r="BL98">
        <f t="shared" si="31"/>
        <v>1707.09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0.18</v>
      </c>
      <c r="BN98" s="31" cm="1">
        <f t="array" ref="BN98">$G$14+VLOOKUP($R98,武学奇术!$A:$ZZ,16,FALSE)+SUM(_xlfn.XLOOKUP($S98:$AL98,增益!$A:$A,增益!$P:$P,0))</f>
        <v>0.17</v>
      </c>
      <c r="BO98" s="24">
        <f>MIN(IF(VLOOKUP($R98,武学奇术!$A:$ZZ,23,FALSE)=1,100%,$B$8),100%)</f>
        <v>0.9771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0.8861</v>
      </c>
      <c r="BQ98" s="24" cm="1">
        <f t="array" ref="BQ98">1+$B$13+VLOOKUP($R98,武学奇术!$A:$ZZ,18,FALSE)+SUM(_xlfn.XLOOKUP($S98:$AL98,增益!$A:$A,增益!$R:$R,0))</f>
        <v>1.64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2"/>
        <v>0.86580831</v>
      </c>
      <c r="BU98" s="24">
        <f t="shared" si="33"/>
        <v>0.02208246</v>
      </c>
      <c r="BV98" s="24">
        <f>IF(VLOOKUP($R98,武学奇术!$A:$ZZ,22,FALSE)=1,0,(1-$BO98))*(1-$BR98)</f>
        <v>0.02080923</v>
      </c>
      <c r="BW98" s="24" cm="1">
        <f t="array" ref="BW98">SUM(_xlfn.XLOOKUP($S98:$AL98,增益!$A:$A,增益!$W:$W,0))+$I$5</f>
        <v>0.31</v>
      </c>
      <c r="BX98" s="24" cm="1">
        <f t="array" ref="BX98">SUM(_xlfn.XLOOKUP($S98:$AL98,增益!$A:$A,增益!$X:$X,0))</f>
        <v>0</v>
      </c>
    </row>
    <row r="99" spans="1:76">
      <c r="A99" t="s">
        <v>182</v>
      </c>
      <c r="B99">
        <v>0.7</v>
      </c>
      <c r="D99" s="38"/>
      <c r="K99" s="37">
        <f>$L99*VLOOKUP($R99,武学奇术!$A:$ZZ,31,FALSE)</f>
        <v>0</v>
      </c>
      <c r="L99" s="37">
        <f t="shared" si="34"/>
        <v>0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8">
        <v>1</v>
      </c>
      <c r="R99" s="39" t="s">
        <v>80</v>
      </c>
      <c r="S99" s="39" t="s">
        <v>80</v>
      </c>
      <c r="T99" s="39" t="s">
        <v>80</v>
      </c>
      <c r="U99" s="39" t="s">
        <v>80</v>
      </c>
      <c r="V99" s="39" t="s">
        <v>80</v>
      </c>
      <c r="W99" s="39" t="s">
        <v>80</v>
      </c>
      <c r="X99" s="39" t="s">
        <v>80</v>
      </c>
      <c r="Y99" s="39" t="s">
        <v>80</v>
      </c>
      <c r="Z99" s="39" t="s">
        <v>80</v>
      </c>
      <c r="AA99" s="39" t="s">
        <v>80</v>
      </c>
      <c r="AB99" s="39" t="s">
        <v>80</v>
      </c>
      <c r="AC99" s="39" t="s">
        <v>80</v>
      </c>
      <c r="AD99" s="39" t="s">
        <v>80</v>
      </c>
      <c r="AE99" s="39" t="s">
        <v>83</v>
      </c>
      <c r="AF99" s="39" t="s">
        <v>84</v>
      </c>
      <c r="AG99" s="39" t="s">
        <v>80</v>
      </c>
      <c r="AH99" s="39" t="s">
        <v>80</v>
      </c>
      <c r="AI99" s="39" t="s">
        <v>80</v>
      </c>
      <c r="AJ99" s="39" t="s">
        <v>80</v>
      </c>
      <c r="AK99" s="39" t="s">
        <v>80</v>
      </c>
      <c r="AL99" s="39" t="s">
        <v>80</v>
      </c>
      <c r="AM99" t="str">
        <f>VLOOKUP($R99,武学奇术!$A:$ZZ,25,FALSE)</f>
        <v>心法</v>
      </c>
      <c r="AN99" s="24">
        <f>VLOOKUP($R99,武学奇术!$A:$ZZ,26,FALSE)</f>
        <v>0</v>
      </c>
      <c r="AO99" s="25">
        <f>VLOOKUP($R99,武学奇术!$A:$ZZ,27,FALSE)*(1+IF(OR($AM99=$F$4,$AM99=$F$5),$B$22,0))</f>
        <v>0</v>
      </c>
      <c r="AP99" s="24">
        <f>VLOOKUP($R99,武学奇术!$A:$ZZ,28,FALSE)</f>
        <v>0</v>
      </c>
      <c r="AQ99" s="25">
        <f>VLOOKUP($R99,武学奇术!$A:$ZZ,29,FALSE)*(1+IF(OR($AM99=$F$4,$AM99=$F$5),$B$22,0))</f>
        <v>0</v>
      </c>
      <c r="AR99" s="24" cm="1">
        <f t="array" ref="AR99">$G$3+IFERROR(VLOOKUP($AM99,$F$4:$G$7,2,FALSE),0)+VLOOKUP($R99,武学奇术!$A:$ZZ,2,FALSE)+SUM(_xlfn.XLOOKUP($S99:$AL99,增益!$A:$A,增益!$B:$B,0))</f>
        <v>0.1842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4371.3</v>
      </c>
      <c r="AU99" cm="1">
        <f t="array" ref="AU99">$E$10*(1+$AS99)+VLOOKUP($R99,武学奇术!$A:$ZZ,4,FALSE)+SUM(_xlfn.XLOOKUP($S99:$AL99,增益!$A:$A,增益!$D:$D,0))-$I$2</f>
        <v>4371.3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0.2585</v>
      </c>
      <c r="AW99" s="31" cm="1">
        <f t="array" ref="AW99">$G$10+VLOOKUP($R99,武学奇术!$A:$ZZ,7,FALSE)+SUM(_xlfn.XLOOKUP($S99:$AL99,增益!$A:$A,增益!$G:$G,0))</f>
        <v>0.025</v>
      </c>
      <c r="AX99" s="24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</v>
      </c>
      <c r="BC99">
        <f t="shared" ref="BC99:BC136" si="37">$D$12*(1+$AX99)</f>
        <v>0</v>
      </c>
      <c r="BD99">
        <f t="shared" ref="BD99:BD136" si="38">$E$12*(1+$AX99)</f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</v>
      </c>
      <c r="BG99">
        <f t="shared" ref="BG99:BG136" si="39">$D$13*(1+$AX99)</f>
        <v>0</v>
      </c>
      <c r="BH99">
        <f t="shared" ref="BH99:BH136" si="40">$E$13*(1+$AX99)</f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</v>
      </c>
      <c r="BK99">
        <f t="shared" ref="BK99:BK136" si="41">$D$14*(1+$AX99)</f>
        <v>649.11</v>
      </c>
      <c r="BL99">
        <f t="shared" ref="BL99:BL136" si="42">$E$14*(1+$AX99)</f>
        <v>1707.09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0.15</v>
      </c>
      <c r="BO99" s="24">
        <f>MIN(IF(VLOOKUP($R99,武学奇术!$A:$ZZ,23,FALSE)=1,100%,$B$8),100%)</f>
        <v>0.9771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0.8861</v>
      </c>
      <c r="BQ99" s="24" cm="1">
        <f t="array" ref="BQ99">1+$B$13+VLOOKUP($R99,武学奇术!$A:$ZZ,18,FALSE)+SUM(_xlfn.XLOOKUP($S99:$AL99,增益!$A:$A,增益!$R:$R,0))</f>
        <v>1.54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3">MIN((1-BR99)*BO99,BO99*BP99)</f>
        <v>0.86580831</v>
      </c>
      <c r="BU99" s="24">
        <f t="shared" ref="BU99:BU136" si="44">1-BR99-BT99-BV99</f>
        <v>0.02208246</v>
      </c>
      <c r="BV99" s="24">
        <f>IF(VLOOKUP($R99,武学奇术!$A:$ZZ,22,FALSE)=1,0,(1-$BO99))*(1-$BR99)</f>
        <v>0.02080923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:76">
      <c r="A100" t="s">
        <v>179</v>
      </c>
      <c r="B100">
        <v>0.1</v>
      </c>
      <c r="D100" s="38"/>
      <c r="K100" s="37">
        <f>$L100*VLOOKUP($R100,武学奇术!$A:$ZZ,31,FALSE)</f>
        <v>0</v>
      </c>
      <c r="L100" s="37">
        <f t="shared" si="34"/>
        <v>0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8">
        <v>1</v>
      </c>
      <c r="R100" s="39" t="s">
        <v>80</v>
      </c>
      <c r="S100" s="39" t="s">
        <v>80</v>
      </c>
      <c r="T100" s="39" t="s">
        <v>80</v>
      </c>
      <c r="U100" s="39" t="s">
        <v>80</v>
      </c>
      <c r="V100" s="39" t="s">
        <v>80</v>
      </c>
      <c r="W100" s="39" t="s">
        <v>80</v>
      </c>
      <c r="X100" s="39" t="s">
        <v>80</v>
      </c>
      <c r="Y100" s="39" t="s">
        <v>80</v>
      </c>
      <c r="Z100" s="39" t="s">
        <v>80</v>
      </c>
      <c r="AA100" s="39" t="s">
        <v>80</v>
      </c>
      <c r="AB100" s="39" t="s">
        <v>80</v>
      </c>
      <c r="AC100" s="39" t="s">
        <v>80</v>
      </c>
      <c r="AD100" s="39" t="s">
        <v>80</v>
      </c>
      <c r="AE100" s="39" t="s">
        <v>83</v>
      </c>
      <c r="AF100" s="39" t="s">
        <v>84</v>
      </c>
      <c r="AG100" s="39" t="s">
        <v>80</v>
      </c>
      <c r="AH100" s="39" t="s">
        <v>80</v>
      </c>
      <c r="AI100" s="39" t="s">
        <v>80</v>
      </c>
      <c r="AJ100" s="39" t="s">
        <v>80</v>
      </c>
      <c r="AK100" s="39" t="s">
        <v>80</v>
      </c>
      <c r="AL100" s="39" t="s">
        <v>80</v>
      </c>
      <c r="AM100" t="str">
        <f>VLOOKUP($R100,武学奇术!$A:$ZZ,25,FALSE)</f>
        <v>心法</v>
      </c>
      <c r="AN100" s="24">
        <f>VLOOKUP($R100,武学奇术!$A:$ZZ,26,FALSE)</f>
        <v>0</v>
      </c>
      <c r="AO100" s="25">
        <f>VLOOKUP($R100,武学奇术!$A:$ZZ,27,FALSE)*(1+IF(OR($AM100=$F$4,$AM100=$F$5),$B$22,0))</f>
        <v>0</v>
      </c>
      <c r="AP100" s="24">
        <f>VLOOKUP($R100,武学奇术!$A:$ZZ,28,FALSE)</f>
        <v>0</v>
      </c>
      <c r="AQ100" s="25">
        <f>VLOOKUP($R100,武学奇术!$A:$ZZ,29,FALSE)*(1+IF(OR($AM100=$F$4,$AM100=$F$5),$B$22,0))</f>
        <v>0</v>
      </c>
      <c r="AR100" s="24" cm="1">
        <f t="array" ref="AR100">$G$3+IFERROR(VLOOKUP($AM100,$F$4:$G$7,2,FALSE),0)+VLOOKUP($R100,武学奇术!$A:$ZZ,2,FALSE)+SUM(_xlfn.XLOOKUP($S100:$AL100,增益!$A:$A,增益!$B:$B,0))</f>
        <v>0.1842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4371.3</v>
      </c>
      <c r="AU100" cm="1">
        <f t="array" ref="AU100">$E$10*(1+$AS100)+VLOOKUP($R100,武学奇术!$A:$ZZ,4,FALSE)+SUM(_xlfn.XLOOKUP($S100:$AL100,增益!$A:$A,增益!$D:$D,0))-$I$2</f>
        <v>4371.3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0.2585</v>
      </c>
      <c r="AW100" s="31" cm="1">
        <f t="array" ref="AW100">$G$10+VLOOKUP($R100,武学奇术!$A:$ZZ,7,FALSE)+SUM(_xlfn.XLOOKUP($S100:$AL100,增益!$A:$A,增益!$G:$G,0))</f>
        <v>0.025</v>
      </c>
      <c r="AX100" s="24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</v>
      </c>
      <c r="BC100">
        <f t="shared" si="37"/>
        <v>0</v>
      </c>
      <c r="BD100">
        <f t="shared" si="38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</v>
      </c>
      <c r="BG100">
        <f t="shared" si="39"/>
        <v>0</v>
      </c>
      <c r="BH100">
        <f t="shared" si="40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</v>
      </c>
      <c r="BK100">
        <f t="shared" si="41"/>
        <v>649.11</v>
      </c>
      <c r="BL100">
        <f t="shared" si="42"/>
        <v>1707.09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0.15</v>
      </c>
      <c r="BO100" s="24">
        <f>MIN(IF(VLOOKUP($R100,武学奇术!$A:$ZZ,23,FALSE)=1,100%,$B$8),100%)</f>
        <v>0.9771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0.8861</v>
      </c>
      <c r="BQ100" s="24" cm="1">
        <f t="array" ref="BQ100">1+$B$13+VLOOKUP($R100,武学奇术!$A:$ZZ,18,FALSE)+SUM(_xlfn.XLOOKUP($S100:$AL100,增益!$A:$A,增益!$R:$R,0))</f>
        <v>1.54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3"/>
        <v>0.86580831</v>
      </c>
      <c r="BU100" s="24">
        <f t="shared" si="44"/>
        <v>0.02208246</v>
      </c>
      <c r="BV100" s="24">
        <f>IF(VLOOKUP($R100,武学奇术!$A:$ZZ,22,FALSE)=1,0,(1-$BO100))*(1-$BR100)</f>
        <v>0.02080923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:76">
      <c r="A101" t="s">
        <v>175</v>
      </c>
      <c r="B101">
        <v>0.8</v>
      </c>
      <c r="D101" s="38"/>
      <c r="K101" s="37">
        <f>$L101*VLOOKUP($R101,武学奇术!$A:$ZZ,31,FALSE)</f>
        <v>0</v>
      </c>
      <c r="L101" s="37">
        <f t="shared" si="34"/>
        <v>0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8">
        <v>1</v>
      </c>
      <c r="R101" s="39" t="s">
        <v>80</v>
      </c>
      <c r="S101" s="39" t="s">
        <v>80</v>
      </c>
      <c r="T101" s="39" t="s">
        <v>80</v>
      </c>
      <c r="U101" s="39" t="s">
        <v>80</v>
      </c>
      <c r="V101" s="39" t="s">
        <v>80</v>
      </c>
      <c r="W101" s="39" t="s">
        <v>80</v>
      </c>
      <c r="X101" s="39" t="s">
        <v>80</v>
      </c>
      <c r="Y101" s="39" t="s">
        <v>80</v>
      </c>
      <c r="Z101" s="39" t="s">
        <v>80</v>
      </c>
      <c r="AA101" s="39" t="s">
        <v>80</v>
      </c>
      <c r="AB101" s="39" t="s">
        <v>80</v>
      </c>
      <c r="AC101" s="39" t="s">
        <v>80</v>
      </c>
      <c r="AD101" s="39" t="s">
        <v>80</v>
      </c>
      <c r="AE101" s="39" t="s">
        <v>83</v>
      </c>
      <c r="AF101" s="39" t="s">
        <v>84</v>
      </c>
      <c r="AG101" s="39" t="s">
        <v>80</v>
      </c>
      <c r="AH101" s="39" t="s">
        <v>80</v>
      </c>
      <c r="AI101" s="39" t="s">
        <v>80</v>
      </c>
      <c r="AJ101" s="39" t="s">
        <v>80</v>
      </c>
      <c r="AK101" s="39" t="s">
        <v>80</v>
      </c>
      <c r="AL101" s="39" t="s">
        <v>80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VLOOKUP($R101,武学奇术!$A:$ZZ,27,FALSE)*(1+IF(OR($AM101=$F$4,$AM101=$F$5),$B$22,0))</f>
        <v>0</v>
      </c>
      <c r="AP101" s="24">
        <f>VLOOKUP($R101,武学奇术!$A:$ZZ,28,FALSE)</f>
        <v>0</v>
      </c>
      <c r="AQ101" s="25">
        <f>VLOOKUP($R101,武学奇术!$A:$ZZ,29,FALSE)*(1+IF(OR($AM101=$F$4,$AM101=$F$5),$B$22,0))</f>
        <v>0</v>
      </c>
      <c r="AR101" s="24" cm="1">
        <f t="array" ref="AR101">$G$3+IFERROR(VLOOKUP($AM101,$F$4:$G$7,2,FALSE),0)+VLOOKUP($R101,武学奇术!$A:$ZZ,2,FALSE)+SUM(_xlfn.XLOOKUP($S101:$AL101,增益!$A:$A,增益!$B:$B,0))</f>
        <v>0.1842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4371.3</v>
      </c>
      <c r="AU101" cm="1">
        <f t="array" ref="AU101">$E$10*(1+$AS101)+VLOOKUP($R101,武学奇术!$A:$ZZ,4,FALSE)+SUM(_xlfn.XLOOKUP($S101:$AL101,增益!$A:$A,增益!$D:$D,0))-$I$2</f>
        <v>4371.3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0.2585</v>
      </c>
      <c r="AW101" s="31" cm="1">
        <f t="array" ref="AW101">$G$10+VLOOKUP($R101,武学奇术!$A:$ZZ,7,FALSE)+SUM(_xlfn.XLOOKUP($S101:$AL101,增益!$A:$A,增益!$G:$G,0))</f>
        <v>0.025</v>
      </c>
      <c r="AX101" s="24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1" cm="1">
        <f t="array" ref="BB101">$G$11+VLOOKUP($R101,武学奇术!$A:$ZZ,10,FALSE)+SUM(_xlfn.XLOOKUP($S101:$AL101,增益!$A:$A,增益!$J:$J,0))</f>
        <v>0</v>
      </c>
      <c r="BC101">
        <f t="shared" si="37"/>
        <v>0</v>
      </c>
      <c r="BD101">
        <f t="shared" si="38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1" cm="1">
        <f t="array" ref="BF101">$G$12+VLOOKUP($R101,武学奇术!$A:$ZZ,12,FALSE)+SUM(_xlfn.XLOOKUP($S101:$AL101,增益!$A:$A,增益!$L:$L,0))</f>
        <v>0</v>
      </c>
      <c r="BG101">
        <f t="shared" si="39"/>
        <v>0</v>
      </c>
      <c r="BH101">
        <f t="shared" si="40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1" cm="1">
        <f t="array" ref="BJ101">$G$13+VLOOKUP($R101,武学奇术!$A:$ZZ,14,FALSE)+SUM(_xlfn.XLOOKUP($S101:$AL101,增益!$A:$A,增益!$N:$N,0))</f>
        <v>0</v>
      </c>
      <c r="BK101">
        <f t="shared" si="41"/>
        <v>649.11</v>
      </c>
      <c r="BL101">
        <f t="shared" si="42"/>
        <v>1707.09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1" cm="1">
        <f t="array" ref="BN101">$G$14+VLOOKUP($R101,武学奇术!$A:$ZZ,16,FALSE)+SUM(_xlfn.XLOOKUP($S101:$AL101,增益!$A:$A,增益!$P:$P,0))</f>
        <v>0.15</v>
      </c>
      <c r="BO101" s="24">
        <f>MIN(IF(VLOOKUP($R101,武学奇术!$A:$ZZ,23,FALSE)=1,100%,$B$8),100%)</f>
        <v>0.9771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0.8861</v>
      </c>
      <c r="BQ101" s="24" cm="1">
        <f t="array" ref="BQ101">1+$B$13+VLOOKUP($R101,武学奇术!$A:$ZZ,18,FALSE)+SUM(_xlfn.XLOOKUP($S101:$AL101,增益!$A:$A,增益!$R:$R,0))</f>
        <v>1.54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3"/>
        <v>0.86580831</v>
      </c>
      <c r="BU101" s="24">
        <f t="shared" si="44"/>
        <v>0.02208246</v>
      </c>
      <c r="BV101" s="24">
        <f>IF(VLOOKUP($R101,武学奇术!$A:$ZZ,22,FALSE)=1,0,(1-$BO101))*(1-$BR101)</f>
        <v>0.02080923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:76">
      <c r="A102" t="s">
        <v>177</v>
      </c>
      <c r="B102">
        <v>0.7</v>
      </c>
      <c r="D102" s="38"/>
      <c r="K102" s="37">
        <f>$L102*VLOOKUP($R102,武学奇术!$A:$ZZ,31,FALSE)</f>
        <v>0</v>
      </c>
      <c r="L102" s="37">
        <f t="shared" si="34"/>
        <v>0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8">
        <v>1</v>
      </c>
      <c r="R102" s="39" t="s">
        <v>80</v>
      </c>
      <c r="S102" s="39" t="s">
        <v>80</v>
      </c>
      <c r="T102" s="39" t="s">
        <v>80</v>
      </c>
      <c r="U102" s="39" t="s">
        <v>80</v>
      </c>
      <c r="V102" s="39" t="s">
        <v>80</v>
      </c>
      <c r="W102" s="39" t="s">
        <v>80</v>
      </c>
      <c r="X102" s="39" t="s">
        <v>80</v>
      </c>
      <c r="Y102" s="39" t="s">
        <v>80</v>
      </c>
      <c r="Z102" s="39" t="s">
        <v>80</v>
      </c>
      <c r="AA102" s="39" t="s">
        <v>80</v>
      </c>
      <c r="AB102" s="39" t="s">
        <v>80</v>
      </c>
      <c r="AC102" s="39" t="s">
        <v>80</v>
      </c>
      <c r="AD102" s="39" t="s">
        <v>80</v>
      </c>
      <c r="AE102" s="39" t="s">
        <v>83</v>
      </c>
      <c r="AF102" s="39" t="s">
        <v>84</v>
      </c>
      <c r="AG102" s="39" t="s">
        <v>80</v>
      </c>
      <c r="AH102" s="39" t="s">
        <v>80</v>
      </c>
      <c r="AI102" s="39" t="s">
        <v>80</v>
      </c>
      <c r="AJ102" s="39" t="s">
        <v>80</v>
      </c>
      <c r="AK102" s="39" t="s">
        <v>80</v>
      </c>
      <c r="AL102" s="39" t="s">
        <v>80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VLOOKUP($R102,武学奇术!$A:$ZZ,27,FALSE)*(1+IF(OR($AM102=$F$4,$AM102=$F$5),$B$22,0))</f>
        <v>0</v>
      </c>
      <c r="AP102" s="24">
        <f>VLOOKUP($R102,武学奇术!$A:$ZZ,28,FALSE)</f>
        <v>0</v>
      </c>
      <c r="AQ102" s="25">
        <f>VLOOKUP($R102,武学奇术!$A:$ZZ,29,FALSE)*(1+IF(OR($AM102=$F$4,$AM102=$F$5),$B$22,0))</f>
        <v>0</v>
      </c>
      <c r="AR102" s="24" cm="1">
        <f t="array" ref="AR102">$G$3+IFERROR(VLOOKUP($AM102,$F$4:$G$7,2,FALSE),0)+VLOOKUP($R102,武学奇术!$A:$ZZ,2,FALSE)+SUM(_xlfn.XLOOKUP($S102:$AL102,增益!$A:$A,增益!$B:$B,0))</f>
        <v>0.1842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4371.3</v>
      </c>
      <c r="AU102" cm="1">
        <f t="array" ref="AU102">$E$10*(1+$AS102)+VLOOKUP($R102,武学奇术!$A:$ZZ,4,FALSE)+SUM(_xlfn.XLOOKUP($S102:$AL102,增益!$A:$A,增益!$D:$D,0))-$I$2</f>
        <v>4371.3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0.2585</v>
      </c>
      <c r="AW102" s="31" cm="1">
        <f t="array" ref="AW102">$G$10+VLOOKUP($R102,武学奇术!$A:$ZZ,7,FALSE)+SUM(_xlfn.XLOOKUP($S102:$AL102,增益!$A:$A,增益!$G:$G,0))</f>
        <v>0.025</v>
      </c>
      <c r="AX102" s="24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1" cm="1">
        <f t="array" ref="BB102">$G$11+VLOOKUP($R102,武学奇术!$A:$ZZ,10,FALSE)+SUM(_xlfn.XLOOKUP($S102:$AL102,增益!$A:$A,增益!$J:$J,0))</f>
        <v>0</v>
      </c>
      <c r="BC102">
        <f t="shared" si="37"/>
        <v>0</v>
      </c>
      <c r="BD102">
        <f t="shared" si="38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1" cm="1">
        <f t="array" ref="BF102">$G$12+VLOOKUP($R102,武学奇术!$A:$ZZ,12,FALSE)+SUM(_xlfn.XLOOKUP($S102:$AL102,增益!$A:$A,增益!$L:$L,0))</f>
        <v>0</v>
      </c>
      <c r="BG102">
        <f t="shared" si="39"/>
        <v>0</v>
      </c>
      <c r="BH102">
        <f t="shared" si="40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1" cm="1">
        <f t="array" ref="BJ102">$G$13+VLOOKUP($R102,武学奇术!$A:$ZZ,14,FALSE)+SUM(_xlfn.XLOOKUP($S102:$AL102,增益!$A:$A,增益!$N:$N,0))</f>
        <v>0</v>
      </c>
      <c r="BK102">
        <f t="shared" si="41"/>
        <v>649.11</v>
      </c>
      <c r="BL102">
        <f t="shared" si="42"/>
        <v>1707.09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1" cm="1">
        <f t="array" ref="BN102">$G$14+VLOOKUP($R102,武学奇术!$A:$ZZ,16,FALSE)+SUM(_xlfn.XLOOKUP($S102:$AL102,增益!$A:$A,增益!$P:$P,0))</f>
        <v>0.15</v>
      </c>
      <c r="BO102" s="24">
        <f>MIN(IF(VLOOKUP($R102,武学奇术!$A:$ZZ,23,FALSE)=1,100%,$B$8),100%)</f>
        <v>0.9771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0.8861</v>
      </c>
      <c r="BQ102" s="24" cm="1">
        <f t="array" ref="BQ102">1+$B$13+VLOOKUP($R102,武学奇术!$A:$ZZ,18,FALSE)+SUM(_xlfn.XLOOKUP($S102:$AL102,增益!$A:$A,增益!$R:$R,0))</f>
        <v>1.54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3"/>
        <v>0.86580831</v>
      </c>
      <c r="BU102" s="24">
        <f t="shared" si="44"/>
        <v>0.02208246</v>
      </c>
      <c r="BV102" s="24">
        <f>IF(VLOOKUP($R102,武学奇术!$A:$ZZ,22,FALSE)=1,0,(1-$BO102))*(1-$BR102)</f>
        <v>0.02080923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:76">
      <c r="A103" t="s">
        <v>187</v>
      </c>
      <c r="B103">
        <v>0.9</v>
      </c>
      <c r="K103" s="37">
        <f>$L103*VLOOKUP($R103,武学奇术!$A:$ZZ,31,FALSE)</f>
        <v>0</v>
      </c>
      <c r="L103" s="37">
        <f t="shared" si="34"/>
        <v>0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8">
        <v>1</v>
      </c>
      <c r="R103" s="39" t="s">
        <v>80</v>
      </c>
      <c r="S103" s="39" t="s">
        <v>80</v>
      </c>
      <c r="T103" s="39" t="s">
        <v>80</v>
      </c>
      <c r="U103" s="39" t="s">
        <v>80</v>
      </c>
      <c r="V103" s="39" t="s">
        <v>80</v>
      </c>
      <c r="W103" s="39" t="s">
        <v>80</v>
      </c>
      <c r="X103" s="39" t="s">
        <v>80</v>
      </c>
      <c r="Y103" s="39" t="s">
        <v>80</v>
      </c>
      <c r="Z103" s="39" t="s">
        <v>80</v>
      </c>
      <c r="AA103" s="39" t="s">
        <v>80</v>
      </c>
      <c r="AB103" s="39" t="s">
        <v>80</v>
      </c>
      <c r="AC103" s="39" t="s">
        <v>80</v>
      </c>
      <c r="AD103" s="39" t="s">
        <v>80</v>
      </c>
      <c r="AE103" s="39" t="s">
        <v>83</v>
      </c>
      <c r="AF103" s="39" t="s">
        <v>84</v>
      </c>
      <c r="AG103" s="39" t="s">
        <v>80</v>
      </c>
      <c r="AH103" s="39" t="s">
        <v>80</v>
      </c>
      <c r="AI103" s="39" t="s">
        <v>80</v>
      </c>
      <c r="AJ103" s="39" t="s">
        <v>80</v>
      </c>
      <c r="AK103" s="39" t="s">
        <v>80</v>
      </c>
      <c r="AL103" s="39" t="s">
        <v>80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VLOOKUP($R103,武学奇术!$A:$ZZ,27,FALSE)*(1+IF(OR($AM103=$F$4,$AM103=$F$5),$B$22,0))</f>
        <v>0</v>
      </c>
      <c r="AP103" s="24">
        <f>VLOOKUP($R103,武学奇术!$A:$ZZ,28,FALSE)</f>
        <v>0</v>
      </c>
      <c r="AQ103" s="25">
        <f>VLOOKUP($R103,武学奇术!$A:$ZZ,29,FALSE)*(1+IF(OR($AM103=$F$4,$AM103=$F$5),$B$22,0))</f>
        <v>0</v>
      </c>
      <c r="AR103" s="24" cm="1">
        <f t="array" ref="AR103">$G$3+IFERROR(VLOOKUP($AM103,$F$4:$G$7,2,FALSE),0)+VLOOKUP($R103,武学奇术!$A:$ZZ,2,FALSE)+SUM(_xlfn.XLOOKUP($S103:$AL103,增益!$A:$A,增益!$B:$B,0))</f>
        <v>0.1842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4371.3</v>
      </c>
      <c r="AU103" cm="1">
        <f t="array" ref="AU103">$E$10*(1+$AS103)+VLOOKUP($R103,武学奇术!$A:$ZZ,4,FALSE)+SUM(_xlfn.XLOOKUP($S103:$AL103,增益!$A:$A,增益!$D:$D,0))-$I$2</f>
        <v>4371.3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0.2585</v>
      </c>
      <c r="AW103" s="31" cm="1">
        <f t="array" ref="AW103">$G$10+VLOOKUP($R103,武学奇术!$A:$ZZ,7,FALSE)+SUM(_xlfn.XLOOKUP($S103:$AL103,增益!$A:$A,增益!$G:$G,0))</f>
        <v>0.025</v>
      </c>
      <c r="AX103" s="24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1" cm="1">
        <f t="array" ref="BB103">$G$11+VLOOKUP($R103,武学奇术!$A:$ZZ,10,FALSE)+SUM(_xlfn.XLOOKUP($S103:$AL103,增益!$A:$A,增益!$J:$J,0))</f>
        <v>0</v>
      </c>
      <c r="BC103">
        <f t="shared" si="37"/>
        <v>0</v>
      </c>
      <c r="BD103">
        <f t="shared" si="38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1" cm="1">
        <f t="array" ref="BF103">$G$12+VLOOKUP($R103,武学奇术!$A:$ZZ,12,FALSE)+SUM(_xlfn.XLOOKUP($S103:$AL103,增益!$A:$A,增益!$L:$L,0))</f>
        <v>0</v>
      </c>
      <c r="BG103">
        <f t="shared" si="39"/>
        <v>0</v>
      </c>
      <c r="BH103">
        <f t="shared" si="40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1" cm="1">
        <f t="array" ref="BJ103">$G$13+VLOOKUP($R103,武学奇术!$A:$ZZ,14,FALSE)+SUM(_xlfn.XLOOKUP($S103:$AL103,增益!$A:$A,增益!$N:$N,0))</f>
        <v>0</v>
      </c>
      <c r="BK103">
        <f t="shared" si="41"/>
        <v>649.11</v>
      </c>
      <c r="BL103">
        <f t="shared" si="42"/>
        <v>1707.09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1" cm="1">
        <f t="array" ref="BN103">$G$14+VLOOKUP($R103,武学奇术!$A:$ZZ,16,FALSE)+SUM(_xlfn.XLOOKUP($S103:$AL103,增益!$A:$A,增益!$P:$P,0))</f>
        <v>0.15</v>
      </c>
      <c r="BO103" s="24">
        <f>MIN(IF(VLOOKUP($R103,武学奇术!$A:$ZZ,23,FALSE)=1,100%,$B$8),100%)</f>
        <v>0.9771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0.8861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3"/>
        <v>0.86580831</v>
      </c>
      <c r="BU103" s="24">
        <f t="shared" si="44"/>
        <v>0.02208246</v>
      </c>
      <c r="BV103" s="24">
        <f>IF(VLOOKUP($R103,武学奇术!$A:$ZZ,22,FALSE)=1,0,(1-$BO103))*(1-$BR103)</f>
        <v>0.02080923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:76">
      <c r="A104" t="s">
        <v>188</v>
      </c>
      <c r="B104">
        <v>0.6</v>
      </c>
      <c r="K104" s="37">
        <f>$L104*VLOOKUP($R104,武学奇术!$A:$ZZ,31,FALSE)</f>
        <v>0</v>
      </c>
      <c r="L104" s="37">
        <f t="shared" si="34"/>
        <v>0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8">
        <v>1</v>
      </c>
      <c r="R104" s="39" t="s">
        <v>80</v>
      </c>
      <c r="S104" s="39" t="s">
        <v>80</v>
      </c>
      <c r="T104" s="39" t="s">
        <v>80</v>
      </c>
      <c r="U104" s="39" t="s">
        <v>80</v>
      </c>
      <c r="V104" s="39" t="s">
        <v>80</v>
      </c>
      <c r="W104" s="39" t="s">
        <v>80</v>
      </c>
      <c r="X104" s="39" t="s">
        <v>80</v>
      </c>
      <c r="Y104" s="39" t="s">
        <v>80</v>
      </c>
      <c r="Z104" s="39" t="s">
        <v>80</v>
      </c>
      <c r="AA104" s="39" t="s">
        <v>80</v>
      </c>
      <c r="AB104" s="39" t="s">
        <v>80</v>
      </c>
      <c r="AC104" s="39" t="s">
        <v>80</v>
      </c>
      <c r="AD104" s="39" t="s">
        <v>80</v>
      </c>
      <c r="AE104" s="39" t="s">
        <v>83</v>
      </c>
      <c r="AF104" s="39" t="s">
        <v>84</v>
      </c>
      <c r="AG104" s="39" t="s">
        <v>80</v>
      </c>
      <c r="AH104" s="39" t="s">
        <v>80</v>
      </c>
      <c r="AI104" s="39" t="s">
        <v>80</v>
      </c>
      <c r="AJ104" s="39" t="s">
        <v>80</v>
      </c>
      <c r="AK104" s="39" t="s">
        <v>80</v>
      </c>
      <c r="AL104" s="39" t="s">
        <v>80</v>
      </c>
      <c r="AM104" t="str">
        <f>VLOOKUP($R104,武学奇术!$A:$ZZ,25,FALSE)</f>
        <v>心法</v>
      </c>
      <c r="AN104" s="24">
        <f>VLOOKUP($R104,武学奇术!$A:$ZZ,26,FALSE)</f>
        <v>0</v>
      </c>
      <c r="AO104" s="25">
        <f>VLOOKUP($R104,武学奇术!$A:$ZZ,27,FALSE)*(1+IF(OR($AM104=$F$4,$AM104=$F$5),$B$22,0))</f>
        <v>0</v>
      </c>
      <c r="AP104" s="24">
        <f>VLOOKUP($R104,武学奇术!$A:$ZZ,28,FALSE)</f>
        <v>0</v>
      </c>
      <c r="AQ104" s="25">
        <f>VLOOKUP($R104,武学奇术!$A:$ZZ,29,FALSE)*(1+IF(OR($AM104=$F$4,$AM104=$F$5),$B$22,0))</f>
        <v>0</v>
      </c>
      <c r="AR104" s="24" cm="1">
        <f t="array" ref="AR104">$G$3+IFERROR(VLOOKUP($AM104,$F$4:$G$7,2,FALSE),0)+VLOOKUP($R104,武学奇术!$A:$ZZ,2,FALSE)+SUM(_xlfn.XLOOKUP($S104:$AL104,增益!$A:$A,增益!$B:$B,0))</f>
        <v>0.1842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4371.3</v>
      </c>
      <c r="AU104" cm="1">
        <f t="array" ref="AU104">$E$10*(1+$AS104)+VLOOKUP($R104,武学奇术!$A:$ZZ,4,FALSE)+SUM(_xlfn.XLOOKUP($S104:$AL104,增益!$A:$A,增益!$D:$D,0))-$I$2</f>
        <v>4371.3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0.2585</v>
      </c>
      <c r="AW104" s="31" cm="1">
        <f t="array" ref="AW104">$G$10+VLOOKUP($R104,武学奇术!$A:$ZZ,7,FALSE)+SUM(_xlfn.XLOOKUP($S104:$AL104,增益!$A:$A,增益!$G:$G,0))</f>
        <v>0.025</v>
      </c>
      <c r="AX104" s="24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1" cm="1">
        <f t="array" ref="BB104">$G$11+VLOOKUP($R104,武学奇术!$A:$ZZ,10,FALSE)+SUM(_xlfn.XLOOKUP($S104:$AL104,增益!$A:$A,增益!$J:$J,0))</f>
        <v>0</v>
      </c>
      <c r="BC104">
        <f t="shared" si="37"/>
        <v>0</v>
      </c>
      <c r="BD104">
        <f t="shared" si="38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1" cm="1">
        <f t="array" ref="BF104">$G$12+VLOOKUP($R104,武学奇术!$A:$ZZ,12,FALSE)+SUM(_xlfn.XLOOKUP($S104:$AL104,增益!$A:$A,增益!$L:$L,0))</f>
        <v>0</v>
      </c>
      <c r="BG104">
        <f t="shared" si="39"/>
        <v>0</v>
      </c>
      <c r="BH104">
        <f t="shared" si="40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1" cm="1">
        <f t="array" ref="BJ104">$G$13+VLOOKUP($R104,武学奇术!$A:$ZZ,14,FALSE)+SUM(_xlfn.XLOOKUP($S104:$AL104,增益!$A:$A,增益!$N:$N,0))</f>
        <v>0</v>
      </c>
      <c r="BK104">
        <f t="shared" si="41"/>
        <v>649.11</v>
      </c>
      <c r="BL104">
        <f t="shared" si="42"/>
        <v>1707.09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1" cm="1">
        <f t="array" ref="BN104">$G$14+VLOOKUP($R104,武学奇术!$A:$ZZ,16,FALSE)+SUM(_xlfn.XLOOKUP($S104:$AL104,增益!$A:$A,增益!$P:$P,0))</f>
        <v>0.15</v>
      </c>
      <c r="BO104" s="24">
        <f>MIN(IF(VLOOKUP($R104,武学奇术!$A:$ZZ,23,FALSE)=1,100%,$B$8),100%)</f>
        <v>0.9771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0.8861</v>
      </c>
      <c r="BQ104" s="24" cm="1">
        <f t="array" ref="BQ104">1+$B$13+VLOOKUP($R104,武学奇术!$A:$ZZ,18,FALSE)+SUM(_xlfn.XLOOKUP($S104:$AL104,增益!$A:$A,增益!$R:$R,0))</f>
        <v>1.54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3"/>
        <v>0.86580831</v>
      </c>
      <c r="BU104" s="24">
        <f t="shared" si="44"/>
        <v>0.02208246</v>
      </c>
      <c r="BV104" s="24">
        <f>IF(VLOOKUP($R104,武学奇术!$A:$ZZ,22,FALSE)=1,0,(1-$BO104))*(1-$BR104)</f>
        <v>0.02080923</v>
      </c>
      <c r="BW104" s="24" cm="1">
        <f t="array" ref="BW104">SUM(_xlfn.XLOOKUP($S104:$AL104,增益!$A:$A,增益!$W:$W,0))+$I$5</f>
        <v>0.11</v>
      </c>
      <c r="BX104" s="24" cm="1">
        <f t="array" ref="BX104">SUM(_xlfn.XLOOKUP($S104:$AL104,增益!$A:$A,增益!$X:$X,0))</f>
        <v>0</v>
      </c>
    </row>
    <row r="105" spans="1:76">
      <c r="A105" t="s">
        <v>182</v>
      </c>
      <c r="B105">
        <v>0.7</v>
      </c>
      <c r="K105" s="37">
        <f>$L105*VLOOKUP($R105,武学奇术!$A:$ZZ,31,FALSE)</f>
        <v>0</v>
      </c>
      <c r="L105" s="37">
        <f t="shared" si="34"/>
        <v>0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8">
        <v>1</v>
      </c>
      <c r="R105" s="39" t="s">
        <v>80</v>
      </c>
      <c r="S105" s="39" t="s">
        <v>80</v>
      </c>
      <c r="T105" s="39" t="s">
        <v>80</v>
      </c>
      <c r="U105" s="39" t="s">
        <v>80</v>
      </c>
      <c r="V105" s="39" t="s">
        <v>80</v>
      </c>
      <c r="W105" s="39" t="s">
        <v>80</v>
      </c>
      <c r="X105" s="39" t="s">
        <v>80</v>
      </c>
      <c r="Y105" s="39" t="s">
        <v>80</v>
      </c>
      <c r="Z105" s="39" t="s">
        <v>80</v>
      </c>
      <c r="AA105" s="39" t="s">
        <v>80</v>
      </c>
      <c r="AB105" s="39" t="s">
        <v>80</v>
      </c>
      <c r="AC105" s="39" t="s">
        <v>80</v>
      </c>
      <c r="AD105" s="39" t="s">
        <v>80</v>
      </c>
      <c r="AE105" s="39" t="s">
        <v>83</v>
      </c>
      <c r="AF105" s="39" t="s">
        <v>84</v>
      </c>
      <c r="AG105" s="39" t="s">
        <v>80</v>
      </c>
      <c r="AH105" s="39" t="s">
        <v>80</v>
      </c>
      <c r="AI105" s="39" t="s">
        <v>80</v>
      </c>
      <c r="AJ105" s="39" t="s">
        <v>80</v>
      </c>
      <c r="AK105" s="39" t="s">
        <v>80</v>
      </c>
      <c r="AL105" s="39" t="s">
        <v>80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VLOOKUP($R105,武学奇术!$A:$ZZ,27,FALSE)*(1+IF(OR($AM105=$F$4,$AM105=$F$5),$B$22,0))</f>
        <v>0</v>
      </c>
      <c r="AP105" s="24">
        <f>VLOOKUP($R105,武学奇术!$A:$ZZ,28,FALSE)</f>
        <v>0</v>
      </c>
      <c r="AQ105" s="25">
        <f>VLOOKUP($R105,武学奇术!$A:$ZZ,29,FALSE)*(1+IF(OR($AM105=$F$4,$AM105=$F$5),$B$22,0))</f>
        <v>0</v>
      </c>
      <c r="AR105" s="24" cm="1">
        <f t="array" ref="AR105">$G$3+IFERROR(VLOOKUP($AM105,$F$4:$G$7,2,FALSE),0)+VLOOKUP($R105,武学奇术!$A:$ZZ,2,FALSE)+SUM(_xlfn.XLOOKUP($S105:$AL105,增益!$A:$A,增益!$B:$B,0))</f>
        <v>0.1842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4371.3</v>
      </c>
      <c r="AU105" cm="1">
        <f t="array" ref="AU105">$E$10*(1+$AS105)+VLOOKUP($R105,武学奇术!$A:$ZZ,4,FALSE)+SUM(_xlfn.XLOOKUP($S105:$AL105,增益!$A:$A,增益!$D:$D,0))-$I$2</f>
        <v>4371.3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0.2585</v>
      </c>
      <c r="AW105" s="31" cm="1">
        <f t="array" ref="AW105">$G$10+VLOOKUP($R105,武学奇术!$A:$ZZ,7,FALSE)+SUM(_xlfn.XLOOKUP($S105:$AL105,增益!$A:$A,增益!$G:$G,0))</f>
        <v>0.025</v>
      </c>
      <c r="AX105" s="24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1" cm="1">
        <f t="array" ref="BB105">$G$11+VLOOKUP($R105,武学奇术!$A:$ZZ,10,FALSE)+SUM(_xlfn.XLOOKUP($S105:$AL105,增益!$A:$A,增益!$J:$J,0))</f>
        <v>0</v>
      </c>
      <c r="BC105">
        <f t="shared" si="37"/>
        <v>0</v>
      </c>
      <c r="BD105">
        <f t="shared" si="38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1" cm="1">
        <f t="array" ref="BF105">$G$12+VLOOKUP($R105,武学奇术!$A:$ZZ,12,FALSE)+SUM(_xlfn.XLOOKUP($S105:$AL105,增益!$A:$A,增益!$L:$L,0))</f>
        <v>0</v>
      </c>
      <c r="BG105">
        <f t="shared" si="39"/>
        <v>0</v>
      </c>
      <c r="BH105">
        <f t="shared" si="40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1" cm="1">
        <f t="array" ref="BJ105">$G$13+VLOOKUP($R105,武学奇术!$A:$ZZ,14,FALSE)+SUM(_xlfn.XLOOKUP($S105:$AL105,增益!$A:$A,增益!$N:$N,0))</f>
        <v>0</v>
      </c>
      <c r="BK105">
        <f t="shared" si="41"/>
        <v>649.11</v>
      </c>
      <c r="BL105">
        <f t="shared" si="42"/>
        <v>1707.09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1" cm="1">
        <f t="array" ref="BN105">$G$14+VLOOKUP($R105,武学奇术!$A:$ZZ,16,FALSE)+SUM(_xlfn.XLOOKUP($S105:$AL105,增益!$A:$A,增益!$P:$P,0))</f>
        <v>0.15</v>
      </c>
      <c r="BO105" s="24">
        <f>MIN(IF(VLOOKUP($R105,武学奇术!$A:$ZZ,23,FALSE)=1,100%,$B$8),100%)</f>
        <v>0.9771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0.8861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3"/>
        <v>0.86580831</v>
      </c>
      <c r="BU105" s="24">
        <f t="shared" si="44"/>
        <v>0.02208246</v>
      </c>
      <c r="BV105" s="24">
        <f>IF(VLOOKUP($R105,武学奇术!$A:$ZZ,22,FALSE)=1,0,(1-$BO105))*(1-$BR105)</f>
        <v>0.02080923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:76">
      <c r="A106" t="s">
        <v>190</v>
      </c>
      <c r="B106">
        <v>2.5</v>
      </c>
      <c r="K106" s="37">
        <f>$L106*VLOOKUP($R106,武学奇术!$A:$ZZ,31,FALSE)</f>
        <v>0</v>
      </c>
      <c r="L106" s="37">
        <f t="shared" si="34"/>
        <v>0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8">
        <v>1</v>
      </c>
      <c r="R106" s="39" t="s">
        <v>80</v>
      </c>
      <c r="S106" s="39" t="s">
        <v>80</v>
      </c>
      <c r="T106" s="39" t="s">
        <v>80</v>
      </c>
      <c r="U106" s="39" t="s">
        <v>80</v>
      </c>
      <c r="V106" s="39" t="s">
        <v>80</v>
      </c>
      <c r="W106" s="39" t="s">
        <v>80</v>
      </c>
      <c r="X106" s="39" t="s">
        <v>80</v>
      </c>
      <c r="Y106" s="39" t="s">
        <v>80</v>
      </c>
      <c r="Z106" s="39" t="s">
        <v>80</v>
      </c>
      <c r="AA106" s="39" t="s">
        <v>80</v>
      </c>
      <c r="AB106" s="39" t="s">
        <v>80</v>
      </c>
      <c r="AC106" s="39" t="s">
        <v>80</v>
      </c>
      <c r="AD106" s="39" t="s">
        <v>80</v>
      </c>
      <c r="AE106" s="39" t="s">
        <v>83</v>
      </c>
      <c r="AF106" s="39" t="s">
        <v>84</v>
      </c>
      <c r="AG106" s="39" t="s">
        <v>80</v>
      </c>
      <c r="AH106" s="39" t="s">
        <v>80</v>
      </c>
      <c r="AI106" s="39" t="s">
        <v>80</v>
      </c>
      <c r="AJ106" s="39" t="s">
        <v>80</v>
      </c>
      <c r="AK106" s="39" t="s">
        <v>80</v>
      </c>
      <c r="AL106" s="39" t="s">
        <v>80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VLOOKUP($R106,武学奇术!$A:$ZZ,27,FALSE)*(1+IF(OR($AM106=$F$4,$AM106=$F$5),$B$22,0))</f>
        <v>0</v>
      </c>
      <c r="AP106" s="24">
        <f>VLOOKUP($R106,武学奇术!$A:$ZZ,28,FALSE)</f>
        <v>0</v>
      </c>
      <c r="AQ106" s="25">
        <f>VLOOKUP($R106,武学奇术!$A:$ZZ,29,FALSE)*(1+IF(OR($AM106=$F$4,$AM106=$F$5),$B$22,0))</f>
        <v>0</v>
      </c>
      <c r="AR106" s="24" cm="1">
        <f t="array" ref="AR106">$G$3+IFERROR(VLOOKUP($AM106,$F$4:$G$7,2,FALSE),0)+VLOOKUP($R106,武学奇术!$A:$ZZ,2,FALSE)+SUM(_xlfn.XLOOKUP($S106:$AL106,增益!$A:$A,增益!$B:$B,0))</f>
        <v>0.1842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4371.3</v>
      </c>
      <c r="AU106" cm="1">
        <f t="array" ref="AU106">$E$10*(1+$AS106)+VLOOKUP($R106,武学奇术!$A:$ZZ,4,FALSE)+SUM(_xlfn.XLOOKUP($S106:$AL106,增益!$A:$A,增益!$D:$D,0))-$I$2</f>
        <v>4371.3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0.2585</v>
      </c>
      <c r="AW106" s="31" cm="1">
        <f t="array" ref="AW106">$G$10+VLOOKUP($R106,武学奇术!$A:$ZZ,7,FALSE)+SUM(_xlfn.XLOOKUP($S106:$AL106,增益!$A:$A,增益!$G:$G,0))</f>
        <v>0.025</v>
      </c>
      <c r="AX106" s="24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1" cm="1">
        <f t="array" ref="BB106">$G$11+VLOOKUP($R106,武学奇术!$A:$ZZ,10,FALSE)+SUM(_xlfn.XLOOKUP($S106:$AL106,增益!$A:$A,增益!$J:$J,0))</f>
        <v>0</v>
      </c>
      <c r="BC106">
        <f t="shared" si="37"/>
        <v>0</v>
      </c>
      <c r="BD106">
        <f t="shared" si="38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1" cm="1">
        <f t="array" ref="BF106">$G$12+VLOOKUP($R106,武学奇术!$A:$ZZ,12,FALSE)+SUM(_xlfn.XLOOKUP($S106:$AL106,增益!$A:$A,增益!$L:$L,0))</f>
        <v>0</v>
      </c>
      <c r="BG106">
        <f t="shared" si="39"/>
        <v>0</v>
      </c>
      <c r="BH106">
        <f t="shared" si="40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1" cm="1">
        <f t="array" ref="BJ106">$G$13+VLOOKUP($R106,武学奇术!$A:$ZZ,14,FALSE)+SUM(_xlfn.XLOOKUP($S106:$AL106,增益!$A:$A,增益!$N:$N,0))</f>
        <v>0</v>
      </c>
      <c r="BK106">
        <f t="shared" si="41"/>
        <v>649.11</v>
      </c>
      <c r="BL106">
        <f t="shared" si="42"/>
        <v>1707.09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1" cm="1">
        <f t="array" ref="BN106">$G$14+VLOOKUP($R106,武学奇术!$A:$ZZ,16,FALSE)+SUM(_xlfn.XLOOKUP($S106:$AL106,增益!$A:$A,增益!$P:$P,0))</f>
        <v>0.15</v>
      </c>
      <c r="BO106" s="24">
        <f>MIN(IF(VLOOKUP($R106,武学奇术!$A:$ZZ,23,FALSE)=1,100%,$B$8),100%)</f>
        <v>0.9771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0.8861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3"/>
        <v>0.86580831</v>
      </c>
      <c r="BU106" s="24">
        <f t="shared" si="44"/>
        <v>0.02208246</v>
      </c>
      <c r="BV106" s="24">
        <f>IF(VLOOKUP($R106,武学奇术!$A:$ZZ,22,FALSE)=1,0,(1-$BO106))*(1-$BR106)</f>
        <v>0.02080923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:76">
      <c r="A107" t="s">
        <v>190</v>
      </c>
      <c r="B107">
        <v>2.25</v>
      </c>
      <c r="E107" s="38" t="s">
        <v>178</v>
      </c>
      <c r="K107" s="37">
        <f>$L107*VLOOKUP($R107,武学奇术!$A:$ZZ,31,FALSE)</f>
        <v>0</v>
      </c>
      <c r="L107" s="37">
        <f t="shared" si="34"/>
        <v>0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8">
        <v>1</v>
      </c>
      <c r="R107" s="39" t="s">
        <v>80</v>
      </c>
      <c r="S107" s="39" t="s">
        <v>80</v>
      </c>
      <c r="T107" s="39" t="s">
        <v>80</v>
      </c>
      <c r="U107" s="39" t="s">
        <v>80</v>
      </c>
      <c r="V107" s="39" t="s">
        <v>80</v>
      </c>
      <c r="W107" s="39" t="s">
        <v>80</v>
      </c>
      <c r="X107" s="39" t="s">
        <v>80</v>
      </c>
      <c r="Y107" s="39" t="s">
        <v>80</v>
      </c>
      <c r="Z107" s="39" t="s">
        <v>80</v>
      </c>
      <c r="AA107" s="39" t="s">
        <v>80</v>
      </c>
      <c r="AB107" s="39" t="s">
        <v>80</v>
      </c>
      <c r="AC107" s="39" t="s">
        <v>80</v>
      </c>
      <c r="AD107" s="39" t="s">
        <v>80</v>
      </c>
      <c r="AE107" s="39" t="s">
        <v>83</v>
      </c>
      <c r="AF107" s="39" t="s">
        <v>84</v>
      </c>
      <c r="AG107" s="39" t="s">
        <v>80</v>
      </c>
      <c r="AH107" s="39" t="s">
        <v>80</v>
      </c>
      <c r="AI107" s="39" t="s">
        <v>80</v>
      </c>
      <c r="AJ107" s="39" t="s">
        <v>80</v>
      </c>
      <c r="AK107" s="39" t="s">
        <v>80</v>
      </c>
      <c r="AL107" s="39" t="s">
        <v>80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0.1842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4371.3</v>
      </c>
      <c r="AU107" cm="1">
        <f t="array" ref="AU107">$E$10*(1+$AS107)+VLOOKUP($R107,武学奇术!$A:$ZZ,4,FALSE)+SUM(_xlfn.XLOOKUP($S107:$AL107,增益!$A:$A,增益!$D:$D,0))-$I$2</f>
        <v>4371.3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0.2585</v>
      </c>
      <c r="AW107" s="31" cm="1">
        <f t="array" ref="AW107">$G$10+VLOOKUP($R107,武学奇术!$A:$ZZ,7,FALSE)+SUM(_xlfn.XLOOKUP($S107:$AL107,增益!$A:$A,增益!$G:$G,0))</f>
        <v>0.025</v>
      </c>
      <c r="AX107" s="24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</v>
      </c>
      <c r="BC107">
        <f t="shared" si="37"/>
        <v>0</v>
      </c>
      <c r="BD107">
        <f t="shared" si="38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</v>
      </c>
      <c r="BG107">
        <f t="shared" si="39"/>
        <v>0</v>
      </c>
      <c r="BH107">
        <f t="shared" si="40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</v>
      </c>
      <c r="BK107">
        <f t="shared" si="41"/>
        <v>649.11</v>
      </c>
      <c r="BL107">
        <f t="shared" si="42"/>
        <v>1707.09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0.15</v>
      </c>
      <c r="BO107" s="24">
        <f>MIN(IF(VLOOKUP($R107,武学奇术!$A:$ZZ,23,FALSE)=1,100%,$B$8),100%)</f>
        <v>0.9771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0.8861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3"/>
        <v>0.86580831</v>
      </c>
      <c r="BU107" s="24">
        <f t="shared" si="44"/>
        <v>0.02208246</v>
      </c>
      <c r="BV107" s="24">
        <f>IF(VLOOKUP($R107,武学奇术!$A:$ZZ,22,FALSE)=1,0,(1-$BO107))*(1-$BR107)</f>
        <v>0.02080923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:76">
      <c r="A108" t="s">
        <v>190</v>
      </c>
      <c r="B108">
        <v>2</v>
      </c>
      <c r="E108" s="38"/>
      <c r="F108" s="38" t="s">
        <v>183</v>
      </c>
      <c r="K108" s="37">
        <f>$L108*VLOOKUP($R108,武学奇术!$A:$ZZ,31,FALSE)</f>
        <v>0</v>
      </c>
      <c r="L108" s="37">
        <f t="shared" si="34"/>
        <v>0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8">
        <v>1</v>
      </c>
      <c r="R108" s="39" t="s">
        <v>80</v>
      </c>
      <c r="S108" s="39" t="s">
        <v>80</v>
      </c>
      <c r="T108" s="39" t="s">
        <v>80</v>
      </c>
      <c r="U108" s="39" t="s">
        <v>80</v>
      </c>
      <c r="V108" s="39" t="s">
        <v>80</v>
      </c>
      <c r="W108" s="39" t="s">
        <v>80</v>
      </c>
      <c r="X108" s="39" t="s">
        <v>80</v>
      </c>
      <c r="Y108" s="39" t="s">
        <v>80</v>
      </c>
      <c r="Z108" s="39" t="s">
        <v>80</v>
      </c>
      <c r="AA108" s="39" t="s">
        <v>80</v>
      </c>
      <c r="AB108" s="39" t="s">
        <v>80</v>
      </c>
      <c r="AC108" s="39" t="s">
        <v>80</v>
      </c>
      <c r="AD108" s="39" t="s">
        <v>80</v>
      </c>
      <c r="AE108" s="39" t="s">
        <v>83</v>
      </c>
      <c r="AF108" s="39" t="s">
        <v>84</v>
      </c>
      <c r="AG108" s="39" t="s">
        <v>80</v>
      </c>
      <c r="AH108" s="39" t="s">
        <v>80</v>
      </c>
      <c r="AI108" s="39" t="s">
        <v>80</v>
      </c>
      <c r="AJ108" s="39" t="s">
        <v>80</v>
      </c>
      <c r="AK108" s="39" t="s">
        <v>80</v>
      </c>
      <c r="AL108" s="39" t="s">
        <v>80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0.1842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4371.3</v>
      </c>
      <c r="AU108" cm="1">
        <f t="array" ref="AU108">$E$10*(1+$AS108)+VLOOKUP($R108,武学奇术!$A:$ZZ,4,FALSE)+SUM(_xlfn.XLOOKUP($S108:$AL108,增益!$A:$A,增益!$D:$D,0))-$I$2</f>
        <v>4371.3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0.2585</v>
      </c>
      <c r="AW108" s="31" cm="1">
        <f t="array" ref="AW108">$G$10+VLOOKUP($R108,武学奇术!$A:$ZZ,7,FALSE)+SUM(_xlfn.XLOOKUP($S108:$AL108,增益!$A:$A,增益!$G:$G,0))</f>
        <v>0.025</v>
      </c>
      <c r="AX108" s="24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41"/>
        <v>649.11</v>
      </c>
      <c r="BL108">
        <f t="shared" si="42"/>
        <v>1707.09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0.9771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0.8861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3"/>
        <v>0.86580831</v>
      </c>
      <c r="BU108" s="24">
        <f t="shared" si="44"/>
        <v>0.02208246</v>
      </c>
      <c r="BV108" s="24">
        <f>IF(VLOOKUP($R108,武学奇术!$A:$ZZ,22,FALSE)=1,0,(1-$BO108))*(1-$BR108)</f>
        <v>0.02080923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:76">
      <c r="A109" t="s">
        <v>179</v>
      </c>
      <c r="B109" s="95">
        <v>0.1</v>
      </c>
      <c r="E109" s="38"/>
      <c r="F109" s="38"/>
      <c r="K109" s="37">
        <f>$L109*VLOOKUP($R109,武学奇术!$A:$ZZ,31,FALSE)</f>
        <v>0</v>
      </c>
      <c r="L109" s="37">
        <f t="shared" si="34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8">
        <v>1</v>
      </c>
      <c r="R109" s="39" t="s">
        <v>80</v>
      </c>
      <c r="S109" s="39" t="s">
        <v>80</v>
      </c>
      <c r="T109" s="39" t="s">
        <v>80</v>
      </c>
      <c r="U109" s="39" t="s">
        <v>80</v>
      </c>
      <c r="V109" s="39" t="s">
        <v>80</v>
      </c>
      <c r="W109" s="39" t="s">
        <v>80</v>
      </c>
      <c r="X109" s="39" t="s">
        <v>80</v>
      </c>
      <c r="Y109" s="39" t="s">
        <v>80</v>
      </c>
      <c r="Z109" s="39" t="s">
        <v>80</v>
      </c>
      <c r="AA109" s="39" t="s">
        <v>80</v>
      </c>
      <c r="AB109" s="39" t="s">
        <v>80</v>
      </c>
      <c r="AC109" s="39" t="s">
        <v>80</v>
      </c>
      <c r="AD109" s="39" t="s">
        <v>80</v>
      </c>
      <c r="AE109" s="39" t="s">
        <v>83</v>
      </c>
      <c r="AF109" s="39" t="s">
        <v>84</v>
      </c>
      <c r="AG109" s="39" t="s">
        <v>80</v>
      </c>
      <c r="AH109" s="39" t="s">
        <v>80</v>
      </c>
      <c r="AI109" s="39" t="s">
        <v>80</v>
      </c>
      <c r="AJ109" s="39" t="s">
        <v>80</v>
      </c>
      <c r="AK109" s="39" t="s">
        <v>80</v>
      </c>
      <c r="AL109" s="39" t="s">
        <v>80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0.1842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4371.3</v>
      </c>
      <c r="AU109" cm="1">
        <f t="array" ref="AU109">$E$10*(1+$AS109)+VLOOKUP($R109,武学奇术!$A:$ZZ,4,FALSE)+SUM(_xlfn.XLOOKUP($S109:$AL109,增益!$A:$A,增益!$D:$D,0))-$I$2</f>
        <v>4371.3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0.2585</v>
      </c>
      <c r="AW109" s="31" cm="1">
        <f t="array" ref="AW109">$G$10+VLOOKUP($R109,武学奇术!$A:$ZZ,7,FALSE)+SUM(_xlfn.XLOOKUP($S109:$AL109,增益!$A:$A,增益!$G:$G,0))</f>
        <v>0.025</v>
      </c>
      <c r="AX109" s="24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41"/>
        <v>649.11</v>
      </c>
      <c r="BL109">
        <f t="shared" si="42"/>
        <v>1707.09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0.9771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0.8861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3"/>
        <v>0.86580831</v>
      </c>
      <c r="BU109" s="24">
        <f t="shared" si="44"/>
        <v>0.02208246</v>
      </c>
      <c r="BV109" s="24">
        <f>IF(VLOOKUP($R109,武学奇术!$A:$ZZ,22,FALSE)=1,0,(1-$BO109))*(1-$BR109)</f>
        <v>0.02080923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:76">
      <c r="A110" t="s">
        <v>196</v>
      </c>
      <c r="B110">
        <v>3</v>
      </c>
      <c r="E110" s="38"/>
      <c r="F110" s="38"/>
      <c r="K110" s="37">
        <f>$L110*VLOOKUP($R110,武学奇术!$A:$ZZ,31,FALSE)</f>
        <v>0</v>
      </c>
      <c r="L110" s="37">
        <f t="shared" si="34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8">
        <v>1</v>
      </c>
      <c r="R110" s="39" t="s">
        <v>80</v>
      </c>
      <c r="S110" s="39" t="s">
        <v>80</v>
      </c>
      <c r="T110" s="39" t="s">
        <v>80</v>
      </c>
      <c r="U110" s="39" t="s">
        <v>80</v>
      </c>
      <c r="V110" s="39" t="s">
        <v>80</v>
      </c>
      <c r="W110" s="39" t="s">
        <v>80</v>
      </c>
      <c r="X110" s="39" t="s">
        <v>80</v>
      </c>
      <c r="Y110" s="39" t="s">
        <v>80</v>
      </c>
      <c r="Z110" s="39" t="s">
        <v>80</v>
      </c>
      <c r="AA110" s="39" t="s">
        <v>80</v>
      </c>
      <c r="AB110" s="39" t="s">
        <v>80</v>
      </c>
      <c r="AC110" s="39" t="s">
        <v>80</v>
      </c>
      <c r="AD110" s="39" t="s">
        <v>80</v>
      </c>
      <c r="AE110" s="39" t="s">
        <v>83</v>
      </c>
      <c r="AF110" s="39" t="s">
        <v>84</v>
      </c>
      <c r="AG110" s="39" t="s">
        <v>80</v>
      </c>
      <c r="AH110" s="39" t="s">
        <v>80</v>
      </c>
      <c r="AI110" s="39" t="s">
        <v>80</v>
      </c>
      <c r="AJ110" s="39" t="s">
        <v>80</v>
      </c>
      <c r="AK110" s="39" t="s">
        <v>80</v>
      </c>
      <c r="AL110" s="39" t="s">
        <v>80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0.1842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4371.3</v>
      </c>
      <c r="AU110" cm="1">
        <f t="array" ref="AU110">$E$10*(1+$AS110)+VLOOKUP($R110,武学奇术!$A:$ZZ,4,FALSE)+SUM(_xlfn.XLOOKUP($S110:$AL110,增益!$A:$A,增益!$D:$D,0))-$I$2</f>
        <v>4371.3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0.2585</v>
      </c>
      <c r="AW110" s="31" cm="1">
        <f t="array" ref="AW110">$G$10+VLOOKUP($R110,武学奇术!$A:$ZZ,7,FALSE)+SUM(_xlfn.XLOOKUP($S110:$AL110,增益!$A:$A,增益!$G:$G,0))</f>
        <v>0.025</v>
      </c>
      <c r="AX110" s="24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41"/>
        <v>649.11</v>
      </c>
      <c r="BL110">
        <f t="shared" si="42"/>
        <v>1707.09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0.9771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0.8861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3"/>
        <v>0.86580831</v>
      </c>
      <c r="BU110" s="24">
        <f t="shared" si="44"/>
        <v>0.02208246</v>
      </c>
      <c r="BV110" s="24">
        <f>IF(VLOOKUP($R110,武学奇术!$A:$ZZ,22,FALSE)=1,0,(1-$BO110))*(1-$BR110)</f>
        <v>0.02080923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:76">
      <c r="A111" t="s">
        <v>179</v>
      </c>
      <c r="B111">
        <v>0.1</v>
      </c>
      <c r="D111" s="38" t="s">
        <v>193</v>
      </c>
      <c r="E111" s="38"/>
      <c r="F111" s="38"/>
      <c r="K111" s="37">
        <f>$L111*VLOOKUP($R111,武学奇术!$A:$ZZ,31,FALSE)</f>
        <v>0</v>
      </c>
      <c r="L111" s="37">
        <f t="shared" si="34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8">
        <v>1</v>
      </c>
      <c r="R111" s="39" t="s">
        <v>80</v>
      </c>
      <c r="S111" s="39" t="s">
        <v>80</v>
      </c>
      <c r="T111" s="39" t="s">
        <v>80</v>
      </c>
      <c r="U111" s="39" t="s">
        <v>80</v>
      </c>
      <c r="V111" s="39" t="s">
        <v>80</v>
      </c>
      <c r="W111" s="39" t="s">
        <v>80</v>
      </c>
      <c r="X111" s="39" t="s">
        <v>80</v>
      </c>
      <c r="Y111" s="39" t="s">
        <v>80</v>
      </c>
      <c r="Z111" s="39" t="s">
        <v>80</v>
      </c>
      <c r="AA111" s="39" t="s">
        <v>80</v>
      </c>
      <c r="AB111" s="39" t="s">
        <v>80</v>
      </c>
      <c r="AC111" s="39" t="s">
        <v>80</v>
      </c>
      <c r="AD111" s="39" t="s">
        <v>80</v>
      </c>
      <c r="AE111" s="39" t="s">
        <v>83</v>
      </c>
      <c r="AF111" s="39" t="s">
        <v>84</v>
      </c>
      <c r="AG111" s="39" t="s">
        <v>80</v>
      </c>
      <c r="AH111" s="39" t="s">
        <v>80</v>
      </c>
      <c r="AI111" s="39" t="s">
        <v>80</v>
      </c>
      <c r="AJ111" s="39" t="s">
        <v>80</v>
      </c>
      <c r="AK111" s="39" t="s">
        <v>80</v>
      </c>
      <c r="AL111" s="39" t="s">
        <v>80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0.1842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4371.3</v>
      </c>
      <c r="AU111" cm="1">
        <f t="array" ref="AU111">$E$10*(1+$AS111)+VLOOKUP($R111,武学奇术!$A:$ZZ,4,FALSE)+SUM(_xlfn.XLOOKUP($S111:$AL111,增益!$A:$A,增益!$D:$D,0))-$I$2</f>
        <v>4371.3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0.2585</v>
      </c>
      <c r="AW111" s="31" cm="1">
        <f t="array" ref="AW111">$G$10+VLOOKUP($R111,武学奇术!$A:$ZZ,7,FALSE)+SUM(_xlfn.XLOOKUP($S111:$AL111,增益!$A:$A,增益!$G:$G,0))</f>
        <v>0.025</v>
      </c>
      <c r="AX111" s="24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41"/>
        <v>649.11</v>
      </c>
      <c r="BL111">
        <f t="shared" si="42"/>
        <v>1707.09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0.9771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0.8861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3"/>
        <v>0.86580831</v>
      </c>
      <c r="BU111" s="24">
        <f t="shared" si="44"/>
        <v>0.02208246</v>
      </c>
      <c r="BV111" s="24">
        <f>IF(VLOOKUP($R111,武学奇术!$A:$ZZ,22,FALSE)=1,0,(1-$BO111))*(1-$BR111)</f>
        <v>0.02080923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:76">
      <c r="A112" t="s">
        <v>215</v>
      </c>
      <c r="B112">
        <v>0.7</v>
      </c>
      <c r="D112" s="38"/>
      <c r="E112" s="38"/>
      <c r="F112" s="38"/>
      <c r="K112" s="37">
        <f>$L112*VLOOKUP($R112,武学奇术!$A:$ZZ,31,FALSE)</f>
        <v>0</v>
      </c>
      <c r="L112" s="37">
        <f t="shared" si="34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8">
        <v>1</v>
      </c>
      <c r="R112" s="39" t="s">
        <v>80</v>
      </c>
      <c r="S112" s="39" t="s">
        <v>80</v>
      </c>
      <c r="T112" s="39" t="s">
        <v>80</v>
      </c>
      <c r="U112" s="39" t="s">
        <v>80</v>
      </c>
      <c r="V112" s="39" t="s">
        <v>80</v>
      </c>
      <c r="W112" s="39" t="s">
        <v>80</v>
      </c>
      <c r="X112" s="39" t="s">
        <v>80</v>
      </c>
      <c r="Y112" s="39" t="s">
        <v>80</v>
      </c>
      <c r="Z112" s="39" t="s">
        <v>80</v>
      </c>
      <c r="AA112" s="39" t="s">
        <v>80</v>
      </c>
      <c r="AB112" s="39" t="s">
        <v>80</v>
      </c>
      <c r="AC112" s="39" t="s">
        <v>80</v>
      </c>
      <c r="AD112" s="39" t="s">
        <v>80</v>
      </c>
      <c r="AE112" s="39" t="s">
        <v>83</v>
      </c>
      <c r="AF112" s="39" t="s">
        <v>84</v>
      </c>
      <c r="AG112" s="39" t="s">
        <v>80</v>
      </c>
      <c r="AH112" s="39" t="s">
        <v>80</v>
      </c>
      <c r="AI112" s="39" t="s">
        <v>80</v>
      </c>
      <c r="AJ112" s="39" t="s">
        <v>80</v>
      </c>
      <c r="AK112" s="39" t="s">
        <v>80</v>
      </c>
      <c r="AL112" s="39" t="s">
        <v>80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0.1842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4371.3</v>
      </c>
      <c r="AU112" cm="1">
        <f t="array" ref="AU112">$E$10*(1+$AS112)+VLOOKUP($R112,武学奇术!$A:$ZZ,4,FALSE)+SUM(_xlfn.XLOOKUP($S112:$AL112,增益!$A:$A,增益!$D:$D,0))-$I$2</f>
        <v>4371.3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0.2585</v>
      </c>
      <c r="AW112" s="31" cm="1">
        <f t="array" ref="AW112">$G$10+VLOOKUP($R112,武学奇术!$A:$ZZ,7,FALSE)+SUM(_xlfn.XLOOKUP($S112:$AL112,增益!$A:$A,增益!$G:$G,0))</f>
        <v>0.025</v>
      </c>
      <c r="AX112" s="24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41"/>
        <v>649.11</v>
      </c>
      <c r="BL112">
        <f t="shared" si="42"/>
        <v>1707.09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0.9771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0.8861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3"/>
        <v>0.86580831</v>
      </c>
      <c r="BU112" s="24">
        <f t="shared" si="44"/>
        <v>0.02208246</v>
      </c>
      <c r="BV112" s="24">
        <f>IF(VLOOKUP($R112,武学奇术!$A:$ZZ,22,FALSE)=1,0,(1-$BO112))*(1-$BR112)</f>
        <v>0.02080923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:76">
      <c r="A113" t="s">
        <v>179</v>
      </c>
      <c r="B113">
        <v>0.1</v>
      </c>
      <c r="D113" s="38"/>
      <c r="E113" s="38"/>
      <c r="K113" s="37">
        <f>$L113*VLOOKUP($R113,武学奇术!$A:$ZZ,31,FALSE)</f>
        <v>0</v>
      </c>
      <c r="L113" s="37">
        <f t="shared" si="34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8">
        <v>1</v>
      </c>
      <c r="R113" s="39" t="s">
        <v>80</v>
      </c>
      <c r="S113" s="39" t="s">
        <v>80</v>
      </c>
      <c r="T113" s="39" t="s">
        <v>80</v>
      </c>
      <c r="U113" s="39" t="s">
        <v>80</v>
      </c>
      <c r="V113" s="39" t="s">
        <v>80</v>
      </c>
      <c r="W113" s="39" t="s">
        <v>80</v>
      </c>
      <c r="X113" s="39" t="s">
        <v>80</v>
      </c>
      <c r="Y113" s="39" t="s">
        <v>80</v>
      </c>
      <c r="Z113" s="39" t="s">
        <v>80</v>
      </c>
      <c r="AA113" s="39" t="s">
        <v>80</v>
      </c>
      <c r="AB113" s="39" t="s">
        <v>80</v>
      </c>
      <c r="AC113" s="39" t="s">
        <v>80</v>
      </c>
      <c r="AD113" s="39" t="s">
        <v>80</v>
      </c>
      <c r="AE113" s="39" t="s">
        <v>83</v>
      </c>
      <c r="AF113" s="39" t="s">
        <v>84</v>
      </c>
      <c r="AG113" s="39" t="s">
        <v>80</v>
      </c>
      <c r="AH113" s="39" t="s">
        <v>80</v>
      </c>
      <c r="AI113" s="39" t="s">
        <v>80</v>
      </c>
      <c r="AJ113" s="39" t="s">
        <v>80</v>
      </c>
      <c r="AK113" s="39" t="s">
        <v>80</v>
      </c>
      <c r="AL113" s="39" t="s">
        <v>80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0.1842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4371.3</v>
      </c>
      <c r="AU113" cm="1">
        <f t="array" ref="AU113">$E$10*(1+$AS113)+VLOOKUP($R113,武学奇术!$A:$ZZ,4,FALSE)+SUM(_xlfn.XLOOKUP($S113:$AL113,增益!$A:$A,增益!$D:$D,0))-$I$2</f>
        <v>4371.3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0.2585</v>
      </c>
      <c r="AW113" s="31" cm="1">
        <f t="array" ref="AW113">$G$10+VLOOKUP($R113,武学奇术!$A:$ZZ,7,FALSE)+SUM(_xlfn.XLOOKUP($S113:$AL113,增益!$A:$A,增益!$G:$G,0))</f>
        <v>0.025</v>
      </c>
      <c r="AX113" s="24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41"/>
        <v>649.11</v>
      </c>
      <c r="BL113">
        <f t="shared" si="42"/>
        <v>1707.09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0.9771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0.8861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3"/>
        <v>0.86580831</v>
      </c>
      <c r="BU113" s="24">
        <f t="shared" si="44"/>
        <v>0.02208246</v>
      </c>
      <c r="BV113" s="24">
        <f>IF(VLOOKUP($R113,武学奇术!$A:$ZZ,22,FALSE)=1,0,(1-$BO113))*(1-$BR113)</f>
        <v>0.02080923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:76">
      <c r="A114" t="s">
        <v>196</v>
      </c>
      <c r="B114">
        <v>3</v>
      </c>
      <c r="D114" s="38"/>
      <c r="E114" s="38"/>
      <c r="F114" s="38" t="s">
        <v>183</v>
      </c>
      <c r="K114" s="37">
        <f>$L114*VLOOKUP($R114,武学奇术!$A:$ZZ,31,FALSE)</f>
        <v>0</v>
      </c>
      <c r="L114" s="37">
        <f t="shared" si="34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8">
        <v>1</v>
      </c>
      <c r="R114" s="39" t="s">
        <v>80</v>
      </c>
      <c r="S114" s="39" t="s">
        <v>80</v>
      </c>
      <c r="T114" s="39" t="s">
        <v>80</v>
      </c>
      <c r="U114" s="39" t="s">
        <v>80</v>
      </c>
      <c r="V114" s="39" t="s">
        <v>80</v>
      </c>
      <c r="W114" s="39" t="s">
        <v>80</v>
      </c>
      <c r="X114" s="39" t="s">
        <v>80</v>
      </c>
      <c r="Y114" s="39" t="s">
        <v>80</v>
      </c>
      <c r="Z114" s="39" t="s">
        <v>80</v>
      </c>
      <c r="AA114" s="39" t="s">
        <v>80</v>
      </c>
      <c r="AB114" s="39" t="s">
        <v>80</v>
      </c>
      <c r="AC114" s="39" t="s">
        <v>80</v>
      </c>
      <c r="AD114" s="39" t="s">
        <v>80</v>
      </c>
      <c r="AE114" s="39" t="s">
        <v>83</v>
      </c>
      <c r="AF114" s="39" t="s">
        <v>84</v>
      </c>
      <c r="AG114" s="39" t="s">
        <v>80</v>
      </c>
      <c r="AH114" s="39" t="s">
        <v>80</v>
      </c>
      <c r="AI114" s="39" t="s">
        <v>80</v>
      </c>
      <c r="AJ114" s="39" t="s">
        <v>80</v>
      </c>
      <c r="AK114" s="39" t="s">
        <v>80</v>
      </c>
      <c r="AL114" s="39" t="s">
        <v>80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0.1842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4371.3</v>
      </c>
      <c r="AU114" cm="1">
        <f t="array" ref="AU114">$E$10*(1+$AS114)+VLOOKUP($R114,武学奇术!$A:$ZZ,4,FALSE)+SUM(_xlfn.XLOOKUP($S114:$AL114,增益!$A:$A,增益!$D:$D,0))-$I$2</f>
        <v>4371.3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0.2585</v>
      </c>
      <c r="AW114" s="31" cm="1">
        <f t="array" ref="AW114">$G$10+VLOOKUP($R114,武学奇术!$A:$ZZ,7,FALSE)+SUM(_xlfn.XLOOKUP($S114:$AL114,增益!$A:$A,增益!$G:$G,0))</f>
        <v>0.025</v>
      </c>
      <c r="AX114" s="24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41"/>
        <v>649.11</v>
      </c>
      <c r="BL114">
        <f t="shared" si="42"/>
        <v>1707.09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0.9771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0.8861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3"/>
        <v>0.86580831</v>
      </c>
      <c r="BU114" s="24">
        <f t="shared" si="44"/>
        <v>0.02208246</v>
      </c>
      <c r="BV114" s="24">
        <f>IF(VLOOKUP($R114,武学奇术!$A:$ZZ,22,FALSE)=1,0,(1-$BO114))*(1-$BR114)</f>
        <v>0.02080923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:76">
      <c r="A115" t="s">
        <v>208</v>
      </c>
      <c r="B115">
        <v>0.7</v>
      </c>
      <c r="D115" s="38"/>
      <c r="E115" s="38"/>
      <c r="F115" s="38"/>
      <c r="K115" s="37">
        <f>$L115*VLOOKUP($R115,武学奇术!$A:$ZZ,31,FALSE)</f>
        <v>0</v>
      </c>
      <c r="L115" s="37">
        <f t="shared" si="34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8">
        <v>1</v>
      </c>
      <c r="R115" s="39" t="s">
        <v>80</v>
      </c>
      <c r="S115" s="39" t="s">
        <v>80</v>
      </c>
      <c r="T115" s="39" t="s">
        <v>80</v>
      </c>
      <c r="U115" s="39" t="s">
        <v>80</v>
      </c>
      <c r="V115" s="39" t="s">
        <v>80</v>
      </c>
      <c r="W115" s="39" t="s">
        <v>80</v>
      </c>
      <c r="X115" s="39" t="s">
        <v>80</v>
      </c>
      <c r="Y115" s="39" t="s">
        <v>80</v>
      </c>
      <c r="Z115" s="39" t="s">
        <v>80</v>
      </c>
      <c r="AA115" s="39" t="s">
        <v>80</v>
      </c>
      <c r="AB115" s="39" t="s">
        <v>80</v>
      </c>
      <c r="AC115" s="39" t="s">
        <v>80</v>
      </c>
      <c r="AD115" s="39" t="s">
        <v>80</v>
      </c>
      <c r="AE115" s="39" t="s">
        <v>83</v>
      </c>
      <c r="AF115" s="39" t="s">
        <v>84</v>
      </c>
      <c r="AG115" s="39" t="s">
        <v>80</v>
      </c>
      <c r="AH115" s="39" t="s">
        <v>80</v>
      </c>
      <c r="AI115" s="39" t="s">
        <v>80</v>
      </c>
      <c r="AJ115" s="39" t="s">
        <v>80</v>
      </c>
      <c r="AK115" s="39" t="s">
        <v>80</v>
      </c>
      <c r="AL115" s="39" t="s">
        <v>80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0.1842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4371.3</v>
      </c>
      <c r="AU115" cm="1">
        <f t="array" ref="AU115">$E$10*(1+$AS115)+VLOOKUP($R115,武学奇术!$A:$ZZ,4,FALSE)+SUM(_xlfn.XLOOKUP($S115:$AL115,增益!$A:$A,增益!$D:$D,0))-$I$2</f>
        <v>4371.3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0.2585</v>
      </c>
      <c r="AW115" s="31" cm="1">
        <f t="array" ref="AW115">$G$10+VLOOKUP($R115,武学奇术!$A:$ZZ,7,FALSE)+SUM(_xlfn.XLOOKUP($S115:$AL115,增益!$A:$A,增益!$G:$G,0))</f>
        <v>0.025</v>
      </c>
      <c r="AX115" s="24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41"/>
        <v>649.11</v>
      </c>
      <c r="BL115">
        <f t="shared" si="42"/>
        <v>1707.09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0.9771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0.8861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3"/>
        <v>0.86580831</v>
      </c>
      <c r="BU115" s="24">
        <f t="shared" si="44"/>
        <v>0.02208246</v>
      </c>
      <c r="BV115" s="24">
        <f>IF(VLOOKUP($R115,武学奇术!$A:$ZZ,22,FALSE)=1,0,(1-$BO115))*(1-$BR115)</f>
        <v>0.02080923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:76">
      <c r="K116" s="37">
        <f>$L116*VLOOKUP($R116,武学奇术!$A:$ZZ,31,FALSE)</f>
        <v>0</v>
      </c>
      <c r="L116" s="37">
        <f t="shared" si="34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8">
        <v>1</v>
      </c>
      <c r="R116" s="39" t="s">
        <v>80</v>
      </c>
      <c r="S116" s="39" t="s">
        <v>80</v>
      </c>
      <c r="T116" s="39" t="s">
        <v>80</v>
      </c>
      <c r="U116" s="39" t="s">
        <v>80</v>
      </c>
      <c r="V116" s="39" t="s">
        <v>80</v>
      </c>
      <c r="W116" s="39" t="s">
        <v>80</v>
      </c>
      <c r="X116" s="39" t="s">
        <v>80</v>
      </c>
      <c r="Y116" s="39" t="s">
        <v>80</v>
      </c>
      <c r="Z116" s="39" t="s">
        <v>80</v>
      </c>
      <c r="AA116" s="39" t="s">
        <v>80</v>
      </c>
      <c r="AB116" s="39" t="s">
        <v>80</v>
      </c>
      <c r="AC116" s="39" t="s">
        <v>80</v>
      </c>
      <c r="AD116" s="39" t="s">
        <v>80</v>
      </c>
      <c r="AE116" s="39" t="s">
        <v>83</v>
      </c>
      <c r="AF116" s="39" t="s">
        <v>84</v>
      </c>
      <c r="AG116" s="39" t="s">
        <v>80</v>
      </c>
      <c r="AH116" s="39" t="s">
        <v>80</v>
      </c>
      <c r="AI116" s="39" t="s">
        <v>80</v>
      </c>
      <c r="AJ116" s="39" t="s">
        <v>80</v>
      </c>
      <c r="AK116" s="39" t="s">
        <v>80</v>
      </c>
      <c r="AL116" s="39" t="s">
        <v>80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0.1842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4371.3</v>
      </c>
      <c r="AU116" cm="1">
        <f t="array" ref="AU116">$E$10*(1+$AS116)+VLOOKUP($R116,武学奇术!$A:$ZZ,4,FALSE)+SUM(_xlfn.XLOOKUP($S116:$AL116,增益!$A:$A,增益!$D:$D,0))-$I$2</f>
        <v>4371.3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0.2585</v>
      </c>
      <c r="AW116" s="31" cm="1">
        <f t="array" ref="AW116">$G$10+VLOOKUP($R116,武学奇术!$A:$ZZ,7,FALSE)+SUM(_xlfn.XLOOKUP($S116:$AL116,增益!$A:$A,增益!$G:$G,0))</f>
        <v>0.025</v>
      </c>
      <c r="AX116" s="24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41"/>
        <v>649.11</v>
      </c>
      <c r="BL116">
        <f t="shared" si="42"/>
        <v>1707.09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0.9771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0.8861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3"/>
        <v>0.86580831</v>
      </c>
      <c r="BU116" s="24">
        <f t="shared" si="44"/>
        <v>0.02208246</v>
      </c>
      <c r="BV116" s="24">
        <f>IF(VLOOKUP($R116,武学奇术!$A:$ZZ,22,FALSE)=1,0,(1-$BO116))*(1-$BR116)</f>
        <v>0.02080923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:76">
      <c r="K117" s="37">
        <f>$L117*VLOOKUP($R117,武学奇术!$A:$ZZ,31,FALSE)</f>
        <v>0</v>
      </c>
      <c r="L117" s="37">
        <f t="shared" si="34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8">
        <v>1</v>
      </c>
      <c r="R117" s="39" t="s">
        <v>80</v>
      </c>
      <c r="S117" s="39" t="s">
        <v>80</v>
      </c>
      <c r="T117" s="39" t="s">
        <v>80</v>
      </c>
      <c r="U117" s="39" t="s">
        <v>80</v>
      </c>
      <c r="V117" s="39" t="s">
        <v>80</v>
      </c>
      <c r="W117" s="39" t="s">
        <v>80</v>
      </c>
      <c r="X117" s="39" t="s">
        <v>80</v>
      </c>
      <c r="Y117" s="39" t="s">
        <v>80</v>
      </c>
      <c r="Z117" s="39" t="s">
        <v>80</v>
      </c>
      <c r="AA117" s="39" t="s">
        <v>80</v>
      </c>
      <c r="AB117" s="39" t="s">
        <v>80</v>
      </c>
      <c r="AC117" s="39" t="s">
        <v>80</v>
      </c>
      <c r="AD117" s="39" t="s">
        <v>80</v>
      </c>
      <c r="AE117" s="39" t="s">
        <v>83</v>
      </c>
      <c r="AF117" s="39" t="s">
        <v>84</v>
      </c>
      <c r="AG117" s="39" t="s">
        <v>80</v>
      </c>
      <c r="AH117" s="39" t="s">
        <v>80</v>
      </c>
      <c r="AI117" s="39" t="s">
        <v>80</v>
      </c>
      <c r="AJ117" s="39" t="s">
        <v>80</v>
      </c>
      <c r="AK117" s="39" t="s">
        <v>80</v>
      </c>
      <c r="AL117" s="39" t="s">
        <v>80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0.1842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4371.3</v>
      </c>
      <c r="AU117" cm="1">
        <f t="array" ref="AU117">$E$10*(1+$AS117)+VLOOKUP($R117,武学奇术!$A:$ZZ,4,FALSE)+SUM(_xlfn.XLOOKUP($S117:$AL117,增益!$A:$A,增益!$D:$D,0))-$I$2</f>
        <v>4371.3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0.2585</v>
      </c>
      <c r="AW117" s="31" cm="1">
        <f t="array" ref="AW117">$G$10+VLOOKUP($R117,武学奇术!$A:$ZZ,7,FALSE)+SUM(_xlfn.XLOOKUP($S117:$AL117,增益!$A:$A,增益!$G:$G,0))</f>
        <v>0.025</v>
      </c>
      <c r="AX117" s="24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41"/>
        <v>649.11</v>
      </c>
      <c r="BL117">
        <f t="shared" si="42"/>
        <v>1707.09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0.9771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0.8861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3"/>
        <v>0.86580831</v>
      </c>
      <c r="BU117" s="24">
        <f t="shared" si="44"/>
        <v>0.02208246</v>
      </c>
      <c r="BV117" s="24">
        <f>IF(VLOOKUP($R117,武学奇术!$A:$ZZ,22,FALSE)=1,0,(1-$BO117))*(1-$BR117)</f>
        <v>0.02080923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:76">
      <c r="K118" s="37">
        <f>$L118*VLOOKUP($R118,武学奇术!$A:$ZZ,31,FALSE)</f>
        <v>0</v>
      </c>
      <c r="L118" s="37">
        <f t="shared" si="34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8">
        <v>1</v>
      </c>
      <c r="R118" s="39" t="s">
        <v>80</v>
      </c>
      <c r="S118" s="39" t="s">
        <v>80</v>
      </c>
      <c r="T118" s="39" t="s">
        <v>80</v>
      </c>
      <c r="U118" s="39" t="s">
        <v>80</v>
      </c>
      <c r="V118" s="39" t="s">
        <v>80</v>
      </c>
      <c r="W118" s="39" t="s">
        <v>80</v>
      </c>
      <c r="X118" s="39" t="s">
        <v>80</v>
      </c>
      <c r="Y118" s="39" t="s">
        <v>80</v>
      </c>
      <c r="Z118" s="39" t="s">
        <v>80</v>
      </c>
      <c r="AA118" s="39" t="s">
        <v>80</v>
      </c>
      <c r="AB118" s="39" t="s">
        <v>80</v>
      </c>
      <c r="AC118" s="39" t="s">
        <v>80</v>
      </c>
      <c r="AD118" s="39" t="s">
        <v>80</v>
      </c>
      <c r="AE118" s="39" t="s">
        <v>83</v>
      </c>
      <c r="AF118" s="39" t="s">
        <v>84</v>
      </c>
      <c r="AG118" s="39" t="s">
        <v>80</v>
      </c>
      <c r="AH118" s="39" t="s">
        <v>80</v>
      </c>
      <c r="AI118" s="39" t="s">
        <v>80</v>
      </c>
      <c r="AJ118" s="39" t="s">
        <v>80</v>
      </c>
      <c r="AK118" s="39" t="s">
        <v>80</v>
      </c>
      <c r="AL118" s="39" t="s">
        <v>80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0.1842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4371.3</v>
      </c>
      <c r="AU118" cm="1">
        <f t="array" ref="AU118">$E$10*(1+$AS118)+VLOOKUP($R118,武学奇术!$A:$ZZ,4,FALSE)+SUM(_xlfn.XLOOKUP($S118:$AL118,增益!$A:$A,增益!$D:$D,0))-$I$2</f>
        <v>4371.3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0.2585</v>
      </c>
      <c r="AW118" s="31" cm="1">
        <f t="array" ref="AW118">$G$10+VLOOKUP($R118,武学奇术!$A:$ZZ,7,FALSE)+SUM(_xlfn.XLOOKUP($S118:$AL118,增益!$A:$A,增益!$G:$G,0))</f>
        <v>0.025</v>
      </c>
      <c r="AX118" s="24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41"/>
        <v>649.11</v>
      </c>
      <c r="BL118">
        <f t="shared" si="42"/>
        <v>1707.09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0.9771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0.8861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3"/>
        <v>0.86580831</v>
      </c>
      <c r="BU118" s="24">
        <f t="shared" si="44"/>
        <v>0.02208246</v>
      </c>
      <c r="BV118" s="24">
        <f>IF(VLOOKUP($R118,武学奇术!$A:$ZZ,22,FALSE)=1,0,(1-$BO118))*(1-$BR118)</f>
        <v>0.02080923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:76">
      <c r="K119" s="37">
        <f>$L119*VLOOKUP($R119,武学奇术!$A:$ZZ,31,FALSE)</f>
        <v>0</v>
      </c>
      <c r="L119" s="37">
        <f t="shared" si="34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8">
        <v>1</v>
      </c>
      <c r="R119" s="39" t="s">
        <v>80</v>
      </c>
      <c r="S119" s="39" t="s">
        <v>80</v>
      </c>
      <c r="T119" s="39" t="s">
        <v>80</v>
      </c>
      <c r="U119" s="39" t="s">
        <v>80</v>
      </c>
      <c r="V119" s="39" t="s">
        <v>80</v>
      </c>
      <c r="W119" s="39" t="s">
        <v>80</v>
      </c>
      <c r="X119" s="39" t="s">
        <v>80</v>
      </c>
      <c r="Y119" s="39" t="s">
        <v>80</v>
      </c>
      <c r="Z119" s="39" t="s">
        <v>80</v>
      </c>
      <c r="AA119" s="39" t="s">
        <v>80</v>
      </c>
      <c r="AB119" s="39" t="s">
        <v>80</v>
      </c>
      <c r="AC119" s="39" t="s">
        <v>80</v>
      </c>
      <c r="AD119" s="39" t="s">
        <v>80</v>
      </c>
      <c r="AE119" s="39" t="s">
        <v>83</v>
      </c>
      <c r="AF119" s="39" t="s">
        <v>84</v>
      </c>
      <c r="AG119" s="39" t="s">
        <v>80</v>
      </c>
      <c r="AH119" s="39" t="s">
        <v>80</v>
      </c>
      <c r="AI119" s="39" t="s">
        <v>80</v>
      </c>
      <c r="AJ119" s="39" t="s">
        <v>80</v>
      </c>
      <c r="AK119" s="39" t="s">
        <v>80</v>
      </c>
      <c r="AL119" s="39" t="s">
        <v>80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0.1842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4371.3</v>
      </c>
      <c r="AU119" cm="1">
        <f t="array" ref="AU119">$E$10*(1+$AS119)+VLOOKUP($R119,武学奇术!$A:$ZZ,4,FALSE)+SUM(_xlfn.XLOOKUP($S119:$AL119,增益!$A:$A,增益!$D:$D,0))-$I$2</f>
        <v>4371.3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0.2585</v>
      </c>
      <c r="AW119" s="31" cm="1">
        <f t="array" ref="AW119">$G$10+VLOOKUP($R119,武学奇术!$A:$ZZ,7,FALSE)+SUM(_xlfn.XLOOKUP($S119:$AL119,增益!$A:$A,增益!$G:$G,0))</f>
        <v>0.025</v>
      </c>
      <c r="AX119" s="24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41"/>
        <v>649.11</v>
      </c>
      <c r="BL119">
        <f t="shared" si="42"/>
        <v>1707.09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0.9771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0.8861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3"/>
        <v>0.86580831</v>
      </c>
      <c r="BU119" s="24">
        <f t="shared" si="44"/>
        <v>0.02208246</v>
      </c>
      <c r="BV119" s="24">
        <f>IF(VLOOKUP($R119,武学奇术!$A:$ZZ,22,FALSE)=1,0,(1-$BO119))*(1-$BR119)</f>
        <v>0.02080923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:76">
      <c r="K120" s="37">
        <f>$L120*VLOOKUP($R120,武学奇术!$A:$ZZ,31,FALSE)</f>
        <v>0</v>
      </c>
      <c r="L120" s="37">
        <f t="shared" si="34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8">
        <v>1</v>
      </c>
      <c r="R120" s="39" t="s">
        <v>80</v>
      </c>
      <c r="S120" s="39" t="s">
        <v>80</v>
      </c>
      <c r="T120" s="39" t="s">
        <v>80</v>
      </c>
      <c r="U120" s="39" t="s">
        <v>80</v>
      </c>
      <c r="V120" s="39" t="s">
        <v>80</v>
      </c>
      <c r="W120" s="39" t="s">
        <v>80</v>
      </c>
      <c r="X120" s="39" t="s">
        <v>80</v>
      </c>
      <c r="Y120" s="39" t="s">
        <v>80</v>
      </c>
      <c r="Z120" s="39" t="s">
        <v>80</v>
      </c>
      <c r="AA120" s="39" t="s">
        <v>80</v>
      </c>
      <c r="AB120" s="39" t="s">
        <v>80</v>
      </c>
      <c r="AC120" s="39" t="s">
        <v>80</v>
      </c>
      <c r="AD120" s="39" t="s">
        <v>80</v>
      </c>
      <c r="AE120" s="39" t="s">
        <v>83</v>
      </c>
      <c r="AF120" s="39" t="s">
        <v>84</v>
      </c>
      <c r="AG120" s="39" t="s">
        <v>80</v>
      </c>
      <c r="AH120" s="39" t="s">
        <v>80</v>
      </c>
      <c r="AI120" s="39" t="s">
        <v>80</v>
      </c>
      <c r="AJ120" s="39" t="s">
        <v>80</v>
      </c>
      <c r="AK120" s="39" t="s">
        <v>80</v>
      </c>
      <c r="AL120" s="39" t="s">
        <v>80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0.1842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4371.3</v>
      </c>
      <c r="AU120" cm="1">
        <f t="array" ref="AU120">$E$10*(1+$AS120)+VLOOKUP($R120,武学奇术!$A:$ZZ,4,FALSE)+SUM(_xlfn.XLOOKUP($S120:$AL120,增益!$A:$A,增益!$D:$D,0))-$I$2</f>
        <v>4371.3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0.2585</v>
      </c>
      <c r="AW120" s="31" cm="1">
        <f t="array" ref="AW120">$G$10+VLOOKUP($R120,武学奇术!$A:$ZZ,7,FALSE)+SUM(_xlfn.XLOOKUP($S120:$AL120,增益!$A:$A,增益!$G:$G,0))</f>
        <v>0.025</v>
      </c>
      <c r="AX120" s="24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41"/>
        <v>649.11</v>
      </c>
      <c r="BL120">
        <f t="shared" si="42"/>
        <v>1707.09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0.9771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0.8861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3"/>
        <v>0.86580831</v>
      </c>
      <c r="BU120" s="24">
        <f t="shared" si="44"/>
        <v>0.02208246</v>
      </c>
      <c r="BV120" s="24">
        <f>IF(VLOOKUP($R120,武学奇术!$A:$ZZ,22,FALSE)=1,0,(1-$BO120))*(1-$BR120)</f>
        <v>0.02080923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:76">
      <c r="B121" s="95"/>
      <c r="K121" s="37">
        <f>$L121*VLOOKUP($R121,武学奇术!$A:$ZZ,31,FALSE)</f>
        <v>0</v>
      </c>
      <c r="L121" s="37">
        <f t="shared" si="34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8">
        <v>1</v>
      </c>
      <c r="R121" s="39" t="s">
        <v>80</v>
      </c>
      <c r="S121" s="39" t="s">
        <v>80</v>
      </c>
      <c r="T121" s="39" t="s">
        <v>80</v>
      </c>
      <c r="U121" s="39" t="s">
        <v>80</v>
      </c>
      <c r="V121" s="39" t="s">
        <v>80</v>
      </c>
      <c r="W121" s="39" t="s">
        <v>80</v>
      </c>
      <c r="X121" s="39" t="s">
        <v>80</v>
      </c>
      <c r="Y121" s="39" t="s">
        <v>80</v>
      </c>
      <c r="Z121" s="39" t="s">
        <v>80</v>
      </c>
      <c r="AA121" s="39" t="s">
        <v>80</v>
      </c>
      <c r="AB121" s="39" t="s">
        <v>80</v>
      </c>
      <c r="AC121" s="39" t="s">
        <v>80</v>
      </c>
      <c r="AD121" s="39" t="s">
        <v>80</v>
      </c>
      <c r="AE121" s="39" t="s">
        <v>83</v>
      </c>
      <c r="AF121" s="39" t="s">
        <v>84</v>
      </c>
      <c r="AG121" s="39" t="s">
        <v>80</v>
      </c>
      <c r="AH121" s="39" t="s">
        <v>80</v>
      </c>
      <c r="AI121" s="39" t="s">
        <v>80</v>
      </c>
      <c r="AJ121" s="39" t="s">
        <v>80</v>
      </c>
      <c r="AK121" s="39" t="s">
        <v>80</v>
      </c>
      <c r="AL121" s="39" t="s">
        <v>80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4371.3</v>
      </c>
      <c r="AU121" cm="1">
        <f t="array" ref="AU121">$E$10*(1+$AS121)+VLOOKUP($R121,武学奇术!$A:$ZZ,4,FALSE)+SUM(_xlfn.XLOOKUP($S121:$AL121,增益!$A:$A,增益!$D:$D,0))-$I$2</f>
        <v>4371.3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0.2585</v>
      </c>
      <c r="AW121" s="31" cm="1">
        <f t="array" ref="AW121">$G$10+VLOOKUP($R121,武学奇术!$A:$ZZ,7,FALSE)+SUM(_xlfn.XLOOKUP($S121:$AL121,增益!$A:$A,增益!$G:$G,0))</f>
        <v>0.025</v>
      </c>
      <c r="AX121" s="24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41"/>
        <v>649.11</v>
      </c>
      <c r="BL121">
        <f t="shared" si="42"/>
        <v>1707.09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0.9771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0.8861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3"/>
        <v>0.86580831</v>
      </c>
      <c r="BU121" s="24">
        <f t="shared" si="44"/>
        <v>0.02208246</v>
      </c>
      <c r="BV121" s="24">
        <f>IF(VLOOKUP($R121,武学奇术!$A:$ZZ,22,FALSE)=1,0,(1-$BO121))*(1-$BR121)</f>
        <v>0.02080923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:76">
      <c r="K122" s="37">
        <f>$L122*VLOOKUP($R122,武学奇术!$A:$ZZ,31,FALSE)</f>
        <v>0</v>
      </c>
      <c r="L122" s="37">
        <f t="shared" si="34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8">
        <v>1</v>
      </c>
      <c r="R122" s="39" t="s">
        <v>80</v>
      </c>
      <c r="S122" s="39" t="s">
        <v>80</v>
      </c>
      <c r="T122" s="39" t="s">
        <v>80</v>
      </c>
      <c r="U122" s="39" t="s">
        <v>80</v>
      </c>
      <c r="V122" s="39" t="s">
        <v>80</v>
      </c>
      <c r="W122" s="39" t="s">
        <v>80</v>
      </c>
      <c r="X122" s="39" t="s">
        <v>80</v>
      </c>
      <c r="Y122" s="39" t="s">
        <v>80</v>
      </c>
      <c r="Z122" s="39" t="s">
        <v>80</v>
      </c>
      <c r="AA122" s="39" t="s">
        <v>80</v>
      </c>
      <c r="AB122" s="39" t="s">
        <v>80</v>
      </c>
      <c r="AC122" s="39" t="s">
        <v>80</v>
      </c>
      <c r="AD122" s="39" t="s">
        <v>80</v>
      </c>
      <c r="AE122" s="39" t="s">
        <v>83</v>
      </c>
      <c r="AF122" s="39" t="s">
        <v>84</v>
      </c>
      <c r="AG122" s="39" t="s">
        <v>80</v>
      </c>
      <c r="AH122" s="39" t="s">
        <v>80</v>
      </c>
      <c r="AI122" s="39" t="s">
        <v>80</v>
      </c>
      <c r="AJ122" s="39" t="s">
        <v>80</v>
      </c>
      <c r="AK122" s="39" t="s">
        <v>80</v>
      </c>
      <c r="AL122" s="39" t="s">
        <v>80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4371.3</v>
      </c>
      <c r="AU122" cm="1">
        <f t="array" ref="AU122">$E$10*(1+$AS122)+VLOOKUP($R122,武学奇术!$A:$ZZ,4,FALSE)+SUM(_xlfn.XLOOKUP($S122:$AL122,增益!$A:$A,增益!$D:$D,0))-$I$2</f>
        <v>4371.3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0.2585</v>
      </c>
      <c r="AW122" s="31" cm="1">
        <f t="array" ref="AW122">$G$10+VLOOKUP($R122,武学奇术!$A:$ZZ,7,FALSE)+SUM(_xlfn.XLOOKUP($S122:$AL122,增益!$A:$A,增益!$G:$G,0))</f>
        <v>0.025</v>
      </c>
      <c r="AX122" s="24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41"/>
        <v>649.11</v>
      </c>
      <c r="BL122">
        <f t="shared" si="42"/>
        <v>1707.09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0.9771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0.8861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3"/>
        <v>0.86580831</v>
      </c>
      <c r="BU122" s="24">
        <f t="shared" si="44"/>
        <v>0.02208246</v>
      </c>
      <c r="BV122" s="24">
        <f>IF(VLOOKUP($R122,武学奇术!$A:$ZZ,22,FALSE)=1,0,(1-$BO122))*(1-$BR122)</f>
        <v>0.02080923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:76">
      <c r="K123" s="37">
        <f>$L123*VLOOKUP($R123,武学奇术!$A:$ZZ,31,FALSE)</f>
        <v>0</v>
      </c>
      <c r="L123" s="37">
        <f t="shared" si="34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8">
        <v>1</v>
      </c>
      <c r="R123" s="39" t="s">
        <v>80</v>
      </c>
      <c r="S123" s="39" t="s">
        <v>80</v>
      </c>
      <c r="T123" s="39" t="s">
        <v>80</v>
      </c>
      <c r="U123" s="39" t="s">
        <v>80</v>
      </c>
      <c r="V123" s="39" t="s">
        <v>80</v>
      </c>
      <c r="W123" s="39" t="s">
        <v>80</v>
      </c>
      <c r="X123" s="39" t="s">
        <v>80</v>
      </c>
      <c r="Y123" s="39" t="s">
        <v>80</v>
      </c>
      <c r="Z123" s="39" t="s">
        <v>80</v>
      </c>
      <c r="AA123" s="39" t="s">
        <v>80</v>
      </c>
      <c r="AB123" s="39" t="s">
        <v>80</v>
      </c>
      <c r="AC123" s="39" t="s">
        <v>80</v>
      </c>
      <c r="AD123" s="39" t="s">
        <v>80</v>
      </c>
      <c r="AE123" s="39" t="s">
        <v>83</v>
      </c>
      <c r="AF123" s="39" t="s">
        <v>84</v>
      </c>
      <c r="AG123" s="39" t="s">
        <v>80</v>
      </c>
      <c r="AH123" s="39" t="s">
        <v>80</v>
      </c>
      <c r="AI123" s="39" t="s">
        <v>80</v>
      </c>
      <c r="AJ123" s="39" t="s">
        <v>80</v>
      </c>
      <c r="AK123" s="39" t="s">
        <v>80</v>
      </c>
      <c r="AL123" s="39" t="s">
        <v>80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4371.3</v>
      </c>
      <c r="AU123" cm="1">
        <f t="array" ref="AU123">$E$10*(1+$AS123)+VLOOKUP($R123,武学奇术!$A:$ZZ,4,FALSE)+SUM(_xlfn.XLOOKUP($S123:$AL123,增益!$A:$A,增益!$D:$D,0))-$I$2</f>
        <v>4371.3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0.2585</v>
      </c>
      <c r="AW123" s="31" cm="1">
        <f t="array" ref="AW123">$G$10+VLOOKUP($R123,武学奇术!$A:$ZZ,7,FALSE)+SUM(_xlfn.XLOOKUP($S123:$AL123,增益!$A:$A,增益!$G:$G,0))</f>
        <v>0.025</v>
      </c>
      <c r="AX123" s="24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41"/>
        <v>649.11</v>
      </c>
      <c r="BL123">
        <f t="shared" si="42"/>
        <v>1707.09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0.9771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0.8861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3"/>
        <v>0.86580831</v>
      </c>
      <c r="BU123" s="24">
        <f t="shared" si="44"/>
        <v>0.02208246</v>
      </c>
      <c r="BV123" s="24">
        <f>IF(VLOOKUP($R123,武学奇术!$A:$ZZ,22,FALSE)=1,0,(1-$BO123))*(1-$BR123)</f>
        <v>0.02080923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:76">
      <c r="K124" s="37">
        <f>$L124*VLOOKUP($R124,武学奇术!$A:$ZZ,31,FALSE)</f>
        <v>0</v>
      </c>
      <c r="L124" s="37">
        <f t="shared" si="34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8">
        <v>1</v>
      </c>
      <c r="R124" s="39" t="s">
        <v>80</v>
      </c>
      <c r="S124" s="39" t="s">
        <v>80</v>
      </c>
      <c r="T124" s="39" t="s">
        <v>80</v>
      </c>
      <c r="U124" s="39" t="s">
        <v>80</v>
      </c>
      <c r="V124" s="39" t="s">
        <v>80</v>
      </c>
      <c r="W124" s="39" t="s">
        <v>80</v>
      </c>
      <c r="X124" s="39" t="s">
        <v>80</v>
      </c>
      <c r="Y124" s="39" t="s">
        <v>80</v>
      </c>
      <c r="Z124" s="39" t="s">
        <v>80</v>
      </c>
      <c r="AA124" s="39" t="s">
        <v>80</v>
      </c>
      <c r="AB124" s="39" t="s">
        <v>80</v>
      </c>
      <c r="AC124" s="39" t="s">
        <v>80</v>
      </c>
      <c r="AD124" s="39" t="s">
        <v>80</v>
      </c>
      <c r="AE124" s="39" t="s">
        <v>83</v>
      </c>
      <c r="AF124" s="39" t="s">
        <v>84</v>
      </c>
      <c r="AG124" s="39" t="s">
        <v>80</v>
      </c>
      <c r="AH124" s="39" t="s">
        <v>80</v>
      </c>
      <c r="AI124" s="39" t="s">
        <v>80</v>
      </c>
      <c r="AJ124" s="39" t="s">
        <v>80</v>
      </c>
      <c r="AK124" s="39" t="s">
        <v>80</v>
      </c>
      <c r="AL124" s="39" t="s">
        <v>80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4371.3</v>
      </c>
      <c r="AU124" cm="1">
        <f t="array" ref="AU124">$E$10*(1+$AS124)+VLOOKUP($R124,武学奇术!$A:$ZZ,4,FALSE)+SUM(_xlfn.XLOOKUP($S124:$AL124,增益!$A:$A,增益!$D:$D,0))-$I$2</f>
        <v>4371.3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0.2585</v>
      </c>
      <c r="AW124" s="31" cm="1">
        <f t="array" ref="AW124">$G$10+VLOOKUP($R124,武学奇术!$A:$ZZ,7,FALSE)+SUM(_xlfn.XLOOKUP($S124:$AL124,增益!$A:$A,增益!$G:$G,0))</f>
        <v>0.025</v>
      </c>
      <c r="AX124" s="24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41"/>
        <v>649.11</v>
      </c>
      <c r="BL124">
        <f t="shared" si="42"/>
        <v>1707.09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0.9771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0.8861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3"/>
        <v>0.86580831</v>
      </c>
      <c r="BU124" s="24">
        <f t="shared" si="44"/>
        <v>0.02208246</v>
      </c>
      <c r="BV124" s="24">
        <f>IF(VLOOKUP($R124,武学奇术!$A:$ZZ,22,FALSE)=1,0,(1-$BO124))*(1-$BR124)</f>
        <v>0.02080923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:76">
      <c r="K125" s="37">
        <f>$L125*VLOOKUP($R125,武学奇术!$A:$ZZ,31,FALSE)</f>
        <v>0</v>
      </c>
      <c r="L125" s="37">
        <f t="shared" si="34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8">
        <v>1</v>
      </c>
      <c r="R125" s="39" t="s">
        <v>80</v>
      </c>
      <c r="S125" s="39" t="s">
        <v>80</v>
      </c>
      <c r="T125" s="39" t="s">
        <v>80</v>
      </c>
      <c r="U125" s="39" t="s">
        <v>80</v>
      </c>
      <c r="V125" s="39" t="s">
        <v>80</v>
      </c>
      <c r="W125" s="39" t="s">
        <v>80</v>
      </c>
      <c r="X125" s="39" t="s">
        <v>80</v>
      </c>
      <c r="Y125" s="39" t="s">
        <v>80</v>
      </c>
      <c r="Z125" s="39" t="s">
        <v>80</v>
      </c>
      <c r="AA125" s="39" t="s">
        <v>80</v>
      </c>
      <c r="AB125" s="39" t="s">
        <v>80</v>
      </c>
      <c r="AC125" s="39" t="s">
        <v>80</v>
      </c>
      <c r="AD125" s="39" t="s">
        <v>80</v>
      </c>
      <c r="AE125" s="39" t="s">
        <v>83</v>
      </c>
      <c r="AF125" s="39" t="s">
        <v>84</v>
      </c>
      <c r="AG125" s="39" t="s">
        <v>80</v>
      </c>
      <c r="AH125" s="39" t="s">
        <v>80</v>
      </c>
      <c r="AI125" s="39" t="s">
        <v>80</v>
      </c>
      <c r="AJ125" s="39" t="s">
        <v>80</v>
      </c>
      <c r="AK125" s="39" t="s">
        <v>80</v>
      </c>
      <c r="AL125" s="39" t="s">
        <v>80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4371.3</v>
      </c>
      <c r="AU125" cm="1">
        <f t="array" ref="AU125">$E$10*(1+$AS125)+VLOOKUP($R125,武学奇术!$A:$ZZ,4,FALSE)+SUM(_xlfn.XLOOKUP($S125:$AL125,增益!$A:$A,增益!$D:$D,0))-$I$2</f>
        <v>4371.3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0.2585</v>
      </c>
      <c r="AW125" s="31" cm="1">
        <f t="array" ref="AW125">$G$10+VLOOKUP($R125,武学奇术!$A:$ZZ,7,FALSE)+SUM(_xlfn.XLOOKUP($S125:$AL125,增益!$A:$A,增益!$G:$G,0))</f>
        <v>0.025</v>
      </c>
      <c r="AX125" s="24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41"/>
        <v>649.11</v>
      </c>
      <c r="BL125">
        <f t="shared" si="42"/>
        <v>1707.09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0.9771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0.8861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3"/>
        <v>0.86580831</v>
      </c>
      <c r="BU125" s="24">
        <f t="shared" si="44"/>
        <v>0.02208246</v>
      </c>
      <c r="BV125" s="24">
        <f>IF(VLOOKUP($R125,武学奇术!$A:$ZZ,22,FALSE)=1,0,(1-$BO125))*(1-$BR125)</f>
        <v>0.02080923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:76">
      <c r="K126" s="37">
        <f>$L126*VLOOKUP($R126,武学奇术!$A:$ZZ,31,FALSE)</f>
        <v>0</v>
      </c>
      <c r="L126" s="37">
        <f t="shared" si="34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8">
        <v>1</v>
      </c>
      <c r="R126" s="39" t="s">
        <v>80</v>
      </c>
      <c r="S126" s="39" t="s">
        <v>80</v>
      </c>
      <c r="T126" s="39" t="s">
        <v>80</v>
      </c>
      <c r="U126" s="39" t="s">
        <v>80</v>
      </c>
      <c r="V126" s="39" t="s">
        <v>80</v>
      </c>
      <c r="W126" s="39" t="s">
        <v>80</v>
      </c>
      <c r="X126" s="39" t="s">
        <v>80</v>
      </c>
      <c r="Y126" s="39" t="s">
        <v>80</v>
      </c>
      <c r="Z126" s="39" t="s">
        <v>80</v>
      </c>
      <c r="AA126" s="39" t="s">
        <v>80</v>
      </c>
      <c r="AB126" s="39" t="s">
        <v>80</v>
      </c>
      <c r="AC126" s="39" t="s">
        <v>80</v>
      </c>
      <c r="AD126" s="39" t="s">
        <v>80</v>
      </c>
      <c r="AE126" s="39" t="s">
        <v>83</v>
      </c>
      <c r="AF126" s="39" t="s">
        <v>84</v>
      </c>
      <c r="AG126" s="39" t="s">
        <v>80</v>
      </c>
      <c r="AH126" s="39" t="s">
        <v>80</v>
      </c>
      <c r="AI126" s="39" t="s">
        <v>80</v>
      </c>
      <c r="AJ126" s="39" t="s">
        <v>80</v>
      </c>
      <c r="AK126" s="39" t="s">
        <v>80</v>
      </c>
      <c r="AL126" s="39" t="s">
        <v>80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0.1842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4371.3</v>
      </c>
      <c r="AU126" cm="1">
        <f t="array" ref="AU126">$E$10*(1+$AS126)+VLOOKUP($R126,武学奇术!$A:$ZZ,4,FALSE)+SUM(_xlfn.XLOOKUP($S126:$AL126,增益!$A:$A,增益!$D:$D,0))-$I$2</f>
        <v>4371.3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0.2585</v>
      </c>
      <c r="AW126" s="31" cm="1">
        <f t="array" ref="AW126">$G$10+VLOOKUP($R126,武学奇术!$A:$ZZ,7,FALSE)+SUM(_xlfn.XLOOKUP($S126:$AL126,增益!$A:$A,增益!$G:$G,0))</f>
        <v>0.025</v>
      </c>
      <c r="AX126" s="24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41"/>
        <v>649.11</v>
      </c>
      <c r="BL126">
        <f t="shared" si="42"/>
        <v>1707.09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0.9771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0.8861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3"/>
        <v>0.86580831</v>
      </c>
      <c r="BU126" s="24">
        <f t="shared" si="44"/>
        <v>0.02208246</v>
      </c>
      <c r="BV126" s="24">
        <f>IF(VLOOKUP($R126,武学奇术!$A:$ZZ,22,FALSE)=1,0,(1-$BO126))*(1-$BR126)</f>
        <v>0.02080923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:76">
      <c r="K127" s="37">
        <f>$L127*VLOOKUP($R127,武学奇术!$A:$ZZ,31,FALSE)</f>
        <v>19143.7791022512</v>
      </c>
      <c r="L127" s="37">
        <f t="shared" si="34"/>
        <v>19143.7791022512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19719.7369116606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17369.1645170365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11808.2256956052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10750.4036008129</v>
      </c>
      <c r="Q127" s="38">
        <f t="shared" ref="Q127:Q136" si="45">IF($E$24="易水歌",1,0)</f>
        <v>1</v>
      </c>
      <c r="R127" s="39" t="s">
        <v>217</v>
      </c>
      <c r="S127" s="39" t="s">
        <v>106</v>
      </c>
      <c r="T127" s="39" t="s">
        <v>98</v>
      </c>
      <c r="U127" s="39" t="s">
        <v>89</v>
      </c>
      <c r="V127" s="39" t="s">
        <v>129</v>
      </c>
      <c r="W127" s="39" t="s">
        <v>91</v>
      </c>
      <c r="X127" s="39" t="s">
        <v>81</v>
      </c>
      <c r="Y127" s="39" t="s">
        <v>92</v>
      </c>
      <c r="Z127" s="39" t="s">
        <v>80</v>
      </c>
      <c r="AA127" s="39" t="s">
        <v>80</v>
      </c>
      <c r="AB127" s="39" t="s">
        <v>82</v>
      </c>
      <c r="AC127" s="39" t="s">
        <v>99</v>
      </c>
      <c r="AD127" s="39" t="s">
        <v>80</v>
      </c>
      <c r="AE127" s="39" t="s">
        <v>83</v>
      </c>
      <c r="AF127" s="39" t="s">
        <v>84</v>
      </c>
      <c r="AG127" s="39" t="s">
        <v>80</v>
      </c>
      <c r="AH127" s="39" t="s">
        <v>80</v>
      </c>
      <c r="AI127" s="39" t="s">
        <v>80</v>
      </c>
      <c r="AJ127" s="39" t="s">
        <v>80</v>
      </c>
      <c r="AK127" s="39" t="s">
        <v>80</v>
      </c>
      <c r="AL127" s="39" t="s">
        <v>80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0.2542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4371.3</v>
      </c>
      <c r="AU127" cm="1">
        <f t="array" ref="AU127">$E$10*(1+$AS127)+VLOOKUP($R127,武学奇术!$A:$ZZ,4,FALSE)+SUM(_xlfn.XLOOKUP($S127:$AL127,增益!$A:$A,增益!$D:$D,0))-$I$2</f>
        <v>4371.3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0.3685</v>
      </c>
      <c r="AW127" s="31" cm="1">
        <f t="array" ref="AW127">$G$10+VLOOKUP($R127,武学奇术!$A:$ZZ,7,FALSE)+SUM(_xlfn.XLOOKUP($S127:$AL127,增益!$A:$A,增益!$G:$G,0))</f>
        <v>0.135</v>
      </c>
      <c r="AX127" s="24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-0.02</v>
      </c>
      <c r="BB127" s="31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-0.02</v>
      </c>
      <c r="BF127" s="31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-0.02</v>
      </c>
      <c r="BJ127" s="31" cm="1">
        <f t="array" ref="BJ127">$G$13+VLOOKUP($R127,武学奇术!$A:$ZZ,14,FALSE)+SUM(_xlfn.XLOOKUP($S127:$AL127,增益!$A:$A,增益!$N:$N,0))</f>
        <v>0.02</v>
      </c>
      <c r="BK127">
        <f t="shared" si="41"/>
        <v>649.11</v>
      </c>
      <c r="BL127">
        <f t="shared" si="42"/>
        <v>1707.09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0.14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0.9771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0.8861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3"/>
        <v>0.86580831</v>
      </c>
      <c r="BU127" s="24">
        <f t="shared" si="44"/>
        <v>0.02208246</v>
      </c>
      <c r="BV127" s="24">
        <f>IF(VLOOKUP($R127,武学奇术!$A:$ZZ,22,FALSE)=1,0,(1-$BO127))*(1-$BR127)</f>
        <v>0.02080923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:76">
      <c r="B128" s="95"/>
      <c r="K128" s="37">
        <f>$L128*VLOOKUP($R128,武学奇术!$A:$ZZ,31,FALSE)</f>
        <v>18612.0883711978</v>
      </c>
      <c r="L128" s="37">
        <f t="shared" si="34"/>
        <v>18612.0883711978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19165.606071156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16905.4846748822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11545.5458259976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10568.5104113417</v>
      </c>
      <c r="Q128" s="38">
        <f t="shared" si="45"/>
        <v>1</v>
      </c>
      <c r="R128" s="39" t="s">
        <v>217</v>
      </c>
      <c r="S128" s="39" t="s">
        <v>106</v>
      </c>
      <c r="T128" s="39" t="s">
        <v>176</v>
      </c>
      <c r="U128" s="39" t="s">
        <v>89</v>
      </c>
      <c r="V128" s="39" t="s">
        <v>90</v>
      </c>
      <c r="W128" s="39" t="s">
        <v>91</v>
      </c>
      <c r="X128" s="39" t="s">
        <v>80</v>
      </c>
      <c r="Y128" s="39" t="s">
        <v>80</v>
      </c>
      <c r="Z128" s="39" t="s">
        <v>80</v>
      </c>
      <c r="AA128" s="39" t="s">
        <v>80</v>
      </c>
      <c r="AB128" s="39" t="s">
        <v>107</v>
      </c>
      <c r="AC128" s="39" t="s">
        <v>93</v>
      </c>
      <c r="AD128" s="39" t="s">
        <v>80</v>
      </c>
      <c r="AE128" s="39" t="s">
        <v>83</v>
      </c>
      <c r="AF128" s="39" t="s">
        <v>84</v>
      </c>
      <c r="AG128" s="39" t="s">
        <v>80</v>
      </c>
      <c r="AH128" s="39" t="s">
        <v>80</v>
      </c>
      <c r="AI128" s="39" t="s">
        <v>80</v>
      </c>
      <c r="AJ128" s="39" t="s">
        <v>80</v>
      </c>
      <c r="AK128" s="39" t="s">
        <v>80</v>
      </c>
      <c r="AL128" s="39" t="s">
        <v>80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0.2342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4371.3</v>
      </c>
      <c r="AU128" cm="1">
        <f t="array" ref="AU128">$E$10*(1+$AS128)+VLOOKUP($R128,武学奇术!$A:$ZZ,4,FALSE)+SUM(_xlfn.XLOOKUP($S128:$AL128,增益!$A:$A,增益!$D:$D,0))-$I$2</f>
        <v>4371.3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0.3785</v>
      </c>
      <c r="AW128" s="31" cm="1">
        <f t="array" ref="AW128">$G$10+VLOOKUP($R128,武学奇术!$A:$ZZ,7,FALSE)+SUM(_xlfn.XLOOKUP($S128:$AL128,增益!$A:$A,增益!$G:$G,0))</f>
        <v>0.135</v>
      </c>
      <c r="AX128" s="24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31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31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31" cm="1">
        <f t="array" ref="BJ128">$G$13+VLOOKUP($R128,武学奇术!$A:$ZZ,14,FALSE)+SUM(_xlfn.XLOOKUP($S128:$AL128,增益!$A:$A,增益!$N:$N,0))</f>
        <v>0.02</v>
      </c>
      <c r="BK128">
        <f t="shared" si="41"/>
        <v>649.11</v>
      </c>
      <c r="BL128">
        <f t="shared" si="42"/>
        <v>1707.09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31" cm="1">
        <f t="array" ref="BN128">$G$14+VLOOKUP($R128,武学奇术!$A:$ZZ,16,FALSE)+SUM(_xlfn.XLOOKUP($S128:$AL128,增益!$A:$A,增益!$P:$P,0))</f>
        <v>0.26</v>
      </c>
      <c r="BO128" s="24">
        <f>MIN(IF(VLOOKUP($R128,武学奇术!$A:$ZZ,23,FALSE)=1,100%,$B$8),100%)</f>
        <v>0.9771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0.8861</v>
      </c>
      <c r="BQ128" s="24" cm="1">
        <f t="array" ref="BQ128">1+$B$13+VLOOKUP($R128,武学奇术!$A:$ZZ,18,FALSE)+SUM(_xlfn.XLOOKUP($S128:$AL128,增益!$A:$A,增益!$R:$R,0))</f>
        <v>1.66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3"/>
        <v>0.86580831</v>
      </c>
      <c r="BU128" s="24">
        <f t="shared" si="44"/>
        <v>0.02208246</v>
      </c>
      <c r="BV128" s="24">
        <f>IF(VLOOKUP($R128,武学奇术!$A:$ZZ,22,FALSE)=1,0,(1-$BO128))*(1-$BR128)</f>
        <v>0.02080923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2:76">
      <c r="K129" s="37">
        <f>$L129*VLOOKUP($R129,武学奇术!$A:$ZZ,31,FALSE)</f>
        <v>19840.0280525183</v>
      </c>
      <c r="L129" s="37">
        <f t="shared" si="34"/>
        <v>19840.0280525183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20525.975516459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17355.2673825309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11796.5376531374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10737.3216895852</v>
      </c>
      <c r="Q129" s="38">
        <f t="shared" si="45"/>
        <v>1</v>
      </c>
      <c r="R129" s="39" t="s">
        <v>217</v>
      </c>
      <c r="S129" s="39" t="s">
        <v>106</v>
      </c>
      <c r="T129" s="39" t="s">
        <v>189</v>
      </c>
      <c r="U129" s="39" t="s">
        <v>89</v>
      </c>
      <c r="V129" s="39" t="s">
        <v>129</v>
      </c>
      <c r="W129" s="39" t="s">
        <v>91</v>
      </c>
      <c r="X129" s="39" t="s">
        <v>80</v>
      </c>
      <c r="Y129" s="39" t="s">
        <v>92</v>
      </c>
      <c r="Z129" s="39" t="s">
        <v>80</v>
      </c>
      <c r="AA129" s="39" t="s">
        <v>80</v>
      </c>
      <c r="AB129" s="39" t="s">
        <v>186</v>
      </c>
      <c r="AC129" s="39" t="s">
        <v>99</v>
      </c>
      <c r="AD129" s="39" t="s">
        <v>80</v>
      </c>
      <c r="AE129" s="39" t="s">
        <v>83</v>
      </c>
      <c r="AF129" s="39" t="s">
        <v>84</v>
      </c>
      <c r="AG129" s="39" t="s">
        <v>80</v>
      </c>
      <c r="AH129" s="39" t="s">
        <v>80</v>
      </c>
      <c r="AI129" s="39" t="s">
        <v>80</v>
      </c>
      <c r="AJ129" s="39" t="s">
        <v>80</v>
      </c>
      <c r="AK129" s="39" t="s">
        <v>80</v>
      </c>
      <c r="AL129" s="39" t="s">
        <v>80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0.2342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4371.3</v>
      </c>
      <c r="AU129" cm="1">
        <f t="array" ref="AU129">$E$10*(1+$AS129)+VLOOKUP($R129,武学奇术!$A:$ZZ,4,FALSE)+SUM(_xlfn.XLOOKUP($S129:$AL129,增益!$A:$A,增益!$D:$D,0))-$I$2</f>
        <v>4371.3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0.3885</v>
      </c>
      <c r="AW129" s="31" cm="1">
        <f t="array" ref="AW129">$G$10+VLOOKUP($R129,武学奇术!$A:$ZZ,7,FALSE)+SUM(_xlfn.XLOOKUP($S129:$AL129,增益!$A:$A,增益!$G:$G,0))</f>
        <v>0.135</v>
      </c>
      <c r="AX129" s="24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0.01</v>
      </c>
      <c r="BB129" s="31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0.01</v>
      </c>
      <c r="BF129" s="31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0.01</v>
      </c>
      <c r="BJ129" s="31" cm="1">
        <f t="array" ref="BJ129">$G$13+VLOOKUP($R129,武学奇术!$A:$ZZ,14,FALSE)+SUM(_xlfn.XLOOKUP($S129:$AL129,增益!$A:$A,增益!$N:$N,0))</f>
        <v>0.02</v>
      </c>
      <c r="BK129">
        <f t="shared" si="41"/>
        <v>649.11</v>
      </c>
      <c r="BL129">
        <f t="shared" si="42"/>
        <v>1707.09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0.16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0.9771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0.8861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3"/>
        <v>0.86580831</v>
      </c>
      <c r="BU129" s="24">
        <f t="shared" si="44"/>
        <v>0.02208246</v>
      </c>
      <c r="BV129" s="24">
        <f>IF(VLOOKUP($R129,武学奇术!$A:$ZZ,22,FALSE)=1,0,(1-$BO129))*(1-$BR129)</f>
        <v>0.02080923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2:76">
      <c r="K130" s="37">
        <f>$L130*VLOOKUP($R130,武学奇术!$A:$ZZ,31,FALSE)</f>
        <v>19201.6093499278</v>
      </c>
      <c r="L130" s="37">
        <f t="shared" si="34"/>
        <v>19201.6093499278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19810.4448403489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17168.563533313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11722.1567102656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10726.8589514105</v>
      </c>
      <c r="Q130" s="38">
        <f t="shared" si="45"/>
        <v>1</v>
      </c>
      <c r="R130" s="39" t="s">
        <v>217</v>
      </c>
      <c r="S130" s="39" t="s">
        <v>106</v>
      </c>
      <c r="T130" s="39" t="s">
        <v>189</v>
      </c>
      <c r="U130" s="39" t="s">
        <v>89</v>
      </c>
      <c r="V130" s="39" t="s">
        <v>90</v>
      </c>
      <c r="W130" s="39" t="s">
        <v>91</v>
      </c>
      <c r="X130" s="39" t="s">
        <v>80</v>
      </c>
      <c r="Y130" s="39" t="s">
        <v>80</v>
      </c>
      <c r="Z130" s="39" t="s">
        <v>80</v>
      </c>
      <c r="AA130" s="39" t="s">
        <v>80</v>
      </c>
      <c r="AB130" s="39" t="s">
        <v>198</v>
      </c>
      <c r="AC130" s="39" t="s">
        <v>93</v>
      </c>
      <c r="AD130" s="39" t="s">
        <v>80</v>
      </c>
      <c r="AE130" s="39" t="s">
        <v>83</v>
      </c>
      <c r="AF130" s="39" t="s">
        <v>84</v>
      </c>
      <c r="AG130" s="39" t="s">
        <v>80</v>
      </c>
      <c r="AH130" s="39" t="s">
        <v>80</v>
      </c>
      <c r="AI130" s="39" t="s">
        <v>80</v>
      </c>
      <c r="AJ130" s="39" t="s">
        <v>80</v>
      </c>
      <c r="AK130" s="39" t="s">
        <v>80</v>
      </c>
      <c r="AL130" s="39" t="s">
        <v>80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0.2342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4371.3</v>
      </c>
      <c r="AU130" cm="1">
        <f t="array" ref="AU130">$E$10*(1+$AS130)+VLOOKUP($R130,武学奇术!$A:$ZZ,4,FALSE)+SUM(_xlfn.XLOOKUP($S130:$AL130,增益!$A:$A,增益!$D:$D,0))-$I$2</f>
        <v>4371.3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0.3985</v>
      </c>
      <c r="AW130" s="31" cm="1">
        <f t="array" ref="AW130">$G$10+VLOOKUP($R130,武学奇术!$A:$ZZ,7,FALSE)+SUM(_xlfn.XLOOKUP($S130:$AL130,增益!$A:$A,增益!$G:$G,0))</f>
        <v>0.135</v>
      </c>
      <c r="AX130" s="24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31" cm="1">
        <f t="array" ref="BB130">$G$11+VLOOKUP($R130,武学奇术!$A:$ZZ,10,FALSE)+SUM(_xlfn.XLOOKUP($S130:$AL130,增益!$A:$A,增益!$J:$J,0))</f>
        <v>0.02</v>
      </c>
      <c r="BC130">
        <f t="shared" si="37"/>
        <v>0</v>
      </c>
      <c r="BD130">
        <f t="shared" si="38"/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31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31" cm="1">
        <f t="array" ref="BJ130">$G$13+VLOOKUP($R130,武学奇术!$A:$ZZ,14,FALSE)+SUM(_xlfn.XLOOKUP($S130:$AL130,增益!$A:$A,增益!$N:$N,0))</f>
        <v>0.02</v>
      </c>
      <c r="BK130">
        <f t="shared" si="41"/>
        <v>649.11</v>
      </c>
      <c r="BL130">
        <f t="shared" si="42"/>
        <v>1707.09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0.9771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0.8861</v>
      </c>
      <c r="BQ130" s="24" cm="1">
        <f t="array" ref="BQ130">1+$B$13+VLOOKUP($R130,武学奇术!$A:$ZZ,18,FALSE)+SUM(_xlfn.XLOOKUP($S130:$AL130,增益!$A:$A,增益!$R:$R,0))</f>
        <v>1.69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3"/>
        <v>0.86580831</v>
      </c>
      <c r="BU130" s="24">
        <f t="shared" si="44"/>
        <v>0.02208246</v>
      </c>
      <c r="BV130" s="24">
        <f>IF(VLOOKUP($R130,武学奇术!$A:$ZZ,22,FALSE)=1,0,(1-$BO130))*(1-$BR130)</f>
        <v>0.02080923</v>
      </c>
      <c r="BW130" s="24" cm="1">
        <f t="array" ref="BW130">SUM(_xlfn.XLOOKUP($S130:$AL130,增益!$A:$A,增益!$W:$W,0))+$I$5</f>
        <v>0.11</v>
      </c>
      <c r="BX130" s="24" cm="1">
        <f t="array" ref="BX130">SUM(_xlfn.XLOOKUP($S130:$AL130,增益!$A:$A,增益!$X:$X,0))</f>
        <v>0</v>
      </c>
    </row>
    <row r="131" spans="2:76">
      <c r="K131" s="37">
        <f>$L131*VLOOKUP($R131,武学奇术!$A:$ZZ,31,FALSE)</f>
        <v>23765.6514347114</v>
      </c>
      <c r="L131" s="37">
        <f t="shared" si="34"/>
        <v>23765.6514347114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24587.0223208666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20792.823041135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14130.4725981992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12858.8540548169</v>
      </c>
      <c r="Q131" s="38">
        <f t="shared" si="45"/>
        <v>1</v>
      </c>
      <c r="R131" s="39" t="s">
        <v>217</v>
      </c>
      <c r="S131" s="39" t="s">
        <v>106</v>
      </c>
      <c r="T131" s="39" t="s">
        <v>189</v>
      </c>
      <c r="U131" s="39" t="s">
        <v>89</v>
      </c>
      <c r="V131" s="39" t="s">
        <v>129</v>
      </c>
      <c r="W131" s="39" t="s">
        <v>91</v>
      </c>
      <c r="X131" s="39" t="s">
        <v>80</v>
      </c>
      <c r="Y131" s="39" t="s">
        <v>92</v>
      </c>
      <c r="Z131" s="39" t="s">
        <v>193</v>
      </c>
      <c r="AA131" s="39" t="s">
        <v>194</v>
      </c>
      <c r="AB131" s="39" t="s">
        <v>203</v>
      </c>
      <c r="AC131" s="39" t="s">
        <v>99</v>
      </c>
      <c r="AD131" s="39" t="s">
        <v>121</v>
      </c>
      <c r="AE131" s="39" t="s">
        <v>83</v>
      </c>
      <c r="AF131" s="39" t="s">
        <v>84</v>
      </c>
      <c r="AG131" s="39" t="s">
        <v>80</v>
      </c>
      <c r="AH131" s="39" t="s">
        <v>80</v>
      </c>
      <c r="AI131" s="39" t="s">
        <v>80</v>
      </c>
      <c r="AJ131" s="39" t="s">
        <v>80</v>
      </c>
      <c r="AK131" s="39" t="s">
        <v>80</v>
      </c>
      <c r="AL131" s="39" t="s">
        <v>80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0.2342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4371.3</v>
      </c>
      <c r="AU131" cm="1">
        <f t="array" ref="AU131">$E$10*(1+$AS131)+VLOOKUP($R131,武学奇术!$A:$ZZ,4,FALSE)+SUM(_xlfn.XLOOKUP($S131:$AL131,增益!$A:$A,增益!$D:$D,0))-$I$2</f>
        <v>4371.3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0.4085</v>
      </c>
      <c r="AW131" s="31" cm="1">
        <f t="array" ref="AW131">$G$10+VLOOKUP($R131,武学奇术!$A:$ZZ,7,FALSE)+SUM(_xlfn.XLOOKUP($S131:$AL131,增益!$A:$A,增益!$G:$G,0))</f>
        <v>0.135</v>
      </c>
      <c r="AX131" s="24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0.03</v>
      </c>
      <c r="BB131" s="31" cm="1">
        <f t="array" ref="BB131">$G$11+VLOOKUP($R131,武学奇术!$A:$ZZ,10,FALSE)+SUM(_xlfn.XLOOKUP($S131:$AL131,增益!$A:$A,增益!$J:$J,0))</f>
        <v>0.12</v>
      </c>
      <c r="BC131">
        <f t="shared" si="37"/>
        <v>0</v>
      </c>
      <c r="BD131">
        <f t="shared" si="38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0.03</v>
      </c>
      <c r="BF131" s="31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0.03</v>
      </c>
      <c r="BJ131" s="31" cm="1">
        <f t="array" ref="BJ131">$G$13+VLOOKUP($R131,武学奇术!$A:$ZZ,14,FALSE)+SUM(_xlfn.XLOOKUP($S131:$AL131,增益!$A:$A,增益!$N:$N,0))</f>
        <v>0.02</v>
      </c>
      <c r="BK131">
        <f t="shared" si="41"/>
        <v>649.11</v>
      </c>
      <c r="BL131">
        <f t="shared" si="42"/>
        <v>1707.09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0.18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0.9771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0.8861</v>
      </c>
      <c r="BQ131" s="24" cm="1">
        <f t="array" ref="BQ131">1+$B$13+VLOOKUP($R131,武学奇术!$A:$ZZ,18,FALSE)+SUM(_xlfn.XLOOKUP($S131:$AL131,增益!$A:$A,增益!$R:$R,0))</f>
        <v>1.74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3"/>
        <v>0.86580831</v>
      </c>
      <c r="BU131" s="24">
        <f t="shared" si="44"/>
        <v>0.02208246</v>
      </c>
      <c r="BV131" s="24">
        <f>IF(VLOOKUP($R131,武学奇术!$A:$ZZ,22,FALSE)=1,0,(1-$BO131))*(1-$BR131)</f>
        <v>0.02080923</v>
      </c>
      <c r="BW131" s="24" cm="1">
        <f t="array" ref="BW131">SUM(_xlfn.XLOOKUP($S131:$AL131,增益!$A:$A,增益!$W:$W,0))+$I$5</f>
        <v>0.31</v>
      </c>
      <c r="BX131" s="24" cm="1">
        <f t="array" ref="BX131">SUM(_xlfn.XLOOKUP($S131:$AL131,增益!$A:$A,增益!$X:$X,0))</f>
        <v>0</v>
      </c>
    </row>
    <row r="132" spans="2:76">
      <c r="B132" s="95"/>
      <c r="K132" s="37">
        <f>$L132*VLOOKUP($R132,武学奇术!$A:$ZZ,31,FALSE)</f>
        <v>19618.9851291936</v>
      </c>
      <c r="L132" s="37">
        <f t="shared" si="34"/>
        <v>19618.9851291936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20234.6210282152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17618.3462409617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11973.1485374054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10895.670229654</v>
      </c>
      <c r="Q132" s="38">
        <f t="shared" si="45"/>
        <v>1</v>
      </c>
      <c r="R132" s="39" t="s">
        <v>217</v>
      </c>
      <c r="S132" s="39" t="s">
        <v>106</v>
      </c>
      <c r="T132" s="39" t="s">
        <v>189</v>
      </c>
      <c r="U132" s="39" t="s">
        <v>89</v>
      </c>
      <c r="V132" s="39" t="s">
        <v>90</v>
      </c>
      <c r="W132" s="39" t="s">
        <v>91</v>
      </c>
      <c r="X132" s="39" t="s">
        <v>80</v>
      </c>
      <c r="Y132" s="39" t="s">
        <v>92</v>
      </c>
      <c r="Z132" s="39" t="s">
        <v>80</v>
      </c>
      <c r="AA132" s="39" t="s">
        <v>80</v>
      </c>
      <c r="AB132" s="39" t="s">
        <v>203</v>
      </c>
      <c r="AC132" s="39" t="s">
        <v>93</v>
      </c>
      <c r="AD132" s="39" t="s">
        <v>80</v>
      </c>
      <c r="AE132" s="39" t="s">
        <v>83</v>
      </c>
      <c r="AF132" s="39" t="s">
        <v>84</v>
      </c>
      <c r="AG132" s="39" t="s">
        <v>80</v>
      </c>
      <c r="AH132" s="39" t="s">
        <v>80</v>
      </c>
      <c r="AI132" s="39" t="s">
        <v>80</v>
      </c>
      <c r="AJ132" s="39" t="s">
        <v>80</v>
      </c>
      <c r="AK132" s="39" t="s">
        <v>80</v>
      </c>
      <c r="AL132" s="39" t="s">
        <v>80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0.2342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4371.3</v>
      </c>
      <c r="AU132" cm="1">
        <f t="array" ref="AU132">$E$10*(1+$AS132)+VLOOKUP($R132,武学奇术!$A:$ZZ,4,FALSE)+SUM(_xlfn.XLOOKUP($S132:$AL132,增益!$A:$A,增益!$D:$D,0))-$I$2</f>
        <v>4371.3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0.4085</v>
      </c>
      <c r="AW132" s="31" cm="1">
        <f t="array" ref="AW132">$G$10+VLOOKUP($R132,武学奇术!$A:$ZZ,7,FALSE)+SUM(_xlfn.XLOOKUP($S132:$AL132,增益!$A:$A,增益!$G:$G,0))</f>
        <v>0.135</v>
      </c>
      <c r="AX132" s="24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0.03</v>
      </c>
      <c r="BB132" s="31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0.03</v>
      </c>
      <c r="BF132" s="31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0.03</v>
      </c>
      <c r="BJ132" s="31" cm="1">
        <f t="array" ref="BJ132">$G$13+VLOOKUP($R132,武学奇术!$A:$ZZ,14,FALSE)+SUM(_xlfn.XLOOKUP($S132:$AL132,增益!$A:$A,增益!$N:$N,0))</f>
        <v>0.02</v>
      </c>
      <c r="BK132">
        <f t="shared" si="41"/>
        <v>649.11</v>
      </c>
      <c r="BL132">
        <f t="shared" si="42"/>
        <v>1707.09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0.18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0.9771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0.8861</v>
      </c>
      <c r="BQ132" s="24" cm="1">
        <f t="array" ref="BQ132">1+$B$13+VLOOKUP($R132,武学奇术!$A:$ZZ,18,FALSE)+SUM(_xlfn.XLOOKUP($S132:$AL132,增益!$A:$A,增益!$R:$R,0))</f>
        <v>1.69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3"/>
        <v>0.86580831</v>
      </c>
      <c r="BU132" s="24">
        <f t="shared" si="44"/>
        <v>0.02208246</v>
      </c>
      <c r="BV132" s="24">
        <f>IF(VLOOKUP($R132,武学奇术!$A:$ZZ,22,FALSE)=1,0,(1-$BO132))*(1-$BR132)</f>
        <v>0.02080923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2:76">
      <c r="K133" s="37">
        <f>$L133*VLOOKUP($R133,武学奇术!$A:$ZZ,31,FALSE)</f>
        <v>20137.3077042211</v>
      </c>
      <c r="L133" s="37">
        <f t="shared" si="34"/>
        <v>20137.3077042211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20833.2784550854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17618.3462409617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11973.1485374054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10895.670229654</v>
      </c>
      <c r="Q133" s="38">
        <f t="shared" si="45"/>
        <v>1</v>
      </c>
      <c r="R133" s="39" t="s">
        <v>217</v>
      </c>
      <c r="S133" s="39" t="s">
        <v>106</v>
      </c>
      <c r="T133" s="39" t="s">
        <v>189</v>
      </c>
      <c r="U133" s="39" t="s">
        <v>89</v>
      </c>
      <c r="V133" s="39" t="s">
        <v>129</v>
      </c>
      <c r="W133" s="39" t="s">
        <v>91</v>
      </c>
      <c r="X133" s="39" t="s">
        <v>80</v>
      </c>
      <c r="Y133" s="39" t="s">
        <v>92</v>
      </c>
      <c r="Z133" s="39" t="s">
        <v>80</v>
      </c>
      <c r="AA133" s="39" t="s">
        <v>80</v>
      </c>
      <c r="AB133" s="39" t="s">
        <v>203</v>
      </c>
      <c r="AC133" s="39" t="s">
        <v>99</v>
      </c>
      <c r="AD133" s="39" t="s">
        <v>80</v>
      </c>
      <c r="AE133" s="39" t="s">
        <v>83</v>
      </c>
      <c r="AF133" s="39" t="s">
        <v>84</v>
      </c>
      <c r="AG133" s="39" t="s">
        <v>80</v>
      </c>
      <c r="AH133" s="39" t="s">
        <v>80</v>
      </c>
      <c r="AI133" s="39" t="s">
        <v>80</v>
      </c>
      <c r="AJ133" s="39" t="s">
        <v>80</v>
      </c>
      <c r="AK133" s="39" t="s">
        <v>80</v>
      </c>
      <c r="AL133" s="39" t="s">
        <v>80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0.2342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4371.3</v>
      </c>
      <c r="AU133" cm="1">
        <f t="array" ref="AU133">$E$10*(1+$AS133)+VLOOKUP($R133,武学奇术!$A:$ZZ,4,FALSE)+SUM(_xlfn.XLOOKUP($S133:$AL133,增益!$A:$A,增益!$D:$D,0))-$I$2</f>
        <v>4371.3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0.4085</v>
      </c>
      <c r="AW133" s="31" cm="1">
        <f t="array" ref="AW133">$G$10+VLOOKUP($R133,武学奇术!$A:$ZZ,7,FALSE)+SUM(_xlfn.XLOOKUP($S133:$AL133,增益!$A:$A,增益!$G:$G,0))</f>
        <v>0.135</v>
      </c>
      <c r="AX133" s="24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0.03</v>
      </c>
      <c r="BB133" s="31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0.03</v>
      </c>
      <c r="BF133" s="31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0.03</v>
      </c>
      <c r="BJ133" s="31" cm="1">
        <f t="array" ref="BJ133">$G$13+VLOOKUP($R133,武学奇术!$A:$ZZ,14,FALSE)+SUM(_xlfn.XLOOKUP($S133:$AL133,增益!$A:$A,增益!$N:$N,0))</f>
        <v>0.02</v>
      </c>
      <c r="BK133">
        <f t="shared" si="41"/>
        <v>649.11</v>
      </c>
      <c r="BL133">
        <f t="shared" si="42"/>
        <v>1707.09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0.18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0.9771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0.8861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3"/>
        <v>0.86580831</v>
      </c>
      <c r="BU133" s="24">
        <f t="shared" si="44"/>
        <v>0.02208246</v>
      </c>
      <c r="BV133" s="24">
        <f>IF(VLOOKUP($R133,武学奇术!$A:$ZZ,22,FALSE)=1,0,(1-$BO133))*(1-$BR133)</f>
        <v>0.02080923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2:76">
      <c r="K134" s="37">
        <f>$L134*VLOOKUP($R134,武学奇术!$A:$ZZ,31,FALSE)</f>
        <v>20137.3077042211</v>
      </c>
      <c r="L134" s="37">
        <f t="shared" si="34"/>
        <v>20137.3077042211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20833.2784550854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17618.3462409617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11973.1485374054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10895.670229654</v>
      </c>
      <c r="Q134" s="38">
        <f t="shared" si="45"/>
        <v>1</v>
      </c>
      <c r="R134" s="39" t="s">
        <v>217</v>
      </c>
      <c r="S134" s="39" t="s">
        <v>106</v>
      </c>
      <c r="T134" s="39" t="s">
        <v>189</v>
      </c>
      <c r="U134" s="39" t="s">
        <v>89</v>
      </c>
      <c r="V134" s="39" t="s">
        <v>129</v>
      </c>
      <c r="W134" s="39" t="s">
        <v>91</v>
      </c>
      <c r="X134" s="39" t="s">
        <v>80</v>
      </c>
      <c r="Y134" s="39" t="s">
        <v>92</v>
      </c>
      <c r="Z134" s="39" t="s">
        <v>80</v>
      </c>
      <c r="AA134" s="39" t="s">
        <v>80</v>
      </c>
      <c r="AB134" s="39" t="s">
        <v>203</v>
      </c>
      <c r="AC134" s="39" t="s">
        <v>99</v>
      </c>
      <c r="AD134" s="39" t="s">
        <v>80</v>
      </c>
      <c r="AE134" s="39" t="s">
        <v>83</v>
      </c>
      <c r="AF134" s="39" t="s">
        <v>84</v>
      </c>
      <c r="AG134" s="39" t="s">
        <v>80</v>
      </c>
      <c r="AH134" s="39" t="s">
        <v>80</v>
      </c>
      <c r="AI134" s="39" t="s">
        <v>80</v>
      </c>
      <c r="AJ134" s="39" t="s">
        <v>80</v>
      </c>
      <c r="AK134" s="39" t="s">
        <v>80</v>
      </c>
      <c r="AL134" s="39" t="s">
        <v>80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0.2342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4371.3</v>
      </c>
      <c r="AU134" cm="1">
        <f t="array" ref="AU134">$E$10*(1+$AS134)+VLOOKUP($R134,武学奇术!$A:$ZZ,4,FALSE)+SUM(_xlfn.XLOOKUP($S134:$AL134,增益!$A:$A,增益!$D:$D,0))-$I$2</f>
        <v>4371.3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0.4085</v>
      </c>
      <c r="AW134" s="31" cm="1">
        <f t="array" ref="AW134">$G$10+VLOOKUP($R134,武学奇术!$A:$ZZ,7,FALSE)+SUM(_xlfn.XLOOKUP($S134:$AL134,增益!$A:$A,增益!$G:$G,0))</f>
        <v>0.135</v>
      </c>
      <c r="AX134" s="24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0.03</v>
      </c>
      <c r="BB134" s="31" cm="1">
        <f t="array" ref="BB134">$G$11+VLOOKUP($R134,武学奇术!$A:$ZZ,10,FALSE)+SUM(_xlfn.XLOOKUP($S134:$AL134,增益!$A:$A,增益!$J:$J,0))</f>
        <v>0.02</v>
      </c>
      <c r="BC134">
        <f t="shared" si="37"/>
        <v>0</v>
      </c>
      <c r="BD134">
        <f t="shared" si="38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0.03</v>
      </c>
      <c r="BF134" s="31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0.03</v>
      </c>
      <c r="BJ134" s="31" cm="1">
        <f t="array" ref="BJ134">$G$13+VLOOKUP($R134,武学奇术!$A:$ZZ,14,FALSE)+SUM(_xlfn.XLOOKUP($S134:$AL134,增益!$A:$A,增益!$N:$N,0))</f>
        <v>0.02</v>
      </c>
      <c r="BK134">
        <f t="shared" si="41"/>
        <v>649.11</v>
      </c>
      <c r="BL134">
        <f t="shared" si="42"/>
        <v>1707.09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0.18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0.9771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0.8861</v>
      </c>
      <c r="BQ134" s="24" cm="1">
        <f t="array" ref="BQ134">1+$B$13+VLOOKUP($R134,武学奇术!$A:$ZZ,18,FALSE)+SUM(_xlfn.XLOOKUP($S134:$AL134,增益!$A:$A,增益!$R:$R,0))</f>
        <v>1.74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3"/>
        <v>0.86580831</v>
      </c>
      <c r="BU134" s="24">
        <f t="shared" si="44"/>
        <v>0.02208246</v>
      </c>
      <c r="BV134" s="24">
        <f>IF(VLOOKUP($R134,武学奇术!$A:$ZZ,22,FALSE)=1,0,(1-$BO134))*(1-$BR134)</f>
        <v>0.02080923</v>
      </c>
      <c r="BW134" s="24" cm="1">
        <f t="array" ref="BW134">SUM(_xlfn.XLOOKUP($S134:$AL134,增益!$A:$A,增益!$W:$W,0))+$I$5</f>
        <v>0.11</v>
      </c>
      <c r="BX134" s="24" cm="1">
        <f t="array" ref="BX134">SUM(_xlfn.XLOOKUP($S134:$AL134,增益!$A:$A,增益!$X:$X,0))</f>
        <v>0</v>
      </c>
    </row>
    <row r="135" spans="2:76">
      <c r="B135" s="95"/>
      <c r="K135" s="37">
        <f>$L135*VLOOKUP($R135,武学奇术!$A:$ZZ,31,FALSE)</f>
        <v>19346.4263964983</v>
      </c>
      <c r="L135" s="37">
        <f t="shared" si="34"/>
        <v>19346.4263964983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19959.6810375554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17300.1029625284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11810.4621523997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10806.033221445</v>
      </c>
      <c r="Q135" s="38">
        <f t="shared" si="45"/>
        <v>1</v>
      </c>
      <c r="R135" s="39" t="s">
        <v>217</v>
      </c>
      <c r="S135" s="39" t="s">
        <v>106</v>
      </c>
      <c r="T135" s="39" t="s">
        <v>189</v>
      </c>
      <c r="U135" s="39" t="s">
        <v>89</v>
      </c>
      <c r="V135" s="39" t="s">
        <v>90</v>
      </c>
      <c r="W135" s="39" t="s">
        <v>91</v>
      </c>
      <c r="X135" s="39" t="s">
        <v>80</v>
      </c>
      <c r="Y135" s="39" t="s">
        <v>80</v>
      </c>
      <c r="Z135" s="39" t="s">
        <v>80</v>
      </c>
      <c r="AA135" s="39" t="s">
        <v>80</v>
      </c>
      <c r="AB135" s="39" t="s">
        <v>203</v>
      </c>
      <c r="AC135" s="39" t="s">
        <v>93</v>
      </c>
      <c r="AD135" s="39" t="s">
        <v>80</v>
      </c>
      <c r="AE135" s="39" t="s">
        <v>83</v>
      </c>
      <c r="AF135" s="39" t="s">
        <v>84</v>
      </c>
      <c r="AG135" s="39" t="s">
        <v>80</v>
      </c>
      <c r="AH135" s="39" t="s">
        <v>80</v>
      </c>
      <c r="AI135" s="39" t="s">
        <v>80</v>
      </c>
      <c r="AJ135" s="39" t="s">
        <v>80</v>
      </c>
      <c r="AK135" s="39" t="s">
        <v>80</v>
      </c>
      <c r="AL135" s="39" t="s">
        <v>80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0.2342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4371.3</v>
      </c>
      <c r="AU135" cm="1">
        <f t="array" ref="AU135">$E$10*(1+$AS135)+VLOOKUP($R135,武学奇术!$A:$ZZ,4,FALSE)+SUM(_xlfn.XLOOKUP($S135:$AL135,增益!$A:$A,增益!$D:$D,0))-$I$2</f>
        <v>4371.3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0.4085</v>
      </c>
      <c r="AW135" s="31" cm="1">
        <f t="array" ref="AW135">$G$10+VLOOKUP($R135,武学奇术!$A:$ZZ,7,FALSE)+SUM(_xlfn.XLOOKUP($S135:$AL135,增益!$A:$A,增益!$G:$G,0))</f>
        <v>0.135</v>
      </c>
      <c r="AX135" s="24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31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31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31" cm="1">
        <f t="array" ref="BJ135">$G$13+VLOOKUP($R135,武学奇术!$A:$ZZ,14,FALSE)+SUM(_xlfn.XLOOKUP($S135:$AL135,增益!$A:$A,增益!$N:$N,0))</f>
        <v>0.02</v>
      </c>
      <c r="BK135">
        <f t="shared" si="41"/>
        <v>649.11</v>
      </c>
      <c r="BL135">
        <f t="shared" si="42"/>
        <v>1707.09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0.9771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0.8861</v>
      </c>
      <c r="BQ135" s="24" cm="1">
        <f t="array" ref="BQ135">1+$B$13+VLOOKUP($R135,武学奇术!$A:$ZZ,18,FALSE)+SUM(_xlfn.XLOOKUP($S135:$AL135,增益!$A:$A,增益!$R:$R,0))</f>
        <v>1.69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3"/>
        <v>0.86580831</v>
      </c>
      <c r="BU135" s="24">
        <f t="shared" si="44"/>
        <v>0.02208246</v>
      </c>
      <c r="BV135" s="24">
        <f>IF(VLOOKUP($R135,武学奇术!$A:$ZZ,22,FALSE)=1,0,(1-$BO135))*(1-$BR135)</f>
        <v>0.02080923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2:76">
      <c r="K136" s="37">
        <f>$L136*VLOOKUP($R136,武学奇术!$A:$ZZ,31,FALSE)</f>
        <v>23765.6514347114</v>
      </c>
      <c r="L136" s="37">
        <f t="shared" si="34"/>
        <v>23765.6514347114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24587.0223208666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20792.823041135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14130.4725981992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12858.8540548169</v>
      </c>
      <c r="Q136" s="38">
        <f t="shared" si="45"/>
        <v>1</v>
      </c>
      <c r="R136" s="39" t="s">
        <v>217</v>
      </c>
      <c r="S136" s="39" t="s">
        <v>106</v>
      </c>
      <c r="T136" s="39" t="s">
        <v>189</v>
      </c>
      <c r="U136" s="39" t="s">
        <v>89</v>
      </c>
      <c r="V136" s="39" t="s">
        <v>129</v>
      </c>
      <c r="W136" s="39" t="s">
        <v>91</v>
      </c>
      <c r="X136" s="39" t="s">
        <v>80</v>
      </c>
      <c r="Y136" s="39" t="s">
        <v>92</v>
      </c>
      <c r="Z136" s="39" t="s">
        <v>193</v>
      </c>
      <c r="AA136" s="39" t="s">
        <v>194</v>
      </c>
      <c r="AB136" s="39" t="s">
        <v>203</v>
      </c>
      <c r="AC136" s="39" t="s">
        <v>99</v>
      </c>
      <c r="AD136" s="39" t="s">
        <v>121</v>
      </c>
      <c r="AE136" s="39" t="s">
        <v>83</v>
      </c>
      <c r="AF136" s="39" t="s">
        <v>84</v>
      </c>
      <c r="AG136" s="39" t="s">
        <v>80</v>
      </c>
      <c r="AH136" s="39" t="s">
        <v>80</v>
      </c>
      <c r="AI136" s="39" t="s">
        <v>80</v>
      </c>
      <c r="AJ136" s="39" t="s">
        <v>80</v>
      </c>
      <c r="AK136" s="39" t="s">
        <v>80</v>
      </c>
      <c r="AL136" s="39" t="s">
        <v>80</v>
      </c>
      <c r="AM136" t="str">
        <f>VLOOKUP($R136,武学奇术!$A:$ZZ,25,FALSE)</f>
        <v>心法</v>
      </c>
      <c r="AN136" s="24">
        <f>VLOOKUP($R136,武学奇术!$A:$ZZ,26,FALSE)</f>
        <v>1</v>
      </c>
      <c r="AO136" s="25">
        <f>VLOOKUP($R136,武学奇术!$A:$ZZ,27,FALSE)*(1+IF(OR($AM136=$F$4,$AM136=$F$5),$B$22,0))</f>
        <v>0</v>
      </c>
      <c r="AP136" s="24">
        <f>VLOOKUP($R136,武学奇术!$A:$ZZ,28,FALSE)</f>
        <v>1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0.2342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4371.3</v>
      </c>
      <c r="AU136" cm="1">
        <f t="array" ref="AU136">$E$10*(1+$AS136)+VLOOKUP($R136,武学奇术!$A:$ZZ,4,FALSE)+SUM(_xlfn.XLOOKUP($S136:$AL136,增益!$A:$A,增益!$D:$D,0))-$I$2</f>
        <v>4371.3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0.4085</v>
      </c>
      <c r="AW136" s="31" cm="1">
        <f t="array" ref="AW136">$G$10+VLOOKUP($R136,武学奇术!$A:$ZZ,7,FALSE)+SUM(_xlfn.XLOOKUP($S136:$AL136,增益!$A:$A,增益!$G:$G,0))</f>
        <v>0.135</v>
      </c>
      <c r="AX136" s="24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0.03</v>
      </c>
      <c r="BB136" s="31" cm="1">
        <f t="array" ref="BB136">$G$11+VLOOKUP($R136,武学奇术!$A:$ZZ,10,FALSE)+SUM(_xlfn.XLOOKUP($S136:$AL136,增益!$A:$A,增益!$J:$J,0))</f>
        <v>0.12</v>
      </c>
      <c r="BC136">
        <f t="shared" si="37"/>
        <v>0</v>
      </c>
      <c r="BD136">
        <f t="shared" si="38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0.03</v>
      </c>
      <c r="BF136" s="31" cm="1">
        <f t="array" ref="BF136">$G$12+VLOOKUP($R136,武学奇术!$A:$ZZ,12,FALSE)+SUM(_xlfn.XLOOKUP($S136:$AL136,增益!$A:$A,增益!$L:$L,0))</f>
        <v>0.02</v>
      </c>
      <c r="BG136">
        <f t="shared" si="39"/>
        <v>0</v>
      </c>
      <c r="BH136">
        <f t="shared" si="40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0.03</v>
      </c>
      <c r="BJ136" s="31" cm="1">
        <f t="array" ref="BJ136">$G$13+VLOOKUP($R136,武学奇术!$A:$ZZ,14,FALSE)+SUM(_xlfn.XLOOKUP($S136:$AL136,增益!$A:$A,增益!$N:$N,0))</f>
        <v>0.02</v>
      </c>
      <c r="BK136">
        <f t="shared" si="41"/>
        <v>649.11</v>
      </c>
      <c r="BL136">
        <f t="shared" si="42"/>
        <v>1707.09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0.18</v>
      </c>
      <c r="BN136" s="31" cm="1">
        <f t="array" ref="BN136">$G$14+VLOOKUP($R136,武学奇术!$A:$ZZ,16,FALSE)+SUM(_xlfn.XLOOKUP($S136:$AL136,增益!$A:$A,增益!$P:$P,0))</f>
        <v>0.26</v>
      </c>
      <c r="BO136" s="24">
        <f>MIN(IF(VLOOKUP($R136,武学奇术!$A:$ZZ,23,FALSE)=1,100%,$B$8),100%)</f>
        <v>0.9771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0.8861</v>
      </c>
      <c r="BQ136" s="24" cm="1">
        <f t="array" ref="BQ136">1+$B$13+VLOOKUP($R136,武学奇术!$A:$ZZ,18,FALSE)+SUM(_xlfn.XLOOKUP($S136:$AL136,增益!$A:$A,增益!$R:$R,0))</f>
        <v>1.74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3"/>
        <v>0.86580831</v>
      </c>
      <c r="BU136" s="24">
        <f t="shared" si="44"/>
        <v>0.02208246</v>
      </c>
      <c r="BV136" s="24">
        <f>IF(VLOOKUP($R136,武学奇术!$A:$ZZ,22,FALSE)=1,0,(1-$BO136))*(1-$BR136)</f>
        <v>0.02080923</v>
      </c>
      <c r="BW136" s="24" cm="1">
        <f t="array" ref="BW136">SUM(_xlfn.XLOOKUP($S136:$AL136,增益!$A:$A,增益!$W:$W,0))+$I$5</f>
        <v>0.31</v>
      </c>
      <c r="BX136" s="24" cm="1">
        <f t="array" ref="BX136">SUM(_xlfn.XLOOKUP($S136:$AL136,增益!$A:$A,增益!$X:$X,0))</f>
        <v>0</v>
      </c>
    </row>
    <row r="140" spans="2:76">
      <c r="B140" s="95"/>
    </row>
  </sheetData>
  <mergeCells count="41">
    <mergeCell ref="H1:I1"/>
    <mergeCell ref="C8:G8"/>
    <mergeCell ref="C15:D15"/>
    <mergeCell ref="E21:F21"/>
    <mergeCell ref="E22:F22"/>
    <mergeCell ref="E23:F23"/>
    <mergeCell ref="E24:F24"/>
    <mergeCell ref="C30:C39"/>
    <mergeCell ref="C56:C62"/>
    <mergeCell ref="D28:D40"/>
    <mergeCell ref="D47:D55"/>
    <mergeCell ref="D57:D62"/>
    <mergeCell ref="D72:D82"/>
    <mergeCell ref="D89:D102"/>
    <mergeCell ref="D111:D115"/>
    <mergeCell ref="E31:E36"/>
    <mergeCell ref="E48:E52"/>
    <mergeCell ref="E59:E62"/>
    <mergeCell ref="E76:E78"/>
    <mergeCell ref="E91:E93"/>
    <mergeCell ref="E107:E115"/>
    <mergeCell ref="F31:F35"/>
    <mergeCell ref="F78:F80"/>
    <mergeCell ref="F91:F92"/>
    <mergeCell ref="F108:F112"/>
    <mergeCell ref="F114:F115"/>
    <mergeCell ref="G91:G95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3" sqref="I3"/>
    </sheetView>
  </sheetViews>
  <sheetFormatPr defaultColWidth="9" defaultRowHeight="13.5"/>
  <cols>
    <col min="1" max="1" width="12.875" customWidth="1"/>
    <col min="11" max="15" width="12.625" style="25" customWidth="1"/>
    <col min="16" max="16" width="12.625" customWidth="1"/>
    <col min="17" max="17" width="9.00833333333333" style="30" customWidth="1"/>
    <col min="18" max="18" width="24.625" style="30" customWidth="1"/>
    <col min="19" max="32" width="9" style="30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1"/>
    <col min="47" max="48" width="9" style="31"/>
    <col min="61" max="65" width="9" style="24"/>
    <col min="66" max="67" width="9.00833333333333" style="24" customWidth="1"/>
    <col min="68" max="69" width="9" style="24"/>
    <col min="70" max="70" width="12.625"/>
  </cols>
  <sheetData>
    <row r="1" spans="1:76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</row>
    <row r="2" spans="1:76">
      <c r="A2" s="40" t="s">
        <v>73</v>
      </c>
      <c r="B2" s="30"/>
      <c r="C2" s="30"/>
      <c r="D2" s="30"/>
      <c r="E2" s="41"/>
      <c r="F2" s="42" t="s">
        <v>74</v>
      </c>
      <c r="G2" s="43" t="str">
        <f>期望!G2</f>
        <v>倾觞</v>
      </c>
      <c r="H2" s="44" t="s">
        <v>76</v>
      </c>
      <c r="I2" s="21">
        <f>687*(1-IF(F17="√",0.06,0)-IF(D20="√",0.04,0))</f>
        <v>687</v>
      </c>
      <c r="K2" s="37">
        <f>$L2*VLOOKUP($R2,武学奇术!$A:$ZZ,31,FALSE)</f>
        <v>22649.4095963322</v>
      </c>
      <c r="L2" s="37">
        <f t="shared" ref="L2:L22" si="0">($M2*$BT2+$N2*$BR2+$O2*$BU2+$P2*$BV2)</f>
        <v>22649.4095963322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23086.8293358197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22558.0278945104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14894.7286037546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13079.8069152794</v>
      </c>
      <c r="Q2" s="38">
        <v>1</v>
      </c>
      <c r="R2" s="39" t="s">
        <v>77</v>
      </c>
      <c r="S2" s="39" t="s">
        <v>78</v>
      </c>
      <c r="T2" s="39" t="s">
        <v>79</v>
      </c>
      <c r="U2" s="39" t="s">
        <v>80</v>
      </c>
      <c r="V2" s="39" t="s">
        <v>80</v>
      </c>
      <c r="W2" s="39" t="s">
        <v>80</v>
      </c>
      <c r="X2" s="39" t="s">
        <v>81</v>
      </c>
      <c r="Y2" s="39" t="s">
        <v>80</v>
      </c>
      <c r="Z2" s="39" t="s">
        <v>80</v>
      </c>
      <c r="AA2" s="39" t="s">
        <v>80</v>
      </c>
      <c r="AB2" s="39" t="s">
        <v>82</v>
      </c>
      <c r="AC2" s="39" t="s">
        <v>80</v>
      </c>
      <c r="AD2" s="39" t="s">
        <v>80</v>
      </c>
      <c r="AE2" s="39" t="s">
        <v>80</v>
      </c>
      <c r="AF2" s="39" t="s">
        <v>84</v>
      </c>
      <c r="AG2" s="39" t="s">
        <v>80</v>
      </c>
      <c r="AH2" s="39" t="s">
        <v>80</v>
      </c>
      <c r="AI2" s="39" t="s">
        <v>80</v>
      </c>
      <c r="AJ2" s="39" t="s">
        <v>80</v>
      </c>
      <c r="AK2" s="39" t="s">
        <v>80</v>
      </c>
      <c r="AL2" s="39" t="s">
        <v>80</v>
      </c>
      <c r="AM2" t="str">
        <f>VLOOKUP($R2,武学奇术!$A:$ZZ,25,FALSE)</f>
        <v>群体奇术</v>
      </c>
      <c r="AN2" s="24">
        <f>VLOOKUP($R2,武学奇术!$A:$ZZ,26,FALSE)</f>
        <v>1.4904</v>
      </c>
      <c r="AO2" s="25">
        <f>VLOOKUP($R2,武学奇术!$A:$ZZ,27,FALSE)*(1+IF(OR($AM2=$F$4,$AM2=$F$5),$B$22,0))</f>
        <v>378</v>
      </c>
      <c r="AP2" s="24">
        <f>VLOOKUP($R2,武学奇术!$A:$ZZ,28,FALSE)</f>
        <v>2.2356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0.1342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4302.6</v>
      </c>
      <c r="AU2" cm="1">
        <f t="array" ref="AU2">$E$10*(1+$AS2)+VLOOKUP($R2,武学奇术!$A:$ZZ,4,FALSE)+SUM(_xlfn.XLOOKUP($S2:$AL2,增益!$A:$A,增益!$D:$D,0))-$I$2</f>
        <v>4302.6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0.2385</v>
      </c>
      <c r="AW2" s="31" cm="1">
        <f t="array" ref="AW2">$G$10+VLOOKUP($R2,武学奇术!$A:$ZZ,7,FALSE)+SUM(_xlfn.XLOOKUP($S2:$AL2,增益!$A:$A,增益!$G:$G,0))</f>
        <v>0.025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31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31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31" cm="1">
        <f t="array" ref="BJ2">$G$13+VLOOKUP($R2,武学奇术!$A:$ZZ,14,FALSE)+SUM(_xlfn.XLOOKUP($S2:$AL2,增益!$A:$A,增益!$N:$N,0))</f>
        <v>0</v>
      </c>
      <c r="BK2">
        <f t="shared" ref="BK2:BK65" si="7">$D$14*(1+$AX2)</f>
        <v>649.11</v>
      </c>
      <c r="BL2">
        <f t="shared" ref="BL2:BL65" si="8">$E$14*(1+$AX2)</f>
        <v>1707.09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31" cm="1">
        <f t="array" ref="BN2">$G$14+VLOOKUP($R2,武学奇术!$A:$ZZ,16,FALSE)+SUM(_xlfn.XLOOKUP($S2:$AL2,增益!$A:$A,增益!$P:$P,0))</f>
        <v>0.15</v>
      </c>
      <c r="BO2" s="24">
        <f>MIN(IF(VLOOKUP($R2,武学奇术!$A:$ZZ,23,FALSE)=1,100%,$B$8),100%)</f>
        <v>0.9771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0.8861</v>
      </c>
      <c r="BQ2" s="24" cm="1">
        <f t="array" ref="BQ2">1+$B$13+VLOOKUP($R2,武学奇术!$A:$ZZ,18,FALSE)+SUM(_xlfn.XLOOKUP($S2:$AL2,增益!$A:$A,增益!$R:$R,0))</f>
        <v>1.55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0.86580831</v>
      </c>
      <c r="BU2" s="24">
        <f t="shared" ref="BU2:BU65" si="10">1-BR2-BT2-BV2</f>
        <v>0.0220824599999999</v>
      </c>
      <c r="BV2" s="24">
        <f>IF(VLOOKUP($R2,武学奇术!$A:$ZZ,22,FALSE)=1,0,(1-$BO2))*(1-$BR2)</f>
        <v>0.02080923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5" t="s">
        <v>85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0.1042</v>
      </c>
      <c r="H3" s="44" t="s">
        <v>86</v>
      </c>
      <c r="I3" s="21">
        <f>25-IF(D17="√",8,0)-IF(F17="√",10,0)</f>
        <v>25</v>
      </c>
      <c r="K3" s="37">
        <f>$L3*VLOOKUP($R3,武学奇术!$A:$ZZ,31,FALSE)</f>
        <v>26241.8749677004</v>
      </c>
      <c r="L3" s="37">
        <f t="shared" si="0"/>
        <v>26241.8749677004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26869.1727818434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25238.2263348663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16688.9271936915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14682.8719171118</v>
      </c>
      <c r="Q3" s="38">
        <v>1</v>
      </c>
      <c r="R3" s="39" t="s">
        <v>77</v>
      </c>
      <c r="S3" s="39" t="s">
        <v>87</v>
      </c>
      <c r="T3" s="39" t="s">
        <v>88</v>
      </c>
      <c r="U3" s="39" t="s">
        <v>89</v>
      </c>
      <c r="V3" s="39" t="s">
        <v>90</v>
      </c>
      <c r="W3" s="39" t="s">
        <v>91</v>
      </c>
      <c r="X3" s="39" t="s">
        <v>81</v>
      </c>
      <c r="Y3" s="39" t="s">
        <v>80</v>
      </c>
      <c r="Z3" s="39" t="s">
        <v>80</v>
      </c>
      <c r="AA3" s="39" t="s">
        <v>80</v>
      </c>
      <c r="AB3" s="39" t="s">
        <v>82</v>
      </c>
      <c r="AC3" s="39" t="s">
        <v>80</v>
      </c>
      <c r="AD3" s="39" t="s">
        <v>80</v>
      </c>
      <c r="AE3" s="39" t="s">
        <v>80</v>
      </c>
      <c r="AF3" s="39" t="s">
        <v>84</v>
      </c>
      <c r="AG3" s="39" t="s">
        <v>80</v>
      </c>
      <c r="AH3" s="39" t="s">
        <v>80</v>
      </c>
      <c r="AI3" s="39" t="s">
        <v>80</v>
      </c>
      <c r="AJ3" s="39" t="s">
        <v>80</v>
      </c>
      <c r="AK3" s="39" t="s">
        <v>80</v>
      </c>
      <c r="AL3" s="39" t="s">
        <v>80</v>
      </c>
      <c r="AM3" t="str">
        <f>VLOOKUP($R3,武学奇术!$A:$ZZ,25,FALSE)</f>
        <v>群体奇术</v>
      </c>
      <c r="AN3" s="24">
        <f>VLOOKUP($R3,武学奇术!$A:$ZZ,26,FALSE)</f>
        <v>1.4904</v>
      </c>
      <c r="AO3" s="25">
        <f>VLOOKUP($R3,武学奇术!$A:$ZZ,27,FALSE)*(1+IF(OR($AM3=$F$4,$AM3=$F$5),$B$22,0))</f>
        <v>378</v>
      </c>
      <c r="AP3" s="24">
        <f>VLOOKUP($R3,武学奇术!$A:$ZZ,28,FALSE)</f>
        <v>2.2356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0.1442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4302.6</v>
      </c>
      <c r="AU3" cm="1">
        <f t="array" ref="AU3">$E$10*(1+$AS3)+VLOOKUP($R3,武学奇术!$A:$ZZ,4,FALSE)+SUM(_xlfn.XLOOKUP($S3:$AL3,增益!$A:$A,增益!$D:$D,0))-$I$2</f>
        <v>4302.6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0.2485</v>
      </c>
      <c r="AW3" s="31" cm="1">
        <f t="array" ref="AW3">$G$10+VLOOKUP($R3,武学奇术!$A:$ZZ,7,FALSE)+SUM(_xlfn.XLOOKUP($S3:$AL3,增益!$A:$A,增益!$G:$G,0))</f>
        <v>0.135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-0.18</v>
      </c>
      <c r="BB3" s="31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-0.18</v>
      </c>
      <c r="BF3" s="31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-0.18</v>
      </c>
      <c r="BJ3" s="31" cm="1">
        <f t="array" ref="BJ3">$G$13+VLOOKUP($R3,武学奇术!$A:$ZZ,14,FALSE)+SUM(_xlfn.XLOOKUP($S3:$AL3,增益!$A:$A,增益!$N:$N,0))</f>
        <v>0.02</v>
      </c>
      <c r="BK3">
        <f t="shared" si="7"/>
        <v>649.11</v>
      </c>
      <c r="BL3">
        <f t="shared" si="8"/>
        <v>1707.09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0.06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0.9771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0.8861</v>
      </c>
      <c r="BQ3" s="24" cm="1">
        <f t="array" ref="BQ3">1+$B$13+VLOOKUP($R3,武学奇术!$A:$ZZ,18,FALSE)+SUM(_xlfn.XLOOKUP($S3:$AL3,增益!$A:$A,增益!$R:$R,0))</f>
        <v>1.61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0.86580831</v>
      </c>
      <c r="BU3" s="24">
        <f t="shared" si="10"/>
        <v>0.0220824599999999</v>
      </c>
      <c r="BV3" s="24">
        <f>IF(VLOOKUP($R3,武学奇术!$A:$ZZ,22,FALSE)=1,0,(1-$BO3))*(1-$BR3)</f>
        <v>0.02080923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49" t="s">
        <v>94</v>
      </c>
      <c r="B4" s="50"/>
      <c r="C4" s="50"/>
      <c r="D4" s="50"/>
      <c r="E4" s="51"/>
      <c r="F4" s="44" t="s">
        <v>95</v>
      </c>
      <c r="G4" s="48">
        <f>B15+B17</f>
        <v>0.1701</v>
      </c>
      <c r="H4" s="52" t="s">
        <v>96</v>
      </c>
      <c r="I4" s="14">
        <f>30</f>
        <v>30</v>
      </c>
      <c r="K4" s="37">
        <f>$L4*VLOOKUP($R4,武学奇术!$A:$ZZ,31,FALSE)</f>
        <v>26771.883046023</v>
      </c>
      <c r="L4" s="37">
        <f t="shared" si="0"/>
        <v>26771.883046023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27432.3141431192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25592.1051265272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16933.527248839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14909.9395891393</v>
      </c>
      <c r="Q4" s="38">
        <v>1</v>
      </c>
      <c r="R4" s="39" t="s">
        <v>77</v>
      </c>
      <c r="S4" s="39" t="s">
        <v>97</v>
      </c>
      <c r="T4" s="39" t="s">
        <v>98</v>
      </c>
      <c r="U4" s="39" t="s">
        <v>89</v>
      </c>
      <c r="V4" s="39" t="s">
        <v>90</v>
      </c>
      <c r="W4" s="39" t="s">
        <v>91</v>
      </c>
      <c r="X4" s="39" t="s">
        <v>81</v>
      </c>
      <c r="Y4" s="39" t="s">
        <v>80</v>
      </c>
      <c r="Z4" s="39" t="s">
        <v>80</v>
      </c>
      <c r="AA4" s="39" t="s">
        <v>80</v>
      </c>
      <c r="AB4" s="39" t="s">
        <v>82</v>
      </c>
      <c r="AC4" s="39" t="s">
        <v>80</v>
      </c>
      <c r="AD4" s="39" t="s">
        <v>80</v>
      </c>
      <c r="AE4" s="39" t="s">
        <v>80</v>
      </c>
      <c r="AF4" s="39" t="s">
        <v>84</v>
      </c>
      <c r="AG4" s="39" t="s">
        <v>80</v>
      </c>
      <c r="AH4" s="39" t="s">
        <v>80</v>
      </c>
      <c r="AI4" s="39" t="s">
        <v>80</v>
      </c>
      <c r="AJ4" s="39" t="s">
        <v>80</v>
      </c>
      <c r="AK4" s="39" t="s">
        <v>80</v>
      </c>
      <c r="AL4" s="39" t="s">
        <v>80</v>
      </c>
      <c r="AM4" t="str">
        <f>VLOOKUP($R4,武学奇术!$A:$ZZ,25,FALSE)</f>
        <v>群体奇术</v>
      </c>
      <c r="AN4" s="24">
        <f>VLOOKUP($R4,武学奇术!$A:$ZZ,26,FALSE)</f>
        <v>1.4904</v>
      </c>
      <c r="AO4" s="25">
        <f>VLOOKUP($R4,武学奇术!$A:$ZZ,27,FALSE)*(1+IF(OR($AM4=$F$4,$AM4=$F$5),$B$22,0))</f>
        <v>378</v>
      </c>
      <c r="AP4" s="24">
        <f>VLOOKUP($R4,武学奇术!$A:$ZZ,28,FALSE)</f>
        <v>2.2356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0.1542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4302.6</v>
      </c>
      <c r="AU4" cm="1">
        <f t="array" ref="AU4">$E$10*(1+$AS4)+VLOOKUP($R4,武学奇术!$A:$ZZ,4,FALSE)+SUM(_xlfn.XLOOKUP($S4:$AL4,增益!$A:$A,增益!$D:$D,0))-$I$2</f>
        <v>4302.6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0.2585</v>
      </c>
      <c r="AW4" s="31" cm="1">
        <f t="array" ref="AW4">$G$10+VLOOKUP($R4,武学奇术!$A:$ZZ,7,FALSE)+SUM(_xlfn.XLOOKUP($S4:$AL4,增益!$A:$A,增益!$G:$G,0))</f>
        <v>0.135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-0.18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-0.18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-0.18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1707.09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0.06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0.9771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0.8861</v>
      </c>
      <c r="BQ4" s="24" cm="1">
        <f t="array" ref="BQ4">1+$B$13+VLOOKUP($R4,武学奇术!$A:$ZZ,18,FALSE)+SUM(_xlfn.XLOOKUP($S4:$AL4,增益!$A:$A,增益!$R:$R,0))</f>
        <v>1.62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0.86580831</v>
      </c>
      <c r="BU4" s="24">
        <f t="shared" si="10"/>
        <v>0.0220824599999999</v>
      </c>
      <c r="BV4" s="24">
        <f>IF(VLOOKUP($R4,武学奇术!$A:$ZZ,22,FALSE)=1,0,(1-$BO4))*(1-$BR4)</f>
        <v>0.02080923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3" t="s">
        <v>100</v>
      </c>
      <c r="B5" s="54"/>
      <c r="C5" s="54"/>
      <c r="D5" s="54"/>
      <c r="E5" s="55"/>
      <c r="F5" s="44" t="s">
        <v>101</v>
      </c>
      <c r="G5" s="48">
        <f>B15+B18</f>
        <v>0.1701</v>
      </c>
      <c r="H5" t="s">
        <v>102</v>
      </c>
      <c r="I5" s="27">
        <v>0.06</v>
      </c>
      <c r="K5" s="37">
        <f>$L5*VLOOKUP($R5,武学奇术!$A:$ZZ,31,FALSE)</f>
        <v>27308.8256566886</v>
      </c>
      <c r="L5" s="37">
        <f t="shared" si="0"/>
        <v>27308.8256566886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28003.1364782565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25948.2938036017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17179.8383302187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15138.7182873991</v>
      </c>
      <c r="Q5" s="38">
        <v>1</v>
      </c>
      <c r="R5" s="39" t="s">
        <v>77</v>
      </c>
      <c r="S5" s="39" t="s">
        <v>103</v>
      </c>
      <c r="T5" s="39" t="s">
        <v>104</v>
      </c>
      <c r="U5" s="39" t="s">
        <v>89</v>
      </c>
      <c r="V5" s="39" t="s">
        <v>90</v>
      </c>
      <c r="W5" s="39" t="s">
        <v>91</v>
      </c>
      <c r="X5" s="39" t="s">
        <v>81</v>
      </c>
      <c r="Y5" s="39" t="s">
        <v>80</v>
      </c>
      <c r="Z5" s="39" t="s">
        <v>80</v>
      </c>
      <c r="AA5" s="39" t="s">
        <v>80</v>
      </c>
      <c r="AB5" s="39" t="s">
        <v>82</v>
      </c>
      <c r="AC5" s="39" t="s">
        <v>80</v>
      </c>
      <c r="AD5" s="39" t="s">
        <v>80</v>
      </c>
      <c r="AE5" s="39" t="s">
        <v>80</v>
      </c>
      <c r="AF5" s="39" t="s">
        <v>84</v>
      </c>
      <c r="AG5" s="39" t="s">
        <v>80</v>
      </c>
      <c r="AH5" s="39" t="s">
        <v>80</v>
      </c>
      <c r="AI5" s="39" t="s">
        <v>80</v>
      </c>
      <c r="AJ5" s="39" t="s">
        <v>80</v>
      </c>
      <c r="AK5" s="39" t="s">
        <v>80</v>
      </c>
      <c r="AL5" s="39" t="s">
        <v>80</v>
      </c>
      <c r="AM5" t="str">
        <f>VLOOKUP($R5,武学奇术!$A:$ZZ,25,FALSE)</f>
        <v>群体奇术</v>
      </c>
      <c r="AN5" s="24">
        <f>VLOOKUP($R5,武学奇术!$A:$ZZ,26,FALSE)</f>
        <v>1.4904</v>
      </c>
      <c r="AO5" s="25">
        <f>VLOOKUP($R5,武学奇术!$A:$ZZ,27,FALSE)*(1+IF(OR($AM5=$F$4,$AM5=$F$5),$B$22,0))</f>
        <v>378</v>
      </c>
      <c r="AP5" s="24">
        <f>VLOOKUP($R5,武学奇术!$A:$ZZ,28,FALSE)</f>
        <v>2.2356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0.1642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4302.6</v>
      </c>
      <c r="AU5" cm="1">
        <f t="array" ref="AU5">$E$10*(1+$AS5)+VLOOKUP($R5,武学奇术!$A:$ZZ,4,FALSE)+SUM(_xlfn.XLOOKUP($S5:$AL5,增益!$A:$A,增益!$D:$D,0))-$I$2</f>
        <v>4302.6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0.2685</v>
      </c>
      <c r="AW5" s="31" cm="1">
        <f t="array" ref="AW5">$G$10+VLOOKUP($R5,武学奇术!$A:$ZZ,7,FALSE)+SUM(_xlfn.XLOOKUP($S5:$AL5,增益!$A:$A,增益!$G:$G,0))</f>
        <v>0.135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-0.18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-0.18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-0.18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1707.09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0.06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0.9771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0.8861</v>
      </c>
      <c r="BQ5" s="24" cm="1">
        <f t="array" ref="BQ5">1+$B$13+VLOOKUP($R5,武学奇术!$A:$ZZ,18,FALSE)+SUM(_xlfn.XLOOKUP($S5:$AL5,增益!$A:$A,增益!$R:$R,0))</f>
        <v>1.63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0.86580831</v>
      </c>
      <c r="BU5" s="24">
        <f t="shared" si="10"/>
        <v>0.0220824599999999</v>
      </c>
      <c r="BV5" s="24">
        <f>IF(VLOOKUP($R5,武学奇术!$A:$ZZ,22,FALSE)=1,0,(1-$BO5))*(1-$BR5)</f>
        <v>0.02080923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6" t="s">
        <v>5</v>
      </c>
      <c r="B6" s="57"/>
      <c r="C6" s="57"/>
      <c r="D6" s="57"/>
      <c r="E6" s="58"/>
      <c r="F6" s="44" t="s">
        <v>105</v>
      </c>
      <c r="G6" s="48">
        <f>B19</f>
        <v>0</v>
      </c>
      <c r="K6" s="37">
        <f>$L6*VLOOKUP($R6,武学奇术!$A:$ZZ,31,FALSE)</f>
        <v>27930.5303351507</v>
      </c>
      <c r="L6" s="37">
        <f t="shared" si="0"/>
        <v>27930.5303351507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28641.6547835496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26527.0153866008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17571.5673518709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15493.4936766301</v>
      </c>
      <c r="Q6" s="38">
        <v>1</v>
      </c>
      <c r="R6" s="39" t="s">
        <v>77</v>
      </c>
      <c r="S6" s="39" t="s">
        <v>106</v>
      </c>
      <c r="T6" s="39" t="s">
        <v>104</v>
      </c>
      <c r="U6" s="39" t="s">
        <v>89</v>
      </c>
      <c r="V6" s="39" t="s">
        <v>90</v>
      </c>
      <c r="W6" s="39" t="s">
        <v>91</v>
      </c>
      <c r="X6" s="39" t="s">
        <v>81</v>
      </c>
      <c r="Y6" s="39" t="s">
        <v>80</v>
      </c>
      <c r="Z6" s="39" t="s">
        <v>80</v>
      </c>
      <c r="AA6" s="39" t="s">
        <v>80</v>
      </c>
      <c r="AB6" s="39" t="s">
        <v>107</v>
      </c>
      <c r="AC6" s="39" t="s">
        <v>80</v>
      </c>
      <c r="AD6" s="39" t="s">
        <v>80</v>
      </c>
      <c r="AE6" s="39" t="s">
        <v>80</v>
      </c>
      <c r="AF6" s="39" t="s">
        <v>84</v>
      </c>
      <c r="AG6" s="39" t="s">
        <v>80</v>
      </c>
      <c r="AH6" s="39" t="s">
        <v>80</v>
      </c>
      <c r="AI6" s="39" t="s">
        <v>80</v>
      </c>
      <c r="AJ6" s="39" t="s">
        <v>80</v>
      </c>
      <c r="AK6" s="39" t="s">
        <v>80</v>
      </c>
      <c r="AL6" s="39" t="s">
        <v>80</v>
      </c>
      <c r="AM6" t="str">
        <f>VLOOKUP($R6,武学奇术!$A:$ZZ,25,FALSE)</f>
        <v>群体奇术</v>
      </c>
      <c r="AN6" s="24">
        <f>VLOOKUP($R6,武学奇术!$A:$ZZ,26,FALSE)</f>
        <v>1.4904</v>
      </c>
      <c r="AO6" s="25">
        <f>VLOOKUP($R6,武学奇术!$A:$ZZ,27,FALSE)*(1+IF(OR($AM6=$F$4,$AM6=$F$5),$B$22,0))</f>
        <v>378</v>
      </c>
      <c r="AP6" s="24">
        <f>VLOOKUP($R6,武学奇术!$A:$ZZ,28,FALSE)</f>
        <v>2.2356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0.1742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4302.6</v>
      </c>
      <c r="AU6" cm="1">
        <f t="array" ref="AU6">$E$10*(1+$AS6)+VLOOKUP($R6,武学奇术!$A:$ZZ,4,FALSE)+SUM(_xlfn.XLOOKUP($S6:$AL6,增益!$A:$A,增益!$D:$D,0))-$I$2</f>
        <v>4302.6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0.2885</v>
      </c>
      <c r="AW6" s="31" cm="1">
        <f t="array" ref="AW6">$G$10+VLOOKUP($R6,武学奇术!$A:$ZZ,7,FALSE)+SUM(_xlfn.XLOOKUP($S6:$AL6,增益!$A:$A,增益!$G:$G,0))</f>
        <v>0.135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-0.16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-0.16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-0.16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1707.09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0.07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0.9771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0.8861</v>
      </c>
      <c r="BQ6" s="24" cm="1">
        <f t="array" ref="BQ6">1+$B$13+VLOOKUP($R6,武学奇术!$A:$ZZ,18,FALSE)+SUM(_xlfn.XLOOKUP($S6:$AL6,增益!$A:$A,增益!$R:$R,0))</f>
        <v>1.63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0.86580831</v>
      </c>
      <c r="BU6" s="24">
        <f t="shared" si="10"/>
        <v>0.0220824599999999</v>
      </c>
      <c r="BV6" s="24">
        <f>IF(VLOOKUP($R6,武学奇术!$A:$ZZ,22,FALSE)=1,0,(1-$BO6))*(1-$BR6)</f>
        <v>0.02080923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40" t="s">
        <v>108</v>
      </c>
      <c r="B7" s="59"/>
      <c r="C7" s="59"/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11764.5812825219</v>
      </c>
      <c r="L7" s="37">
        <f t="shared" si="0"/>
        <v>11764.5812825219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11990.2593517769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11693.1985384784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7785.88269595903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6910.136844897</v>
      </c>
      <c r="Q7" s="38">
        <v>1</v>
      </c>
      <c r="R7" s="39" t="s">
        <v>110</v>
      </c>
      <c r="S7" s="39" t="s">
        <v>80</v>
      </c>
      <c r="T7" s="39" t="s">
        <v>80</v>
      </c>
      <c r="U7" s="39" t="s">
        <v>80</v>
      </c>
      <c r="V7" s="39" t="s">
        <v>80</v>
      </c>
      <c r="W7" s="39" t="s">
        <v>80</v>
      </c>
      <c r="X7" s="39" t="s">
        <v>80</v>
      </c>
      <c r="Y7" s="39" t="s">
        <v>80</v>
      </c>
      <c r="Z7" s="39" t="s">
        <v>80</v>
      </c>
      <c r="AA7" s="39" t="s">
        <v>80</v>
      </c>
      <c r="AB7" s="39" t="s">
        <v>111</v>
      </c>
      <c r="AC7" s="39" t="s">
        <v>80</v>
      </c>
      <c r="AD7" s="39" t="s">
        <v>80</v>
      </c>
      <c r="AE7" s="39" t="s">
        <v>80</v>
      </c>
      <c r="AF7" s="39" t="s">
        <v>84</v>
      </c>
      <c r="AG7" s="39" t="s">
        <v>80</v>
      </c>
      <c r="AH7" s="39" t="s">
        <v>80</v>
      </c>
      <c r="AI7" s="39" t="s">
        <v>80</v>
      </c>
      <c r="AJ7" s="39" t="s">
        <v>80</v>
      </c>
      <c r="AK7" s="39" t="s">
        <v>80</v>
      </c>
      <c r="AL7" s="39" t="s">
        <v>80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0.2743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4302.6</v>
      </c>
      <c r="AU7" cm="1">
        <f t="array" ref="AU7">$E$10*(1+$AS7)+VLOOKUP($R7,武学奇术!$A:$ZZ,4,FALSE)+SUM(_xlfn.XLOOKUP($S7:$AL7,增益!$A:$A,增益!$D:$D,0))-$I$2</f>
        <v>4302.6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0.1985</v>
      </c>
      <c r="AW7" s="31" cm="1">
        <f t="array" ref="AW7">$G$10+VLOOKUP($R7,武学奇术!$A:$ZZ,7,FALSE)+SUM(_xlfn.XLOOKUP($S7:$AL7,增益!$A:$A,增益!$G:$G,0))</f>
        <v>0.025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1707.09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0.9771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0.8861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0.86580831</v>
      </c>
      <c r="BU7" s="24">
        <f t="shared" si="10"/>
        <v>0.0220824599999999</v>
      </c>
      <c r="BV7" s="24">
        <f>IF(VLOOKUP($R7,武学奇术!$A:$ZZ,22,FALSE)=1,0,(1-$BO7))*(1-$BR7)</f>
        <v>0.02080923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3" t="s">
        <v>112</v>
      </c>
      <c r="B8" s="64">
        <f>期望!B8</f>
        <v>0.9771</v>
      </c>
      <c r="C8" s="65" t="s">
        <v>113</v>
      </c>
      <c r="D8" s="65"/>
      <c r="E8" s="65"/>
      <c r="F8" s="65"/>
      <c r="G8" s="36"/>
      <c r="H8" s="66" t="s">
        <v>114</v>
      </c>
      <c r="I8" s="18">
        <f>期望!I8</f>
        <v>100.5</v>
      </c>
      <c r="J8" s="67"/>
      <c r="K8" s="37">
        <f>$L8*VLOOKUP($R8,武学奇术!$A:$ZZ,31,FALSE)</f>
        <v>26872.4433772986</v>
      </c>
      <c r="L8" s="37">
        <f t="shared" si="0"/>
        <v>26872.4433772986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27511.2683385678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25797.337419735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17194.5427116048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15279.9465937764</v>
      </c>
      <c r="Q8" s="38">
        <v>1</v>
      </c>
      <c r="R8" s="39" t="s">
        <v>115</v>
      </c>
      <c r="S8" s="39" t="s">
        <v>78</v>
      </c>
      <c r="T8" s="39" t="s">
        <v>79</v>
      </c>
      <c r="U8" s="39" t="s">
        <v>89</v>
      </c>
      <c r="V8" s="39" t="s">
        <v>90</v>
      </c>
      <c r="W8" s="39" t="s">
        <v>91</v>
      </c>
      <c r="X8" s="39" t="s">
        <v>80</v>
      </c>
      <c r="Y8" s="39" t="s">
        <v>80</v>
      </c>
      <c r="Z8" s="39" t="s">
        <v>80</v>
      </c>
      <c r="AA8" s="39" t="s">
        <v>80</v>
      </c>
      <c r="AB8" s="39" t="s">
        <v>82</v>
      </c>
      <c r="AC8" s="39" t="s">
        <v>80</v>
      </c>
      <c r="AD8" s="39" t="s">
        <v>80</v>
      </c>
      <c r="AE8" s="39" t="s">
        <v>80</v>
      </c>
      <c r="AF8" s="39" t="s">
        <v>84</v>
      </c>
      <c r="AG8" s="39" t="s">
        <v>80</v>
      </c>
      <c r="AH8" s="39" t="s">
        <v>80</v>
      </c>
      <c r="AI8" s="39" t="s">
        <v>80</v>
      </c>
      <c r="AJ8" s="39" t="s">
        <v>80</v>
      </c>
      <c r="AK8" s="39" t="s">
        <v>80</v>
      </c>
      <c r="AL8" s="39" t="s">
        <v>80</v>
      </c>
      <c r="AM8" t="str">
        <f>VLOOKUP($R8,武学奇术!$A:$ZZ,25,FALSE)</f>
        <v>双刀</v>
      </c>
      <c r="AN8" s="24">
        <f>VLOOKUP($R8,武学奇术!$A:$ZZ,26,FALSE)</f>
        <v>1.2672</v>
      </c>
      <c r="AO8" s="25">
        <f>VLOOKUP($R8,武学奇术!$A:$ZZ,27,FALSE)*(1+IF(OR($AM8=$F$4,$AM8=$F$5),$B$22,0))</f>
        <v>562.56</v>
      </c>
      <c r="AP8" s="24">
        <f>VLOOKUP($R8,武学奇术!$A:$ZZ,28,FALSE)</f>
        <v>1.90092</v>
      </c>
      <c r="AQ8" s="25">
        <f>VLOOKUP($R8,武学奇术!$A:$ZZ,29,FALSE)*(1+IF(OR($AM8=$F$4,$AM8=$F$5),$B$22,0))</f>
        <v>307.2</v>
      </c>
      <c r="AR8" s="24" cm="1">
        <f t="array" ref="AR8">$G$3+IFERROR(VLOOKUP($AM8,$F$4:$G$7,2,FALSE),0)+VLOOKUP($R8,武学奇术!$A:$ZZ,2,FALSE)+SUM(_xlfn.XLOOKUP($S8:$AL8,增益!$A:$A,增益!$B:$B,0))</f>
        <v>0.2843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4302.6</v>
      </c>
      <c r="AU8" cm="1">
        <f t="array" ref="AU8">$E$10*(1+$AS8)+VLOOKUP($R8,武学奇术!$A:$ZZ,4,FALSE)+SUM(_xlfn.XLOOKUP($S8:$AL8,增益!$A:$A,增益!$D:$D,0))-$I$2</f>
        <v>4302.6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0.2385</v>
      </c>
      <c r="AW8" s="31" cm="1">
        <f t="array" ref="AW8">$G$10+VLOOKUP($R8,武学奇术!$A:$ZZ,7,FALSE)+SUM(_xlfn.XLOOKUP($S8:$AL8,增益!$A:$A,增益!$G:$G,0))</f>
        <v>0.135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-0.18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-0.18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-0.18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1707.09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0.06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0.9771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0.8861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0.86580831</v>
      </c>
      <c r="BU8" s="24">
        <f t="shared" si="10"/>
        <v>0.0220824599999999</v>
      </c>
      <c r="BV8" s="24">
        <f>IF(VLOOKUP($R8,武学奇术!$A:$ZZ,22,FALSE)=1,0,(1-$BO8))*(1-$BR8)</f>
        <v>0.02080923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116</v>
      </c>
      <c r="B9" s="68">
        <f>期望!B9</f>
        <v>0.7941</v>
      </c>
      <c r="C9" s="20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112698.537943504</v>
      </c>
      <c r="L9" s="37">
        <f t="shared" si="0"/>
        <v>112698.537943504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117488.711827542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92729.0545743035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61836.1641197587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54984.1396659593</v>
      </c>
      <c r="Q9" s="38">
        <v>1</v>
      </c>
      <c r="R9" s="39" t="s">
        <v>117</v>
      </c>
      <c r="S9" s="39" t="s">
        <v>87</v>
      </c>
      <c r="T9" s="39" t="s">
        <v>79</v>
      </c>
      <c r="U9" s="39" t="s">
        <v>89</v>
      </c>
      <c r="V9" s="39" t="s">
        <v>90</v>
      </c>
      <c r="W9" s="39" t="s">
        <v>91</v>
      </c>
      <c r="X9" s="39" t="s">
        <v>81</v>
      </c>
      <c r="Y9" s="39" t="s">
        <v>80</v>
      </c>
      <c r="Z9" s="39" t="s">
        <v>80</v>
      </c>
      <c r="AA9" s="39" t="s">
        <v>80</v>
      </c>
      <c r="AB9" s="39" t="s">
        <v>82</v>
      </c>
      <c r="AC9" s="39" t="s">
        <v>80</v>
      </c>
      <c r="AD9" s="39" t="s">
        <v>80</v>
      </c>
      <c r="AE9" s="39" t="s">
        <v>80</v>
      </c>
      <c r="AF9" s="39" t="s">
        <v>84</v>
      </c>
      <c r="AG9" s="39" t="s">
        <v>80</v>
      </c>
      <c r="AH9" s="39" t="s">
        <v>80</v>
      </c>
      <c r="AI9" s="39" t="s">
        <v>80</v>
      </c>
      <c r="AJ9" s="39" t="s">
        <v>80</v>
      </c>
      <c r="AK9" s="39" t="s">
        <v>80</v>
      </c>
      <c r="AL9" s="39" t="s">
        <v>80</v>
      </c>
      <c r="AM9" t="str">
        <f>VLOOKUP($R9,武学奇术!$A:$ZZ,25,FALSE)</f>
        <v>拳甲</v>
      </c>
      <c r="AN9" s="24">
        <f>VLOOKUP($R9,武学奇术!$A:$ZZ,26,FALSE)</f>
        <v>4.26944</v>
      </c>
      <c r="AO9" s="25">
        <f>VLOOKUP($R9,武学奇术!$A:$ZZ,27,FALSE)*(1+IF(OR($AM9=$F$4,$AM9=$F$5),$B$22,0))</f>
        <v>1890.56</v>
      </c>
      <c r="AP9" s="24">
        <f>VLOOKUP($R9,武学奇术!$A:$ZZ,28,FALSE)</f>
        <v>6.40416</v>
      </c>
      <c r="AQ9" s="25">
        <f>VLOOKUP($R9,武学奇术!$A:$ZZ,29,FALSE)*(1+IF(OR($AM9=$F$4,$AM9=$F$5),$B$22,0))</f>
        <v>1021.44</v>
      </c>
      <c r="AR9" s="24" cm="1">
        <f t="array" ref="AR9">$G$3+IFERROR(VLOOKUP($AM9,$F$4:$G$7,2,FALSE),0)+VLOOKUP($R9,武学奇术!$A:$ZZ,2,FALSE)+SUM(_xlfn.XLOOKUP($S9:$AL9,增益!$A:$A,增益!$B:$B,0))</f>
        <v>0.3643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4302.6</v>
      </c>
      <c r="AU9" cm="1">
        <f t="array" ref="AU9">$E$10*(1+$AS9)+VLOOKUP($R9,武学奇术!$A:$ZZ,4,FALSE)+SUM(_xlfn.XLOOKUP($S9:$AL9,增益!$A:$A,增益!$D:$D,0))-$I$2</f>
        <v>4302.6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0.2485</v>
      </c>
      <c r="AW9" s="31" cm="1">
        <f t="array" ref="AW9">$G$10+VLOOKUP($R9,武学奇术!$A:$ZZ,7,FALSE)+SUM(_xlfn.XLOOKUP($S9:$AL9,增益!$A:$A,增益!$G:$G,0))</f>
        <v>0.135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-0.18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-0.18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-0.18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1707.09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0.06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0.9771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0.8861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0.86580831</v>
      </c>
      <c r="BU9" s="24">
        <f t="shared" si="10"/>
        <v>0.0220824599999999</v>
      </c>
      <c r="BV9" s="24">
        <f>IF(VLOOKUP($R9,武学奇术!$A:$ZZ,22,FALSE)=1,0,(1-$BO9))*(1-$BR9)</f>
        <v>0.02080923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118</v>
      </c>
      <c r="B10" s="68">
        <f>期望!B10</f>
        <v>0.0913</v>
      </c>
      <c r="C10" s="20" t="s">
        <v>73</v>
      </c>
      <c r="D10" s="25">
        <f>期望!D10</f>
        <v>4989.6</v>
      </c>
      <c r="E10" s="25">
        <f>期望!E10</f>
        <v>4989.6</v>
      </c>
      <c r="F10" s="25">
        <f>期望!F10</f>
        <v>58.7</v>
      </c>
      <c r="G10" s="48">
        <f>期望!G10</f>
        <v>0.025</v>
      </c>
      <c r="H10" s="66" t="s">
        <v>119</v>
      </c>
      <c r="I10" s="71">
        <f>SUM(L:L)</f>
        <v>14747927.801316</v>
      </c>
      <c r="J10" s="72"/>
      <c r="K10" s="37">
        <f>$L10*VLOOKUP($R10,武学奇术!$A:$ZZ,31,FALSE)</f>
        <v>57841.1901039433</v>
      </c>
      <c r="L10" s="37">
        <f t="shared" si="0"/>
        <v>36150.7438149646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37002.5931465138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34915.0426393451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22982.9771096359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20102.9596716087</v>
      </c>
      <c r="Q10" s="38">
        <v>1</v>
      </c>
      <c r="R10" s="39" t="s">
        <v>120</v>
      </c>
      <c r="S10" s="39" t="s">
        <v>87</v>
      </c>
      <c r="T10" s="39" t="s">
        <v>88</v>
      </c>
      <c r="U10" s="39" t="s">
        <v>89</v>
      </c>
      <c r="V10" s="39" t="s">
        <v>90</v>
      </c>
      <c r="W10" s="39" t="s">
        <v>91</v>
      </c>
      <c r="X10" s="39" t="s">
        <v>81</v>
      </c>
      <c r="Y10" s="39" t="s">
        <v>80</v>
      </c>
      <c r="Z10" s="39" t="s">
        <v>80</v>
      </c>
      <c r="AA10" s="39" t="s">
        <v>80</v>
      </c>
      <c r="AB10" s="39" t="s">
        <v>82</v>
      </c>
      <c r="AC10" s="39" t="s">
        <v>80</v>
      </c>
      <c r="AD10" s="39" t="s">
        <v>121</v>
      </c>
      <c r="AE10" s="39" t="s">
        <v>80</v>
      </c>
      <c r="AF10" s="39" t="s">
        <v>84</v>
      </c>
      <c r="AG10" s="39" t="s">
        <v>80</v>
      </c>
      <c r="AH10" s="39" t="s">
        <v>80</v>
      </c>
      <c r="AI10" s="39" t="s">
        <v>80</v>
      </c>
      <c r="AJ10" s="39" t="s">
        <v>80</v>
      </c>
      <c r="AK10" s="39" t="s">
        <v>80</v>
      </c>
      <c r="AL10" s="39" t="s">
        <v>80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0.3143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4302.6</v>
      </c>
      <c r="AU10" cm="1">
        <f t="array" ref="AU10">$E$10*(1+$AS10)+VLOOKUP($R10,武学奇术!$A:$ZZ,4,FALSE)+SUM(_xlfn.XLOOKUP($S10:$AL10,增益!$A:$A,增益!$D:$D,0))-$I$2</f>
        <v>4302.6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0.2485</v>
      </c>
      <c r="AW10" s="31" cm="1">
        <f t="array" ref="AW10">$G$10+VLOOKUP($R10,武学奇术!$A:$ZZ,7,FALSE)+SUM(_xlfn.XLOOKUP($S10:$AL10,增益!$A:$A,增益!$G:$G,0))</f>
        <v>0.135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-0.18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-0.18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-0.18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1707.09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0.06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0.9771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0.8861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0.86580831</v>
      </c>
      <c r="BU10" s="24">
        <f t="shared" si="10"/>
        <v>0.0220824599999999</v>
      </c>
      <c r="BV10" s="24">
        <f>IF(VLOOKUP($R10,武学奇术!$A:$ZZ,22,FALSE)=1,0,(1-$BO10))*(1-$BR10)</f>
        <v>0.02080923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122</v>
      </c>
      <c r="B11" s="68">
        <f>期望!B11</f>
        <v>0.092</v>
      </c>
      <c r="C11" s="20" t="s">
        <v>85</v>
      </c>
      <c r="D11" s="25">
        <f>期望!D11</f>
        <v>0</v>
      </c>
      <c r="E11" s="25">
        <f>期望!E11</f>
        <v>0</v>
      </c>
      <c r="F11" s="25">
        <f>期望!F11</f>
        <v>0</v>
      </c>
      <c r="G11" s="48">
        <f>期望!G11</f>
        <v>0</v>
      </c>
      <c r="H11" s="69"/>
      <c r="I11" s="73"/>
      <c r="J11" s="74"/>
      <c r="K11" s="37">
        <f>$L11*VLOOKUP($R11,武学奇术!$A:$ZZ,31,FALSE)</f>
        <v>42102.0769706006</v>
      </c>
      <c r="L11" s="37">
        <f t="shared" si="0"/>
        <v>42102.0769706006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43914.1385130875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34476.2826832281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22991.6955565903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20445.4039404191</v>
      </c>
      <c r="Q11" s="38">
        <v>1</v>
      </c>
      <c r="R11" s="39" t="s">
        <v>123</v>
      </c>
      <c r="S11" s="39" t="s">
        <v>87</v>
      </c>
      <c r="T11" s="39" t="s">
        <v>88</v>
      </c>
      <c r="U11" s="39" t="s">
        <v>89</v>
      </c>
      <c r="V11" s="39" t="s">
        <v>90</v>
      </c>
      <c r="W11" s="39" t="s">
        <v>91</v>
      </c>
      <c r="X11" s="39" t="s">
        <v>81</v>
      </c>
      <c r="Y11" s="39" t="s">
        <v>80</v>
      </c>
      <c r="Z11" s="39" t="s">
        <v>80</v>
      </c>
      <c r="AA11" s="39" t="s">
        <v>80</v>
      </c>
      <c r="AB11" s="39" t="s">
        <v>82</v>
      </c>
      <c r="AC11" s="39" t="s">
        <v>80</v>
      </c>
      <c r="AD11" s="39" t="s">
        <v>121</v>
      </c>
      <c r="AE11" s="39" t="s">
        <v>80</v>
      </c>
      <c r="AF11" s="39" t="s">
        <v>84</v>
      </c>
      <c r="AG11" s="39" t="s">
        <v>80</v>
      </c>
      <c r="AH11" s="39" t="s">
        <v>80</v>
      </c>
      <c r="AI11" s="39" t="s">
        <v>80</v>
      </c>
      <c r="AJ11" s="39" t="s">
        <v>80</v>
      </c>
      <c r="AK11" s="39" t="s">
        <v>80</v>
      </c>
      <c r="AL11" s="39" t="s">
        <v>80</v>
      </c>
      <c r="AM11" t="str">
        <f>VLOOKUP($R11,武学奇术!$A:$ZZ,25,FALSE)</f>
        <v>拳甲</v>
      </c>
      <c r="AN11" s="24">
        <f>VLOOKUP($R11,武学奇术!$A:$ZZ,26,FALSE)</f>
        <v>1.58662</v>
      </c>
      <c r="AO11" s="25">
        <f>VLOOKUP($R11,武学奇术!$A:$ZZ,27,FALSE)*(1+IF(OR($AM11=$F$4,$AM11=$F$5),$B$22,0))</f>
        <v>703.36</v>
      </c>
      <c r="AP11" s="24">
        <f>VLOOKUP($R11,武学奇术!$A:$ZZ,28,FALSE)</f>
        <v>2.37986</v>
      </c>
      <c r="AQ11" s="25">
        <f>VLOOKUP($R11,武学奇术!$A:$ZZ,29,FALSE)*(1+IF(OR($AM11=$F$4,$AM11=$F$5),$B$22,0))</f>
        <v>383.04</v>
      </c>
      <c r="AR11" s="24" cm="1">
        <f t="array" ref="AR11">$G$3+IFERROR(VLOOKUP($AM11,$F$4:$G$7,2,FALSE),0)+VLOOKUP($R11,武学奇术!$A:$ZZ,2,FALSE)+SUM(_xlfn.XLOOKUP($S11:$AL11,增益!$A:$A,增益!$B:$B,0))</f>
        <v>0.3643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4302.6</v>
      </c>
      <c r="AU11" cm="1">
        <f t="array" ref="AU11">$E$10*(1+$AS11)+VLOOKUP($R11,武学奇术!$A:$ZZ,4,FALSE)+SUM(_xlfn.XLOOKUP($S11:$AL11,增益!$A:$A,增益!$D:$D,0))-$I$2</f>
        <v>4302.6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0.2485</v>
      </c>
      <c r="AW11" s="31" cm="1">
        <f t="array" ref="AW11">$G$10+VLOOKUP($R11,武学奇术!$A:$ZZ,7,FALSE)+SUM(_xlfn.XLOOKUP($S11:$AL11,增益!$A:$A,增益!$G:$G,0))</f>
        <v>0.135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-0.18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-0.18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-0.18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1707.09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0.06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0.9771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0.8861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0.86580831</v>
      </c>
      <c r="BU11" s="24">
        <f t="shared" si="10"/>
        <v>0.0220824599999999</v>
      </c>
      <c r="BV11" s="24">
        <f>IF(VLOOKUP($R11,武学奇术!$A:$ZZ,22,FALSE)=1,0,(1-$BO11))*(1-$BR11)</f>
        <v>0.02080923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124</v>
      </c>
      <c r="B12" s="68">
        <f>期望!B12</f>
        <v>0</v>
      </c>
      <c r="C12" s="20" t="s">
        <v>94</v>
      </c>
      <c r="D12" s="25">
        <f>期望!D12</f>
        <v>0</v>
      </c>
      <c r="E12" s="25">
        <f>期望!E12</f>
        <v>0</v>
      </c>
      <c r="F12" s="25">
        <f>期望!F12</f>
        <v>0</v>
      </c>
      <c r="G12" s="48">
        <f>期望!G12</f>
        <v>0</v>
      </c>
      <c r="H12" s="66" t="s">
        <v>125</v>
      </c>
      <c r="I12" s="37">
        <f>I10/I8</f>
        <v>146745.550261851</v>
      </c>
      <c r="J12" s="75"/>
      <c r="K12" s="37">
        <f>$L12*VLOOKUP($R12,武学奇术!$A:$ZZ,31,FALSE)</f>
        <v>29170.1659870183</v>
      </c>
      <c r="L12" s="37">
        <f t="shared" si="0"/>
        <v>29170.1659870183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30426.7766296706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23873.2337771354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15930.2495443302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14176.6222167082</v>
      </c>
      <c r="Q12" s="38">
        <v>1</v>
      </c>
      <c r="R12" s="39" t="s">
        <v>126</v>
      </c>
      <c r="S12" s="39" t="s">
        <v>97</v>
      </c>
      <c r="T12" s="39" t="s">
        <v>88</v>
      </c>
      <c r="U12" s="39" t="s">
        <v>89</v>
      </c>
      <c r="V12" s="39" t="s">
        <v>90</v>
      </c>
      <c r="W12" s="39" t="s">
        <v>91</v>
      </c>
      <c r="X12" s="39" t="s">
        <v>81</v>
      </c>
      <c r="Y12" s="39" t="s">
        <v>80</v>
      </c>
      <c r="Z12" s="39" t="s">
        <v>80</v>
      </c>
      <c r="AA12" s="39" t="s">
        <v>80</v>
      </c>
      <c r="AB12" s="39" t="s">
        <v>82</v>
      </c>
      <c r="AC12" s="39" t="s">
        <v>80</v>
      </c>
      <c r="AD12" s="39" t="s">
        <v>121</v>
      </c>
      <c r="AE12" s="39" t="s">
        <v>80</v>
      </c>
      <c r="AF12" s="39" t="s">
        <v>84</v>
      </c>
      <c r="AG12" s="39" t="s">
        <v>80</v>
      </c>
      <c r="AH12" s="39" t="s">
        <v>80</v>
      </c>
      <c r="AI12" s="39" t="s">
        <v>80</v>
      </c>
      <c r="AJ12" s="39" t="s">
        <v>80</v>
      </c>
      <c r="AK12" s="39" t="s">
        <v>80</v>
      </c>
      <c r="AL12" s="39" t="s">
        <v>80</v>
      </c>
      <c r="AM12" t="str">
        <f>VLOOKUP($R12,武学奇术!$A:$ZZ,25,FALSE)</f>
        <v>拳甲</v>
      </c>
      <c r="AN12" s="24">
        <f>VLOOKUP($R12,武学奇术!$A:$ZZ,26,FALSE)</f>
        <v>1.08472</v>
      </c>
      <c r="AO12" s="25">
        <f>VLOOKUP($R12,武学奇术!$A:$ZZ,27,FALSE)*(1+IF(OR($AM12=$F$4,$AM12=$F$5),$B$22,0))</f>
        <v>483.84</v>
      </c>
      <c r="AP12" s="24">
        <f>VLOOKUP($R12,武学奇术!$A:$ZZ,28,FALSE)</f>
        <v>1.62708</v>
      </c>
      <c r="AQ12" s="25">
        <f>VLOOKUP($R12,武学奇术!$A:$ZZ,29,FALSE)*(1+IF(OR($AM12=$F$4,$AM12=$F$5),$B$22,0))</f>
        <v>262.08</v>
      </c>
      <c r="AR12" s="24" cm="1">
        <f t="array" ref="AR12">$G$3+IFERROR(VLOOKUP($AM12,$F$4:$G$7,2,FALSE),0)+VLOOKUP($R12,武学奇术!$A:$ZZ,2,FALSE)+SUM(_xlfn.XLOOKUP($S12:$AL12,增益!$A:$A,增益!$B:$B,0))</f>
        <v>0.3743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4302.6</v>
      </c>
      <c r="AU12" cm="1">
        <f t="array" ref="AU12">$E$10*(1+$AS12)+VLOOKUP($R12,武学奇术!$A:$ZZ,4,FALSE)+SUM(_xlfn.XLOOKUP($S12:$AL12,增益!$A:$A,增益!$D:$D,0))-$I$2</f>
        <v>4302.6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0.2585</v>
      </c>
      <c r="AW12" s="31" cm="1">
        <f t="array" ref="AW12">$G$10+VLOOKUP($R12,武学奇术!$A:$ZZ,7,FALSE)+SUM(_xlfn.XLOOKUP($S12:$AL12,增益!$A:$A,增益!$G:$G,0))</f>
        <v>0.135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-0.18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-0.18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-0.18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1707.09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0.06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0.9771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0.8861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0.86580831</v>
      </c>
      <c r="BU12" s="24">
        <f t="shared" si="10"/>
        <v>0.0220824599999999</v>
      </c>
      <c r="BV12" s="24">
        <f>IF(VLOOKUP($R12,武学奇术!$A:$ZZ,22,FALSE)=1,0,(1-$BO12))*(1-$BR12)</f>
        <v>0.02080923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127</v>
      </c>
      <c r="B13" s="68">
        <f>期望!B13</f>
        <v>0.54</v>
      </c>
      <c r="C13" s="20" t="s">
        <v>100</v>
      </c>
      <c r="D13" s="25">
        <f>期望!D13</f>
        <v>0</v>
      </c>
      <c r="E13" s="25">
        <f>期望!E13</f>
        <v>0</v>
      </c>
      <c r="F13" s="25">
        <f>期望!F13</f>
        <v>0</v>
      </c>
      <c r="G13" s="48">
        <f>期望!G13</f>
        <v>0</v>
      </c>
      <c r="H13" s="69"/>
      <c r="I13" s="76"/>
      <c r="J13" s="74"/>
      <c r="K13" s="37">
        <f>$L13*VLOOKUP($R13,武学奇术!$A:$ZZ,31,FALSE)</f>
        <v>71200.2504025539</v>
      </c>
      <c r="L13" s="37">
        <f t="shared" si="0"/>
        <v>44500.1565015962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45709.5459467886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41778.4791400945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27535.8710522823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24124.7205193094</v>
      </c>
      <c r="Q13" s="38">
        <v>1</v>
      </c>
      <c r="R13" s="39" t="s">
        <v>128</v>
      </c>
      <c r="S13" s="39" t="s">
        <v>103</v>
      </c>
      <c r="T13" s="39" t="s">
        <v>88</v>
      </c>
      <c r="U13" s="39" t="s">
        <v>89</v>
      </c>
      <c r="V13" s="39" t="s">
        <v>129</v>
      </c>
      <c r="W13" s="39" t="s">
        <v>91</v>
      </c>
      <c r="X13" s="39" t="s">
        <v>81</v>
      </c>
      <c r="Y13" s="39" t="s">
        <v>80</v>
      </c>
      <c r="Z13" s="39" t="s">
        <v>80</v>
      </c>
      <c r="AA13" s="39" t="s">
        <v>80</v>
      </c>
      <c r="AB13" s="39" t="s">
        <v>82</v>
      </c>
      <c r="AC13" s="39" t="s">
        <v>80</v>
      </c>
      <c r="AD13" s="39" t="s">
        <v>121</v>
      </c>
      <c r="AE13" s="39" t="s">
        <v>80</v>
      </c>
      <c r="AF13" s="39" t="s">
        <v>84</v>
      </c>
      <c r="AG13" s="39" t="s">
        <v>80</v>
      </c>
      <c r="AH13" s="39" t="s">
        <v>80</v>
      </c>
      <c r="AI13" s="39" t="s">
        <v>80</v>
      </c>
      <c r="AJ13" s="39" t="s">
        <v>80</v>
      </c>
      <c r="AK13" s="39" t="s">
        <v>80</v>
      </c>
      <c r="AL13" s="39" t="s">
        <v>80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0.3343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4302.6</v>
      </c>
      <c r="AU13" cm="1">
        <f t="array" ref="AU13">$E$10*(1+$AS13)+VLOOKUP($R13,武学奇术!$A:$ZZ,4,FALSE)+SUM(_xlfn.XLOOKUP($S13:$AL13,增益!$A:$A,增益!$D:$D,0))-$I$2</f>
        <v>4302.6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0.2685</v>
      </c>
      <c r="AW13" s="31" cm="1">
        <f t="array" ref="AW13">$G$10+VLOOKUP($R13,武学奇术!$A:$ZZ,7,FALSE)+SUM(_xlfn.XLOOKUP($S13:$AL13,增益!$A:$A,增益!$G:$G,0))</f>
        <v>0.135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-0.18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-0.18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-0.18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1707.09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0.06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0.9771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0.8861</v>
      </c>
      <c r="BQ13" s="24" cm="1">
        <f t="array" ref="BQ13">1+$B$13+VLOOKUP($R13,武学奇术!$A:$ZZ,18,FALSE)+SUM(_xlfn.XLOOKUP($S13:$AL13,增益!$A:$A,增益!$R:$R,0))</f>
        <v>1.66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0.86580831</v>
      </c>
      <c r="BU13" s="24">
        <f t="shared" si="10"/>
        <v>0.0220824599999999</v>
      </c>
      <c r="BV13" s="24">
        <f>IF(VLOOKUP($R13,武学奇术!$A:$ZZ,22,FALSE)=1,0,(1-$BO13))*(1-$BR13)</f>
        <v>0.02080923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130</v>
      </c>
      <c r="B14" s="68">
        <f>期望!B14</f>
        <v>0.35</v>
      </c>
      <c r="C14" s="13" t="s">
        <v>5</v>
      </c>
      <c r="D14" s="77">
        <f>期望!D14</f>
        <v>649.11</v>
      </c>
      <c r="E14" s="77">
        <f>期望!E14</f>
        <v>1707.09</v>
      </c>
      <c r="F14" s="77">
        <f>期望!F14</f>
        <v>30</v>
      </c>
      <c r="G14" s="62">
        <f>期望!G14</f>
        <v>0.15</v>
      </c>
      <c r="H14" s="35" t="s">
        <v>131</v>
      </c>
      <c r="I14" s="71">
        <f>I12+120000*8%</f>
        <v>156345.550261851</v>
      </c>
      <c r="J14" s="72"/>
      <c r="K14" s="37">
        <f>$L14*VLOOKUP($R14,武学奇术!$A:$ZZ,31,FALSE)</f>
        <v>288508.996449649</v>
      </c>
      <c r="L14" s="37">
        <f t="shared" si="0"/>
        <v>288508.996449649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301472.719737234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229218.141639313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153031.837430068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136272.458831015</v>
      </c>
      <c r="Q14" s="38">
        <v>1</v>
      </c>
      <c r="R14" s="39" t="s">
        <v>132</v>
      </c>
      <c r="S14" s="39" t="s">
        <v>103</v>
      </c>
      <c r="T14" s="39" t="s">
        <v>98</v>
      </c>
      <c r="U14" s="39" t="s">
        <v>89</v>
      </c>
      <c r="V14" s="39" t="s">
        <v>129</v>
      </c>
      <c r="W14" s="39" t="s">
        <v>91</v>
      </c>
      <c r="X14" s="39" t="s">
        <v>81</v>
      </c>
      <c r="Y14" s="39" t="s">
        <v>80</v>
      </c>
      <c r="Z14" s="39" t="s">
        <v>80</v>
      </c>
      <c r="AA14" s="39" t="s">
        <v>80</v>
      </c>
      <c r="AB14" s="39" t="s">
        <v>82</v>
      </c>
      <c r="AC14" s="39" t="s">
        <v>80</v>
      </c>
      <c r="AD14" s="39" t="s">
        <v>121</v>
      </c>
      <c r="AE14" s="39" t="s">
        <v>80</v>
      </c>
      <c r="AF14" s="39" t="s">
        <v>84</v>
      </c>
      <c r="AG14" s="39" t="s">
        <v>80</v>
      </c>
      <c r="AH14" s="39" t="s">
        <v>80</v>
      </c>
      <c r="AI14" s="39" t="s">
        <v>80</v>
      </c>
      <c r="AJ14" s="39" t="s">
        <v>80</v>
      </c>
      <c r="AK14" s="39" t="s">
        <v>80</v>
      </c>
      <c r="AL14" s="39" t="s">
        <v>80</v>
      </c>
      <c r="AM14" t="str">
        <f>VLOOKUP($R14,武学奇术!$A:$ZZ,25,FALSE)</f>
        <v>拳甲</v>
      </c>
      <c r="AN14" s="24">
        <f>VLOOKUP($R14,武学奇术!$A:$ZZ,26,FALSE)</f>
        <v>7.79674</v>
      </c>
      <c r="AO14" s="25">
        <f>VLOOKUP($R14,武学奇术!$A:$ZZ,27,FALSE)*(1+IF(OR($AM14=$F$4,$AM14=$F$5),$B$22,0))</f>
        <v>3458.56</v>
      </c>
      <c r="AP14" s="24">
        <f>VLOOKUP($R14,武学奇术!$A:$ZZ,28,FALSE)</f>
        <v>11.69518</v>
      </c>
      <c r="AQ14" s="25">
        <f>VLOOKUP($R14,武学奇术!$A:$ZZ,29,FALSE)*(1+IF(OR($AM14=$F$4,$AM14=$F$5),$B$22,0))</f>
        <v>1881.6</v>
      </c>
      <c r="AR14" s="24" cm="1">
        <f t="array" ref="AR14">$G$3+IFERROR(VLOOKUP($AM14,$F$4:$G$7,2,FALSE),0)+VLOOKUP($R14,武学奇术!$A:$ZZ,2,FALSE)+SUM(_xlfn.XLOOKUP($S14:$AL14,增益!$A:$A,增益!$B:$B,0))</f>
        <v>0.3843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4302.6</v>
      </c>
      <c r="AU14" cm="1">
        <f t="array" ref="AU14">$E$10*(1+$AS14)+VLOOKUP($R14,武学奇术!$A:$ZZ,4,FALSE)+SUM(_xlfn.XLOOKUP($S14:$AL14,增益!$A:$A,增益!$D:$D,0))-$I$2</f>
        <v>4302.6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0.2685</v>
      </c>
      <c r="AW14" s="31" cm="1">
        <f t="array" ref="AW14">$G$10+VLOOKUP($R14,武学奇术!$A:$ZZ,7,FALSE)+SUM(_xlfn.XLOOKUP($S14:$AL14,增益!$A:$A,增益!$G:$G,0))</f>
        <v>0.135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-0.18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-0.18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-0.18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1707.09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0.06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0.9771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0.8861</v>
      </c>
      <c r="BQ14" s="24" cm="1">
        <f t="array" ref="BQ14">1+$B$13+VLOOKUP($R14,武学奇术!$A:$ZZ,18,FALSE)+SUM(_xlfn.XLOOKUP($S14:$AL14,增益!$A:$A,增益!$R:$R,0))</f>
        <v>1.97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0.86580831</v>
      </c>
      <c r="BU14" s="24">
        <f t="shared" si="10"/>
        <v>0.0428916899999999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ht="14.25" spans="1:76">
      <c r="A15" s="40" t="s">
        <v>133</v>
      </c>
      <c r="B15" s="68">
        <f>期望!B15</f>
        <v>0.0847</v>
      </c>
      <c r="C15" s="38" t="s">
        <v>134</v>
      </c>
      <c r="D15" s="38"/>
      <c r="F15" s="78"/>
      <c r="H15" s="79"/>
      <c r="I15" s="73"/>
      <c r="J15" s="74"/>
      <c r="K15" s="37">
        <f>$L15*VLOOKUP($R15,武学奇术!$A:$ZZ,31,FALSE)</f>
        <v>50540.9845917883</v>
      </c>
      <c r="L15" s="37">
        <f t="shared" si="0"/>
        <v>50540.9845917883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52814.0145980972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40134.5274336458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26809.1444660392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23889.0093516</v>
      </c>
      <c r="Q15" s="38">
        <v>1</v>
      </c>
      <c r="R15" s="39" t="s">
        <v>135</v>
      </c>
      <c r="S15" s="39" t="s">
        <v>106</v>
      </c>
      <c r="T15" s="39" t="s">
        <v>98</v>
      </c>
      <c r="U15" s="39" t="s">
        <v>89</v>
      </c>
      <c r="V15" s="39" t="s">
        <v>129</v>
      </c>
      <c r="W15" s="39" t="s">
        <v>91</v>
      </c>
      <c r="X15" s="39" t="s">
        <v>81</v>
      </c>
      <c r="Y15" s="39" t="s">
        <v>80</v>
      </c>
      <c r="Z15" s="39" t="s">
        <v>80</v>
      </c>
      <c r="AA15" s="39" t="s">
        <v>80</v>
      </c>
      <c r="AB15" s="39" t="s">
        <v>82</v>
      </c>
      <c r="AC15" s="39" t="s">
        <v>80</v>
      </c>
      <c r="AD15" s="39" t="s">
        <v>80</v>
      </c>
      <c r="AE15" s="39" t="s">
        <v>80</v>
      </c>
      <c r="AF15" s="39" t="s">
        <v>84</v>
      </c>
      <c r="AG15" s="39" t="s">
        <v>80</v>
      </c>
      <c r="AH15" s="39" t="s">
        <v>80</v>
      </c>
      <c r="AI15" s="39" t="s">
        <v>80</v>
      </c>
      <c r="AJ15" s="39" t="s">
        <v>80</v>
      </c>
      <c r="AK15" s="39" t="s">
        <v>80</v>
      </c>
      <c r="AL15" s="39" t="s">
        <v>80</v>
      </c>
      <c r="AM15" t="str">
        <f>VLOOKUP($R15,武学奇术!$A:$ZZ,25,FALSE)</f>
        <v>拳甲</v>
      </c>
      <c r="AN15" s="24">
        <f>VLOOKUP($R15,武学奇术!$A:$ZZ,26,FALSE)</f>
        <v>1.34876</v>
      </c>
      <c r="AO15" s="25">
        <f>VLOOKUP($R15,武学奇术!$A:$ZZ,27,FALSE)*(1+IF(OR($AM15=$F$4,$AM15=$F$5),$B$22,0))</f>
        <v>598.08</v>
      </c>
      <c r="AP15" s="24">
        <f>VLOOKUP($R15,武学奇术!$A:$ZZ,28,FALSE)</f>
        <v>2.02314</v>
      </c>
      <c r="AQ15" s="25">
        <f>VLOOKUP($R15,武学奇术!$A:$ZZ,29,FALSE)*(1+IF(OR($AM15=$F$4,$AM15=$F$5),$B$22,0))</f>
        <v>324.8</v>
      </c>
      <c r="AR15" s="24" cm="1">
        <f t="array" ref="AR15">$G$3+IFERROR(VLOOKUP($AM15,$F$4:$G$7,2,FALSE),0)+VLOOKUP($R15,武学奇术!$A:$ZZ,2,FALSE)+SUM(_xlfn.XLOOKUP($S15:$AL15,增益!$A:$A,增益!$B:$B,0))</f>
        <v>0.3943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4302.6</v>
      </c>
      <c r="AU15" cm="1">
        <f t="array" ref="AU15">$E$10*(1+$AS15)+VLOOKUP($R15,武学奇术!$A:$ZZ,4,FALSE)+SUM(_xlfn.XLOOKUP($S15:$AL15,增益!$A:$A,增益!$D:$D,0))-$I$2</f>
        <v>4302.6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0.2785</v>
      </c>
      <c r="AW15" s="31" cm="1">
        <f t="array" ref="AW15">$G$10+VLOOKUP($R15,武学奇术!$A:$ZZ,7,FALSE)+SUM(_xlfn.XLOOKUP($S15:$AL15,增益!$A:$A,增益!$G:$G,0))</f>
        <v>0.135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-0.18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-0.18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-0.18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1707.09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0.06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0.9771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0.8861</v>
      </c>
      <c r="BQ15" s="24" cm="1">
        <f t="array" ref="BQ15">1+$B$13+VLOOKUP($R15,武学奇术!$A:$ZZ,18,FALSE)+SUM(_xlfn.XLOOKUP($S15:$AL15,增益!$A:$A,增益!$R:$R,0))</f>
        <v>1.97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0.86580831</v>
      </c>
      <c r="BU15" s="24">
        <f t="shared" si="10"/>
        <v>0.0428916899999999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136</v>
      </c>
      <c r="B16" s="68">
        <f>期望!B16</f>
        <v>0.0892</v>
      </c>
      <c r="C16" s="38" t="s">
        <v>137</v>
      </c>
      <c r="D16" s="78" t="s">
        <v>160</v>
      </c>
      <c r="E16" s="38" t="s">
        <v>139</v>
      </c>
      <c r="F16" s="78" t="s">
        <v>138</v>
      </c>
      <c r="H16" s="66" t="s">
        <v>140</v>
      </c>
      <c r="I16" s="80"/>
      <c r="J16" s="81"/>
      <c r="K16" s="37">
        <f>$L16*VLOOKUP($R16,武学奇术!$A:$ZZ,31,FALSE)</f>
        <v>48817.4498256222</v>
      </c>
      <c r="L16" s="37">
        <f t="shared" si="0"/>
        <v>48817.4498256222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51037.6334336698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38587.5299929366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25776.5825422575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22969.8095341916</v>
      </c>
      <c r="Q16" s="38">
        <v>1</v>
      </c>
      <c r="R16" s="39" t="s">
        <v>141</v>
      </c>
      <c r="S16" s="39" t="s">
        <v>106</v>
      </c>
      <c r="T16" s="39" t="s">
        <v>104</v>
      </c>
      <c r="U16" s="39" t="s">
        <v>89</v>
      </c>
      <c r="V16" s="39" t="s">
        <v>129</v>
      </c>
      <c r="W16" s="39" t="s">
        <v>91</v>
      </c>
      <c r="X16" s="39" t="s">
        <v>81</v>
      </c>
      <c r="Y16" s="39" t="s">
        <v>80</v>
      </c>
      <c r="Z16" s="39" t="s">
        <v>80</v>
      </c>
      <c r="AA16" s="39" t="s">
        <v>80</v>
      </c>
      <c r="AB16" s="39" t="s">
        <v>82</v>
      </c>
      <c r="AC16" s="39" t="s">
        <v>80</v>
      </c>
      <c r="AD16" s="39" t="s">
        <v>80</v>
      </c>
      <c r="AE16" s="39" t="s">
        <v>80</v>
      </c>
      <c r="AF16" s="39" t="s">
        <v>84</v>
      </c>
      <c r="AG16" s="39" t="s">
        <v>80</v>
      </c>
      <c r="AH16" s="39" t="s">
        <v>80</v>
      </c>
      <c r="AI16" s="39" t="s">
        <v>80</v>
      </c>
      <c r="AJ16" s="39" t="s">
        <v>80</v>
      </c>
      <c r="AK16" s="39" t="s">
        <v>80</v>
      </c>
      <c r="AL16" s="39" t="s">
        <v>80</v>
      </c>
      <c r="AM16" t="str">
        <f>VLOOKUP($R16,武学奇术!$A:$ZZ,25,FALSE)</f>
        <v>拳甲</v>
      </c>
      <c r="AN16" s="24">
        <f>VLOOKUP($R16,武学奇术!$A:$ZZ,26,FALSE)</f>
        <v>1.2964</v>
      </c>
      <c r="AO16" s="25">
        <f>VLOOKUP($R16,武学奇术!$A:$ZZ,27,FALSE)*(1+IF(OR($AM16=$F$4,$AM16=$F$5),$B$22,0))</f>
        <v>575.68</v>
      </c>
      <c r="AP16" s="24">
        <f>VLOOKUP($R16,武学奇术!$A:$ZZ,28,FALSE)</f>
        <v>1.9446</v>
      </c>
      <c r="AQ16" s="25">
        <f>VLOOKUP($R16,武学奇术!$A:$ZZ,29,FALSE)*(1+IF(OR($AM16=$F$4,$AM16=$F$5),$B$22,0))</f>
        <v>313.6</v>
      </c>
      <c r="AR16" s="24" cm="1">
        <f t="array" ref="AR16">$G$3+IFERROR(VLOOKUP($AM16,$F$4:$G$7,2,FALSE),0)+VLOOKUP($R16,武学奇术!$A:$ZZ,2,FALSE)+SUM(_xlfn.XLOOKUP($S16:$AL16,增益!$A:$A,增益!$B:$B,0))</f>
        <v>0.3943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4302.6</v>
      </c>
      <c r="AU16" cm="1">
        <f t="array" ref="AU16">$E$10*(1+$AS16)+VLOOKUP($R16,武学奇术!$A:$ZZ,4,FALSE)+SUM(_xlfn.XLOOKUP($S16:$AL16,增益!$A:$A,增益!$D:$D,0))-$I$2</f>
        <v>4302.6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0.2785</v>
      </c>
      <c r="AW16" s="31" cm="1">
        <f t="array" ref="AW16">$G$10+VLOOKUP($R16,武学奇术!$A:$ZZ,7,FALSE)+SUM(_xlfn.XLOOKUP($S16:$AL16,增益!$A:$A,增益!$G:$G,0))</f>
        <v>0.135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-0.18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-0.18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-0.18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1707.09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0.06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0.9771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0.8861</v>
      </c>
      <c r="BQ16" s="24" cm="1">
        <f t="array" ref="BQ16">1+$B$13+VLOOKUP($R16,武学奇术!$A:$ZZ,18,FALSE)+SUM(_xlfn.XLOOKUP($S16:$AL16,增益!$A:$A,增益!$R:$R,0))</f>
        <v>1.98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0.86580831</v>
      </c>
      <c r="BU16" s="24">
        <f t="shared" si="10"/>
        <v>0.0428916899999999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ht="14.25" spans="1:76">
      <c r="A17" s="40" t="s">
        <v>142</v>
      </c>
      <c r="B17" s="68">
        <f>期望!B17</f>
        <v>0.0854</v>
      </c>
      <c r="C17" s="38" t="s">
        <v>143</v>
      </c>
      <c r="D17" s="78" t="s">
        <v>160</v>
      </c>
      <c r="E17" s="38" t="s">
        <v>144</v>
      </c>
      <c r="F17" s="78" t="s">
        <v>160</v>
      </c>
      <c r="H17" s="69"/>
      <c r="I17" s="82"/>
      <c r="J17" s="83"/>
      <c r="K17" s="37">
        <f>$L17*VLOOKUP($R17,武学奇术!$A:$ZZ,31,FALSE)</f>
        <v>60034.7200152935</v>
      </c>
      <c r="L17" s="37">
        <f t="shared" si="0"/>
        <v>60034.7200152935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62764.3954943744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47460.6025048414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31699.1896436234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28242.3774318088</v>
      </c>
      <c r="Q17" s="38">
        <v>1</v>
      </c>
      <c r="R17" s="39" t="s">
        <v>145</v>
      </c>
      <c r="S17" s="39" t="s">
        <v>106</v>
      </c>
      <c r="T17" s="39" t="s">
        <v>104</v>
      </c>
      <c r="U17" s="39" t="s">
        <v>89</v>
      </c>
      <c r="V17" s="39" t="s">
        <v>129</v>
      </c>
      <c r="W17" s="39" t="s">
        <v>91</v>
      </c>
      <c r="X17" s="39" t="s">
        <v>81</v>
      </c>
      <c r="Y17" s="39" t="s">
        <v>80</v>
      </c>
      <c r="Z17" s="39" t="s">
        <v>80</v>
      </c>
      <c r="AA17" s="39" t="s">
        <v>80</v>
      </c>
      <c r="AB17" s="39" t="s">
        <v>107</v>
      </c>
      <c r="AC17" s="39" t="s">
        <v>80</v>
      </c>
      <c r="AD17" s="39" t="s">
        <v>80</v>
      </c>
      <c r="AE17" s="39" t="s">
        <v>80</v>
      </c>
      <c r="AF17" s="39" t="s">
        <v>84</v>
      </c>
      <c r="AG17" s="39" t="s">
        <v>80</v>
      </c>
      <c r="AH17" s="39" t="s">
        <v>80</v>
      </c>
      <c r="AI17" s="39" t="s">
        <v>80</v>
      </c>
      <c r="AJ17" s="39" t="s">
        <v>80</v>
      </c>
      <c r="AK17" s="39" t="s">
        <v>80</v>
      </c>
      <c r="AL17" s="39" t="s">
        <v>80</v>
      </c>
      <c r="AM17" t="str">
        <f>VLOOKUP($R17,武学奇术!$A:$ZZ,25,FALSE)</f>
        <v>拳甲</v>
      </c>
      <c r="AN17" s="24">
        <f>VLOOKUP($R17,武学奇术!$A:$ZZ,26,FALSE)</f>
        <v>1.58172</v>
      </c>
      <c r="AO17" s="25">
        <f>VLOOKUP($R17,武学奇术!$A:$ZZ,27,FALSE)*(1+IF(OR($AM17=$F$4,$AM17=$F$5),$B$22,0))</f>
        <v>701.12</v>
      </c>
      <c r="AP17" s="24">
        <f>VLOOKUP($R17,武学奇术!$A:$ZZ,28,FALSE)</f>
        <v>2.37258</v>
      </c>
      <c r="AQ17" s="25">
        <f>VLOOKUP($R17,武学奇术!$A:$ZZ,29,FALSE)*(1+IF(OR($AM17=$F$4,$AM17=$F$5),$B$22,0))</f>
        <v>380.8</v>
      </c>
      <c r="AR17" s="24" cm="1">
        <f t="array" ref="AR17">$G$3+IFERROR(VLOOKUP($AM17,$F$4:$G$7,2,FALSE),0)+VLOOKUP($R17,武学奇术!$A:$ZZ,2,FALSE)+SUM(_xlfn.XLOOKUP($S17:$AL17,增益!$A:$A,增益!$B:$B,0))</f>
        <v>0.3943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4302.6</v>
      </c>
      <c r="AU17" cm="1">
        <f t="array" ref="AU17">$E$10*(1+$AS17)+VLOOKUP($R17,武学奇术!$A:$ZZ,4,FALSE)+SUM(_xlfn.XLOOKUP($S17:$AL17,增益!$A:$A,增益!$D:$D,0))-$I$2</f>
        <v>4302.6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0.2885</v>
      </c>
      <c r="AW17" s="31" cm="1">
        <f t="array" ref="AW17">$G$10+VLOOKUP($R17,武学奇术!$A:$ZZ,7,FALSE)+SUM(_xlfn.XLOOKUP($S17:$AL17,增益!$A:$A,增益!$G:$G,0))</f>
        <v>0.135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-0.16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-0.16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-0.16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1707.09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0.07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0.9771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0.8861</v>
      </c>
      <c r="BQ17" s="24" cm="1">
        <f t="array" ref="BQ17">1+$B$13+VLOOKUP($R17,武学奇术!$A:$ZZ,18,FALSE)+SUM(_xlfn.XLOOKUP($S17:$AL17,增益!$A:$A,增益!$R:$R,0))</f>
        <v>1.98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0.86580831</v>
      </c>
      <c r="BU17" s="24">
        <f t="shared" si="10"/>
        <v>0.0428916899999999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146</v>
      </c>
      <c r="B18" s="68">
        <f>期望!B18</f>
        <v>0.0854</v>
      </c>
      <c r="C18" s="38" t="s">
        <v>147</v>
      </c>
      <c r="D18" s="78" t="s">
        <v>160</v>
      </c>
      <c r="E18" s="38" t="s">
        <v>148</v>
      </c>
      <c r="F18" s="84">
        <v>0.5</v>
      </c>
      <c r="K18" s="37">
        <f>$L18*VLOOKUP($R18,武学奇术!$A:$ZZ,31,FALSE)</f>
        <v>135525.87857926</v>
      </c>
      <c r="L18" s="37">
        <f t="shared" si="0"/>
        <v>135525.87857926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141688.222868403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107138.236104718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71559.7085193954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63757.7606649257</v>
      </c>
      <c r="Q18" s="38">
        <v>1</v>
      </c>
      <c r="R18" s="39" t="s">
        <v>150</v>
      </c>
      <c r="S18" s="39" t="s">
        <v>106</v>
      </c>
      <c r="T18" s="39" t="s">
        <v>104</v>
      </c>
      <c r="U18" s="39" t="s">
        <v>89</v>
      </c>
      <c r="V18" s="39" t="s">
        <v>129</v>
      </c>
      <c r="W18" s="39" t="s">
        <v>91</v>
      </c>
      <c r="X18" s="39" t="s">
        <v>81</v>
      </c>
      <c r="Y18" s="39" t="s">
        <v>80</v>
      </c>
      <c r="Z18" s="39" t="s">
        <v>80</v>
      </c>
      <c r="AA18" s="39" t="s">
        <v>80</v>
      </c>
      <c r="AB18" s="39" t="s">
        <v>107</v>
      </c>
      <c r="AC18" s="39" t="s">
        <v>80</v>
      </c>
      <c r="AD18" s="39" t="s">
        <v>80</v>
      </c>
      <c r="AE18" s="39" t="s">
        <v>80</v>
      </c>
      <c r="AF18" s="39" t="s">
        <v>84</v>
      </c>
      <c r="AG18" s="39" t="s">
        <v>80</v>
      </c>
      <c r="AH18" s="39" t="s">
        <v>80</v>
      </c>
      <c r="AI18" s="39" t="s">
        <v>80</v>
      </c>
      <c r="AJ18" s="39" t="s">
        <v>80</v>
      </c>
      <c r="AK18" s="39" t="s">
        <v>80</v>
      </c>
      <c r="AL18" s="39" t="s">
        <v>80</v>
      </c>
      <c r="AM18" t="str">
        <f>VLOOKUP($R18,武学奇术!$A:$ZZ,25,FALSE)</f>
        <v>拳甲</v>
      </c>
      <c r="AN18" s="24">
        <f>VLOOKUP($R18,武学奇术!$A:$ZZ,26,FALSE)</f>
        <v>3.56986</v>
      </c>
      <c r="AO18" s="25">
        <f>VLOOKUP($R18,武学奇术!$A:$ZZ,27,FALSE)*(1+IF(OR($AM18=$F$4,$AM18=$F$5),$B$22,0))</f>
        <v>1583.68</v>
      </c>
      <c r="AP18" s="24">
        <f>VLOOKUP($R18,武学奇术!$A:$ZZ,28,FALSE)</f>
        <v>5.35486</v>
      </c>
      <c r="AQ18" s="25">
        <f>VLOOKUP($R18,武学奇术!$A:$ZZ,29,FALSE)*(1+IF(OR($AM18=$F$4,$AM18=$F$5),$B$22,0))</f>
        <v>862.4</v>
      </c>
      <c r="AR18" s="24" cm="1">
        <f t="array" ref="AR18">$G$3+IFERROR(VLOOKUP($AM18,$F$4:$G$7,2,FALSE),0)+VLOOKUP($R18,武学奇术!$A:$ZZ,2,FALSE)+SUM(_xlfn.XLOOKUP($S18:$AL18,增益!$A:$A,增益!$B:$B,0))</f>
        <v>0.3943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4302.6</v>
      </c>
      <c r="AU18" cm="1">
        <f t="array" ref="AU18">$E$10*(1+$AS18)+VLOOKUP($R18,武学奇术!$A:$ZZ,4,FALSE)+SUM(_xlfn.XLOOKUP($S18:$AL18,增益!$A:$A,增益!$D:$D,0))-$I$2</f>
        <v>4302.6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0.2885</v>
      </c>
      <c r="AW18" s="31" cm="1">
        <f t="array" ref="AW18">$G$10+VLOOKUP($R18,武学奇术!$A:$ZZ,7,FALSE)+SUM(_xlfn.XLOOKUP($S18:$AL18,增益!$A:$A,增益!$G:$G,0))</f>
        <v>0.135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-0.16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-0.16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-0.16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1707.09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0.07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0.9771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0.8861</v>
      </c>
      <c r="BQ18" s="24" cm="1">
        <f t="array" ref="BQ18">1+$B$13+VLOOKUP($R18,武学奇术!$A:$ZZ,18,FALSE)+SUM(_xlfn.XLOOKUP($S18:$AL18,增益!$A:$A,增益!$R:$R,0))</f>
        <v>1.98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0.86580831</v>
      </c>
      <c r="BU18" s="24">
        <f t="shared" si="10"/>
        <v>0.0428916899999999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spans="1:76">
      <c r="A19" s="40" t="s">
        <v>151</v>
      </c>
      <c r="B19" s="68">
        <f>期望!B19</f>
        <v>0</v>
      </c>
      <c r="C19" s="38" t="s">
        <v>152</v>
      </c>
      <c r="D19" s="78" t="s">
        <v>160</v>
      </c>
      <c r="K19" s="37">
        <f>$L19*VLOOKUP($R19,武学奇术!$A:$ZZ,31,FALSE)</f>
        <v>295977.841446233</v>
      </c>
      <c r="L19" s="37">
        <f t="shared" si="0"/>
        <v>295977.841446233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309435.804759244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233982.546882669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156280.709474366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139241.013850458</v>
      </c>
      <c r="Q19" s="38">
        <v>1</v>
      </c>
      <c r="R19" s="39" t="s">
        <v>132</v>
      </c>
      <c r="S19" s="39" t="s">
        <v>106</v>
      </c>
      <c r="T19" s="39" t="s">
        <v>104</v>
      </c>
      <c r="U19" s="39" t="s">
        <v>89</v>
      </c>
      <c r="V19" s="39" t="s">
        <v>129</v>
      </c>
      <c r="W19" s="39" t="s">
        <v>91</v>
      </c>
      <c r="X19" s="39" t="s">
        <v>81</v>
      </c>
      <c r="Y19" s="39" t="s">
        <v>80</v>
      </c>
      <c r="Z19" s="39" t="s">
        <v>80</v>
      </c>
      <c r="AA19" s="39" t="s">
        <v>80</v>
      </c>
      <c r="AB19" s="39" t="s">
        <v>107</v>
      </c>
      <c r="AC19" s="39" t="s">
        <v>80</v>
      </c>
      <c r="AD19" s="39" t="s">
        <v>80</v>
      </c>
      <c r="AE19" s="39" t="s">
        <v>80</v>
      </c>
      <c r="AF19" s="39" t="s">
        <v>84</v>
      </c>
      <c r="AG19" s="39" t="s">
        <v>80</v>
      </c>
      <c r="AH19" s="39" t="s">
        <v>80</v>
      </c>
      <c r="AI19" s="39" t="s">
        <v>80</v>
      </c>
      <c r="AJ19" s="39" t="s">
        <v>80</v>
      </c>
      <c r="AK19" s="39" t="s">
        <v>80</v>
      </c>
      <c r="AL19" s="39" t="s">
        <v>80</v>
      </c>
      <c r="AM19" t="str">
        <f>VLOOKUP($R19,武学奇术!$A:$ZZ,25,FALSE)</f>
        <v>拳甲</v>
      </c>
      <c r="AN19" s="24">
        <f>VLOOKUP($R19,武学奇术!$A:$ZZ,26,FALSE)</f>
        <v>7.79674</v>
      </c>
      <c r="AO19" s="25">
        <f>VLOOKUP($R19,武学奇术!$A:$ZZ,27,FALSE)*(1+IF(OR($AM19=$F$4,$AM19=$F$5),$B$22,0))</f>
        <v>3458.56</v>
      </c>
      <c r="AP19" s="24">
        <f>VLOOKUP($R19,武学奇术!$A:$ZZ,28,FALSE)</f>
        <v>11.69518</v>
      </c>
      <c r="AQ19" s="25">
        <f>VLOOKUP($R19,武学奇术!$A:$ZZ,29,FALSE)*(1+IF(OR($AM19=$F$4,$AM19=$F$5),$B$22,0))</f>
        <v>1881.6</v>
      </c>
      <c r="AR19" s="24" cm="1">
        <f t="array" ref="AR19">$G$3+IFERROR(VLOOKUP($AM19,$F$4:$G$7,2,FALSE),0)+VLOOKUP($R19,武学奇术!$A:$ZZ,2,FALSE)+SUM(_xlfn.XLOOKUP($S19:$AL19,增益!$A:$A,增益!$B:$B,0))</f>
        <v>0.3943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4302.6</v>
      </c>
      <c r="AU19" cm="1">
        <f t="array" ref="AU19">$E$10*(1+$AS19)+VLOOKUP($R19,武学奇术!$A:$ZZ,4,FALSE)+SUM(_xlfn.XLOOKUP($S19:$AL19,增益!$A:$A,增益!$D:$D,0))-$I$2</f>
        <v>4302.6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0.2885</v>
      </c>
      <c r="AW19" s="31" cm="1">
        <f t="array" ref="AW19">$G$10+VLOOKUP($R19,武学奇术!$A:$ZZ,7,FALSE)+SUM(_xlfn.XLOOKUP($S19:$AL19,增益!$A:$A,增益!$G:$G,0))</f>
        <v>0.135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-0.16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-0.16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-0.16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1707.09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0.07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0.9771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0.8861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0.86580831</v>
      </c>
      <c r="BU19" s="24">
        <f t="shared" si="10"/>
        <v>0.0428916899999999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153</v>
      </c>
      <c r="B20" s="68">
        <f>期望!B20</f>
        <v>0</v>
      </c>
      <c r="C20" s="38" t="s">
        <v>154</v>
      </c>
      <c r="D20" s="78" t="s">
        <v>160</v>
      </c>
      <c r="K20" s="37">
        <f>$L20*VLOOKUP($R20,武学奇术!$A:$ZZ,31,FALSE)</f>
        <v>163280.589256735</v>
      </c>
      <c r="L20" s="37">
        <f t="shared" si="0"/>
        <v>163280.589256735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170785.943080517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128495.579104957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85822.0819500084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76462.2534519006</v>
      </c>
      <c r="Q20" s="38">
        <v>1</v>
      </c>
      <c r="R20" s="39" t="s">
        <v>156</v>
      </c>
      <c r="S20" s="39" t="s">
        <v>106</v>
      </c>
      <c r="T20" s="39" t="s">
        <v>157</v>
      </c>
      <c r="U20" s="39" t="s">
        <v>89</v>
      </c>
      <c r="V20" s="39" t="s">
        <v>129</v>
      </c>
      <c r="W20" s="39" t="s">
        <v>91</v>
      </c>
      <c r="X20" s="39" t="s">
        <v>81</v>
      </c>
      <c r="Y20" s="39" t="s">
        <v>80</v>
      </c>
      <c r="Z20" s="39" t="s">
        <v>80</v>
      </c>
      <c r="AA20" s="39" t="s">
        <v>80</v>
      </c>
      <c r="AB20" s="39" t="s">
        <v>107</v>
      </c>
      <c r="AC20" s="39" t="s">
        <v>80</v>
      </c>
      <c r="AD20" s="39" t="s">
        <v>80</v>
      </c>
      <c r="AE20" s="39" t="s">
        <v>80</v>
      </c>
      <c r="AF20" s="39" t="s">
        <v>84</v>
      </c>
      <c r="AG20" s="39" t="s">
        <v>80</v>
      </c>
      <c r="AH20" s="39" t="s">
        <v>80</v>
      </c>
      <c r="AI20" s="39" t="s">
        <v>80</v>
      </c>
      <c r="AJ20" s="39" t="s">
        <v>80</v>
      </c>
      <c r="AK20" s="39" t="s">
        <v>80</v>
      </c>
      <c r="AL20" s="39" t="s">
        <v>80</v>
      </c>
      <c r="AM20" t="str">
        <f>VLOOKUP($R20,武学奇术!$A:$ZZ,25,FALSE)</f>
        <v>双刀</v>
      </c>
      <c r="AN20" s="24">
        <f>VLOOKUP($R20,武学奇术!$A:$ZZ,26,FALSE)</f>
        <v>4.28274</v>
      </c>
      <c r="AO20" s="25">
        <f>VLOOKUP($R20,武学奇术!$A:$ZZ,27,FALSE)*(1+IF(OR($AM20=$F$4,$AM20=$F$5),$B$22,0))</f>
        <v>1895.04</v>
      </c>
      <c r="AP20" s="24">
        <f>VLOOKUP($R20,武学奇术!$A:$ZZ,28,FALSE)</f>
        <v>6.42411</v>
      </c>
      <c r="AQ20" s="25">
        <f>VLOOKUP($R20,武学奇术!$A:$ZZ,29,FALSE)*(1+IF(OR($AM20=$F$4,$AM20=$F$5),$B$22,0))</f>
        <v>1031.52</v>
      </c>
      <c r="AR20" s="24" cm="1">
        <f t="array" ref="AR20">$G$3+IFERROR(VLOOKUP($AM20,$F$4:$G$7,2,FALSE),0)+VLOOKUP($R20,武学奇术!$A:$ZZ,2,FALSE)+SUM(_xlfn.XLOOKUP($S20:$AL20,增益!$A:$A,增益!$B:$B,0))</f>
        <v>0.3943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4302.6</v>
      </c>
      <c r="AU20" cm="1">
        <f t="array" ref="AU20">$E$10*(1+$AS20)+VLOOKUP($R20,武学奇术!$A:$ZZ,4,FALSE)+SUM(_xlfn.XLOOKUP($S20:$AL20,增益!$A:$A,增益!$D:$D,0))-$I$2</f>
        <v>4302.6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0.2885</v>
      </c>
      <c r="AW20" s="31" cm="1">
        <f t="array" ref="AW20">$G$10+VLOOKUP($R20,武学奇术!$A:$ZZ,7,FALSE)+SUM(_xlfn.XLOOKUP($S20:$AL20,增益!$A:$A,增益!$G:$G,0))</f>
        <v>0.135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-0.16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-0.16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-0.16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1707.09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0.07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0.9771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0.8861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0.86580831</v>
      </c>
      <c r="BU20" s="24">
        <f t="shared" si="10"/>
        <v>0.0428916899999999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5" t="s">
        <v>218</v>
      </c>
      <c r="B21" s="86">
        <f>期望!B21</f>
        <v>0.32</v>
      </c>
      <c r="C21" s="38" t="s">
        <v>159</v>
      </c>
      <c r="D21" s="78" t="s">
        <v>160</v>
      </c>
      <c r="E21" s="38" t="s">
        <v>161</v>
      </c>
      <c r="F21" s="38"/>
      <c r="K21" s="37">
        <f>$L21*VLOOKUP($R21,武学奇术!$A:$ZZ,31,FALSE)</f>
        <v>214544.944280649</v>
      </c>
      <c r="L21" s="37">
        <f t="shared" si="0"/>
        <v>214544.944280649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224406.576142233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168840.014529811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112767.123689564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100467.569949639</v>
      </c>
      <c r="Q21" s="38">
        <v>1</v>
      </c>
      <c r="R21" s="39" t="s">
        <v>162</v>
      </c>
      <c r="S21" s="39" t="s">
        <v>106</v>
      </c>
      <c r="T21" s="39" t="s">
        <v>157</v>
      </c>
      <c r="U21" s="39" t="s">
        <v>89</v>
      </c>
      <c r="V21" s="39" t="s">
        <v>129</v>
      </c>
      <c r="W21" s="39" t="s">
        <v>91</v>
      </c>
      <c r="X21" s="39" t="s">
        <v>80</v>
      </c>
      <c r="Y21" s="39" t="s">
        <v>80</v>
      </c>
      <c r="Z21" s="39" t="s">
        <v>80</v>
      </c>
      <c r="AA21" s="39" t="s">
        <v>80</v>
      </c>
      <c r="AB21" s="39" t="s">
        <v>107</v>
      </c>
      <c r="AC21" s="39" t="s">
        <v>80</v>
      </c>
      <c r="AD21" s="39" t="s">
        <v>80</v>
      </c>
      <c r="AE21" s="39" t="s">
        <v>80</v>
      </c>
      <c r="AF21" s="39" t="s">
        <v>84</v>
      </c>
      <c r="AG21" s="39" t="s">
        <v>80</v>
      </c>
      <c r="AH21" s="39" t="s">
        <v>80</v>
      </c>
      <c r="AI21" s="39" t="s">
        <v>80</v>
      </c>
      <c r="AJ21" s="39" t="s">
        <v>80</v>
      </c>
      <c r="AK21" s="39" t="s">
        <v>80</v>
      </c>
      <c r="AL21" s="39" t="s">
        <v>80</v>
      </c>
      <c r="AM21" t="str">
        <f>VLOOKUP($R21,武学奇术!$A:$ZZ,25,FALSE)</f>
        <v>双刀</v>
      </c>
      <c r="AN21" s="24">
        <f>VLOOKUP($R21,武学奇术!$A:$ZZ,26,FALSE)</f>
        <v>5.71032</v>
      </c>
      <c r="AO21" s="25">
        <f>VLOOKUP($R21,武学奇术!$A:$ZZ,27,FALSE)*(1+IF(OR($AM21=$F$4,$AM21=$F$5),$B$22,0))</f>
        <v>2526.72</v>
      </c>
      <c r="AP21" s="24">
        <f>VLOOKUP($R21,武学奇术!$A:$ZZ,28,FALSE)</f>
        <v>8.56464</v>
      </c>
      <c r="AQ21" s="25">
        <f>VLOOKUP($R21,武学奇术!$A:$ZZ,29,FALSE)*(1+IF(OR($AM21=$F$4,$AM21=$F$5),$B$22,0))</f>
        <v>1370.88</v>
      </c>
      <c r="AR21" s="24" cm="1">
        <f t="array" ref="AR21">$G$3+IFERROR(VLOOKUP($AM21,$F$4:$G$7,2,FALSE),0)+VLOOKUP($R21,武学奇术!$A:$ZZ,2,FALSE)+SUM(_xlfn.XLOOKUP($S21:$AL21,增益!$A:$A,增益!$B:$B,0))</f>
        <v>0.3743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4302.6</v>
      </c>
      <c r="AU21" cm="1">
        <f t="array" ref="AU21">$E$10*(1+$AS21)+VLOOKUP($R21,武学奇术!$A:$ZZ,4,FALSE)+SUM(_xlfn.XLOOKUP($S21:$AL21,增益!$A:$A,增益!$D:$D,0))-$I$2</f>
        <v>4302.6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0.2885</v>
      </c>
      <c r="AW21" s="31" cm="1">
        <f t="array" ref="AW21">$G$10+VLOOKUP($R21,武学奇术!$A:$ZZ,7,FALSE)+SUM(_xlfn.XLOOKUP($S21:$AL21,增益!$A:$A,增益!$G:$G,0))</f>
        <v>0.135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-0.16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-0.16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-0.16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1707.09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0.07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0.9771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0.8861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0.86580831</v>
      </c>
      <c r="BU21" s="24">
        <f t="shared" si="10"/>
        <v>0.0428916899999999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163</v>
      </c>
      <c r="B22" s="27">
        <f>期望!B22</f>
        <v>0.6</v>
      </c>
      <c r="E22" s="38" t="str">
        <f>期望!E22</f>
        <v>燕别云岫</v>
      </c>
      <c r="F22" s="38"/>
      <c r="K22" s="37">
        <f>$L22*VLOOKUP($R22,武学奇术!$A:$ZZ,31,FALSE)</f>
        <v>160938.473653827</v>
      </c>
      <c r="L22" s="37">
        <f t="shared" si="0"/>
        <v>160938.473653827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168336.169816793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126652.423699306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84591.040108941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75365.4700702482</v>
      </c>
      <c r="Q22" s="38">
        <v>1</v>
      </c>
      <c r="R22" s="39" t="s">
        <v>165</v>
      </c>
      <c r="S22" s="39" t="s">
        <v>106</v>
      </c>
      <c r="T22" s="39" t="s">
        <v>157</v>
      </c>
      <c r="U22" s="39" t="s">
        <v>89</v>
      </c>
      <c r="V22" s="39" t="s">
        <v>129</v>
      </c>
      <c r="W22" s="39" t="s">
        <v>91</v>
      </c>
      <c r="X22" s="39" t="s">
        <v>80</v>
      </c>
      <c r="Y22" s="39" t="s">
        <v>80</v>
      </c>
      <c r="Z22" s="39" t="s">
        <v>80</v>
      </c>
      <c r="AA22" s="39" t="s">
        <v>80</v>
      </c>
      <c r="AB22" s="39" t="s">
        <v>107</v>
      </c>
      <c r="AC22" s="39" t="s">
        <v>80</v>
      </c>
      <c r="AD22" s="39" t="s">
        <v>80</v>
      </c>
      <c r="AE22" s="39" t="s">
        <v>80</v>
      </c>
      <c r="AF22" s="39" t="s">
        <v>84</v>
      </c>
      <c r="AG22" s="39" t="s">
        <v>80</v>
      </c>
      <c r="AH22" s="39" t="s">
        <v>80</v>
      </c>
      <c r="AI22" s="39" t="s">
        <v>80</v>
      </c>
      <c r="AJ22" s="39" t="s">
        <v>80</v>
      </c>
      <c r="AK22" s="39" t="s">
        <v>80</v>
      </c>
      <c r="AL22" s="39" t="s">
        <v>80</v>
      </c>
      <c r="AM22" t="str">
        <f>VLOOKUP($R22,武学奇术!$A:$ZZ,25,FALSE)</f>
        <v>双刀</v>
      </c>
      <c r="AN22" s="24">
        <f>VLOOKUP($R22,武学奇术!$A:$ZZ,26,FALSE)</f>
        <v>4.28274</v>
      </c>
      <c r="AO22" s="25">
        <f>VLOOKUP($R22,武学奇术!$A:$ZZ,27,FALSE)*(1+IF(OR($AM22=$F$4,$AM22=$F$5),$B$22,0))</f>
        <v>1895.04</v>
      </c>
      <c r="AP22" s="24">
        <f>VLOOKUP($R22,武学奇术!$A:$ZZ,28,FALSE)</f>
        <v>6.42411</v>
      </c>
      <c r="AQ22" s="25">
        <f>VLOOKUP($R22,武学奇术!$A:$ZZ,29,FALSE)*(1+IF(OR($AM22=$F$4,$AM22=$F$5),$B$22,0))</f>
        <v>1031.52</v>
      </c>
      <c r="AR22" s="24" cm="1">
        <f t="array" ref="AR22">$G$3+IFERROR(VLOOKUP($AM22,$F$4:$G$7,2,FALSE),0)+VLOOKUP($R22,武学奇术!$A:$ZZ,2,FALSE)+SUM(_xlfn.XLOOKUP($S22:$AL22,增益!$A:$A,增益!$B:$B,0))</f>
        <v>0.3743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4302.6</v>
      </c>
      <c r="AU22" cm="1">
        <f t="array" ref="AU22">$E$10*(1+$AS22)+VLOOKUP($R22,武学奇术!$A:$ZZ,4,FALSE)+SUM(_xlfn.XLOOKUP($S22:$AL22,增益!$A:$A,增益!$D:$D,0))-$I$2</f>
        <v>4302.6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0.2885</v>
      </c>
      <c r="AW22" s="31" cm="1">
        <f t="array" ref="AW22">$G$10+VLOOKUP($R22,武学奇术!$A:$ZZ,7,FALSE)+SUM(_xlfn.XLOOKUP($S22:$AL22,增益!$A:$A,增益!$G:$G,0))</f>
        <v>0.135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-0.16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-0.16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-0.16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1707.09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0.07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0.9771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0.8861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0.86580831</v>
      </c>
      <c r="BU22" s="24">
        <f t="shared" si="10"/>
        <v>0.0428916899999999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166</v>
      </c>
      <c r="B23" s="87">
        <f>期望!B23</f>
        <v>240</v>
      </c>
      <c r="E23" s="38" t="s">
        <v>167</v>
      </c>
      <c r="F23" s="38"/>
      <c r="K23" s="37">
        <f>$L23*VLOOKUP($R23,武学奇术!$A:$ZZ,31,FALSE)</f>
        <v>192256.879080022</v>
      </c>
      <c r="L23" s="88">
        <f>SUM(L9,L11,L12,L14:L22)*0.2*(1+BX23)</f>
        <v>384513.758160043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38">
        <v>1</v>
      </c>
      <c r="R23" s="39" t="s">
        <v>168</v>
      </c>
      <c r="S23" s="39" t="s">
        <v>169</v>
      </c>
      <c r="T23" s="39" t="s">
        <v>80</v>
      </c>
      <c r="U23" s="39" t="s">
        <v>80</v>
      </c>
      <c r="V23" s="39" t="s">
        <v>80</v>
      </c>
      <c r="W23" s="39" t="s">
        <v>80</v>
      </c>
      <c r="X23" s="39" t="s">
        <v>80</v>
      </c>
      <c r="Y23" s="39" t="s">
        <v>80</v>
      </c>
      <c r="Z23" s="39" t="s">
        <v>80</v>
      </c>
      <c r="AA23" s="39" t="s">
        <v>80</v>
      </c>
      <c r="AB23" s="39" t="s">
        <v>80</v>
      </c>
      <c r="AC23" s="39" t="s">
        <v>80</v>
      </c>
      <c r="AD23" s="39" t="s">
        <v>80</v>
      </c>
      <c r="AE23" s="39" t="s">
        <v>80</v>
      </c>
      <c r="AF23" s="39" t="s">
        <v>84</v>
      </c>
      <c r="AG23" s="39" t="s">
        <v>80</v>
      </c>
      <c r="AH23" s="39" t="s">
        <v>80</v>
      </c>
      <c r="AI23" s="39" t="s">
        <v>80</v>
      </c>
      <c r="AJ23" s="39" t="s">
        <v>80</v>
      </c>
      <c r="AK23" s="39" t="s">
        <v>80</v>
      </c>
      <c r="AL23" s="39" t="s">
        <v>80</v>
      </c>
      <c r="AM23" t="str">
        <f>VLOOKUP($R23,武学奇术!$A:$ZZ,25,FALSE)</f>
        <v>心法</v>
      </c>
      <c r="AN23" s="24">
        <f>VLOOKUP($R23,武学奇术!$A:$ZZ,26,FALSE)</f>
        <v>0</v>
      </c>
      <c r="AO23" s="25">
        <f>VLOOKUP($R23,武学奇术!$A:$ZZ,27,FALSE)*(1+IF(OR($AM23=$F$4,$AM23=$F$5),$B$22,0))</f>
        <v>0</v>
      </c>
      <c r="AP23" s="24">
        <f>VLOOKUP($R23,武学奇术!$A:$ZZ,28,FALSE)</f>
        <v>0</v>
      </c>
      <c r="AQ23" s="25">
        <f>VLOOKUP($R23,武学奇术!$A:$ZZ,29,FALSE)*(1+IF(OR($AM23=$F$4,$AM23=$F$5),$B$22,0))</f>
        <v>0</v>
      </c>
      <c r="AR23" s="24" cm="1">
        <f t="array" ref="AR23">$G$3+IFERROR(VLOOKUP($AM23,$F$4:$G$7,2,FALSE),0)+VLOOKUP($R23,武学奇术!$A:$ZZ,2,FALSE)+SUM(_xlfn.XLOOKUP($S23:$AL23,增益!$A:$A,增益!$B:$B,0))</f>
        <v>0.1042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4302.6</v>
      </c>
      <c r="AU23" cm="1">
        <f t="array" ref="AU23">$E$10*(1+$AS23)+VLOOKUP($R23,武学奇术!$A:$ZZ,4,FALSE)+SUM(_xlfn.XLOOKUP($S23:$AL23,增益!$A:$A,增益!$D:$D,0))-$I$2</f>
        <v>4302.6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0.1685</v>
      </c>
      <c r="AW23" s="31" cm="1">
        <f t="array" ref="AW23">$G$10+VLOOKUP($R23,武学奇术!$A:$ZZ,7,FALSE)+SUM(_xlfn.XLOOKUP($S23:$AL23,增益!$A:$A,增益!$G:$G,0))</f>
        <v>0.025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1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1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1" cm="1">
        <f t="array" ref="BJ23">$G$13+VLOOKUP($R23,武学奇术!$A:$ZZ,14,FALSE)+SUM(_xlfn.XLOOKUP($S23:$AL23,增益!$A:$A,增益!$N:$N,0))</f>
        <v>0</v>
      </c>
      <c r="BK23">
        <f t="shared" si="7"/>
        <v>649.11</v>
      </c>
      <c r="BL23">
        <f t="shared" si="8"/>
        <v>1707.09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1" cm="1">
        <f t="array" ref="BN23">$G$14+VLOOKUP($R23,武学奇术!$A:$ZZ,16,FALSE)+SUM(_xlfn.XLOOKUP($S23:$AL23,增益!$A:$A,增益!$P:$P,0))</f>
        <v>0.15</v>
      </c>
      <c r="BO23" s="24">
        <f>MIN(IF(VLOOKUP($R23,武学奇术!$A:$ZZ,23,FALSE)=1,100%,$B$8),100%)</f>
        <v>0.9771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0.8861</v>
      </c>
      <c r="BQ23" s="24" cm="1">
        <f t="array" ref="BQ23">1+$B$13+VLOOKUP($R23,武学奇术!$A:$ZZ,18,FALSE)+SUM(_xlfn.XLOOKUP($S23:$AL23,增益!$A:$A,增益!$R:$R,0))</f>
        <v>1.54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0.86580831</v>
      </c>
      <c r="BU23" s="24">
        <f t="shared" si="10"/>
        <v>0.0220824599999999</v>
      </c>
      <c r="BV23" s="24">
        <f>IF(VLOOKUP($R23,武学奇术!$A:$ZZ,22,FALSE)=1,0,(1-$BO23))*(1-$BR23)</f>
        <v>0.02080923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0.2</v>
      </c>
    </row>
    <row r="24" spans="1:76">
      <c r="B24" s="87">
        <f>期望!B24</f>
        <v>480</v>
      </c>
      <c r="E24" s="89" t="str">
        <f>期望!E24</f>
        <v>易水歌</v>
      </c>
      <c r="F24" s="89"/>
      <c r="K24" s="37">
        <f>$L24*VLOOKUP($R24,武学奇术!$A:$ZZ,31,FALSE)</f>
        <v>13314.1027160316</v>
      </c>
      <c r="L24" s="37">
        <f t="shared" ref="L24:L37" si="11">($M24*$BT24+$N24*$BR24+$O24*$BU24+$P24*$BV24)</f>
        <v>13314.1027160316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13632.5314989405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12758.5296056796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8520.33218683783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7589.9017028019</v>
      </c>
      <c r="Q24" s="38">
        <v>1</v>
      </c>
      <c r="R24" s="39" t="s">
        <v>110</v>
      </c>
      <c r="S24" s="39" t="s">
        <v>106</v>
      </c>
      <c r="T24" s="39" t="s">
        <v>171</v>
      </c>
      <c r="U24" s="39" t="s">
        <v>89</v>
      </c>
      <c r="V24" s="39" t="s">
        <v>80</v>
      </c>
      <c r="W24" s="39" t="s">
        <v>80</v>
      </c>
      <c r="X24" s="39" t="s">
        <v>80</v>
      </c>
      <c r="Y24" s="39" t="s">
        <v>80</v>
      </c>
      <c r="Z24" s="39" t="s">
        <v>80</v>
      </c>
      <c r="AA24" s="39" t="s">
        <v>80</v>
      </c>
      <c r="AB24" s="39" t="s">
        <v>172</v>
      </c>
      <c r="AC24" s="39" t="s">
        <v>80</v>
      </c>
      <c r="AD24" s="39" t="s">
        <v>80</v>
      </c>
      <c r="AE24" s="39" t="s">
        <v>80</v>
      </c>
      <c r="AF24" s="39" t="s">
        <v>84</v>
      </c>
      <c r="AG24" s="39" t="s">
        <v>80</v>
      </c>
      <c r="AH24" s="39" t="s">
        <v>80</v>
      </c>
      <c r="AI24" s="39" t="s">
        <v>80</v>
      </c>
      <c r="AJ24" s="39" t="s">
        <v>80</v>
      </c>
      <c r="AK24" s="39" t="s">
        <v>80</v>
      </c>
      <c r="AL24" s="39" t="s">
        <v>80</v>
      </c>
      <c r="AM24" t="str">
        <f>VLOOKUP($R24,武学奇术!$A:$ZZ,25,FALSE)</f>
        <v>双刀</v>
      </c>
      <c r="AN24" s="24">
        <f>VLOOKUP($R24,武学奇术!$A:$ZZ,26,FALSE)</f>
        <v>0.6587</v>
      </c>
      <c r="AO24" s="25">
        <f>VLOOKUP($R24,武学奇术!$A:$ZZ,27,FALSE)*(1+IF(OR($AM24=$F$4,$AM24=$F$5),$B$22,0))</f>
        <v>292.8</v>
      </c>
      <c r="AP24" s="24">
        <f>VLOOKUP($R24,武学奇术!$A:$ZZ,28,FALSE)</f>
        <v>0.9881</v>
      </c>
      <c r="AQ24" s="25">
        <f>VLOOKUP($R24,武学奇术!$A:$ZZ,29,FALSE)*(1+IF(OR($AM24=$F$4,$AM24=$F$5),$B$22,0))</f>
        <v>160</v>
      </c>
      <c r="AR24" s="24" cm="1">
        <f t="array" ref="AR24">$G$3+IFERROR(VLOOKUP($AM24,$F$4:$G$7,2,FALSE),0)+VLOOKUP($R24,武学奇术!$A:$ZZ,2,FALSE)+SUM(_xlfn.XLOOKUP($S24:$AL24,增益!$A:$A,增益!$B:$B,0))</f>
        <v>0.3243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4302.6</v>
      </c>
      <c r="AU24" cm="1">
        <f t="array" ref="AU24">$E$10*(1+$AS24)+VLOOKUP($R24,武学奇术!$A:$ZZ,4,FALSE)+SUM(_xlfn.XLOOKUP($S24:$AL24,增益!$A:$A,增益!$D:$D,0))-$I$2</f>
        <v>4302.6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0.2535</v>
      </c>
      <c r="AW24" s="31" cm="1">
        <f t="array" ref="AW24">$G$10+VLOOKUP($R24,武学奇术!$A:$ZZ,7,FALSE)+SUM(_xlfn.XLOOKUP($S24:$AL24,增益!$A:$A,增益!$G:$G,0))</f>
        <v>0.045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1707.09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0.035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0.9771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0.8861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0.86580831</v>
      </c>
      <c r="BU24" s="24">
        <f t="shared" si="10"/>
        <v>0.0220824599999999</v>
      </c>
      <c r="BV24" s="24">
        <f>IF(VLOOKUP($R24,武学奇术!$A:$ZZ,22,FALSE)=1,0,(1-$BO24))*(1-$BR24)</f>
        <v>0.02080923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 s="37">
        <f>$L25*VLOOKUP($R25,武学奇术!$A:$ZZ,31,FALSE)</f>
        <v>29358.7785746488</v>
      </c>
      <c r="L25" s="37">
        <f t="shared" si="11"/>
        <v>29358.7785746488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30165.0497647896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27370.8450659764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18281.8483422967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16288.9966357221</v>
      </c>
      <c r="Q25" s="38">
        <v>1</v>
      </c>
      <c r="R25" s="39" t="s">
        <v>115</v>
      </c>
      <c r="S25" s="39" t="s">
        <v>106</v>
      </c>
      <c r="T25" s="39" t="s">
        <v>171</v>
      </c>
      <c r="U25" s="39" t="s">
        <v>89</v>
      </c>
      <c r="V25" s="39" t="s">
        <v>90</v>
      </c>
      <c r="W25" s="39" t="s">
        <v>91</v>
      </c>
      <c r="X25" s="39" t="s">
        <v>80</v>
      </c>
      <c r="Y25" s="39" t="s">
        <v>80</v>
      </c>
      <c r="Z25" s="39" t="s">
        <v>80</v>
      </c>
      <c r="AA25" s="39" t="s">
        <v>80</v>
      </c>
      <c r="AB25" s="39" t="s">
        <v>107</v>
      </c>
      <c r="AC25" s="39" t="s">
        <v>80</v>
      </c>
      <c r="AD25" s="39" t="s">
        <v>80</v>
      </c>
      <c r="AE25" s="39" t="s">
        <v>80</v>
      </c>
      <c r="AF25" s="39" t="s">
        <v>84</v>
      </c>
      <c r="AG25" s="39" t="s">
        <v>80</v>
      </c>
      <c r="AH25" s="39" t="s">
        <v>80</v>
      </c>
      <c r="AI25" s="39" t="s">
        <v>80</v>
      </c>
      <c r="AJ25" s="39" t="s">
        <v>80</v>
      </c>
      <c r="AK25" s="39" t="s">
        <v>80</v>
      </c>
      <c r="AL25" s="39" t="s">
        <v>80</v>
      </c>
      <c r="AM25" t="str">
        <f>VLOOKUP($R25,武学奇术!$A:$ZZ,25,FALSE)</f>
        <v>双刀</v>
      </c>
      <c r="AN25" s="24">
        <f>VLOOKUP($R25,武学奇术!$A:$ZZ,26,FALSE)</f>
        <v>1.2672</v>
      </c>
      <c r="AO25" s="25">
        <f>VLOOKUP($R25,武学奇术!$A:$ZZ,27,FALSE)*(1+IF(OR($AM25=$F$4,$AM25=$F$5),$B$22,0))</f>
        <v>562.56</v>
      </c>
      <c r="AP25" s="24">
        <f>VLOOKUP($R25,武学奇术!$A:$ZZ,28,FALSE)</f>
        <v>1.90092</v>
      </c>
      <c r="AQ25" s="25">
        <f>VLOOKUP($R25,武学奇术!$A:$ZZ,29,FALSE)*(1+IF(OR($AM25=$F$4,$AM25=$F$5),$B$22,0))</f>
        <v>307.2</v>
      </c>
      <c r="AR25" s="24" cm="1">
        <f t="array" ref="AR25">$G$3+IFERROR(VLOOKUP($AM25,$F$4:$G$7,2,FALSE),0)+VLOOKUP($R25,武学奇术!$A:$ZZ,2,FALSE)+SUM(_xlfn.XLOOKUP($S25:$AL25,增益!$A:$A,增益!$B:$B,0))</f>
        <v>0.3243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4302.6</v>
      </c>
      <c r="AU25" cm="1">
        <f t="array" ref="AU25">$E$10*(1+$AS25)+VLOOKUP($R25,武学奇术!$A:$ZZ,4,FALSE)+SUM(_xlfn.XLOOKUP($S25:$AL25,增益!$A:$A,增益!$D:$D,0))-$I$2</f>
        <v>4302.6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0.2885</v>
      </c>
      <c r="AW25" s="31" cm="1">
        <f t="array" ref="AW25">$G$10+VLOOKUP($R25,武学奇术!$A:$ZZ,7,FALSE)+SUM(_xlfn.XLOOKUP($S25:$AL25,增益!$A:$A,增益!$G:$G,0))</f>
        <v>0.135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1707.09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0.9771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0.8861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0.86580831</v>
      </c>
      <c r="BU25" s="24">
        <f t="shared" si="10"/>
        <v>0.0220824599999999</v>
      </c>
      <c r="BV25" s="24">
        <f>IF(VLOOKUP($R25,武学奇术!$A:$ZZ,22,FALSE)=1,0,(1-$BO25))*(1-$BR25)</f>
        <v>0.02080923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F26" s="4"/>
      <c r="G26" s="4"/>
      <c r="K26" s="37">
        <f>$L26*VLOOKUP($R26,武学奇术!$A:$ZZ,31,FALSE)</f>
        <v>77564.9658975117</v>
      </c>
      <c r="L26" s="37">
        <f t="shared" si="11"/>
        <v>77564.9658975117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81095.1218074987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61974.6081335804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41587.2419525634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37267.3667691414</v>
      </c>
      <c r="Q26" s="38">
        <v>1</v>
      </c>
      <c r="R26" s="39" t="s">
        <v>174</v>
      </c>
      <c r="S26" s="39" t="s">
        <v>106</v>
      </c>
      <c r="T26" s="39" t="s">
        <v>171</v>
      </c>
      <c r="U26" s="39" t="s">
        <v>89</v>
      </c>
      <c r="V26" s="39" t="s">
        <v>90</v>
      </c>
      <c r="W26" s="39" t="s">
        <v>91</v>
      </c>
      <c r="X26" s="39" t="s">
        <v>80</v>
      </c>
      <c r="Y26" s="39" t="s">
        <v>80</v>
      </c>
      <c r="Z26" s="39" t="s">
        <v>80</v>
      </c>
      <c r="AA26" s="39" t="s">
        <v>80</v>
      </c>
      <c r="AB26" s="39" t="s">
        <v>107</v>
      </c>
      <c r="AC26" s="39" t="s">
        <v>80</v>
      </c>
      <c r="AD26" s="39" t="s">
        <v>80</v>
      </c>
      <c r="AE26" s="39" t="s">
        <v>80</v>
      </c>
      <c r="AF26" s="39" t="s">
        <v>84</v>
      </c>
      <c r="AG26" s="39" t="s">
        <v>80</v>
      </c>
      <c r="AH26" s="39" t="s">
        <v>80</v>
      </c>
      <c r="AI26" s="39" t="s">
        <v>80</v>
      </c>
      <c r="AJ26" s="39" t="s">
        <v>80</v>
      </c>
      <c r="AK26" s="39" t="s">
        <v>80</v>
      </c>
      <c r="AL26" s="39" t="s">
        <v>80</v>
      </c>
      <c r="AM26" t="str">
        <f>VLOOKUP($R26,武学奇术!$A:$ZZ,25,FALSE)</f>
        <v>拳甲</v>
      </c>
      <c r="AN26" s="24">
        <f>VLOOKUP($R26,武学奇术!$A:$ZZ,26,FALSE)</f>
        <v>2.64712</v>
      </c>
      <c r="AO26" s="25">
        <f>VLOOKUP($R26,武学奇术!$A:$ZZ,27,FALSE)*(1+IF(OR($AM26=$F$4,$AM26=$F$5),$B$22,0))</f>
        <v>1173.76</v>
      </c>
      <c r="AP26" s="24">
        <f>VLOOKUP($R26,武学奇术!$A:$ZZ,28,FALSE)</f>
        <v>3.97068</v>
      </c>
      <c r="AQ26" s="25">
        <f>VLOOKUP($R26,武学奇术!$A:$ZZ,29,FALSE)*(1+IF(OR($AM26=$F$4,$AM26=$F$5),$B$22,0))</f>
        <v>1276.8</v>
      </c>
      <c r="AR26" s="24" cm="1">
        <f t="array" ref="AR26">$G$3+IFERROR(VLOOKUP($AM26,$F$4:$G$7,2,FALSE),0)+VLOOKUP($R26,武学奇术!$A:$ZZ,2,FALSE)+SUM(_xlfn.XLOOKUP($S26:$AL26,增益!$A:$A,增益!$B:$B,0))</f>
        <v>0.3743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4302.6</v>
      </c>
      <c r="AU26" cm="1">
        <f t="array" ref="AU26">$E$10*(1+$AS26)+VLOOKUP($R26,武学奇术!$A:$ZZ,4,FALSE)+SUM(_xlfn.XLOOKUP($S26:$AL26,增益!$A:$A,增益!$D:$D,0))-$I$2</f>
        <v>4302.6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0.2885</v>
      </c>
      <c r="AW26" s="31" cm="1">
        <f t="array" ref="AW26">$G$10+VLOOKUP($R26,武学奇术!$A:$ZZ,7,FALSE)+SUM(_xlfn.XLOOKUP($S26:$AL26,增益!$A:$A,增益!$G:$G,0))</f>
        <v>0.135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1707.09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0.07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0.9771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0.8861</v>
      </c>
      <c r="BQ26" s="24" cm="1">
        <f t="array" ref="BQ26">1+$B$13+VLOOKUP($R26,武学奇术!$A:$ZZ,18,FALSE)+SUM(_xlfn.XLOOKUP($S26:$AL26,增益!$A:$A,增益!$R:$R,0))</f>
        <v>1.95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0.86580831</v>
      </c>
      <c r="BU26" s="24">
        <f t="shared" si="10"/>
        <v>0.0220824599999999</v>
      </c>
      <c r="BV26" s="24">
        <f>IF(VLOOKUP($R26,武学奇术!$A:$ZZ,22,FALSE)=1,0,(1-$BO26))*(1-$BR26)</f>
        <v>0.02080923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K27" s="37">
        <f>$L27*VLOOKUP($R27,武学奇术!$A:$ZZ,31,FALSE)</f>
        <v>119706.41739814</v>
      </c>
      <c r="L27" s="37">
        <f t="shared" si="11"/>
        <v>119706.41739814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125179.377132202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95626.4304000987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63867.0291490827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56899.6654092033</v>
      </c>
      <c r="Q27" s="38">
        <v>1</v>
      </c>
      <c r="R27" s="39" t="s">
        <v>117</v>
      </c>
      <c r="S27" s="39" t="s">
        <v>106</v>
      </c>
      <c r="T27" s="39" t="s">
        <v>176</v>
      </c>
      <c r="U27" s="39" t="s">
        <v>89</v>
      </c>
      <c r="V27" s="39" t="s">
        <v>90</v>
      </c>
      <c r="W27" s="39" t="s">
        <v>91</v>
      </c>
      <c r="X27" s="39" t="s">
        <v>80</v>
      </c>
      <c r="Y27" s="39" t="s">
        <v>80</v>
      </c>
      <c r="Z27" s="39" t="s">
        <v>80</v>
      </c>
      <c r="AA27" s="39" t="s">
        <v>80</v>
      </c>
      <c r="AB27" s="39" t="s">
        <v>107</v>
      </c>
      <c r="AC27" s="39" t="s">
        <v>80</v>
      </c>
      <c r="AD27" s="39" t="s">
        <v>80</v>
      </c>
      <c r="AE27" s="39" t="s">
        <v>80</v>
      </c>
      <c r="AF27" s="39" t="s">
        <v>84</v>
      </c>
      <c r="AG27" s="39" t="s">
        <v>80</v>
      </c>
      <c r="AH27" s="39" t="s">
        <v>80</v>
      </c>
      <c r="AI27" s="39" t="s">
        <v>80</v>
      </c>
      <c r="AJ27" s="39" t="s">
        <v>80</v>
      </c>
      <c r="AK27" s="39" t="s">
        <v>80</v>
      </c>
      <c r="AL27" s="39" t="s">
        <v>80</v>
      </c>
      <c r="AM27" t="str">
        <f>VLOOKUP($R27,武学奇术!$A:$ZZ,25,FALSE)</f>
        <v>拳甲</v>
      </c>
      <c r="AN27" s="24">
        <f>VLOOKUP($R27,武学奇术!$A:$ZZ,26,FALSE)</f>
        <v>4.26944</v>
      </c>
      <c r="AO27" s="25">
        <f>VLOOKUP($R27,武学奇术!$A:$ZZ,27,FALSE)*(1+IF(OR($AM27=$F$4,$AM27=$F$5),$B$22,0))</f>
        <v>1890.56</v>
      </c>
      <c r="AP27" s="24">
        <f>VLOOKUP($R27,武学奇术!$A:$ZZ,28,FALSE)</f>
        <v>6.40416</v>
      </c>
      <c r="AQ27" s="25">
        <f>VLOOKUP($R27,武学奇术!$A:$ZZ,29,FALSE)*(1+IF(OR($AM27=$F$4,$AM27=$F$5),$B$22,0))</f>
        <v>1021.44</v>
      </c>
      <c r="AR27" s="24" cm="1">
        <f t="array" ref="AR27">$G$3+IFERROR(VLOOKUP($AM27,$F$4:$G$7,2,FALSE),0)+VLOOKUP($R27,武学奇术!$A:$ZZ,2,FALSE)+SUM(_xlfn.XLOOKUP($S27:$AL27,增益!$A:$A,增益!$B:$B,0))</f>
        <v>0.3743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4302.6</v>
      </c>
      <c r="AU27" cm="1">
        <f t="array" ref="AU27">$E$10*(1+$AS27)+VLOOKUP($R27,武学奇术!$A:$ZZ,4,FALSE)+SUM(_xlfn.XLOOKUP($S27:$AL27,增益!$A:$A,增益!$D:$D,0))-$I$2</f>
        <v>4302.6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0.2885</v>
      </c>
      <c r="AW27" s="31" cm="1">
        <f t="array" ref="AW27">$G$10+VLOOKUP($R27,武学奇术!$A:$ZZ,7,FALSE)+SUM(_xlfn.XLOOKUP($S27:$AL27,增益!$A:$A,增益!$G:$G,0))</f>
        <v>0.135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1707.09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0.07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0.9771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0.8861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0.86580831</v>
      </c>
      <c r="BU27" s="24">
        <f t="shared" si="10"/>
        <v>0.0220824599999999</v>
      </c>
      <c r="BV27" s="24">
        <f>IF(VLOOKUP($R27,武学奇术!$A:$ZZ,22,FALSE)=1,0,(1-$BO27))*(1-$BR27)</f>
        <v>0.02080923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s="4"/>
      <c r="B28" s="4"/>
      <c r="K28" s="37">
        <f>$L28*VLOOKUP($R28,武学奇术!$A:$ZZ,31,FALSE)</f>
        <v>61418.402804952</v>
      </c>
      <c r="L28" s="37">
        <f t="shared" si="11"/>
        <v>38386.501753095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39431.1395021287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36022.0575234428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23753.6984952582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20824.3914175959</v>
      </c>
      <c r="Q28" s="38">
        <v>1</v>
      </c>
      <c r="R28" s="39" t="s">
        <v>120</v>
      </c>
      <c r="S28" s="39" t="s">
        <v>106</v>
      </c>
      <c r="T28" s="39" t="s">
        <v>176</v>
      </c>
      <c r="U28" s="39" t="s">
        <v>89</v>
      </c>
      <c r="V28" s="39" t="s">
        <v>90</v>
      </c>
      <c r="W28" s="39" t="s">
        <v>91</v>
      </c>
      <c r="X28" s="39" t="s">
        <v>80</v>
      </c>
      <c r="Y28" s="39" t="s">
        <v>80</v>
      </c>
      <c r="Z28" s="39" t="s">
        <v>80</v>
      </c>
      <c r="AA28" s="39" t="s">
        <v>80</v>
      </c>
      <c r="AB28" s="39" t="s">
        <v>107</v>
      </c>
      <c r="AC28" s="39" t="s">
        <v>80</v>
      </c>
      <c r="AD28" s="39" t="s">
        <v>80</v>
      </c>
      <c r="AE28" s="39" t="s">
        <v>80</v>
      </c>
      <c r="AF28" s="39" t="s">
        <v>84</v>
      </c>
      <c r="AG28" s="39" t="s">
        <v>80</v>
      </c>
      <c r="AH28" s="39" t="s">
        <v>80</v>
      </c>
      <c r="AI28" s="39" t="s">
        <v>80</v>
      </c>
      <c r="AJ28" s="39" t="s">
        <v>80</v>
      </c>
      <c r="AK28" s="39" t="s">
        <v>80</v>
      </c>
      <c r="AL28" s="39" t="s">
        <v>80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0.3243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4302.6</v>
      </c>
      <c r="AU28" cm="1">
        <f t="array" ref="AU28">$E$10*(1+$AS28)+VLOOKUP($R28,武学奇术!$A:$ZZ,4,FALSE)+SUM(_xlfn.XLOOKUP($S28:$AL28,增益!$A:$A,增益!$D:$D,0))-$I$2</f>
        <v>4302.6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0.2885</v>
      </c>
      <c r="AW28" s="31" cm="1">
        <f t="array" ref="AW28">$G$10+VLOOKUP($R28,武学奇术!$A:$ZZ,7,FALSE)+SUM(_xlfn.XLOOKUP($S28:$AL28,增益!$A:$A,增益!$G:$G,0))</f>
        <v>0.135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1707.09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0.07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0.9771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0.8861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0.86580831</v>
      </c>
      <c r="BU28" s="24">
        <f t="shared" si="10"/>
        <v>0.0220824599999999</v>
      </c>
      <c r="BV28" s="24">
        <f>IF(VLOOKUP($R28,武学奇术!$A:$ZZ,22,FALSE)=1,0,(1-$BO28))*(1-$BR28)</f>
        <v>0.02080923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K29" s="37">
        <f>$L29*VLOOKUP($R29,武学奇术!$A:$ZZ,31,FALSE)</f>
        <v>44713.9690309578</v>
      </c>
      <c r="L29" s="37">
        <f t="shared" si="11"/>
        <v>44713.9690309578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46780.9021385447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35553.3352136524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23746.6508317486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21157.4978015324</v>
      </c>
      <c r="Q29" s="38">
        <v>1</v>
      </c>
      <c r="R29" s="39" t="s">
        <v>123</v>
      </c>
      <c r="S29" s="39" t="s">
        <v>106</v>
      </c>
      <c r="T29" s="39" t="s">
        <v>180</v>
      </c>
      <c r="U29" s="39" t="s">
        <v>89</v>
      </c>
      <c r="V29" s="39" t="s">
        <v>90</v>
      </c>
      <c r="W29" s="39" t="s">
        <v>91</v>
      </c>
      <c r="X29" s="39" t="s">
        <v>80</v>
      </c>
      <c r="Y29" s="39" t="s">
        <v>80</v>
      </c>
      <c r="Z29" s="39" t="s">
        <v>80</v>
      </c>
      <c r="AA29" s="39" t="s">
        <v>80</v>
      </c>
      <c r="AB29" s="39" t="s">
        <v>107</v>
      </c>
      <c r="AC29" s="39" t="s">
        <v>80</v>
      </c>
      <c r="AD29" s="39" t="s">
        <v>80</v>
      </c>
      <c r="AE29" s="39" t="s">
        <v>80</v>
      </c>
      <c r="AF29" s="39" t="s">
        <v>84</v>
      </c>
      <c r="AG29" s="39" t="s">
        <v>80</v>
      </c>
      <c r="AH29" s="39" t="s">
        <v>80</v>
      </c>
      <c r="AI29" s="39" t="s">
        <v>80</v>
      </c>
      <c r="AJ29" s="39" t="s">
        <v>80</v>
      </c>
      <c r="AK29" s="39" t="s">
        <v>80</v>
      </c>
      <c r="AL29" s="39" t="s">
        <v>80</v>
      </c>
      <c r="AM29" t="str">
        <f>VLOOKUP($R29,武学奇术!$A:$ZZ,25,FALSE)</f>
        <v>拳甲</v>
      </c>
      <c r="AN29" s="24">
        <f>VLOOKUP($R29,武学奇术!$A:$ZZ,26,FALSE)</f>
        <v>1.58662</v>
      </c>
      <c r="AO29" s="25">
        <f>VLOOKUP($R29,武学奇术!$A:$ZZ,27,FALSE)*(1+IF(OR($AM29=$F$4,$AM29=$F$5),$B$22,0))</f>
        <v>703.36</v>
      </c>
      <c r="AP29" s="24">
        <f>VLOOKUP($R29,武学奇术!$A:$ZZ,28,FALSE)</f>
        <v>2.37986</v>
      </c>
      <c r="AQ29" s="25">
        <f>VLOOKUP($R29,武学奇术!$A:$ZZ,29,FALSE)*(1+IF(OR($AM29=$F$4,$AM29=$F$5),$B$22,0))</f>
        <v>383.04</v>
      </c>
      <c r="AR29" s="24" cm="1">
        <f t="array" ref="AR29">$G$3+IFERROR(VLOOKUP($AM29,$F$4:$G$7,2,FALSE),0)+VLOOKUP($R29,武学奇术!$A:$ZZ,2,FALSE)+SUM(_xlfn.XLOOKUP($S29:$AL29,增益!$A:$A,增益!$B:$B,0))</f>
        <v>0.3743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4302.6</v>
      </c>
      <c r="AU29" cm="1">
        <f t="array" ref="AU29">$E$10*(1+$AS29)+VLOOKUP($R29,武学奇术!$A:$ZZ,4,FALSE)+SUM(_xlfn.XLOOKUP($S29:$AL29,增益!$A:$A,增益!$D:$D,0))-$I$2</f>
        <v>4302.6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0.2885</v>
      </c>
      <c r="AW29" s="31" cm="1">
        <f t="array" ref="AW29">$G$10+VLOOKUP($R29,武学奇术!$A:$ZZ,7,FALSE)+SUM(_xlfn.XLOOKUP($S29:$AL29,增益!$A:$A,增益!$G:$G,0))</f>
        <v>0.135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-0.16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-0.16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-0.16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1707.09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0.07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0.9771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0.8861</v>
      </c>
      <c r="BQ29" s="24" cm="1">
        <f t="array" ref="BQ29">1+$B$13+VLOOKUP($R29,武学奇术!$A:$ZZ,18,FALSE)+SUM(_xlfn.XLOOKUP($S29:$AL29,增益!$A:$A,增益!$R:$R,0))</f>
        <v>1.97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0.86580831</v>
      </c>
      <c r="BU29" s="24">
        <f t="shared" si="10"/>
        <v>0.0220824599999999</v>
      </c>
      <c r="BV29" s="24">
        <f>IF(VLOOKUP($R29,武学奇术!$A:$ZZ,22,FALSE)=1,0,(1-$BO29))*(1-$BR29)</f>
        <v>0.02080923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K30" s="37">
        <f>$L30*VLOOKUP($R30,武学奇术!$A:$ZZ,31,FALSE)</f>
        <v>30583.3233712451</v>
      </c>
      <c r="L30" s="37">
        <f t="shared" si="11"/>
        <v>30583.3233712451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31997.1387995704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24316.7041142815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16242.2024363302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14472.031454674</v>
      </c>
      <c r="Q30" s="38">
        <v>1</v>
      </c>
      <c r="R30" s="39" t="s">
        <v>126</v>
      </c>
      <c r="S30" s="39" t="s">
        <v>106</v>
      </c>
      <c r="T30" s="39" t="s">
        <v>180</v>
      </c>
      <c r="U30" s="39" t="s">
        <v>89</v>
      </c>
      <c r="V30" s="39" t="s">
        <v>90</v>
      </c>
      <c r="W30" s="39" t="s">
        <v>91</v>
      </c>
      <c r="X30" s="39" t="s">
        <v>80</v>
      </c>
      <c r="Y30" s="39" t="s">
        <v>80</v>
      </c>
      <c r="Z30" s="39" t="s">
        <v>80</v>
      </c>
      <c r="AA30" s="39" t="s">
        <v>80</v>
      </c>
      <c r="AB30" s="39" t="s">
        <v>107</v>
      </c>
      <c r="AC30" s="39" t="s">
        <v>80</v>
      </c>
      <c r="AD30" s="39" t="s">
        <v>80</v>
      </c>
      <c r="AE30" s="39" t="s">
        <v>80</v>
      </c>
      <c r="AF30" s="39" t="s">
        <v>84</v>
      </c>
      <c r="AG30" s="39" t="s">
        <v>80</v>
      </c>
      <c r="AH30" s="39" t="s">
        <v>80</v>
      </c>
      <c r="AI30" s="39" t="s">
        <v>80</v>
      </c>
      <c r="AJ30" s="39" t="s">
        <v>80</v>
      </c>
      <c r="AK30" s="39" t="s">
        <v>80</v>
      </c>
      <c r="AL30" s="39" t="s">
        <v>80</v>
      </c>
      <c r="AM30" t="str">
        <f>VLOOKUP($R30,武学奇术!$A:$ZZ,25,FALSE)</f>
        <v>拳甲</v>
      </c>
      <c r="AN30" s="24">
        <f>VLOOKUP($R30,武学奇术!$A:$ZZ,26,FALSE)</f>
        <v>1.08472</v>
      </c>
      <c r="AO30" s="25">
        <f>VLOOKUP($R30,武学奇术!$A:$ZZ,27,FALSE)*(1+IF(OR($AM30=$F$4,$AM30=$F$5),$B$22,0))</f>
        <v>483.84</v>
      </c>
      <c r="AP30" s="24">
        <f>VLOOKUP($R30,武学奇术!$A:$ZZ,28,FALSE)</f>
        <v>1.62708</v>
      </c>
      <c r="AQ30" s="25">
        <f>VLOOKUP($R30,武学奇术!$A:$ZZ,29,FALSE)*(1+IF(OR($AM30=$F$4,$AM30=$F$5),$B$22,0))</f>
        <v>262.08</v>
      </c>
      <c r="AR30" s="24" cm="1">
        <f t="array" ref="AR30">$G$3+IFERROR(VLOOKUP($AM30,$F$4:$G$7,2,FALSE),0)+VLOOKUP($R30,武学奇术!$A:$ZZ,2,FALSE)+SUM(_xlfn.XLOOKUP($S30:$AL30,增益!$A:$A,增益!$B:$B,0))</f>
        <v>0.3743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4302.6</v>
      </c>
      <c r="AU30" cm="1">
        <f t="array" ref="AU30">$E$10*(1+$AS30)+VLOOKUP($R30,武学奇术!$A:$ZZ,4,FALSE)+SUM(_xlfn.XLOOKUP($S30:$AL30,增益!$A:$A,增益!$D:$D,0))-$I$2</f>
        <v>4302.6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0.2885</v>
      </c>
      <c r="AW30" s="31" cm="1">
        <f t="array" ref="AW30">$G$10+VLOOKUP($R30,武学奇术!$A:$ZZ,7,FALSE)+SUM(_xlfn.XLOOKUP($S30:$AL30,增益!$A:$A,增益!$G:$G,0))</f>
        <v>0.135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-0.16</v>
      </c>
      <c r="BB30" s="31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-0.16</v>
      </c>
      <c r="BF30" s="31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-0.16</v>
      </c>
      <c r="BJ30" s="31" cm="1">
        <f t="array" ref="BJ30">$G$13+VLOOKUP($R30,武学奇术!$A:$ZZ,14,FALSE)+SUM(_xlfn.XLOOKUP($S30:$AL30,增益!$A:$A,增益!$N:$N,0))</f>
        <v>0.02</v>
      </c>
      <c r="BK30">
        <f t="shared" si="7"/>
        <v>649.11</v>
      </c>
      <c r="BL30">
        <f t="shared" si="8"/>
        <v>1707.09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0.07</v>
      </c>
      <c r="BN30" s="31" cm="1">
        <f t="array" ref="BN30">$G$14+VLOOKUP($R30,武学奇术!$A:$ZZ,16,FALSE)+SUM(_xlfn.XLOOKUP($S30:$AL30,增益!$A:$A,增益!$P:$P,0))</f>
        <v>0.26</v>
      </c>
      <c r="BO30" s="24">
        <f>MIN(IF(VLOOKUP($R30,武学奇术!$A:$ZZ,23,FALSE)=1,100%,$B$8),100%)</f>
        <v>0.9771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0.8861</v>
      </c>
      <c r="BQ30" s="24" cm="1">
        <f t="array" ref="BQ30">1+$B$13+VLOOKUP($R30,武学奇术!$A:$ZZ,18,FALSE)+SUM(_xlfn.XLOOKUP($S30:$AL30,增益!$A:$A,增益!$R:$R,0))</f>
        <v>1.97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0.86580831</v>
      </c>
      <c r="BU30" s="24">
        <f t="shared" si="10"/>
        <v>0.0220824599999999</v>
      </c>
      <c r="BV30" s="24">
        <f>IF(VLOOKUP($R30,武学奇术!$A:$ZZ,22,FALSE)=1,0,(1-$BO30))*(1-$BR30)</f>
        <v>0.02080923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K31" s="37">
        <f>$L31*VLOOKUP($R31,武学奇术!$A:$ZZ,31,FALSE)</f>
        <v>74952.0821474258</v>
      </c>
      <c r="L31" s="37">
        <f t="shared" si="11"/>
        <v>46845.0513421411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48335.8321163119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42375.4898755669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27939.7873504693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24490.3229412594</v>
      </c>
      <c r="Q31" s="38">
        <v>1</v>
      </c>
      <c r="R31" s="39" t="s">
        <v>128</v>
      </c>
      <c r="S31" s="39" t="s">
        <v>106</v>
      </c>
      <c r="T31" s="39" t="s">
        <v>185</v>
      </c>
      <c r="U31" s="39" t="s">
        <v>89</v>
      </c>
      <c r="V31" s="39" t="s">
        <v>129</v>
      </c>
      <c r="W31" s="39" t="s">
        <v>91</v>
      </c>
      <c r="X31" s="39" t="s">
        <v>80</v>
      </c>
      <c r="Y31" s="39" t="s">
        <v>80</v>
      </c>
      <c r="Z31" s="39" t="s">
        <v>80</v>
      </c>
      <c r="AA31" s="39" t="s">
        <v>80</v>
      </c>
      <c r="AB31" s="39" t="s">
        <v>186</v>
      </c>
      <c r="AC31" s="39" t="s">
        <v>80</v>
      </c>
      <c r="AD31" s="39" t="s">
        <v>80</v>
      </c>
      <c r="AE31" s="39" t="s">
        <v>80</v>
      </c>
      <c r="AF31" s="39" t="s">
        <v>84</v>
      </c>
      <c r="AG31" s="39" t="s">
        <v>80</v>
      </c>
      <c r="AH31" s="39" t="s">
        <v>80</v>
      </c>
      <c r="AI31" s="39" t="s">
        <v>80</v>
      </c>
      <c r="AJ31" s="39" t="s">
        <v>80</v>
      </c>
      <c r="AK31" s="39" t="s">
        <v>80</v>
      </c>
      <c r="AL31" s="39" t="s">
        <v>80</v>
      </c>
      <c r="AM31" t="str">
        <f>VLOOKUP($R31,武学奇术!$A:$ZZ,25,FALSE)</f>
        <v>拳甲</v>
      </c>
      <c r="AN31" s="24">
        <f>VLOOKUP($R31,武学奇术!$A:$ZZ,26,FALSE)</f>
        <v>2.173248</v>
      </c>
      <c r="AO31" s="25">
        <f>VLOOKUP($R31,武学奇术!$A:$ZZ,27,FALSE)*(1+IF(OR($AM31=$F$4,$AM31=$F$5),$B$22,0))</f>
        <v>0</v>
      </c>
      <c r="AP31" s="24">
        <f>VLOOKUP($R31,武学奇术!$A:$ZZ,28,FALSE)</f>
        <v>3.259872</v>
      </c>
      <c r="AQ31" s="25">
        <f>VLOOKUP($R31,武学奇术!$A:$ZZ,29,FALSE)*(1+IF(OR($AM31=$F$4,$AM31=$F$5),$B$22,0))</f>
        <v>0</v>
      </c>
      <c r="AR31" s="24" cm="1">
        <f t="array" ref="AR31">$G$3+IFERROR(VLOOKUP($AM31,$F$4:$G$7,2,FALSE),0)+VLOOKUP($R31,武学奇术!$A:$ZZ,2,FALSE)+SUM(_xlfn.XLOOKUP($S31:$AL31,增益!$A:$A,增益!$B:$B,0))</f>
        <v>0.3243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4302.6</v>
      </c>
      <c r="AU31" cm="1">
        <f t="array" ref="AU31">$E$10*(1+$AS31)+VLOOKUP($R31,武学奇术!$A:$ZZ,4,FALSE)+SUM(_xlfn.XLOOKUP($S31:$AL31,增益!$A:$A,增益!$D:$D,0))-$I$2</f>
        <v>4302.6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0.2985</v>
      </c>
      <c r="AW31" s="31" cm="1">
        <f t="array" ref="AW31">$G$10+VLOOKUP($R31,武学奇术!$A:$ZZ,7,FALSE)+SUM(_xlfn.XLOOKUP($S31:$AL31,增益!$A:$A,增益!$G:$G,0))</f>
        <v>0.135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1707.09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0.9771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0.8861</v>
      </c>
      <c r="BQ31" s="24" cm="1">
        <f t="array" ref="BQ31">1+$B$13+VLOOKUP($R31,武学奇术!$A:$ZZ,18,FALSE)+SUM(_xlfn.XLOOKUP($S31:$AL31,增益!$A:$A,增益!$R:$R,0))</f>
        <v>1.73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0.86580831</v>
      </c>
      <c r="BU31" s="24">
        <f t="shared" si="10"/>
        <v>0.0220824599999999</v>
      </c>
      <c r="BV31" s="24">
        <f>IF(VLOOKUP($R31,武学奇术!$A:$ZZ,22,FALSE)=1,0,(1-$BO31))*(1-$BR31)</f>
        <v>0.02080923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K32" s="37">
        <f>$L32*VLOOKUP($R32,武学奇术!$A:$ZZ,31,FALSE)</f>
        <v>300857.269731454</v>
      </c>
      <c r="L32" s="37">
        <f t="shared" si="11"/>
        <v>300857.269731454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315271.006756624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232548.510764589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155305.914658436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138353.673194953</v>
      </c>
      <c r="Q32" s="38">
        <v>1</v>
      </c>
      <c r="R32" s="39" t="s">
        <v>132</v>
      </c>
      <c r="S32" s="39" t="s">
        <v>106</v>
      </c>
      <c r="T32" s="39" t="s">
        <v>185</v>
      </c>
      <c r="U32" s="39" t="s">
        <v>89</v>
      </c>
      <c r="V32" s="39" t="s">
        <v>129</v>
      </c>
      <c r="W32" s="39" t="s">
        <v>91</v>
      </c>
      <c r="X32" s="39" t="s">
        <v>80</v>
      </c>
      <c r="Y32" s="39" t="s">
        <v>80</v>
      </c>
      <c r="Z32" s="39" t="s">
        <v>80</v>
      </c>
      <c r="AA32" s="39" t="s">
        <v>80</v>
      </c>
      <c r="AB32" s="39" t="s">
        <v>186</v>
      </c>
      <c r="AC32" s="39" t="s">
        <v>80</v>
      </c>
      <c r="AD32" s="39" t="s">
        <v>80</v>
      </c>
      <c r="AE32" s="39" t="s">
        <v>80</v>
      </c>
      <c r="AF32" s="39" t="s">
        <v>84</v>
      </c>
      <c r="AG32" s="39" t="s">
        <v>80</v>
      </c>
      <c r="AH32" s="39" t="s">
        <v>80</v>
      </c>
      <c r="AI32" s="39" t="s">
        <v>80</v>
      </c>
      <c r="AJ32" s="39" t="s">
        <v>80</v>
      </c>
      <c r="AK32" s="39" t="s">
        <v>80</v>
      </c>
      <c r="AL32" s="39" t="s">
        <v>80</v>
      </c>
      <c r="AM32" t="str">
        <f>VLOOKUP($R32,武学奇术!$A:$ZZ,25,FALSE)</f>
        <v>拳甲</v>
      </c>
      <c r="AN32" s="24">
        <f>VLOOKUP($R32,武学奇术!$A:$ZZ,26,FALSE)</f>
        <v>7.79674</v>
      </c>
      <c r="AO32" s="25">
        <f>VLOOKUP($R32,武学奇术!$A:$ZZ,27,FALSE)*(1+IF(OR($AM32=$F$4,$AM32=$F$5),$B$22,0))</f>
        <v>3458.56</v>
      </c>
      <c r="AP32" s="24">
        <f>VLOOKUP($R32,武学奇术!$A:$ZZ,28,FALSE)</f>
        <v>11.69518</v>
      </c>
      <c r="AQ32" s="25">
        <f>VLOOKUP($R32,武学奇术!$A:$ZZ,29,FALSE)*(1+IF(OR($AM32=$F$4,$AM32=$F$5),$B$22,0))</f>
        <v>1881.6</v>
      </c>
      <c r="AR32" s="24" cm="1">
        <f t="array" ref="AR32">$G$3+IFERROR(VLOOKUP($AM32,$F$4:$G$7,2,FALSE),0)+VLOOKUP($R32,武学奇术!$A:$ZZ,2,FALSE)+SUM(_xlfn.XLOOKUP($S32:$AL32,增益!$A:$A,增益!$B:$B,0))</f>
        <v>0.3743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4302.6</v>
      </c>
      <c r="AU32" cm="1">
        <f t="array" ref="AU32">$E$10*(1+$AS32)+VLOOKUP($R32,武学奇术!$A:$ZZ,4,FALSE)+SUM(_xlfn.XLOOKUP($S32:$AL32,增益!$A:$A,增益!$D:$D,0))-$I$2</f>
        <v>4302.6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0.2985</v>
      </c>
      <c r="AW32" s="31" cm="1">
        <f t="array" ref="AW32">$G$10+VLOOKUP($R32,武学奇术!$A:$ZZ,7,FALSE)+SUM(_xlfn.XLOOKUP($S32:$AL32,增益!$A:$A,增益!$G:$G,0))</f>
        <v>0.135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1707.09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0.9771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0.8861</v>
      </c>
      <c r="BQ32" s="24" cm="1">
        <f t="array" ref="BQ32">1+$B$13+VLOOKUP($R32,武学奇术!$A:$ZZ,18,FALSE)+SUM(_xlfn.XLOOKUP($S32:$AL32,增益!$A:$A,增益!$R:$R,0))</f>
        <v>2.03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0.86580831</v>
      </c>
      <c r="BU32" s="24">
        <f t="shared" si="10"/>
        <v>0.0428916899999999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K33" s="37">
        <f>$L33*VLOOKUP($R33,武学奇术!$A:$ZZ,31,FALSE)</f>
        <v>302201.921246489</v>
      </c>
      <c r="L33" s="37">
        <f t="shared" si="11"/>
        <v>302201.921246489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316824.065903209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232548.510764589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155305.914658436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138353.673194953</v>
      </c>
      <c r="Q33" s="38">
        <v>1</v>
      </c>
      <c r="R33" s="39" t="s">
        <v>132</v>
      </c>
      <c r="S33" s="39" t="s">
        <v>106</v>
      </c>
      <c r="T33" s="39" t="s">
        <v>189</v>
      </c>
      <c r="U33" s="39" t="s">
        <v>89</v>
      </c>
      <c r="V33" s="39" t="s">
        <v>129</v>
      </c>
      <c r="W33" s="39" t="s">
        <v>91</v>
      </c>
      <c r="X33" s="39" t="s">
        <v>80</v>
      </c>
      <c r="Y33" s="39" t="s">
        <v>80</v>
      </c>
      <c r="Z33" s="39" t="s">
        <v>80</v>
      </c>
      <c r="AA33" s="39" t="s">
        <v>80</v>
      </c>
      <c r="AB33" s="39" t="s">
        <v>186</v>
      </c>
      <c r="AC33" s="39" t="s">
        <v>80</v>
      </c>
      <c r="AD33" s="39" t="s">
        <v>80</v>
      </c>
      <c r="AE33" s="39" t="s">
        <v>80</v>
      </c>
      <c r="AF33" s="39" t="s">
        <v>84</v>
      </c>
      <c r="AG33" s="39" t="s">
        <v>80</v>
      </c>
      <c r="AH33" s="39" t="s">
        <v>80</v>
      </c>
      <c r="AI33" s="39" t="s">
        <v>80</v>
      </c>
      <c r="AJ33" s="39" t="s">
        <v>80</v>
      </c>
      <c r="AK33" s="39" t="s">
        <v>80</v>
      </c>
      <c r="AL33" s="39" t="s">
        <v>80</v>
      </c>
      <c r="AM33" t="str">
        <f>VLOOKUP($R33,武学奇术!$A:$ZZ,25,FALSE)</f>
        <v>拳甲</v>
      </c>
      <c r="AN33" s="24">
        <f>VLOOKUP($R33,武学奇术!$A:$ZZ,26,FALSE)</f>
        <v>7.79674</v>
      </c>
      <c r="AO33" s="25">
        <f>VLOOKUP($R33,武学奇术!$A:$ZZ,27,FALSE)*(1+IF(OR($AM33=$F$4,$AM33=$F$5),$B$22,0))</f>
        <v>3458.56</v>
      </c>
      <c r="AP33" s="24">
        <f>VLOOKUP($R33,武学奇术!$A:$ZZ,28,FALSE)</f>
        <v>11.69518</v>
      </c>
      <c r="AQ33" s="25">
        <f>VLOOKUP($R33,武学奇术!$A:$ZZ,29,FALSE)*(1+IF(OR($AM33=$F$4,$AM33=$F$5),$B$22,0))</f>
        <v>1881.6</v>
      </c>
      <c r="AR33" s="24" cm="1">
        <f t="array" ref="AR33">$G$3+IFERROR(VLOOKUP($AM33,$F$4:$G$7,2,FALSE),0)+VLOOKUP($R33,武学奇术!$A:$ZZ,2,FALSE)+SUM(_xlfn.XLOOKUP($S33:$AL33,增益!$A:$A,增益!$B:$B,0))</f>
        <v>0.3743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4302.6</v>
      </c>
      <c r="AU33" cm="1">
        <f t="array" ref="AU33">$E$10*(1+$AS33)+VLOOKUP($R33,武学奇术!$A:$ZZ,4,FALSE)+SUM(_xlfn.XLOOKUP($S33:$AL33,增益!$A:$A,增益!$D:$D,0))-$I$2</f>
        <v>4302.6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0.2985</v>
      </c>
      <c r="AW33" s="31" cm="1">
        <f t="array" ref="AW33">$G$10+VLOOKUP($R33,武学奇术!$A:$ZZ,7,FALSE)+SUM(_xlfn.XLOOKUP($S33:$AL33,增益!$A:$A,增益!$G:$G,0))</f>
        <v>0.135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1707.09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0.9771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0.8861</v>
      </c>
      <c r="BQ33" s="24" cm="1">
        <f t="array" ref="BQ33">1+$B$13+VLOOKUP($R33,武学奇术!$A:$ZZ,18,FALSE)+SUM(_xlfn.XLOOKUP($S33:$AL33,增益!$A:$A,增益!$R:$R,0))</f>
        <v>2.04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0.86580831</v>
      </c>
      <c r="BU33" s="24">
        <f t="shared" si="10"/>
        <v>0.0428916899999999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F34" s="4"/>
      <c r="G34" s="90"/>
      <c r="K34" s="37">
        <f>$L34*VLOOKUP($R34,武学奇术!$A:$ZZ,31,FALSE)</f>
        <v>302201.921246489</v>
      </c>
      <c r="L34" s="37">
        <f t="shared" si="11"/>
        <v>302201.921246489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316824.065903209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232548.510764589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155305.914658436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138353.673194953</v>
      </c>
      <c r="Q34" s="38">
        <v>1</v>
      </c>
      <c r="R34" s="39" t="s">
        <v>132</v>
      </c>
      <c r="S34" s="39" t="s">
        <v>106</v>
      </c>
      <c r="T34" s="39" t="s">
        <v>189</v>
      </c>
      <c r="U34" s="39" t="s">
        <v>89</v>
      </c>
      <c r="V34" s="39" t="s">
        <v>129</v>
      </c>
      <c r="W34" s="39" t="s">
        <v>91</v>
      </c>
      <c r="X34" s="39" t="s">
        <v>80</v>
      </c>
      <c r="Y34" s="39" t="s">
        <v>80</v>
      </c>
      <c r="Z34" s="39" t="s">
        <v>80</v>
      </c>
      <c r="AA34" s="39" t="s">
        <v>80</v>
      </c>
      <c r="AB34" s="39" t="s">
        <v>186</v>
      </c>
      <c r="AC34" s="39" t="s">
        <v>80</v>
      </c>
      <c r="AD34" s="39" t="s">
        <v>80</v>
      </c>
      <c r="AE34" s="39" t="s">
        <v>80</v>
      </c>
      <c r="AF34" s="39" t="s">
        <v>84</v>
      </c>
      <c r="AG34" s="39" t="s">
        <v>80</v>
      </c>
      <c r="AH34" s="39" t="s">
        <v>80</v>
      </c>
      <c r="AI34" s="39" t="s">
        <v>80</v>
      </c>
      <c r="AJ34" s="39" t="s">
        <v>80</v>
      </c>
      <c r="AK34" s="39" t="s">
        <v>80</v>
      </c>
      <c r="AL34" s="39" t="s">
        <v>80</v>
      </c>
      <c r="AM34" t="str">
        <f>VLOOKUP($R34,武学奇术!$A:$ZZ,25,FALSE)</f>
        <v>拳甲</v>
      </c>
      <c r="AN34" s="24">
        <f>VLOOKUP($R34,武学奇术!$A:$ZZ,26,FALSE)</f>
        <v>7.79674</v>
      </c>
      <c r="AO34" s="25">
        <f>VLOOKUP($R34,武学奇术!$A:$ZZ,27,FALSE)*(1+IF(OR($AM34=$F$4,$AM34=$F$5),$B$22,0))</f>
        <v>3458.56</v>
      </c>
      <c r="AP34" s="24">
        <f>VLOOKUP($R34,武学奇术!$A:$ZZ,28,FALSE)</f>
        <v>11.69518</v>
      </c>
      <c r="AQ34" s="25">
        <f>VLOOKUP($R34,武学奇术!$A:$ZZ,29,FALSE)*(1+IF(OR($AM34=$F$4,$AM34=$F$5),$B$22,0))</f>
        <v>1881.6</v>
      </c>
      <c r="AR34" s="24" cm="1">
        <f t="array" ref="AR34">$G$3+IFERROR(VLOOKUP($AM34,$F$4:$G$7,2,FALSE),0)+VLOOKUP($R34,武学奇术!$A:$ZZ,2,FALSE)+SUM(_xlfn.XLOOKUP($S34:$AL34,增益!$A:$A,增益!$B:$B,0))</f>
        <v>0.3743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4302.6</v>
      </c>
      <c r="AU34" cm="1">
        <f t="array" ref="AU34">$E$10*(1+$AS34)+VLOOKUP($R34,武学奇术!$A:$ZZ,4,FALSE)+SUM(_xlfn.XLOOKUP($S34:$AL34,增益!$A:$A,增益!$D:$D,0))-$I$2</f>
        <v>4302.6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0.2985</v>
      </c>
      <c r="AW34" s="31" cm="1">
        <f t="array" ref="AW34">$G$10+VLOOKUP($R34,武学奇术!$A:$ZZ,7,FALSE)+SUM(_xlfn.XLOOKUP($S34:$AL34,增益!$A:$A,增益!$G:$G,0))</f>
        <v>0.135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1707.09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0.9771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0.8861</v>
      </c>
      <c r="BQ34" s="24" cm="1">
        <f t="array" ref="BQ34">1+$B$13+VLOOKUP($R34,武学奇术!$A:$ZZ,18,FALSE)+SUM(_xlfn.XLOOKUP($S34:$AL34,增益!$A:$A,增益!$R:$R,0))</f>
        <v>2.04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0.86580831</v>
      </c>
      <c r="BU34" s="24">
        <f t="shared" si="10"/>
        <v>0.0428916899999999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F35" s="4"/>
      <c r="G35" s="4"/>
      <c r="K35" s="37">
        <f>$L35*VLOOKUP($R35,武学奇术!$A:$ZZ,31,FALSE)</f>
        <v>165955.50179558</v>
      </c>
      <c r="L35" s="37">
        <f t="shared" si="11"/>
        <v>165955.50179558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173985.004864295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127708.052503188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85286.7670903409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75974.9767709126</v>
      </c>
      <c r="Q35" s="38">
        <v>1</v>
      </c>
      <c r="R35" s="39" t="s">
        <v>156</v>
      </c>
      <c r="S35" s="39" t="s">
        <v>106</v>
      </c>
      <c r="T35" s="39" t="s">
        <v>189</v>
      </c>
      <c r="U35" s="39" t="s">
        <v>89</v>
      </c>
      <c r="V35" s="39" t="s">
        <v>129</v>
      </c>
      <c r="W35" s="39" t="s">
        <v>91</v>
      </c>
      <c r="X35" s="39" t="s">
        <v>80</v>
      </c>
      <c r="Y35" s="39" t="s">
        <v>80</v>
      </c>
      <c r="Z35" s="39" t="s">
        <v>80</v>
      </c>
      <c r="AA35" s="39" t="s">
        <v>80</v>
      </c>
      <c r="AB35" s="39" t="s">
        <v>186</v>
      </c>
      <c r="AC35" s="39" t="s">
        <v>80</v>
      </c>
      <c r="AD35" s="39" t="s">
        <v>80</v>
      </c>
      <c r="AE35" s="39" t="s">
        <v>80</v>
      </c>
      <c r="AF35" s="39" t="s">
        <v>84</v>
      </c>
      <c r="AG35" s="39" t="s">
        <v>80</v>
      </c>
      <c r="AH35" s="39" t="s">
        <v>80</v>
      </c>
      <c r="AI35" s="39" t="s">
        <v>80</v>
      </c>
      <c r="AJ35" s="39" t="s">
        <v>80</v>
      </c>
      <c r="AK35" s="39" t="s">
        <v>80</v>
      </c>
      <c r="AL35" s="39" t="s">
        <v>80</v>
      </c>
      <c r="AM35" t="str">
        <f>VLOOKUP($R35,武学奇术!$A:$ZZ,25,FALSE)</f>
        <v>双刀</v>
      </c>
      <c r="AN35" s="24">
        <f>VLOOKUP($R35,武学奇术!$A:$ZZ,26,FALSE)</f>
        <v>4.28274</v>
      </c>
      <c r="AO35" s="25">
        <f>VLOOKUP($R35,武学奇术!$A:$ZZ,27,FALSE)*(1+IF(OR($AM35=$F$4,$AM35=$F$5),$B$22,0))</f>
        <v>1895.04</v>
      </c>
      <c r="AP35" s="24">
        <f>VLOOKUP($R35,武学奇术!$A:$ZZ,28,FALSE)</f>
        <v>6.42411</v>
      </c>
      <c r="AQ35" s="25">
        <f>VLOOKUP($R35,武学奇术!$A:$ZZ,29,FALSE)*(1+IF(OR($AM35=$F$4,$AM35=$F$5),$B$22,0))</f>
        <v>1031.52</v>
      </c>
      <c r="AR35" s="24" cm="1">
        <f t="array" ref="AR35">$G$3+IFERROR(VLOOKUP($AM35,$F$4:$G$7,2,FALSE),0)+VLOOKUP($R35,武学奇术!$A:$ZZ,2,FALSE)+SUM(_xlfn.XLOOKUP($S35:$AL35,增益!$A:$A,增益!$B:$B,0))</f>
        <v>0.3743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4302.6</v>
      </c>
      <c r="AU35" cm="1">
        <f t="array" ref="AU35">$E$10*(1+$AS35)+VLOOKUP($R35,武学奇术!$A:$ZZ,4,FALSE)+SUM(_xlfn.XLOOKUP($S35:$AL35,增益!$A:$A,增益!$D:$D,0))-$I$2</f>
        <v>4302.6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0.2985</v>
      </c>
      <c r="AW35" s="31" cm="1">
        <f t="array" ref="AW35">$G$10+VLOOKUP($R35,武学奇术!$A:$ZZ,7,FALSE)+SUM(_xlfn.XLOOKUP($S35:$AL35,增益!$A:$A,增益!$G:$G,0))</f>
        <v>0.135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1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1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1" cm="1">
        <f t="array" ref="BJ35">$G$13+VLOOKUP($R35,武学奇术!$A:$ZZ,14,FALSE)+SUM(_xlfn.XLOOKUP($S35:$AL35,增益!$A:$A,增益!$N:$N,0))</f>
        <v>0.02</v>
      </c>
      <c r="BK35">
        <f t="shared" si="7"/>
        <v>649.11</v>
      </c>
      <c r="BL35">
        <f t="shared" si="8"/>
        <v>1707.09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0.9771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0.8861</v>
      </c>
      <c r="BQ35" s="24" cm="1">
        <f t="array" ref="BQ35">1+$B$13+VLOOKUP($R35,武学奇术!$A:$ZZ,18,FALSE)+SUM(_xlfn.XLOOKUP($S35:$AL35,增益!$A:$A,增益!$R:$R,0))</f>
        <v>2.04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0.86580831</v>
      </c>
      <c r="BU35" s="24">
        <f t="shared" si="10"/>
        <v>0.0428916899999999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F36" s="4"/>
      <c r="G36" s="90"/>
      <c r="K36" s="37">
        <f>$L36*VLOOKUP($R36,武学奇术!$A:$ZZ,31,FALSE)</f>
        <v>221233.029700261</v>
      </c>
      <c r="L36" s="37">
        <f t="shared" si="11"/>
        <v>221233.029700261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231936.910680888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170247.240314402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113694.564059259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101280.061218961</v>
      </c>
      <c r="Q36" s="38">
        <v>1</v>
      </c>
      <c r="R36" s="39" t="s">
        <v>162</v>
      </c>
      <c r="S36" s="39" t="s">
        <v>106</v>
      </c>
      <c r="T36" s="39" t="s">
        <v>189</v>
      </c>
      <c r="U36" s="39" t="s">
        <v>89</v>
      </c>
      <c r="V36" s="39" t="s">
        <v>129</v>
      </c>
      <c r="W36" s="39" t="s">
        <v>91</v>
      </c>
      <c r="X36" s="39" t="s">
        <v>80</v>
      </c>
      <c r="Y36" s="39" t="s">
        <v>80</v>
      </c>
      <c r="Z36" s="39" t="s">
        <v>80</v>
      </c>
      <c r="AA36" s="39" t="s">
        <v>80</v>
      </c>
      <c r="AB36" s="39" t="s">
        <v>186</v>
      </c>
      <c r="AC36" s="39" t="s">
        <v>80</v>
      </c>
      <c r="AD36" s="39" t="s">
        <v>80</v>
      </c>
      <c r="AE36" s="39" t="s">
        <v>80</v>
      </c>
      <c r="AF36" s="39" t="s">
        <v>84</v>
      </c>
      <c r="AG36" s="39" t="s">
        <v>80</v>
      </c>
      <c r="AH36" s="39" t="s">
        <v>80</v>
      </c>
      <c r="AI36" s="39" t="s">
        <v>80</v>
      </c>
      <c r="AJ36" s="39" t="s">
        <v>80</v>
      </c>
      <c r="AK36" s="39" t="s">
        <v>80</v>
      </c>
      <c r="AL36" s="39" t="s">
        <v>80</v>
      </c>
      <c r="AM36" t="str">
        <f>VLOOKUP($R36,武学奇术!$A:$ZZ,25,FALSE)</f>
        <v>双刀</v>
      </c>
      <c r="AN36" s="24">
        <f>VLOOKUP($R36,武学奇术!$A:$ZZ,26,FALSE)</f>
        <v>5.71032</v>
      </c>
      <c r="AO36" s="25">
        <f>VLOOKUP($R36,武学奇术!$A:$ZZ,27,FALSE)*(1+IF(OR($AM36=$F$4,$AM36=$F$5),$B$22,0))</f>
        <v>2526.72</v>
      </c>
      <c r="AP36" s="24">
        <f>VLOOKUP($R36,武学奇术!$A:$ZZ,28,FALSE)</f>
        <v>8.56464</v>
      </c>
      <c r="AQ36" s="25">
        <f>VLOOKUP($R36,武学奇术!$A:$ZZ,29,FALSE)*(1+IF(OR($AM36=$F$4,$AM36=$F$5),$B$22,0))</f>
        <v>1370.88</v>
      </c>
      <c r="AR36" s="24" cm="1">
        <f t="array" ref="AR36">$G$3+IFERROR(VLOOKUP($AM36,$F$4:$G$7,2,FALSE),0)+VLOOKUP($R36,武学奇术!$A:$ZZ,2,FALSE)+SUM(_xlfn.XLOOKUP($S36:$AL36,增益!$A:$A,增益!$B:$B,0))</f>
        <v>0.3743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4302.6</v>
      </c>
      <c r="AU36" cm="1">
        <f t="array" ref="AU36">$E$10*(1+$AS36)+VLOOKUP($R36,武学奇术!$A:$ZZ,4,FALSE)+SUM(_xlfn.XLOOKUP($S36:$AL36,增益!$A:$A,增益!$D:$D,0))-$I$2</f>
        <v>4302.6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0.2985</v>
      </c>
      <c r="AW36" s="31" cm="1">
        <f t="array" ref="AW36">$G$10+VLOOKUP($R36,武学奇术!$A:$ZZ,7,FALSE)+SUM(_xlfn.XLOOKUP($S36:$AL36,增益!$A:$A,增益!$G:$G,0))</f>
        <v>0.135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1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1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1" cm="1">
        <f t="array" ref="BJ36">$G$13+VLOOKUP($R36,武学奇术!$A:$ZZ,14,FALSE)+SUM(_xlfn.XLOOKUP($S36:$AL36,增益!$A:$A,增益!$N:$N,0))</f>
        <v>0.02</v>
      </c>
      <c r="BK36">
        <f t="shared" si="7"/>
        <v>649.11</v>
      </c>
      <c r="BL36">
        <f t="shared" si="8"/>
        <v>1707.09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0.9771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0.8861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0.86580831</v>
      </c>
      <c r="BU36" s="24">
        <f t="shared" si="10"/>
        <v>0.0428916899999999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/>
      <c r="B37" s="90"/>
      <c r="K37" s="37">
        <f>$L37*VLOOKUP($R37,武学奇术!$A:$ZZ,31,FALSE)</f>
        <v>165955.50179558</v>
      </c>
      <c r="L37" s="37">
        <f t="shared" si="11"/>
        <v>165955.50179558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173985.004864295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127708.052503188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85286.7670903409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75974.9767709126</v>
      </c>
      <c r="Q37" s="38">
        <v>1</v>
      </c>
      <c r="R37" s="39" t="s">
        <v>165</v>
      </c>
      <c r="S37" s="39" t="s">
        <v>106</v>
      </c>
      <c r="T37" s="39" t="s">
        <v>189</v>
      </c>
      <c r="U37" s="39" t="s">
        <v>89</v>
      </c>
      <c r="V37" s="39" t="s">
        <v>129</v>
      </c>
      <c r="W37" s="39" t="s">
        <v>91</v>
      </c>
      <c r="X37" s="39" t="s">
        <v>80</v>
      </c>
      <c r="Y37" s="39" t="s">
        <v>80</v>
      </c>
      <c r="Z37" s="39" t="s">
        <v>80</v>
      </c>
      <c r="AA37" s="39" t="s">
        <v>80</v>
      </c>
      <c r="AB37" s="39" t="s">
        <v>186</v>
      </c>
      <c r="AC37" s="39" t="s">
        <v>80</v>
      </c>
      <c r="AD37" s="39" t="s">
        <v>80</v>
      </c>
      <c r="AE37" s="39" t="s">
        <v>80</v>
      </c>
      <c r="AF37" s="39" t="s">
        <v>84</v>
      </c>
      <c r="AG37" s="39" t="s">
        <v>80</v>
      </c>
      <c r="AH37" s="39" t="s">
        <v>80</v>
      </c>
      <c r="AI37" s="39" t="s">
        <v>80</v>
      </c>
      <c r="AJ37" s="39" t="s">
        <v>80</v>
      </c>
      <c r="AK37" s="39" t="s">
        <v>80</v>
      </c>
      <c r="AL37" s="39" t="s">
        <v>80</v>
      </c>
      <c r="AM37" t="str">
        <f>VLOOKUP($R37,武学奇术!$A:$ZZ,25,FALSE)</f>
        <v>双刀</v>
      </c>
      <c r="AN37" s="24">
        <f>VLOOKUP($R37,武学奇术!$A:$ZZ,26,FALSE)</f>
        <v>4.28274</v>
      </c>
      <c r="AO37" s="25">
        <f>VLOOKUP($R37,武学奇术!$A:$ZZ,27,FALSE)*(1+IF(OR($AM37=$F$4,$AM37=$F$5),$B$22,0))</f>
        <v>1895.04</v>
      </c>
      <c r="AP37" s="24">
        <f>VLOOKUP($R37,武学奇术!$A:$ZZ,28,FALSE)</f>
        <v>6.42411</v>
      </c>
      <c r="AQ37" s="25">
        <f>VLOOKUP($R37,武学奇术!$A:$ZZ,29,FALSE)*(1+IF(OR($AM37=$F$4,$AM37=$F$5),$B$22,0))</f>
        <v>1031.52</v>
      </c>
      <c r="AR37" s="24" cm="1">
        <f t="array" ref="AR37">$G$3+IFERROR(VLOOKUP($AM37,$F$4:$G$7,2,FALSE),0)+VLOOKUP($R37,武学奇术!$A:$ZZ,2,FALSE)+SUM(_xlfn.XLOOKUP($S37:$AL37,增益!$A:$A,增益!$B:$B,0))</f>
        <v>0.3743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4302.6</v>
      </c>
      <c r="AU37" cm="1">
        <f t="array" ref="AU37">$E$10*(1+$AS37)+VLOOKUP($R37,武学奇术!$A:$ZZ,4,FALSE)+SUM(_xlfn.XLOOKUP($S37:$AL37,增益!$A:$A,增益!$D:$D,0))-$I$2</f>
        <v>4302.6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0.2985</v>
      </c>
      <c r="AW37" s="31" cm="1">
        <f t="array" ref="AW37">$G$10+VLOOKUP($R37,武学奇术!$A:$ZZ,7,FALSE)+SUM(_xlfn.XLOOKUP($S37:$AL37,增益!$A:$A,增益!$G:$G,0))</f>
        <v>0.135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1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1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1" cm="1">
        <f t="array" ref="BJ37">$G$13+VLOOKUP($R37,武学奇术!$A:$ZZ,14,FALSE)+SUM(_xlfn.XLOOKUP($S37:$AL37,增益!$A:$A,增益!$N:$N,0))</f>
        <v>0.02</v>
      </c>
      <c r="BK37">
        <f t="shared" si="7"/>
        <v>649.11</v>
      </c>
      <c r="BL37">
        <f t="shared" si="8"/>
        <v>1707.09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0.9771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0.8861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0.86580831</v>
      </c>
      <c r="BU37" s="24">
        <f t="shared" si="10"/>
        <v>0.0428916899999999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s="4"/>
      <c r="B38" s="4"/>
      <c r="F38" s="4"/>
      <c r="G38" s="90"/>
      <c r="K38" s="37">
        <f>$L38*VLOOKUP($R38,武学奇术!$A:$ZZ,31,FALSE)</f>
        <v>207716.858545645</v>
      </c>
      <c r="L38" s="88">
        <f>SUM(L26,L27,L29,L30,L32:L37)*0.2*(1+BX38)</f>
        <v>415433.71709129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38">
        <v>1</v>
      </c>
      <c r="R38" s="39" t="s">
        <v>168</v>
      </c>
      <c r="S38" s="39" t="s">
        <v>169</v>
      </c>
      <c r="T38" s="39" t="s">
        <v>80</v>
      </c>
      <c r="U38" s="39" t="s">
        <v>80</v>
      </c>
      <c r="V38" s="39" t="s">
        <v>80</v>
      </c>
      <c r="W38" s="39" t="s">
        <v>80</v>
      </c>
      <c r="X38" s="39" t="s">
        <v>80</v>
      </c>
      <c r="Y38" s="39" t="s">
        <v>80</v>
      </c>
      <c r="Z38" s="39" t="s">
        <v>80</v>
      </c>
      <c r="AA38" s="39" t="s">
        <v>80</v>
      </c>
      <c r="AB38" s="39" t="s">
        <v>80</v>
      </c>
      <c r="AC38" s="39" t="s">
        <v>80</v>
      </c>
      <c r="AD38" s="39" t="s">
        <v>80</v>
      </c>
      <c r="AE38" s="39" t="s">
        <v>80</v>
      </c>
      <c r="AF38" s="39" t="s">
        <v>84</v>
      </c>
      <c r="AG38" s="39" t="s">
        <v>80</v>
      </c>
      <c r="AH38" s="39" t="s">
        <v>80</v>
      </c>
      <c r="AI38" s="39" t="s">
        <v>80</v>
      </c>
      <c r="AJ38" s="39" t="s">
        <v>80</v>
      </c>
      <c r="AK38" s="39" t="s">
        <v>80</v>
      </c>
      <c r="AL38" s="39" t="s">
        <v>80</v>
      </c>
      <c r="AM38" t="str">
        <f>VLOOKUP($R38,武学奇术!$A:$ZZ,25,FALSE)</f>
        <v>心法</v>
      </c>
      <c r="AN38" s="24">
        <f>VLOOKUP($R38,武学奇术!$A:$ZZ,26,FALSE)</f>
        <v>0</v>
      </c>
      <c r="AO38" s="25">
        <f>VLOOKUP($R38,武学奇术!$A:$ZZ,27,FALSE)*(1+IF(OR($AM38=$F$4,$AM38=$F$5),$B$22,0))</f>
        <v>0</v>
      </c>
      <c r="AP38" s="24">
        <f>VLOOKUP($R38,武学奇术!$A:$ZZ,28,FALSE)</f>
        <v>0</v>
      </c>
      <c r="AQ38" s="25">
        <f>VLOOKUP($R38,武学奇术!$A:$ZZ,29,FALSE)*(1+IF(OR($AM38=$F$4,$AM38=$F$5),$B$22,0))</f>
        <v>0</v>
      </c>
      <c r="AR38" s="24" cm="1">
        <f t="array" ref="AR38">$G$3+IFERROR(VLOOKUP($AM38,$F$4:$G$7,2,FALSE),0)+VLOOKUP($R38,武学奇术!$A:$ZZ,2,FALSE)+SUM(_xlfn.XLOOKUP($S38:$AL38,增益!$A:$A,增益!$B:$B,0))</f>
        <v>0.1042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4302.6</v>
      </c>
      <c r="AU38" cm="1">
        <f t="array" ref="AU38">$E$10*(1+$AS38)+VLOOKUP($R38,武学奇术!$A:$ZZ,4,FALSE)+SUM(_xlfn.XLOOKUP($S38:$AL38,增益!$A:$A,增益!$D:$D,0))-$I$2</f>
        <v>4302.6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0.1685</v>
      </c>
      <c r="AW38" s="31" cm="1">
        <f t="array" ref="AW38">$G$10+VLOOKUP($R38,武学奇术!$A:$ZZ,7,FALSE)+SUM(_xlfn.XLOOKUP($S38:$AL38,增益!$A:$A,增益!$G:$G,0))</f>
        <v>0.025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1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1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1" cm="1">
        <f t="array" ref="BJ38">$G$13+VLOOKUP($R38,武学奇术!$A:$ZZ,14,FALSE)+SUM(_xlfn.XLOOKUP($S38:$AL38,增益!$A:$A,增益!$N:$N,0))</f>
        <v>0</v>
      </c>
      <c r="BK38">
        <f t="shared" si="7"/>
        <v>649.11</v>
      </c>
      <c r="BL38">
        <f t="shared" si="8"/>
        <v>1707.09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1" cm="1">
        <f t="array" ref="BN38">$G$14+VLOOKUP($R38,武学奇术!$A:$ZZ,16,FALSE)+SUM(_xlfn.XLOOKUP($S38:$AL38,增益!$A:$A,增益!$P:$P,0))</f>
        <v>0.15</v>
      </c>
      <c r="BO38" s="24">
        <f>MIN(IF(VLOOKUP($R38,武学奇术!$A:$ZZ,23,FALSE)=1,100%,$B$8),100%)</f>
        <v>0.9771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0.8861</v>
      </c>
      <c r="BQ38" s="24" cm="1">
        <f t="array" ref="BQ38">1+$B$13+VLOOKUP($R38,武学奇术!$A:$ZZ,18,FALSE)+SUM(_xlfn.XLOOKUP($S38:$AL38,增益!$A:$A,增益!$R:$R,0))</f>
        <v>1.54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0.86580831</v>
      </c>
      <c r="BU38" s="24">
        <f t="shared" si="10"/>
        <v>0.0220824599999999</v>
      </c>
      <c r="BV38" s="24">
        <f>IF(VLOOKUP($R38,武学奇术!$A:$ZZ,22,FALSE)=1,0,(1-$BO38))*(1-$BR38)</f>
        <v>0.02080923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0.2</v>
      </c>
    </row>
    <row r="39" spans="1:76">
      <c r="A39" s="4"/>
      <c r="B39" s="90"/>
      <c r="F39" s="4"/>
      <c r="G39" s="90"/>
      <c r="K39" s="37">
        <f>$L39*VLOOKUP($R39,武学奇术!$A:$ZZ,31,FALSE)</f>
        <v>641966.319646779</v>
      </c>
      <c r="L39" s="37">
        <f t="shared" ref="L39:L50" si="12">($M39*$BT39+$N39*$BR39+$O39*$BU39+$P39*$BV39)</f>
        <v>641966.319646779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657669.847114787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606242.633984229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401018.199460236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352967.781154377</v>
      </c>
      <c r="Q39" s="38">
        <v>1</v>
      </c>
      <c r="R39" s="39" t="s">
        <v>192</v>
      </c>
      <c r="S39" s="39" t="s">
        <v>106</v>
      </c>
      <c r="T39" s="39" t="s">
        <v>189</v>
      </c>
      <c r="U39" s="39" t="s">
        <v>89</v>
      </c>
      <c r="V39" s="39" t="s">
        <v>80</v>
      </c>
      <c r="W39" s="39" t="s">
        <v>80</v>
      </c>
      <c r="X39" s="39" t="s">
        <v>80</v>
      </c>
      <c r="Y39" s="39" t="s">
        <v>80</v>
      </c>
      <c r="Z39" s="39" t="s">
        <v>193</v>
      </c>
      <c r="AA39" s="39" t="s">
        <v>80</v>
      </c>
      <c r="AB39" s="39" t="s">
        <v>195</v>
      </c>
      <c r="AC39" s="39" t="s">
        <v>80</v>
      </c>
      <c r="AD39" s="39" t="s">
        <v>80</v>
      </c>
      <c r="AE39" s="39" t="s">
        <v>80</v>
      </c>
      <c r="AF39" s="39" t="s">
        <v>84</v>
      </c>
      <c r="AG39" s="39" t="s">
        <v>80</v>
      </c>
      <c r="AH39" s="39" t="s">
        <v>80</v>
      </c>
      <c r="AI39" s="39" t="s">
        <v>80</v>
      </c>
      <c r="AJ39" s="39" t="s">
        <v>80</v>
      </c>
      <c r="AK39" s="39" t="s">
        <v>80</v>
      </c>
      <c r="AL39" s="39" t="s">
        <v>80</v>
      </c>
      <c r="AM39" t="str">
        <f>VLOOKUP($R39,武学奇术!$A:$ZZ,25,FALSE)</f>
        <v>单体奇术</v>
      </c>
      <c r="AN39" s="24">
        <f>VLOOKUP($R39,武学奇术!$A:$ZZ,26,FALSE)</f>
        <v>25.201792</v>
      </c>
      <c r="AO39" s="25">
        <f>VLOOKUP($R39,武学奇术!$A:$ZZ,27,FALSE)*(1+IF(OR($AM39=$F$4,$AM39=$F$5),$B$22,0))</f>
        <v>4869.48</v>
      </c>
      <c r="AP39" s="24">
        <f>VLOOKUP($R39,武学奇术!$A:$ZZ,28,FALSE)</f>
        <v>37.802688</v>
      </c>
      <c r="AQ39" s="25">
        <f>VLOOKUP($R39,武学奇术!$A:$ZZ,29,FALSE)*(1+IF(OR($AM39=$F$4,$AM39=$F$5),$B$22,0))</f>
        <v>0</v>
      </c>
      <c r="AR39" s="24" cm="1">
        <f t="array" ref="AR39">$G$3+IFERROR(VLOOKUP($AM39,$F$4:$G$7,2,FALSE),0)+VLOOKUP($R39,武学奇术!$A:$ZZ,2,FALSE)+SUM(_xlfn.XLOOKUP($S39:$AL39,增益!$A:$A,增益!$B:$B,0))</f>
        <v>0.6242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4302.6</v>
      </c>
      <c r="AU39" cm="1">
        <f t="array" ref="AU39">$E$10*(1+$AS39)+VLOOKUP($R39,武学奇术!$A:$ZZ,4,FALSE)+SUM(_xlfn.XLOOKUP($S39:$AL39,增益!$A:$A,增益!$D:$D,0))-$I$2</f>
        <v>4302.6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0.2635</v>
      </c>
      <c r="AW39" s="31" cm="1">
        <f t="array" ref="AW39">$G$10+VLOOKUP($R39,武学奇术!$A:$ZZ,7,FALSE)+SUM(_xlfn.XLOOKUP($S39:$AL39,增益!$A:$A,增益!$G:$G,0))</f>
        <v>0.045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31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31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31" cm="1">
        <f t="array" ref="BJ39">$G$13+VLOOKUP($R39,武学奇术!$A:$ZZ,14,FALSE)+SUM(_xlfn.XLOOKUP($S39:$AL39,增益!$A:$A,增益!$N:$N,0))</f>
        <v>0.02</v>
      </c>
      <c r="BK39">
        <f t="shared" si="7"/>
        <v>649.11</v>
      </c>
      <c r="BL39">
        <f t="shared" si="8"/>
        <v>1707.09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0.045</v>
      </c>
      <c r="BN39" s="31" cm="1">
        <f t="array" ref="BN39">$G$14+VLOOKUP($R39,武学奇术!$A:$ZZ,16,FALSE)+SUM(_xlfn.XLOOKUP($S39:$AL39,增益!$A:$A,增益!$P:$P,0))</f>
        <v>0.17</v>
      </c>
      <c r="BO39" s="24">
        <f>MIN(IF(VLOOKUP($R39,武学奇术!$A:$ZZ,23,FALSE)=1,100%,$B$8),100%)</f>
        <v>0.9771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0.8861</v>
      </c>
      <c r="BQ39" s="24" cm="1">
        <f t="array" ref="BQ39">1+$B$13+VLOOKUP($R39,武学奇术!$A:$ZZ,18,FALSE)+SUM(_xlfn.XLOOKUP($S39:$AL39,增益!$A:$A,增益!$R:$R,0))</f>
        <v>1.64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0.86580831</v>
      </c>
      <c r="BU39" s="24">
        <f t="shared" si="10"/>
        <v>0.0428916899999999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0.21</v>
      </c>
      <c r="BX39" s="24" cm="1">
        <f t="array" ref="BX39">SUM(_xlfn.XLOOKUP($S39:$AL39,增益!$A:$A,增益!$X:$X,0))</f>
        <v>0</v>
      </c>
    </row>
    <row r="40" spans="1:76">
      <c r="F40" s="4"/>
      <c r="G40" s="4"/>
      <c r="K40" s="37">
        <f>$L40*VLOOKUP($R40,武学奇术!$A:$ZZ,31,FALSE)</f>
        <v>31842.5980923734</v>
      </c>
      <c r="L40" s="37">
        <f t="shared" si="12"/>
        <v>31842.5980923734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32704.1964177203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29738.5965336584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19941.5831815368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17854.5763381414</v>
      </c>
      <c r="Q40" s="38">
        <v>1</v>
      </c>
      <c r="R40" s="39" t="s">
        <v>197</v>
      </c>
      <c r="S40" s="39" t="s">
        <v>106</v>
      </c>
      <c r="T40" s="39" t="s">
        <v>189</v>
      </c>
      <c r="U40" s="39" t="s">
        <v>89</v>
      </c>
      <c r="V40" s="39" t="s">
        <v>80</v>
      </c>
      <c r="W40" s="39" t="s">
        <v>80</v>
      </c>
      <c r="X40" s="39" t="s">
        <v>80</v>
      </c>
      <c r="Y40" s="39" t="s">
        <v>80</v>
      </c>
      <c r="Z40" s="39" t="s">
        <v>193</v>
      </c>
      <c r="AA40" s="39" t="s">
        <v>80</v>
      </c>
      <c r="AB40" s="39" t="s">
        <v>198</v>
      </c>
      <c r="AC40" s="39" t="s">
        <v>80</v>
      </c>
      <c r="AD40" s="39" t="s">
        <v>199</v>
      </c>
      <c r="AE40" s="39" t="s">
        <v>80</v>
      </c>
      <c r="AF40" s="39" t="s">
        <v>84</v>
      </c>
      <c r="AG40" s="39" t="s">
        <v>80</v>
      </c>
      <c r="AH40" s="39" t="s">
        <v>80</v>
      </c>
      <c r="AI40" s="39" t="s">
        <v>80</v>
      </c>
      <c r="AJ40" s="39" t="s">
        <v>80</v>
      </c>
      <c r="AK40" s="39" t="s">
        <v>80</v>
      </c>
      <c r="AL40" s="39" t="s">
        <v>80</v>
      </c>
      <c r="AM40" t="str">
        <f>VLOOKUP($R40,武学奇术!$A:$ZZ,25,FALSE)</f>
        <v>拳甲</v>
      </c>
      <c r="AN40" s="24">
        <f>VLOOKUP($R40,武学奇术!$A:$ZZ,26,FALSE)</f>
        <v>1.28702</v>
      </c>
      <c r="AO40" s="25">
        <f>VLOOKUP($R40,武学奇术!$A:$ZZ,27,FALSE)*(1+IF(OR($AM40=$F$4,$AM40=$F$5),$B$22,0))</f>
        <v>571.2</v>
      </c>
      <c r="AP40" s="24">
        <f>VLOOKUP($R40,武学奇术!$A:$ZZ,28,FALSE)</f>
        <v>1.9306</v>
      </c>
      <c r="AQ40" s="25">
        <f>VLOOKUP($R40,武学奇术!$A:$ZZ,29,FALSE)*(1+IF(OR($AM40=$F$4,$AM40=$F$5),$B$22,0))</f>
        <v>622.72</v>
      </c>
      <c r="AR40" s="24" cm="1">
        <f t="array" ref="AR40">$G$3+IFERROR(VLOOKUP($AM40,$F$4:$G$7,2,FALSE),0)+VLOOKUP($R40,武学奇术!$A:$ZZ,2,FALSE)+SUM(_xlfn.XLOOKUP($S40:$AL40,增益!$A:$A,增益!$B:$B,0))</f>
        <v>0.3243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4302.6</v>
      </c>
      <c r="AU40" cm="1">
        <f t="array" ref="AU40">$E$10*(1+$AS40)+VLOOKUP($R40,武学奇术!$A:$ZZ,4,FALSE)+SUM(_xlfn.XLOOKUP($S40:$AL40,增益!$A:$A,增益!$D:$D,0))-$I$2</f>
        <v>4302.6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0.3085</v>
      </c>
      <c r="AW40" s="31" cm="1">
        <f t="array" ref="AW40">$G$10+VLOOKUP($R40,武学奇术!$A:$ZZ,7,FALSE)+SUM(_xlfn.XLOOKUP($S40:$AL40,增益!$A:$A,增益!$G:$G,0))</f>
        <v>0.045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-0.12</v>
      </c>
      <c r="BB40" s="31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-0.12</v>
      </c>
      <c r="BF40" s="31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-0.12</v>
      </c>
      <c r="BJ40" s="31" cm="1">
        <f t="array" ref="BJ40">$G$13+VLOOKUP($R40,武学奇术!$A:$ZZ,14,FALSE)+SUM(_xlfn.XLOOKUP($S40:$AL40,增益!$A:$A,增益!$N:$N,0))</f>
        <v>0.02</v>
      </c>
      <c r="BK40">
        <f t="shared" si="7"/>
        <v>649.11</v>
      </c>
      <c r="BL40">
        <f t="shared" si="8"/>
        <v>1707.09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0.09</v>
      </c>
      <c r="BN40" s="31" cm="1">
        <f t="array" ref="BN40">$G$14+VLOOKUP($R40,武学奇术!$A:$ZZ,16,FALSE)+SUM(_xlfn.XLOOKUP($S40:$AL40,增益!$A:$A,增益!$P:$P,0))</f>
        <v>0.17</v>
      </c>
      <c r="BO40" s="24">
        <f>MIN(IF(VLOOKUP($R40,武学奇术!$A:$ZZ,23,FALSE)=1,100%,$B$8),100%)</f>
        <v>0.9771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0.8861</v>
      </c>
      <c r="BQ40" s="24" cm="1">
        <f t="array" ref="BQ40">1+$B$13+VLOOKUP($R40,武学奇术!$A:$ZZ,18,FALSE)+SUM(_xlfn.XLOOKUP($S40:$AL40,增益!$A:$A,增益!$R:$R,0))</f>
        <v>1.64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0.86580831</v>
      </c>
      <c r="BU40" s="24">
        <f t="shared" si="10"/>
        <v>0.0220824599999999</v>
      </c>
      <c r="BV40" s="24">
        <f>IF(VLOOKUP($R40,武学奇术!$A:$ZZ,22,FALSE)=1,0,(1-$BO40))*(1-$BR40)</f>
        <v>0.02080923</v>
      </c>
      <c r="BW40" s="24" cm="1">
        <f t="array" ref="BW40">SUM(_xlfn.XLOOKUP($S40:$AL40,增益!$A:$A,增益!$W:$W,0))+$I$5</f>
        <v>0.21</v>
      </c>
      <c r="BX40" s="24" cm="1">
        <f t="array" ref="BX40">SUM(_xlfn.XLOOKUP($S40:$AL40,增益!$A:$A,增益!$X:$X,0))</f>
        <v>0</v>
      </c>
    </row>
    <row r="41" spans="1:76">
      <c r="A41" s="4"/>
      <c r="B41" s="90"/>
      <c r="F41" s="4"/>
      <c r="G41" s="4"/>
      <c r="K41" s="37">
        <f>$L41*VLOOKUP($R41,武学奇术!$A:$ZZ,31,FALSE)</f>
        <v>57445.4710103298</v>
      </c>
      <c r="L41" s="37">
        <f t="shared" si="12"/>
        <v>57445.4710103298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60224.4822802218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44210.0074115974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29521.8050393244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26295.4564404286</v>
      </c>
      <c r="Q41" s="38">
        <v>1</v>
      </c>
      <c r="R41" s="39" t="s">
        <v>135</v>
      </c>
      <c r="S41" s="39" t="s">
        <v>106</v>
      </c>
      <c r="T41" s="39" t="s">
        <v>189</v>
      </c>
      <c r="U41" s="39" t="s">
        <v>89</v>
      </c>
      <c r="V41" s="39" t="s">
        <v>129</v>
      </c>
      <c r="W41" s="39" t="s">
        <v>91</v>
      </c>
      <c r="X41" s="39" t="s">
        <v>80</v>
      </c>
      <c r="Y41" s="39" t="s">
        <v>80</v>
      </c>
      <c r="Z41" s="39" t="s">
        <v>193</v>
      </c>
      <c r="AA41" s="39" t="s">
        <v>80</v>
      </c>
      <c r="AB41" s="39" t="s">
        <v>198</v>
      </c>
      <c r="AC41" s="39" t="s">
        <v>80</v>
      </c>
      <c r="AD41" s="39" t="s">
        <v>199</v>
      </c>
      <c r="AE41" s="39" t="s">
        <v>80</v>
      </c>
      <c r="AF41" s="39" t="s">
        <v>84</v>
      </c>
      <c r="AG41" s="39" t="s">
        <v>80</v>
      </c>
      <c r="AH41" s="39" t="s">
        <v>80</v>
      </c>
      <c r="AI41" s="39" t="s">
        <v>80</v>
      </c>
      <c r="AJ41" s="39" t="s">
        <v>80</v>
      </c>
      <c r="AK41" s="39" t="s">
        <v>80</v>
      </c>
      <c r="AL41" s="39" t="s">
        <v>80</v>
      </c>
      <c r="AM41" t="str">
        <f>VLOOKUP($R41,武学奇术!$A:$ZZ,25,FALSE)</f>
        <v>拳甲</v>
      </c>
      <c r="AN41" s="24">
        <f>VLOOKUP($R41,武学奇术!$A:$ZZ,26,FALSE)</f>
        <v>1.34876</v>
      </c>
      <c r="AO41" s="25">
        <f>VLOOKUP($R41,武学奇术!$A:$ZZ,27,FALSE)*(1+IF(OR($AM41=$F$4,$AM41=$F$5),$B$22,0))</f>
        <v>598.08</v>
      </c>
      <c r="AP41" s="24">
        <f>VLOOKUP($R41,武学奇术!$A:$ZZ,28,FALSE)</f>
        <v>2.02314</v>
      </c>
      <c r="AQ41" s="25">
        <f>VLOOKUP($R41,武学奇术!$A:$ZZ,29,FALSE)*(1+IF(OR($AM41=$F$4,$AM41=$F$5),$B$22,0))</f>
        <v>324.8</v>
      </c>
      <c r="AR41" s="24" cm="1">
        <f t="array" ref="AR41">$G$3+IFERROR(VLOOKUP($AM41,$F$4:$G$7,2,FALSE),0)+VLOOKUP($R41,武学奇术!$A:$ZZ,2,FALSE)+SUM(_xlfn.XLOOKUP($S41:$AL41,增益!$A:$A,增益!$B:$B,0))</f>
        <v>0.3743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4302.6</v>
      </c>
      <c r="AU41" cm="1">
        <f t="array" ref="AU41">$E$10*(1+$AS41)+VLOOKUP($R41,武学奇术!$A:$ZZ,4,FALSE)+SUM(_xlfn.XLOOKUP($S41:$AL41,增益!$A:$A,增益!$D:$D,0))-$I$2</f>
        <v>4302.6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0.3085</v>
      </c>
      <c r="AW41" s="31" cm="1">
        <f t="array" ref="AW41">$G$10+VLOOKUP($R41,武学奇术!$A:$ZZ,7,FALSE)+SUM(_xlfn.XLOOKUP($S41:$AL41,增益!$A:$A,增益!$G:$G,0))</f>
        <v>0.135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-0.12</v>
      </c>
      <c r="BB41" s="31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-0.12</v>
      </c>
      <c r="BF41" s="31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-0.12</v>
      </c>
      <c r="BJ41" s="31" cm="1">
        <f t="array" ref="BJ41">$G$13+VLOOKUP($R41,武学奇术!$A:$ZZ,14,FALSE)+SUM(_xlfn.XLOOKUP($S41:$AL41,增益!$A:$A,增益!$N:$N,0))</f>
        <v>0.02</v>
      </c>
      <c r="BK41">
        <f t="shared" si="7"/>
        <v>649.11</v>
      </c>
      <c r="BL41">
        <f t="shared" si="8"/>
        <v>1707.09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0.09</v>
      </c>
      <c r="BN41" s="31" cm="1">
        <f t="array" ref="BN41">$G$14+VLOOKUP($R41,武学奇术!$A:$ZZ,16,FALSE)+SUM(_xlfn.XLOOKUP($S41:$AL41,增益!$A:$A,增益!$P:$P,0))</f>
        <v>0.26</v>
      </c>
      <c r="BO41" s="24">
        <f>MIN(IF(VLOOKUP($R41,武学奇术!$A:$ZZ,23,FALSE)=1,100%,$B$8),100%)</f>
        <v>0.9771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0.8861</v>
      </c>
      <c r="BQ41" s="24" cm="1">
        <f t="array" ref="BQ41">1+$B$13+VLOOKUP($R41,武学奇术!$A:$ZZ,18,FALSE)+SUM(_xlfn.XLOOKUP($S41:$AL41,增益!$A:$A,增益!$R:$R,0))</f>
        <v>2.04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0.86580831</v>
      </c>
      <c r="BU41" s="24">
        <f t="shared" si="10"/>
        <v>0.0428916899999999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0.21</v>
      </c>
      <c r="BX41" s="24" cm="1">
        <f t="array" ref="BX41">SUM(_xlfn.XLOOKUP($S41:$AL41,增益!$A:$A,增益!$X:$X,0))</f>
        <v>0</v>
      </c>
    </row>
    <row r="42" spans="1:76">
      <c r="A42" s="4"/>
      <c r="B42" s="90"/>
      <c r="F42" s="4"/>
      <c r="G42" s="4"/>
      <c r="K42" s="37">
        <f>$L42*VLOOKUP($R42,武学奇术!$A:$ZZ,31,FALSE)</f>
        <v>55232.8545130923</v>
      </c>
      <c r="L42" s="37">
        <f t="shared" si="12"/>
        <v>55232.8545130923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57904.9547576999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42505.9390407622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28384.7817439706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25283.6827170061</v>
      </c>
      <c r="Q42" s="38">
        <v>1</v>
      </c>
      <c r="R42" s="39" t="s">
        <v>141</v>
      </c>
      <c r="S42" s="39" t="s">
        <v>106</v>
      </c>
      <c r="T42" s="39" t="s">
        <v>189</v>
      </c>
      <c r="U42" s="39" t="s">
        <v>89</v>
      </c>
      <c r="V42" s="39" t="s">
        <v>129</v>
      </c>
      <c r="W42" s="39" t="s">
        <v>91</v>
      </c>
      <c r="X42" s="39" t="s">
        <v>80</v>
      </c>
      <c r="Y42" s="39" t="s">
        <v>80</v>
      </c>
      <c r="Z42" s="39" t="s">
        <v>193</v>
      </c>
      <c r="AA42" s="39" t="s">
        <v>80</v>
      </c>
      <c r="AB42" s="39" t="s">
        <v>198</v>
      </c>
      <c r="AC42" s="39" t="s">
        <v>80</v>
      </c>
      <c r="AD42" s="39" t="s">
        <v>200</v>
      </c>
      <c r="AE42" s="39" t="s">
        <v>80</v>
      </c>
      <c r="AF42" s="39" t="s">
        <v>84</v>
      </c>
      <c r="AG42" s="39" t="s">
        <v>80</v>
      </c>
      <c r="AH42" s="39" t="s">
        <v>80</v>
      </c>
      <c r="AI42" s="39" t="s">
        <v>80</v>
      </c>
      <c r="AJ42" s="39" t="s">
        <v>80</v>
      </c>
      <c r="AK42" s="39" t="s">
        <v>80</v>
      </c>
      <c r="AL42" s="39" t="s">
        <v>80</v>
      </c>
      <c r="AM42" t="str">
        <f>VLOOKUP($R42,武学奇术!$A:$ZZ,25,FALSE)</f>
        <v>拳甲</v>
      </c>
      <c r="AN42" s="24">
        <f>VLOOKUP($R42,武学奇术!$A:$ZZ,26,FALSE)</f>
        <v>1.2964</v>
      </c>
      <c r="AO42" s="25">
        <f>VLOOKUP($R42,武学奇术!$A:$ZZ,27,FALSE)*(1+IF(OR($AM42=$F$4,$AM42=$F$5),$B$22,0))</f>
        <v>575.68</v>
      </c>
      <c r="AP42" s="24">
        <f>VLOOKUP($R42,武学奇术!$A:$ZZ,28,FALSE)</f>
        <v>1.9446</v>
      </c>
      <c r="AQ42" s="25">
        <f>VLOOKUP($R42,武学奇术!$A:$ZZ,29,FALSE)*(1+IF(OR($AM42=$F$4,$AM42=$F$5),$B$22,0))</f>
        <v>313.6</v>
      </c>
      <c r="AR42" s="24" cm="1">
        <f t="array" ref="AR42">$G$3+IFERROR(VLOOKUP($AM42,$F$4:$G$7,2,FALSE),0)+VLOOKUP($R42,武学奇术!$A:$ZZ,2,FALSE)+SUM(_xlfn.XLOOKUP($S42:$AL42,增益!$A:$A,增益!$B:$B,0))</f>
        <v>0.3743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4302.6</v>
      </c>
      <c r="AU42" cm="1">
        <f t="array" ref="AU42">$E$10*(1+$AS42)+VLOOKUP($R42,武学奇术!$A:$ZZ,4,FALSE)+SUM(_xlfn.XLOOKUP($S42:$AL42,增益!$A:$A,增益!$D:$D,0))-$I$2</f>
        <v>4302.6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0.3085</v>
      </c>
      <c r="AW42" s="31" cm="1">
        <f t="array" ref="AW42">$G$10+VLOOKUP($R42,武学奇术!$A:$ZZ,7,FALSE)+SUM(_xlfn.XLOOKUP($S42:$AL42,增益!$A:$A,增益!$G:$G,0))</f>
        <v>0.135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-0.12</v>
      </c>
      <c r="BB42" s="31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-0.12</v>
      </c>
      <c r="BF42" s="31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-0.12</v>
      </c>
      <c r="BJ42" s="31" cm="1">
        <f t="array" ref="BJ42">$G$13+VLOOKUP($R42,武学奇术!$A:$ZZ,14,FALSE)+SUM(_xlfn.XLOOKUP($S42:$AL42,增益!$A:$A,增益!$N:$N,0))</f>
        <v>0.02</v>
      </c>
      <c r="BK42">
        <f t="shared" si="7"/>
        <v>649.11</v>
      </c>
      <c r="BL42">
        <f t="shared" si="8"/>
        <v>1707.09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0.09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0.9771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0.8861</v>
      </c>
      <c r="BQ42" s="24" cm="1">
        <f t="array" ref="BQ42">1+$B$13+VLOOKUP($R42,武学奇术!$A:$ZZ,18,FALSE)+SUM(_xlfn.XLOOKUP($S42:$AL42,增益!$A:$A,增益!$R:$R,0))</f>
        <v>2.04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0.86580831</v>
      </c>
      <c r="BU42" s="24">
        <f t="shared" si="10"/>
        <v>0.0428916899999999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0.21</v>
      </c>
      <c r="BX42" s="24" cm="1">
        <f t="array" ref="BX42">SUM(_xlfn.XLOOKUP($S42:$AL42,增益!$A:$A,增益!$X:$X,0))</f>
        <v>0</v>
      </c>
    </row>
    <row r="43" spans="1:76">
      <c r="A43" s="4"/>
      <c r="B43" s="4"/>
      <c r="F43" s="4"/>
      <c r="G43" s="90"/>
      <c r="K43" s="37">
        <f>$L43*VLOOKUP($R43,武学奇术!$A:$ZZ,31,FALSE)</f>
        <v>67365.0253408911</v>
      </c>
      <c r="L43" s="37">
        <f t="shared" si="12"/>
        <v>67365.0253408911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70623.8915913864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51844.2706279073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34619.55470166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30835.9459752406</v>
      </c>
      <c r="Q43" s="38">
        <v>1</v>
      </c>
      <c r="R43" s="39" t="s">
        <v>145</v>
      </c>
      <c r="S43" s="39" t="s">
        <v>106</v>
      </c>
      <c r="T43" s="39" t="s">
        <v>189</v>
      </c>
      <c r="U43" s="39" t="s">
        <v>89</v>
      </c>
      <c r="V43" s="39" t="s">
        <v>129</v>
      </c>
      <c r="W43" s="39" t="s">
        <v>91</v>
      </c>
      <c r="X43" s="39" t="s">
        <v>80</v>
      </c>
      <c r="Y43" s="39" t="s">
        <v>80</v>
      </c>
      <c r="Z43" s="39" t="s">
        <v>193</v>
      </c>
      <c r="AA43" s="39" t="s">
        <v>80</v>
      </c>
      <c r="AB43" s="39" t="s">
        <v>198</v>
      </c>
      <c r="AC43" s="39" t="s">
        <v>80</v>
      </c>
      <c r="AD43" s="39" t="s">
        <v>201</v>
      </c>
      <c r="AE43" s="39" t="s">
        <v>80</v>
      </c>
      <c r="AF43" s="39" t="s">
        <v>84</v>
      </c>
      <c r="AG43" s="39" t="s">
        <v>80</v>
      </c>
      <c r="AH43" s="39" t="s">
        <v>80</v>
      </c>
      <c r="AI43" s="39" t="s">
        <v>80</v>
      </c>
      <c r="AJ43" s="39" t="s">
        <v>80</v>
      </c>
      <c r="AK43" s="39" t="s">
        <v>80</v>
      </c>
      <c r="AL43" s="39" t="s">
        <v>80</v>
      </c>
      <c r="AM43" t="str">
        <f>VLOOKUP($R43,武学奇术!$A:$ZZ,25,FALSE)</f>
        <v>拳甲</v>
      </c>
      <c r="AN43" s="24">
        <f>VLOOKUP($R43,武学奇术!$A:$ZZ,26,FALSE)</f>
        <v>1.58172</v>
      </c>
      <c r="AO43" s="25">
        <f>VLOOKUP($R43,武学奇术!$A:$ZZ,27,FALSE)*(1+IF(OR($AM43=$F$4,$AM43=$F$5),$B$22,0))</f>
        <v>701.12</v>
      </c>
      <c r="AP43" s="24">
        <f>VLOOKUP($R43,武学奇术!$A:$ZZ,28,FALSE)</f>
        <v>2.37258</v>
      </c>
      <c r="AQ43" s="25">
        <f>VLOOKUP($R43,武学奇术!$A:$ZZ,29,FALSE)*(1+IF(OR($AM43=$F$4,$AM43=$F$5),$B$22,0))</f>
        <v>380.8</v>
      </c>
      <c r="AR43" s="24" cm="1">
        <f t="array" ref="AR43">$G$3+IFERROR(VLOOKUP($AM43,$F$4:$G$7,2,FALSE),0)+VLOOKUP($R43,武学奇术!$A:$ZZ,2,FALSE)+SUM(_xlfn.XLOOKUP($S43:$AL43,增益!$A:$A,增益!$B:$B,0))</f>
        <v>0.3743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4302.6</v>
      </c>
      <c r="AU43" cm="1">
        <f t="array" ref="AU43">$E$10*(1+$AS43)+VLOOKUP($R43,武学奇术!$A:$ZZ,4,FALSE)+SUM(_xlfn.XLOOKUP($S43:$AL43,增益!$A:$A,增益!$D:$D,0))-$I$2</f>
        <v>4302.6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0.3085</v>
      </c>
      <c r="AW43" s="31" cm="1">
        <f t="array" ref="AW43">$G$10+VLOOKUP($R43,武学奇术!$A:$ZZ,7,FALSE)+SUM(_xlfn.XLOOKUP($S43:$AL43,增益!$A:$A,增益!$G:$G,0))</f>
        <v>0.135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-0.12</v>
      </c>
      <c r="BB43" s="31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-0.12</v>
      </c>
      <c r="BF43" s="31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-0.12</v>
      </c>
      <c r="BJ43" s="31" cm="1">
        <f t="array" ref="BJ43">$G$13+VLOOKUP($R43,武学奇术!$A:$ZZ,14,FALSE)+SUM(_xlfn.XLOOKUP($S43:$AL43,增益!$A:$A,增益!$N:$N,0))</f>
        <v>0.02</v>
      </c>
      <c r="BK43">
        <f t="shared" si="7"/>
        <v>649.11</v>
      </c>
      <c r="BL43">
        <f t="shared" si="8"/>
        <v>1707.09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0.09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0.9771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0.8861</v>
      </c>
      <c r="BQ43" s="24" cm="1">
        <f t="array" ref="BQ43">1+$B$13+VLOOKUP($R43,武学奇术!$A:$ZZ,18,FALSE)+SUM(_xlfn.XLOOKUP($S43:$AL43,增益!$A:$A,增益!$R:$R,0))</f>
        <v>2.04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0.86580831</v>
      </c>
      <c r="BU43" s="24">
        <f t="shared" si="10"/>
        <v>0.0428916899999999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0.21</v>
      </c>
      <c r="BX43" s="24" cm="1">
        <f t="array" ref="BX43">SUM(_xlfn.XLOOKUP($S43:$AL43,增益!$A:$A,增益!$X:$X,0))</f>
        <v>0</v>
      </c>
    </row>
    <row r="44" spans="1:76">
      <c r="A44" s="4"/>
      <c r="B44" s="4"/>
      <c r="K44" s="37">
        <f>$L44*VLOOKUP($R44,武学奇术!$A:$ZZ,31,FALSE)</f>
        <v>152073.793532928</v>
      </c>
      <c r="L44" s="37">
        <f t="shared" si="12"/>
        <v>152073.793532928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159430.788064475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117034.020949414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78152.3470904288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69612.8268109211</v>
      </c>
      <c r="Q44" s="38">
        <v>1</v>
      </c>
      <c r="R44" s="39" t="s">
        <v>150</v>
      </c>
      <c r="S44" s="39" t="s">
        <v>106</v>
      </c>
      <c r="T44" s="39" t="s">
        <v>189</v>
      </c>
      <c r="U44" s="39" t="s">
        <v>89</v>
      </c>
      <c r="V44" s="39" t="s">
        <v>129</v>
      </c>
      <c r="W44" s="39" t="s">
        <v>91</v>
      </c>
      <c r="X44" s="39" t="s">
        <v>80</v>
      </c>
      <c r="Y44" s="39" t="s">
        <v>80</v>
      </c>
      <c r="Z44" s="39" t="s">
        <v>193</v>
      </c>
      <c r="AA44" s="39" t="s">
        <v>80</v>
      </c>
      <c r="AB44" s="39" t="s">
        <v>198</v>
      </c>
      <c r="AC44" s="39" t="s">
        <v>80</v>
      </c>
      <c r="AD44" s="39" t="s">
        <v>121</v>
      </c>
      <c r="AE44" s="39" t="s">
        <v>80</v>
      </c>
      <c r="AF44" s="39" t="s">
        <v>84</v>
      </c>
      <c r="AG44" s="39" t="s">
        <v>80</v>
      </c>
      <c r="AH44" s="39" t="s">
        <v>80</v>
      </c>
      <c r="AI44" s="39" t="s">
        <v>80</v>
      </c>
      <c r="AJ44" s="39" t="s">
        <v>80</v>
      </c>
      <c r="AK44" s="39" t="s">
        <v>80</v>
      </c>
      <c r="AL44" s="39" t="s">
        <v>80</v>
      </c>
      <c r="AM44" t="str">
        <f>VLOOKUP($R44,武学奇术!$A:$ZZ,25,FALSE)</f>
        <v>拳甲</v>
      </c>
      <c r="AN44" s="24">
        <f>VLOOKUP($R44,武学奇术!$A:$ZZ,26,FALSE)</f>
        <v>3.56986</v>
      </c>
      <c r="AO44" s="25">
        <f>VLOOKUP($R44,武学奇术!$A:$ZZ,27,FALSE)*(1+IF(OR($AM44=$F$4,$AM44=$F$5),$B$22,0))</f>
        <v>1583.68</v>
      </c>
      <c r="AP44" s="24">
        <f>VLOOKUP($R44,武学奇术!$A:$ZZ,28,FALSE)</f>
        <v>5.35486</v>
      </c>
      <c r="AQ44" s="25">
        <f>VLOOKUP($R44,武学奇术!$A:$ZZ,29,FALSE)*(1+IF(OR($AM44=$F$4,$AM44=$F$5),$B$22,0))</f>
        <v>862.4</v>
      </c>
      <c r="AR44" s="24" cm="1">
        <f t="array" ref="AR44">$G$3+IFERROR(VLOOKUP($AM44,$F$4:$G$7,2,FALSE),0)+VLOOKUP($R44,武学奇术!$A:$ZZ,2,FALSE)+SUM(_xlfn.XLOOKUP($S44:$AL44,增益!$A:$A,增益!$B:$B,0))</f>
        <v>0.3743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4302.6</v>
      </c>
      <c r="AU44" cm="1">
        <f t="array" ref="AU44">$E$10*(1+$AS44)+VLOOKUP($R44,武学奇术!$A:$ZZ,4,FALSE)+SUM(_xlfn.XLOOKUP($S44:$AL44,增益!$A:$A,增益!$D:$D,0))-$I$2</f>
        <v>4302.6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0.3085</v>
      </c>
      <c r="AW44" s="31" cm="1">
        <f t="array" ref="AW44">$G$10+VLOOKUP($R44,武学奇术!$A:$ZZ,7,FALSE)+SUM(_xlfn.XLOOKUP($S44:$AL44,增益!$A:$A,增益!$G:$G,0))</f>
        <v>0.135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-0.12</v>
      </c>
      <c r="BB44" s="31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-0.12</v>
      </c>
      <c r="BF44" s="31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-0.12</v>
      </c>
      <c r="BJ44" s="31" cm="1">
        <f t="array" ref="BJ44">$G$13+VLOOKUP($R44,武学奇术!$A:$ZZ,14,FALSE)+SUM(_xlfn.XLOOKUP($S44:$AL44,增益!$A:$A,增益!$N:$N,0))</f>
        <v>0.02</v>
      </c>
      <c r="BK44">
        <f t="shared" si="7"/>
        <v>649.11</v>
      </c>
      <c r="BL44">
        <f t="shared" si="8"/>
        <v>1707.09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0.09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0.9771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0.8861</v>
      </c>
      <c r="BQ44" s="24" cm="1">
        <f t="array" ref="BQ44">1+$B$13+VLOOKUP($R44,武学奇术!$A:$ZZ,18,FALSE)+SUM(_xlfn.XLOOKUP($S44:$AL44,增益!$A:$A,增益!$R:$R,0))</f>
        <v>2.04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0.86580831</v>
      </c>
      <c r="BU44" s="24">
        <f t="shared" si="10"/>
        <v>0.0428916899999999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0.21</v>
      </c>
      <c r="BX44" s="24" cm="1">
        <f t="array" ref="BX44">SUM(_xlfn.XLOOKUP($S44:$AL44,增益!$A:$A,增益!$X:$X,0))</f>
        <v>0</v>
      </c>
    </row>
    <row r="45" spans="1:76">
      <c r="A45" s="4"/>
      <c r="B45" s="4"/>
      <c r="K45" s="37">
        <f>$L45*VLOOKUP($R45,武学奇术!$A:$ZZ,31,FALSE)</f>
        <v>332117.144397241</v>
      </c>
      <c r="L45" s="37">
        <f t="shared" si="12"/>
        <v>332117.144397241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348184.116693783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255594.238029681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170678.488575384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152027.911943596</v>
      </c>
      <c r="Q45" s="38">
        <v>1</v>
      </c>
      <c r="R45" s="39" t="s">
        <v>132</v>
      </c>
      <c r="S45" s="39" t="s">
        <v>106</v>
      </c>
      <c r="T45" s="39" t="s">
        <v>189</v>
      </c>
      <c r="U45" s="39" t="s">
        <v>89</v>
      </c>
      <c r="V45" s="39" t="s">
        <v>129</v>
      </c>
      <c r="W45" s="39" t="s">
        <v>91</v>
      </c>
      <c r="X45" s="39" t="s">
        <v>80</v>
      </c>
      <c r="Y45" s="39" t="s">
        <v>80</v>
      </c>
      <c r="Z45" s="39" t="s">
        <v>193</v>
      </c>
      <c r="AA45" s="39" t="s">
        <v>80</v>
      </c>
      <c r="AB45" s="39" t="s">
        <v>198</v>
      </c>
      <c r="AC45" s="39" t="s">
        <v>80</v>
      </c>
      <c r="AD45" s="39" t="s">
        <v>121</v>
      </c>
      <c r="AE45" s="39" t="s">
        <v>80</v>
      </c>
      <c r="AF45" s="39" t="s">
        <v>84</v>
      </c>
      <c r="AG45" s="39" t="s">
        <v>80</v>
      </c>
      <c r="AH45" s="39" t="s">
        <v>80</v>
      </c>
      <c r="AI45" s="39" t="s">
        <v>80</v>
      </c>
      <c r="AJ45" s="39" t="s">
        <v>80</v>
      </c>
      <c r="AK45" s="39" t="s">
        <v>80</v>
      </c>
      <c r="AL45" s="39" t="s">
        <v>80</v>
      </c>
      <c r="AM45" t="str">
        <f>VLOOKUP($R45,武学奇术!$A:$ZZ,25,FALSE)</f>
        <v>拳甲</v>
      </c>
      <c r="AN45" s="24">
        <f>VLOOKUP($R45,武学奇术!$A:$ZZ,26,FALSE)</f>
        <v>7.79674</v>
      </c>
      <c r="AO45" s="25">
        <f>VLOOKUP($R45,武学奇术!$A:$ZZ,27,FALSE)*(1+IF(OR($AM45=$F$4,$AM45=$F$5),$B$22,0))</f>
        <v>3458.56</v>
      </c>
      <c r="AP45" s="24">
        <f>VLOOKUP($R45,武学奇术!$A:$ZZ,28,FALSE)</f>
        <v>11.69518</v>
      </c>
      <c r="AQ45" s="25">
        <f>VLOOKUP($R45,武学奇术!$A:$ZZ,29,FALSE)*(1+IF(OR($AM45=$F$4,$AM45=$F$5),$B$22,0))</f>
        <v>1881.6</v>
      </c>
      <c r="AR45" s="24" cm="1">
        <f t="array" ref="AR45">$G$3+IFERROR(VLOOKUP($AM45,$F$4:$G$7,2,FALSE),0)+VLOOKUP($R45,武学奇术!$A:$ZZ,2,FALSE)+SUM(_xlfn.XLOOKUP($S45:$AL45,增益!$A:$A,增益!$B:$B,0))</f>
        <v>0.3743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4302.6</v>
      </c>
      <c r="AU45" cm="1">
        <f t="array" ref="AU45">$E$10*(1+$AS45)+VLOOKUP($R45,武学奇术!$A:$ZZ,4,FALSE)+SUM(_xlfn.XLOOKUP($S45:$AL45,增益!$A:$A,增益!$D:$D,0))-$I$2</f>
        <v>4302.6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0.3085</v>
      </c>
      <c r="AW45" s="31" cm="1">
        <f t="array" ref="AW45">$G$10+VLOOKUP($R45,武学奇术!$A:$ZZ,7,FALSE)+SUM(_xlfn.XLOOKUP($S45:$AL45,增益!$A:$A,增益!$G:$G,0))</f>
        <v>0.135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-0.12</v>
      </c>
      <c r="BB45" s="31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-0.12</v>
      </c>
      <c r="BF45" s="31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-0.12</v>
      </c>
      <c r="BJ45" s="31" cm="1">
        <f t="array" ref="BJ45">$G$13+VLOOKUP($R45,武学奇术!$A:$ZZ,14,FALSE)+SUM(_xlfn.XLOOKUP($S45:$AL45,增益!$A:$A,增益!$N:$N,0))</f>
        <v>0.02</v>
      </c>
      <c r="BK45">
        <f t="shared" si="7"/>
        <v>649.11</v>
      </c>
      <c r="BL45">
        <f t="shared" si="8"/>
        <v>1707.09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0.09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0.9771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0.8861</v>
      </c>
      <c r="BQ45" s="24" cm="1">
        <f t="array" ref="BQ45">1+$B$13+VLOOKUP($R45,武学奇术!$A:$ZZ,18,FALSE)+SUM(_xlfn.XLOOKUP($S45:$AL45,增益!$A:$A,增益!$R:$R,0))</f>
        <v>2.04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0.86580831</v>
      </c>
      <c r="BU45" s="24">
        <f t="shared" si="10"/>
        <v>0.0428916899999999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0.21</v>
      </c>
      <c r="BX45" s="24" cm="1">
        <f t="array" ref="BX45">SUM(_xlfn.XLOOKUP($S45:$AL45,增益!$A:$A,增益!$X:$X,0))</f>
        <v>0</v>
      </c>
    </row>
    <row r="46" spans="1:76">
      <c r="A46" s="4"/>
      <c r="B46" s="90"/>
      <c r="F46" s="4"/>
      <c r="G46" s="90"/>
      <c r="K46" s="37">
        <f>$L46*VLOOKUP($R46,武学奇术!$A:$ZZ,31,FALSE)</f>
        <v>334806.969237499</v>
      </c>
      <c r="L46" s="37">
        <f t="shared" si="12"/>
        <v>334806.969237499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351001.458844429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257689.649009675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172059.53864923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153237.855809811</v>
      </c>
      <c r="Q46" s="38">
        <v>1</v>
      </c>
      <c r="R46" s="39" t="s">
        <v>132</v>
      </c>
      <c r="S46" s="39" t="s">
        <v>106</v>
      </c>
      <c r="T46" s="39" t="s">
        <v>189</v>
      </c>
      <c r="U46" s="39" t="s">
        <v>89</v>
      </c>
      <c r="V46" s="39" t="s">
        <v>129</v>
      </c>
      <c r="W46" s="39" t="s">
        <v>91</v>
      </c>
      <c r="X46" s="39" t="s">
        <v>80</v>
      </c>
      <c r="Y46" s="39" t="s">
        <v>80</v>
      </c>
      <c r="Z46" s="39" t="s">
        <v>193</v>
      </c>
      <c r="AA46" s="39" t="s">
        <v>80</v>
      </c>
      <c r="AB46" s="39" t="s">
        <v>203</v>
      </c>
      <c r="AC46" s="39" t="s">
        <v>80</v>
      </c>
      <c r="AD46" s="39" t="s">
        <v>121</v>
      </c>
      <c r="AE46" s="39" t="s">
        <v>80</v>
      </c>
      <c r="AF46" s="39" t="s">
        <v>84</v>
      </c>
      <c r="AG46" s="39" t="s">
        <v>80</v>
      </c>
      <c r="AH46" s="39" t="s">
        <v>80</v>
      </c>
      <c r="AI46" s="39" t="s">
        <v>80</v>
      </c>
      <c r="AJ46" s="39" t="s">
        <v>80</v>
      </c>
      <c r="AK46" s="39" t="s">
        <v>80</v>
      </c>
      <c r="AL46" s="39" t="s">
        <v>80</v>
      </c>
      <c r="AM46" t="str">
        <f>VLOOKUP($R46,武学奇术!$A:$ZZ,25,FALSE)</f>
        <v>拳甲</v>
      </c>
      <c r="AN46" s="24">
        <f>VLOOKUP($R46,武学奇术!$A:$ZZ,26,FALSE)</f>
        <v>7.79674</v>
      </c>
      <c r="AO46" s="25">
        <f>VLOOKUP($R46,武学奇术!$A:$ZZ,27,FALSE)*(1+IF(OR($AM46=$F$4,$AM46=$F$5),$B$22,0))</f>
        <v>3458.56</v>
      </c>
      <c r="AP46" s="24">
        <f>VLOOKUP($R46,武学奇术!$A:$ZZ,28,FALSE)</f>
        <v>11.69518</v>
      </c>
      <c r="AQ46" s="25">
        <f>VLOOKUP($R46,武学奇术!$A:$ZZ,29,FALSE)*(1+IF(OR($AM46=$F$4,$AM46=$F$5),$B$22,0))</f>
        <v>1881.6</v>
      </c>
      <c r="AR46" s="24" cm="1">
        <f t="array" ref="AR46">$G$3+IFERROR(VLOOKUP($AM46,$F$4:$G$7,2,FALSE),0)+VLOOKUP($R46,武学奇术!$A:$ZZ,2,FALSE)+SUM(_xlfn.XLOOKUP($S46:$AL46,增益!$A:$A,增益!$B:$B,0))</f>
        <v>0.3743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4302.6</v>
      </c>
      <c r="AU46" cm="1">
        <f t="array" ref="AU46">$E$10*(1+$AS46)+VLOOKUP($R46,武学奇术!$A:$ZZ,4,FALSE)+SUM(_xlfn.XLOOKUP($S46:$AL46,增益!$A:$A,增益!$D:$D,0))-$I$2</f>
        <v>4302.6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0.3185</v>
      </c>
      <c r="AW46" s="31" cm="1">
        <f t="array" ref="AW46">$G$10+VLOOKUP($R46,武学奇术!$A:$ZZ,7,FALSE)+SUM(_xlfn.XLOOKUP($S46:$AL46,增益!$A:$A,增益!$G:$G,0))</f>
        <v>0.135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</v>
      </c>
      <c r="BB46" s="31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</v>
      </c>
      <c r="BF46" s="31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</v>
      </c>
      <c r="BJ46" s="31" cm="1">
        <f t="array" ref="BJ46">$G$13+VLOOKUP($R46,武学奇术!$A:$ZZ,14,FALSE)+SUM(_xlfn.XLOOKUP($S46:$AL46,增益!$A:$A,增益!$N:$N,0))</f>
        <v>0.02</v>
      </c>
      <c r="BK46">
        <f t="shared" si="7"/>
        <v>649.11</v>
      </c>
      <c r="BL46">
        <f t="shared" si="8"/>
        <v>1707.09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0.9771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0.8861</v>
      </c>
      <c r="BQ46" s="24" cm="1">
        <f t="array" ref="BQ46">1+$B$13+VLOOKUP($R46,武学奇术!$A:$ZZ,18,FALSE)+SUM(_xlfn.XLOOKUP($S46:$AL46,增益!$A:$A,增益!$R:$R,0))</f>
        <v>2.04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0.86580831</v>
      </c>
      <c r="BU46" s="24">
        <f t="shared" si="10"/>
        <v>0.0428916899999999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0.21</v>
      </c>
      <c r="BX46" s="24" cm="1">
        <f t="array" ref="BX46">SUM(_xlfn.XLOOKUP($S46:$AL46,增益!$A:$A,增益!$X:$X,0))</f>
        <v>0</v>
      </c>
    </row>
    <row r="47" spans="1:76">
      <c r="K47" s="37">
        <f>$L47*VLOOKUP($R47,武学奇术!$A:$ZZ,31,FALSE)</f>
        <v>183860.694227812</v>
      </c>
      <c r="L47" s="37">
        <f t="shared" si="12"/>
        <v>183860.694227812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192753.6223852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141514.743454283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94487.0697966668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84148.4037012722</v>
      </c>
      <c r="Q47" s="38">
        <v>1</v>
      </c>
      <c r="R47" s="39" t="s">
        <v>156</v>
      </c>
      <c r="S47" s="39" t="s">
        <v>106</v>
      </c>
      <c r="T47" s="39" t="s">
        <v>189</v>
      </c>
      <c r="U47" s="39" t="s">
        <v>89</v>
      </c>
      <c r="V47" s="39" t="s">
        <v>129</v>
      </c>
      <c r="W47" s="39" t="s">
        <v>91</v>
      </c>
      <c r="X47" s="39" t="s">
        <v>80</v>
      </c>
      <c r="Y47" s="39" t="s">
        <v>80</v>
      </c>
      <c r="Z47" s="39" t="s">
        <v>193</v>
      </c>
      <c r="AA47" s="39" t="s">
        <v>80</v>
      </c>
      <c r="AB47" s="39" t="s">
        <v>203</v>
      </c>
      <c r="AC47" s="39" t="s">
        <v>80</v>
      </c>
      <c r="AD47" s="39" t="s">
        <v>121</v>
      </c>
      <c r="AE47" s="39" t="s">
        <v>80</v>
      </c>
      <c r="AF47" s="39" t="s">
        <v>84</v>
      </c>
      <c r="AG47" s="39" t="s">
        <v>80</v>
      </c>
      <c r="AH47" s="39" t="s">
        <v>80</v>
      </c>
      <c r="AI47" s="39" t="s">
        <v>80</v>
      </c>
      <c r="AJ47" s="39" t="s">
        <v>80</v>
      </c>
      <c r="AK47" s="39" t="s">
        <v>80</v>
      </c>
      <c r="AL47" s="39" t="s">
        <v>80</v>
      </c>
      <c r="AM47" t="str">
        <f>VLOOKUP($R47,武学奇术!$A:$ZZ,25,FALSE)</f>
        <v>双刀</v>
      </c>
      <c r="AN47" s="24">
        <f>VLOOKUP($R47,武学奇术!$A:$ZZ,26,FALSE)</f>
        <v>4.28274</v>
      </c>
      <c r="AO47" s="25">
        <f>VLOOKUP($R47,武学奇术!$A:$ZZ,27,FALSE)*(1+IF(OR($AM47=$F$4,$AM47=$F$5),$B$22,0))</f>
        <v>1895.04</v>
      </c>
      <c r="AP47" s="24">
        <f>VLOOKUP($R47,武学奇术!$A:$ZZ,28,FALSE)</f>
        <v>6.42411</v>
      </c>
      <c r="AQ47" s="25">
        <f>VLOOKUP($R47,武学奇术!$A:$ZZ,29,FALSE)*(1+IF(OR($AM47=$F$4,$AM47=$F$5),$B$22,0))</f>
        <v>1031.52</v>
      </c>
      <c r="AR47" s="24" cm="1">
        <f t="array" ref="AR47">$G$3+IFERROR(VLOOKUP($AM47,$F$4:$G$7,2,FALSE),0)+VLOOKUP($R47,武学奇术!$A:$ZZ,2,FALSE)+SUM(_xlfn.XLOOKUP($S47:$AL47,增益!$A:$A,增益!$B:$B,0))</f>
        <v>0.3743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4302.6</v>
      </c>
      <c r="AU47" cm="1">
        <f t="array" ref="AU47">$E$10*(1+$AS47)+VLOOKUP($R47,武学奇术!$A:$ZZ,4,FALSE)+SUM(_xlfn.XLOOKUP($S47:$AL47,增益!$A:$A,增益!$D:$D,0))-$I$2</f>
        <v>4302.6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0.3185</v>
      </c>
      <c r="AW47" s="31" cm="1">
        <f t="array" ref="AW47">$G$10+VLOOKUP($R47,武学奇术!$A:$ZZ,7,FALSE)+SUM(_xlfn.XLOOKUP($S47:$AL47,增益!$A:$A,增益!$G:$G,0))</f>
        <v>0.135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</v>
      </c>
      <c r="BB47" s="31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</v>
      </c>
      <c r="BF47" s="31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</v>
      </c>
      <c r="BJ47" s="31" cm="1">
        <f t="array" ref="BJ47">$G$13+VLOOKUP($R47,武学奇术!$A:$ZZ,14,FALSE)+SUM(_xlfn.XLOOKUP($S47:$AL47,增益!$A:$A,增益!$N:$N,0))</f>
        <v>0.02</v>
      </c>
      <c r="BK47">
        <f t="shared" si="7"/>
        <v>649.11</v>
      </c>
      <c r="BL47">
        <f t="shared" si="8"/>
        <v>1707.09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0.9771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0.8861</v>
      </c>
      <c r="BQ47" s="24" cm="1">
        <f t="array" ref="BQ47">1+$B$13+VLOOKUP($R47,武学奇术!$A:$ZZ,18,FALSE)+SUM(_xlfn.XLOOKUP($S47:$AL47,增益!$A:$A,增益!$R:$R,0))</f>
        <v>2.04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0.86580831</v>
      </c>
      <c r="BU47" s="24">
        <f t="shared" si="10"/>
        <v>0.0428916899999999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0.21</v>
      </c>
      <c r="BX47" s="24" cm="1">
        <f t="array" ref="BX47">SUM(_xlfn.XLOOKUP($S47:$AL47,增益!$A:$A,增益!$X:$X,0))</f>
        <v>0</v>
      </c>
    </row>
    <row r="48" spans="1:76">
      <c r="F48" s="4"/>
      <c r="G48" s="4"/>
      <c r="K48" s="37">
        <f>$L48*VLOOKUP($R48,武学奇术!$A:$ZZ,31,FALSE)</f>
        <v>245102.101266454</v>
      </c>
      <c r="L48" s="37">
        <f t="shared" si="12"/>
        <v>245102.101266454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256956.981568455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188652.835296522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125959.304690419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112175.768420452</v>
      </c>
      <c r="Q48" s="38">
        <v>1</v>
      </c>
      <c r="R48" s="39" t="s">
        <v>162</v>
      </c>
      <c r="S48" s="39" t="s">
        <v>106</v>
      </c>
      <c r="T48" s="39" t="s">
        <v>189</v>
      </c>
      <c r="U48" s="39" t="s">
        <v>89</v>
      </c>
      <c r="V48" s="39" t="s">
        <v>129</v>
      </c>
      <c r="W48" s="39" t="s">
        <v>91</v>
      </c>
      <c r="X48" s="39" t="s">
        <v>80</v>
      </c>
      <c r="Y48" s="39" t="s">
        <v>80</v>
      </c>
      <c r="Z48" s="39" t="s">
        <v>193</v>
      </c>
      <c r="AA48" s="39" t="s">
        <v>80</v>
      </c>
      <c r="AB48" s="39" t="s">
        <v>203</v>
      </c>
      <c r="AC48" s="39" t="s">
        <v>80</v>
      </c>
      <c r="AD48" s="39" t="s">
        <v>121</v>
      </c>
      <c r="AE48" s="39" t="s">
        <v>80</v>
      </c>
      <c r="AF48" s="39" t="s">
        <v>84</v>
      </c>
      <c r="AG48" s="39" t="s">
        <v>80</v>
      </c>
      <c r="AH48" s="39" t="s">
        <v>80</v>
      </c>
      <c r="AI48" s="39" t="s">
        <v>80</v>
      </c>
      <c r="AJ48" s="39" t="s">
        <v>80</v>
      </c>
      <c r="AK48" s="39" t="s">
        <v>80</v>
      </c>
      <c r="AL48" s="39" t="s">
        <v>80</v>
      </c>
      <c r="AM48" t="str">
        <f>VLOOKUP($R48,武学奇术!$A:$ZZ,25,FALSE)</f>
        <v>双刀</v>
      </c>
      <c r="AN48" s="24">
        <f>VLOOKUP($R48,武学奇术!$A:$ZZ,26,FALSE)</f>
        <v>5.71032</v>
      </c>
      <c r="AO48" s="25">
        <f>VLOOKUP($R48,武学奇术!$A:$ZZ,27,FALSE)*(1+IF(OR($AM48=$F$4,$AM48=$F$5),$B$22,0))</f>
        <v>2526.72</v>
      </c>
      <c r="AP48" s="24">
        <f>VLOOKUP($R48,武学奇术!$A:$ZZ,28,FALSE)</f>
        <v>8.56464</v>
      </c>
      <c r="AQ48" s="25">
        <f>VLOOKUP($R48,武学奇术!$A:$ZZ,29,FALSE)*(1+IF(OR($AM48=$F$4,$AM48=$F$5),$B$22,0))</f>
        <v>1370.88</v>
      </c>
      <c r="AR48" s="24" cm="1">
        <f t="array" ref="AR48">$G$3+IFERROR(VLOOKUP($AM48,$F$4:$G$7,2,FALSE),0)+VLOOKUP($R48,武学奇术!$A:$ZZ,2,FALSE)+SUM(_xlfn.XLOOKUP($S48:$AL48,增益!$A:$A,增益!$B:$B,0))</f>
        <v>0.3743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4302.6</v>
      </c>
      <c r="AU48" cm="1">
        <f t="array" ref="AU48">$E$10*(1+$AS48)+VLOOKUP($R48,武学奇术!$A:$ZZ,4,FALSE)+SUM(_xlfn.XLOOKUP($S48:$AL48,增益!$A:$A,增益!$D:$D,0))-$I$2</f>
        <v>4302.6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0.3185</v>
      </c>
      <c r="AW48" s="31" cm="1">
        <f t="array" ref="AW48">$G$10+VLOOKUP($R48,武学奇术!$A:$ZZ,7,FALSE)+SUM(_xlfn.XLOOKUP($S48:$AL48,增益!$A:$A,增益!$G:$G,0))</f>
        <v>0.135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</v>
      </c>
      <c r="BB48" s="31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</v>
      </c>
      <c r="BF48" s="31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</v>
      </c>
      <c r="BJ48" s="31" cm="1">
        <f t="array" ref="BJ48">$G$13+VLOOKUP($R48,武学奇术!$A:$ZZ,14,FALSE)+SUM(_xlfn.XLOOKUP($S48:$AL48,增益!$A:$A,增益!$N:$N,0))</f>
        <v>0.02</v>
      </c>
      <c r="BK48">
        <f t="shared" si="7"/>
        <v>649.11</v>
      </c>
      <c r="BL48">
        <f t="shared" si="8"/>
        <v>1707.09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0.9771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0.8861</v>
      </c>
      <c r="BQ48" s="24" cm="1">
        <f t="array" ref="BQ48">1+$B$13+VLOOKUP($R48,武学奇术!$A:$ZZ,18,FALSE)+SUM(_xlfn.XLOOKUP($S48:$AL48,增益!$A:$A,增益!$R:$R,0))</f>
        <v>2.04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0.86580831</v>
      </c>
      <c r="BU48" s="24">
        <f t="shared" si="10"/>
        <v>0.0428916899999999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0.21</v>
      </c>
      <c r="BX48" s="24" cm="1">
        <f t="array" ref="BX48">SUM(_xlfn.XLOOKUP($S48:$AL48,增益!$A:$A,增益!$X:$X,0))</f>
        <v>0</v>
      </c>
    </row>
    <row r="49" spans="1:76">
      <c r="A49" s="4"/>
      <c r="B49" s="90"/>
      <c r="K49" s="37">
        <f>$L49*VLOOKUP($R49,武学奇术!$A:$ZZ,31,FALSE)</f>
        <v>183860.694227812</v>
      </c>
      <c r="L49" s="37">
        <f t="shared" si="12"/>
        <v>183860.694227812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192753.6223852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141514.743454283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94487.0697966668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84148.4037012722</v>
      </c>
      <c r="Q49" s="38">
        <v>1</v>
      </c>
      <c r="R49" s="39" t="s">
        <v>165</v>
      </c>
      <c r="S49" s="39" t="s">
        <v>106</v>
      </c>
      <c r="T49" s="39" t="s">
        <v>189</v>
      </c>
      <c r="U49" s="39" t="s">
        <v>89</v>
      </c>
      <c r="V49" s="39" t="s">
        <v>129</v>
      </c>
      <c r="W49" s="39" t="s">
        <v>91</v>
      </c>
      <c r="X49" s="39" t="s">
        <v>80</v>
      </c>
      <c r="Y49" s="39" t="s">
        <v>80</v>
      </c>
      <c r="Z49" s="39" t="s">
        <v>193</v>
      </c>
      <c r="AA49" s="39" t="s">
        <v>80</v>
      </c>
      <c r="AB49" s="39" t="s">
        <v>203</v>
      </c>
      <c r="AC49" s="39" t="s">
        <v>80</v>
      </c>
      <c r="AD49" s="39" t="s">
        <v>121</v>
      </c>
      <c r="AE49" s="39" t="s">
        <v>80</v>
      </c>
      <c r="AF49" s="39" t="s">
        <v>84</v>
      </c>
      <c r="AG49" s="39" t="s">
        <v>80</v>
      </c>
      <c r="AH49" s="39" t="s">
        <v>80</v>
      </c>
      <c r="AI49" s="39" t="s">
        <v>80</v>
      </c>
      <c r="AJ49" s="39" t="s">
        <v>80</v>
      </c>
      <c r="AK49" s="39" t="s">
        <v>80</v>
      </c>
      <c r="AL49" s="39" t="s">
        <v>80</v>
      </c>
      <c r="AM49" t="str">
        <f>VLOOKUP($R49,武学奇术!$A:$ZZ,25,FALSE)</f>
        <v>双刀</v>
      </c>
      <c r="AN49" s="24">
        <f>VLOOKUP($R49,武学奇术!$A:$ZZ,26,FALSE)</f>
        <v>4.28274</v>
      </c>
      <c r="AO49" s="25">
        <f>VLOOKUP($R49,武学奇术!$A:$ZZ,27,FALSE)*(1+IF(OR($AM49=$F$4,$AM49=$F$5),$B$22,0))</f>
        <v>1895.04</v>
      </c>
      <c r="AP49" s="24">
        <f>VLOOKUP($R49,武学奇术!$A:$ZZ,28,FALSE)</f>
        <v>6.42411</v>
      </c>
      <c r="AQ49" s="25">
        <f>VLOOKUP($R49,武学奇术!$A:$ZZ,29,FALSE)*(1+IF(OR($AM49=$F$4,$AM49=$F$5),$B$22,0))</f>
        <v>1031.52</v>
      </c>
      <c r="AR49" s="24" cm="1">
        <f t="array" ref="AR49">$G$3+IFERROR(VLOOKUP($AM49,$F$4:$G$7,2,FALSE),0)+VLOOKUP($R49,武学奇术!$A:$ZZ,2,FALSE)+SUM(_xlfn.XLOOKUP($S49:$AL49,增益!$A:$A,增益!$B:$B,0))</f>
        <v>0.3743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4302.6</v>
      </c>
      <c r="AU49" cm="1">
        <f t="array" ref="AU49">$E$10*(1+$AS49)+VLOOKUP($R49,武学奇术!$A:$ZZ,4,FALSE)+SUM(_xlfn.XLOOKUP($S49:$AL49,增益!$A:$A,增益!$D:$D,0))-$I$2</f>
        <v>4302.6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0.3185</v>
      </c>
      <c r="AW49" s="31" cm="1">
        <f t="array" ref="AW49">$G$10+VLOOKUP($R49,武学奇术!$A:$ZZ,7,FALSE)+SUM(_xlfn.XLOOKUP($S49:$AL49,增益!$A:$A,增益!$G:$G,0))</f>
        <v>0.135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</v>
      </c>
      <c r="BB49" s="31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</v>
      </c>
      <c r="BF49" s="31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</v>
      </c>
      <c r="BJ49" s="31" cm="1">
        <f t="array" ref="BJ49">$G$13+VLOOKUP($R49,武学奇术!$A:$ZZ,14,FALSE)+SUM(_xlfn.XLOOKUP($S49:$AL49,增益!$A:$A,增益!$N:$N,0))</f>
        <v>0.02</v>
      </c>
      <c r="BK49">
        <f t="shared" si="7"/>
        <v>649.11</v>
      </c>
      <c r="BL49">
        <f t="shared" si="8"/>
        <v>1707.09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0.9771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0.8861</v>
      </c>
      <c r="BQ49" s="24" cm="1">
        <f t="array" ref="BQ49">1+$B$13+VLOOKUP($R49,武学奇术!$A:$ZZ,18,FALSE)+SUM(_xlfn.XLOOKUP($S49:$AL49,增益!$A:$A,增益!$R:$R,0))</f>
        <v>2.04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0.86580831</v>
      </c>
      <c r="BU49" s="24">
        <f t="shared" si="10"/>
        <v>0.0428916899999999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0.21</v>
      </c>
      <c r="BX49" s="24" cm="1">
        <f t="array" ref="BX49">SUM(_xlfn.XLOOKUP($S49:$AL49,增益!$A:$A,增益!$X:$X,0))</f>
        <v>0</v>
      </c>
    </row>
    <row r="50" spans="1:76">
      <c r="K50" s="37">
        <f>$L50*VLOOKUP($R50,武学奇术!$A:$ZZ,31,FALSE)</f>
        <v>16399.5481196037</v>
      </c>
      <c r="L50" s="37">
        <f t="shared" si="12"/>
        <v>16399.5481196037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16946.36094085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14585.6937901836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9739.28789704023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8674.35817172225</v>
      </c>
      <c r="Q50" s="38">
        <v>1</v>
      </c>
      <c r="R50" s="39" t="s">
        <v>110</v>
      </c>
      <c r="S50" s="39" t="s">
        <v>106</v>
      </c>
      <c r="T50" s="39" t="s">
        <v>189</v>
      </c>
      <c r="U50" s="39" t="s">
        <v>89</v>
      </c>
      <c r="V50" s="39" t="s">
        <v>129</v>
      </c>
      <c r="W50" s="39" t="s">
        <v>91</v>
      </c>
      <c r="X50" s="39" t="s">
        <v>80</v>
      </c>
      <c r="Y50" s="39" t="s">
        <v>80</v>
      </c>
      <c r="Z50" s="39" t="s">
        <v>80</v>
      </c>
      <c r="AA50" s="39" t="s">
        <v>80</v>
      </c>
      <c r="AB50" s="39" t="s">
        <v>203</v>
      </c>
      <c r="AC50" s="39" t="s">
        <v>80</v>
      </c>
      <c r="AD50" s="39" t="s">
        <v>121</v>
      </c>
      <c r="AE50" s="39" t="s">
        <v>80</v>
      </c>
      <c r="AF50" s="39" t="s">
        <v>84</v>
      </c>
      <c r="AG50" s="39" t="s">
        <v>80</v>
      </c>
      <c r="AH50" s="39" t="s">
        <v>80</v>
      </c>
      <c r="AI50" s="39" t="s">
        <v>80</v>
      </c>
      <c r="AJ50" s="39" t="s">
        <v>80</v>
      </c>
      <c r="AK50" s="39" t="s">
        <v>80</v>
      </c>
      <c r="AL50" s="39" t="s">
        <v>80</v>
      </c>
      <c r="AM50" t="str">
        <f>VLOOKUP($R50,武学奇术!$A:$ZZ,25,FALSE)</f>
        <v>双刀</v>
      </c>
      <c r="AN50" s="24">
        <f>VLOOKUP($R50,武学奇术!$A:$ZZ,26,FALSE)</f>
        <v>0.6587</v>
      </c>
      <c r="AO50" s="25">
        <f>VLOOKUP($R50,武学奇术!$A:$ZZ,27,FALSE)*(1+IF(OR($AM50=$F$4,$AM50=$F$5),$B$22,0))</f>
        <v>292.8</v>
      </c>
      <c r="AP50" s="24">
        <f>VLOOKUP($R50,武学奇术!$A:$ZZ,28,FALSE)</f>
        <v>0.9881</v>
      </c>
      <c r="AQ50" s="25">
        <f>VLOOKUP($R50,武学奇术!$A:$ZZ,29,FALSE)*(1+IF(OR($AM50=$F$4,$AM50=$F$5),$B$22,0))</f>
        <v>160</v>
      </c>
      <c r="AR50" s="24" cm="1">
        <f t="array" ref="AR50">$G$3+IFERROR(VLOOKUP($AM50,$F$4:$G$7,2,FALSE),0)+VLOOKUP($R50,武学奇术!$A:$ZZ,2,FALSE)+SUM(_xlfn.XLOOKUP($S50:$AL50,增益!$A:$A,增益!$B:$B,0))</f>
        <v>0.3243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4302.6</v>
      </c>
      <c r="AU50" cm="1">
        <f t="array" ref="AU50">$E$10*(1+$AS50)+VLOOKUP($R50,武学奇术!$A:$ZZ,4,FALSE)+SUM(_xlfn.XLOOKUP($S50:$AL50,增益!$A:$A,增益!$D:$D,0))-$I$2</f>
        <v>4302.6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0.3185</v>
      </c>
      <c r="AW50" s="31" cm="1">
        <f t="array" ref="AW50">$G$10+VLOOKUP($R50,武学奇术!$A:$ZZ,7,FALSE)+SUM(_xlfn.XLOOKUP($S50:$AL50,增益!$A:$A,增益!$G:$G,0))</f>
        <v>0.135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</v>
      </c>
      <c r="BB50" s="31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</v>
      </c>
      <c r="BF50" s="31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</v>
      </c>
      <c r="BJ50" s="31" cm="1">
        <f t="array" ref="BJ50">$G$13+VLOOKUP($R50,武学奇术!$A:$ZZ,14,FALSE)+SUM(_xlfn.XLOOKUP($S50:$AL50,增益!$A:$A,增益!$N:$N,0))</f>
        <v>0.02</v>
      </c>
      <c r="BK50">
        <f t="shared" si="7"/>
        <v>649.11</v>
      </c>
      <c r="BL50">
        <f t="shared" si="8"/>
        <v>1707.09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0.9771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0.8861</v>
      </c>
      <c r="BQ50" s="24" cm="1">
        <f t="array" ref="BQ50">1+$B$13+VLOOKUP($R50,武学奇术!$A:$ZZ,18,FALSE)+SUM(_xlfn.XLOOKUP($S50:$AL50,增益!$A:$A,增益!$R:$R,0))</f>
        <v>1.74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0.86580831</v>
      </c>
      <c r="BU50" s="24">
        <f t="shared" si="10"/>
        <v>0.0220824599999999</v>
      </c>
      <c r="BV50" s="24">
        <f>IF(VLOOKUP($R50,武学奇术!$A:$ZZ,22,FALSE)=1,0,(1-$BO50))*(1-$BR50)</f>
        <v>0.02080923</v>
      </c>
      <c r="BW50" s="24" cm="1">
        <f t="array" ref="BW50">SUM(_xlfn.XLOOKUP($S50:$AL50,增益!$A:$A,增益!$W:$W,0))+$I$5</f>
        <v>0.11</v>
      </c>
      <c r="BX50" s="24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 s="37">
        <f>$L51*VLOOKUP($R51,武学奇术!$A:$ZZ,31,FALSE)</f>
        <v>193423.769730487</v>
      </c>
      <c r="L51" s="88">
        <f>SUM(L41:L49)*0.2*(1+BX51)</f>
        <v>386847.539460974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38">
        <v>1</v>
      </c>
      <c r="R51" s="39" t="s">
        <v>168</v>
      </c>
      <c r="S51" s="39" t="s">
        <v>169</v>
      </c>
      <c r="T51" s="39" t="s">
        <v>80</v>
      </c>
      <c r="U51" s="39" t="s">
        <v>80</v>
      </c>
      <c r="V51" s="39" t="s">
        <v>80</v>
      </c>
      <c r="W51" s="39" t="s">
        <v>80</v>
      </c>
      <c r="X51" s="39" t="s">
        <v>80</v>
      </c>
      <c r="Y51" s="39" t="s">
        <v>80</v>
      </c>
      <c r="Z51" s="39" t="s">
        <v>80</v>
      </c>
      <c r="AA51" s="39" t="s">
        <v>80</v>
      </c>
      <c r="AB51" s="39" t="s">
        <v>80</v>
      </c>
      <c r="AC51" s="39" t="s">
        <v>80</v>
      </c>
      <c r="AD51" s="39" t="s">
        <v>80</v>
      </c>
      <c r="AE51" s="39" t="s">
        <v>80</v>
      </c>
      <c r="AF51" s="39" t="s">
        <v>84</v>
      </c>
      <c r="AG51" s="39" t="s">
        <v>80</v>
      </c>
      <c r="AH51" s="39" t="s">
        <v>80</v>
      </c>
      <c r="AI51" s="39" t="s">
        <v>80</v>
      </c>
      <c r="AJ51" s="39" t="s">
        <v>80</v>
      </c>
      <c r="AK51" s="39" t="s">
        <v>80</v>
      </c>
      <c r="AL51" s="39" t="s">
        <v>80</v>
      </c>
      <c r="AM51" t="str">
        <f>VLOOKUP($R51,武学奇术!$A:$ZZ,25,FALSE)</f>
        <v>心法</v>
      </c>
      <c r="AN51" s="24">
        <f>VLOOKUP($R51,武学奇术!$A:$ZZ,26,FALSE)</f>
        <v>0</v>
      </c>
      <c r="AO51" s="25">
        <f>VLOOKUP($R51,武学奇术!$A:$ZZ,27,FALSE)*(1+IF(OR($AM51=$F$4,$AM51=$F$5),$B$22,0))</f>
        <v>0</v>
      </c>
      <c r="AP51" s="24">
        <f>VLOOKUP($R51,武学奇术!$A:$ZZ,28,FALSE)</f>
        <v>0</v>
      </c>
      <c r="AQ51" s="25">
        <f>VLOOKUP($R51,武学奇术!$A:$ZZ,29,FALSE)*(1+IF(OR($AM51=$F$4,$AM51=$F$5),$B$22,0))</f>
        <v>0</v>
      </c>
      <c r="AR51" s="24" cm="1">
        <f t="array" ref="AR51">$G$3+IFERROR(VLOOKUP($AM51,$F$4:$G$7,2,FALSE),0)+VLOOKUP($R51,武学奇术!$A:$ZZ,2,FALSE)+SUM(_xlfn.XLOOKUP($S51:$AL51,增益!$A:$A,增益!$B:$B,0))</f>
        <v>0.1042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4302.6</v>
      </c>
      <c r="AU51" cm="1">
        <f t="array" ref="AU51">$E$10*(1+$AS51)+VLOOKUP($R51,武学奇术!$A:$ZZ,4,FALSE)+SUM(_xlfn.XLOOKUP($S51:$AL51,增益!$A:$A,增益!$D:$D,0))-$I$2</f>
        <v>4302.6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0.1685</v>
      </c>
      <c r="AW51" s="31" cm="1">
        <f t="array" ref="AW51">$G$10+VLOOKUP($R51,武学奇术!$A:$ZZ,7,FALSE)+SUM(_xlfn.XLOOKUP($S51:$AL51,增益!$A:$A,增益!$G:$G,0))</f>
        <v>0.025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</v>
      </c>
      <c r="BK51">
        <f t="shared" si="7"/>
        <v>649.11</v>
      </c>
      <c r="BL51">
        <f t="shared" si="8"/>
        <v>1707.09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0.15</v>
      </c>
      <c r="BO51" s="24">
        <f>MIN(IF(VLOOKUP($R51,武学奇术!$A:$ZZ,23,FALSE)=1,100%,$B$8),100%)</f>
        <v>0.9771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0.8861</v>
      </c>
      <c r="BQ51" s="24" cm="1">
        <f t="array" ref="BQ51">1+$B$13+VLOOKUP($R51,武学奇术!$A:$ZZ,18,FALSE)+SUM(_xlfn.XLOOKUP($S51:$AL51,增益!$A:$A,增益!$R:$R,0))</f>
        <v>1.54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0.86580831</v>
      </c>
      <c r="BU51" s="24">
        <f t="shared" si="10"/>
        <v>0.0220824599999999</v>
      </c>
      <c r="BV51" s="24">
        <f>IF(VLOOKUP($R51,武学奇术!$A:$ZZ,22,FALSE)=1,0,(1-$BO51))*(1-$BR51)</f>
        <v>0.02080923</v>
      </c>
      <c r="BW51" s="24" cm="1">
        <f t="array" ref="BW51">SUM(_xlfn.XLOOKUP($S51:$AL51,增益!$A:$A,增益!$W:$W,0))+$I$5</f>
        <v>0.11</v>
      </c>
      <c r="BX51" s="24" cm="1">
        <f t="array" ref="BX51">SUM(_xlfn.XLOOKUP($S51:$AL51,增益!$A:$A,增益!$X:$X,0))</f>
        <v>0.2</v>
      </c>
    </row>
    <row r="52" spans="1:76">
      <c r="F52" s="4"/>
      <c r="G52" s="90"/>
      <c r="K52" s="37">
        <f>$L52*VLOOKUP($R52,武学奇术!$A:$ZZ,31,FALSE)</f>
        <v>0</v>
      </c>
      <c r="L52" s="37">
        <f t="shared" ref="L52:L64" si="13">($M52*$BT52+$N52*$BR52+$O52*$BU52+$P52*$BV52)</f>
        <v>0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8">
        <v>1</v>
      </c>
      <c r="R52" s="39" t="s">
        <v>80</v>
      </c>
      <c r="S52" s="39" t="s">
        <v>80</v>
      </c>
      <c r="T52" s="39" t="s">
        <v>80</v>
      </c>
      <c r="U52" s="39" t="s">
        <v>80</v>
      </c>
      <c r="V52" s="39" t="s">
        <v>80</v>
      </c>
      <c r="W52" s="39" t="s">
        <v>80</v>
      </c>
      <c r="X52" s="39" t="s">
        <v>80</v>
      </c>
      <c r="Y52" s="39" t="s">
        <v>80</v>
      </c>
      <c r="Z52" s="39" t="s">
        <v>80</v>
      </c>
      <c r="AA52" s="39" t="s">
        <v>80</v>
      </c>
      <c r="AB52" s="39" t="s">
        <v>80</v>
      </c>
      <c r="AC52" s="39" t="s">
        <v>80</v>
      </c>
      <c r="AD52" s="39" t="s">
        <v>80</v>
      </c>
      <c r="AE52" s="39" t="s">
        <v>80</v>
      </c>
      <c r="AF52" s="39" t="s">
        <v>84</v>
      </c>
      <c r="AG52" s="39" t="s">
        <v>80</v>
      </c>
      <c r="AH52" s="39" t="s">
        <v>80</v>
      </c>
      <c r="AI52" s="39" t="s">
        <v>80</v>
      </c>
      <c r="AJ52" s="39" t="s">
        <v>80</v>
      </c>
      <c r="AK52" s="39" t="s">
        <v>80</v>
      </c>
      <c r="AL52" s="39" t="s">
        <v>80</v>
      </c>
      <c r="AM52" t="str">
        <f>VLOOKUP($R52,武学奇术!$A:$ZZ,25,FALSE)</f>
        <v>心法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0.1042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4302.6</v>
      </c>
      <c r="AU52" cm="1">
        <f t="array" ref="AU52">$E$10*(1+$AS52)+VLOOKUP($R52,武学奇术!$A:$ZZ,4,FALSE)+SUM(_xlfn.XLOOKUP($S52:$AL52,增益!$A:$A,增益!$D:$D,0))-$I$2</f>
        <v>4302.6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0.1685</v>
      </c>
      <c r="AW52" s="31" cm="1">
        <f t="array" ref="AW52">$G$10+VLOOKUP($R52,武学奇术!$A:$ZZ,7,FALSE)+SUM(_xlfn.XLOOKUP($S52:$AL52,增益!$A:$A,增益!$G:$G,0))</f>
        <v>0.025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</v>
      </c>
      <c r="BK52">
        <f t="shared" si="7"/>
        <v>649.11</v>
      </c>
      <c r="BL52">
        <f t="shared" si="8"/>
        <v>1707.09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0.15</v>
      </c>
      <c r="BO52" s="24">
        <f>MIN(IF(VLOOKUP($R52,武学奇术!$A:$ZZ,23,FALSE)=1,100%,$B$8),100%)</f>
        <v>0.9771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0.8861</v>
      </c>
      <c r="BQ52" s="24" cm="1">
        <f t="array" ref="BQ52">1+$B$13+VLOOKUP($R52,武学奇术!$A:$ZZ,18,FALSE)+SUM(_xlfn.XLOOKUP($S52:$AL52,增益!$A:$A,增益!$R:$R,0))</f>
        <v>1.54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0.86580831</v>
      </c>
      <c r="BU52" s="24">
        <f t="shared" si="10"/>
        <v>0.0220824599999999</v>
      </c>
      <c r="BV52" s="24">
        <f>IF(VLOOKUP($R52,武学奇术!$A:$ZZ,22,FALSE)=1,0,(1-$BO52))*(1-$BR52)</f>
        <v>0.02080923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</v>
      </c>
    </row>
    <row r="53" spans="1:76">
      <c r="K53" s="37">
        <f>$L53*VLOOKUP($R53,武学奇术!$A:$ZZ,31,FALSE)</f>
        <v>15977.9302998667</v>
      </c>
      <c r="L53" s="37">
        <f t="shared" si="13"/>
        <v>15977.9302998667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16459.396545998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14585.6937901836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9739.28789704023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8674.35817172225</v>
      </c>
      <c r="Q53" s="38">
        <v>1</v>
      </c>
      <c r="R53" s="39" t="s">
        <v>110</v>
      </c>
      <c r="S53" s="39" t="s">
        <v>106</v>
      </c>
      <c r="T53" s="39" t="s">
        <v>189</v>
      </c>
      <c r="U53" s="39" t="s">
        <v>89</v>
      </c>
      <c r="V53" s="39" t="s">
        <v>90</v>
      </c>
      <c r="W53" s="39" t="s">
        <v>91</v>
      </c>
      <c r="X53" s="39" t="s">
        <v>80</v>
      </c>
      <c r="Y53" s="39" t="s">
        <v>80</v>
      </c>
      <c r="Z53" s="39" t="s">
        <v>80</v>
      </c>
      <c r="AA53" s="39" t="s">
        <v>80</v>
      </c>
      <c r="AB53" s="39" t="s">
        <v>203</v>
      </c>
      <c r="AC53" s="39" t="s">
        <v>80</v>
      </c>
      <c r="AD53" s="39" t="s">
        <v>80</v>
      </c>
      <c r="AE53" s="39" t="s">
        <v>80</v>
      </c>
      <c r="AF53" s="39" t="s">
        <v>84</v>
      </c>
      <c r="AG53" s="39" t="s">
        <v>80</v>
      </c>
      <c r="AH53" s="39" t="s">
        <v>80</v>
      </c>
      <c r="AI53" s="39" t="s">
        <v>80</v>
      </c>
      <c r="AJ53" s="39" t="s">
        <v>80</v>
      </c>
      <c r="AK53" s="39" t="s">
        <v>80</v>
      </c>
      <c r="AL53" s="39" t="s">
        <v>80</v>
      </c>
      <c r="AM53" t="str">
        <f>VLOOKUP($R53,武学奇术!$A:$ZZ,25,FALSE)</f>
        <v>双刀</v>
      </c>
      <c r="AN53" s="24">
        <f>VLOOKUP($R53,武学奇术!$A:$ZZ,26,FALSE)</f>
        <v>0.6587</v>
      </c>
      <c r="AO53" s="25">
        <f>VLOOKUP($R53,武学奇术!$A:$ZZ,27,FALSE)*(1+IF(OR($AM53=$F$4,$AM53=$F$5),$B$22,0))</f>
        <v>292.8</v>
      </c>
      <c r="AP53" s="24">
        <f>VLOOKUP($R53,武学奇术!$A:$ZZ,28,FALSE)</f>
        <v>0.9881</v>
      </c>
      <c r="AQ53" s="25">
        <f>VLOOKUP($R53,武学奇术!$A:$ZZ,29,FALSE)*(1+IF(OR($AM53=$F$4,$AM53=$F$5),$B$22,0))</f>
        <v>160</v>
      </c>
      <c r="AR53" s="24" cm="1">
        <f t="array" ref="AR53">$G$3+IFERROR(VLOOKUP($AM53,$F$4:$G$7,2,FALSE),0)+VLOOKUP($R53,武学奇术!$A:$ZZ,2,FALSE)+SUM(_xlfn.XLOOKUP($S53:$AL53,增益!$A:$A,增益!$B:$B,0))</f>
        <v>0.3243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4302.6</v>
      </c>
      <c r="AU53" cm="1">
        <f t="array" ref="AU53">$E$10*(1+$AS53)+VLOOKUP($R53,武学奇术!$A:$ZZ,4,FALSE)+SUM(_xlfn.XLOOKUP($S53:$AL53,增益!$A:$A,增益!$D:$D,0))-$I$2</f>
        <v>4302.6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0.3185</v>
      </c>
      <c r="AW53" s="31" cm="1">
        <f t="array" ref="AW53">$G$10+VLOOKUP($R53,武学奇术!$A:$ZZ,7,FALSE)+SUM(_xlfn.XLOOKUP($S53:$AL53,增益!$A:$A,增益!$G:$G,0))</f>
        <v>0.135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31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31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31" cm="1">
        <f t="array" ref="BJ53">$G$13+VLOOKUP($R53,武学奇术!$A:$ZZ,14,FALSE)+SUM(_xlfn.XLOOKUP($S53:$AL53,增益!$A:$A,增益!$N:$N,0))</f>
        <v>0.02</v>
      </c>
      <c r="BK53">
        <f t="shared" si="7"/>
        <v>649.11</v>
      </c>
      <c r="BL53">
        <f t="shared" si="8"/>
        <v>1707.09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31" cm="1">
        <f t="array" ref="BN53">$G$14+VLOOKUP($R53,武学奇术!$A:$ZZ,16,FALSE)+SUM(_xlfn.XLOOKUP($S53:$AL53,增益!$A:$A,增益!$P:$P,0))</f>
        <v>0.26</v>
      </c>
      <c r="BO53" s="24">
        <f>MIN(IF(VLOOKUP($R53,武学奇术!$A:$ZZ,23,FALSE)=1,100%,$B$8),100%)</f>
        <v>0.9771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0.8861</v>
      </c>
      <c r="BQ53" s="24" cm="1">
        <f t="array" ref="BQ53">1+$B$13+VLOOKUP($R53,武学奇术!$A:$ZZ,18,FALSE)+SUM(_xlfn.XLOOKUP($S53:$AL53,增益!$A:$A,增益!$R:$R,0))</f>
        <v>1.69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0.86580831</v>
      </c>
      <c r="BU53" s="24">
        <f t="shared" si="10"/>
        <v>0.0220824599999999</v>
      </c>
      <c r="BV53" s="24">
        <f>IF(VLOOKUP($R53,武学奇术!$A:$ZZ,22,FALSE)=1,0,(1-$BO53))*(1-$BR53)</f>
        <v>0.02080923</v>
      </c>
      <c r="BW53" s="24" cm="1">
        <f t="array" ref="BW53">SUM(_xlfn.XLOOKUP($S53:$AL53,增益!$A:$A,增益!$W:$W,0))+$I$5</f>
        <v>0.11</v>
      </c>
      <c r="BX53" s="24" cm="1">
        <f t="array" ref="BX53">SUM(_xlfn.XLOOKUP($S53:$AL53,增益!$A:$A,增益!$X:$X,0))</f>
        <v>0</v>
      </c>
    </row>
    <row r="54" spans="1:76">
      <c r="A54" s="4"/>
      <c r="B54" s="4"/>
      <c r="K54" s="37">
        <f>$L54*VLOOKUP($R54,武学奇术!$A:$ZZ,31,FALSE)</f>
        <v>30732.6474300922</v>
      </c>
      <c r="L54" s="37">
        <f t="shared" si="13"/>
        <v>30732.6474300922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31658.6787435914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28055.2572750776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18732.9460021251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16684.2199486371</v>
      </c>
      <c r="Q54" s="38">
        <v>1</v>
      </c>
      <c r="R54" s="39" t="s">
        <v>115</v>
      </c>
      <c r="S54" s="39" t="s">
        <v>106</v>
      </c>
      <c r="T54" s="39" t="s">
        <v>189</v>
      </c>
      <c r="U54" s="39" t="s">
        <v>89</v>
      </c>
      <c r="V54" s="39" t="s">
        <v>90</v>
      </c>
      <c r="W54" s="39" t="s">
        <v>91</v>
      </c>
      <c r="X54" s="39" t="s">
        <v>80</v>
      </c>
      <c r="Y54" s="39" t="s">
        <v>80</v>
      </c>
      <c r="Z54" s="39" t="s">
        <v>80</v>
      </c>
      <c r="AA54" s="39" t="s">
        <v>80</v>
      </c>
      <c r="AB54" s="39" t="s">
        <v>203</v>
      </c>
      <c r="AC54" s="39" t="s">
        <v>80</v>
      </c>
      <c r="AD54" s="39" t="s">
        <v>80</v>
      </c>
      <c r="AE54" s="39" t="s">
        <v>80</v>
      </c>
      <c r="AF54" s="39" t="s">
        <v>84</v>
      </c>
      <c r="AG54" s="39" t="s">
        <v>80</v>
      </c>
      <c r="AH54" s="39" t="s">
        <v>80</v>
      </c>
      <c r="AI54" s="39" t="s">
        <v>80</v>
      </c>
      <c r="AJ54" s="39" t="s">
        <v>80</v>
      </c>
      <c r="AK54" s="39" t="s">
        <v>80</v>
      </c>
      <c r="AL54" s="39" t="s">
        <v>80</v>
      </c>
      <c r="AM54" t="str">
        <f>VLOOKUP($R54,武学奇术!$A:$ZZ,25,FALSE)</f>
        <v>双刀</v>
      </c>
      <c r="AN54" s="24">
        <f>VLOOKUP($R54,武学奇术!$A:$ZZ,26,FALSE)</f>
        <v>1.2672</v>
      </c>
      <c r="AO54" s="25">
        <f>VLOOKUP($R54,武学奇术!$A:$ZZ,27,FALSE)*(1+IF(OR($AM54=$F$4,$AM54=$F$5),$B$22,0))</f>
        <v>562.56</v>
      </c>
      <c r="AP54" s="24">
        <f>VLOOKUP($R54,武学奇术!$A:$ZZ,28,FALSE)</f>
        <v>1.90092</v>
      </c>
      <c r="AQ54" s="25">
        <f>VLOOKUP($R54,武学奇术!$A:$ZZ,29,FALSE)*(1+IF(OR($AM54=$F$4,$AM54=$F$5),$B$22,0))</f>
        <v>307.2</v>
      </c>
      <c r="AR54" s="24" cm="1">
        <f t="array" ref="AR54">$G$3+IFERROR(VLOOKUP($AM54,$F$4:$G$7,2,FALSE),0)+VLOOKUP($R54,武学奇术!$A:$ZZ,2,FALSE)+SUM(_xlfn.XLOOKUP($S54:$AL54,增益!$A:$A,增益!$B:$B,0))</f>
        <v>0.3243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4302.6</v>
      </c>
      <c r="AU54" cm="1">
        <f t="array" ref="AU54">$E$10*(1+$AS54)+VLOOKUP($R54,武学奇术!$A:$ZZ,4,FALSE)+SUM(_xlfn.XLOOKUP($S54:$AL54,增益!$A:$A,增益!$D:$D,0))-$I$2</f>
        <v>4302.6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0.3185</v>
      </c>
      <c r="AW54" s="31" cm="1">
        <f t="array" ref="AW54">$G$10+VLOOKUP($R54,武学奇术!$A:$ZZ,7,FALSE)+SUM(_xlfn.XLOOKUP($S54:$AL54,增益!$A:$A,增益!$G:$G,0))</f>
        <v>0.135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</v>
      </c>
      <c r="BB54" s="31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</v>
      </c>
      <c r="BF54" s="31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</v>
      </c>
      <c r="BJ54" s="31" cm="1">
        <f t="array" ref="BJ54">$G$13+VLOOKUP($R54,武学奇术!$A:$ZZ,14,FALSE)+SUM(_xlfn.XLOOKUP($S54:$AL54,增益!$A:$A,增益!$N:$N,0))</f>
        <v>0.02</v>
      </c>
      <c r="BK54">
        <f t="shared" si="7"/>
        <v>649.11</v>
      </c>
      <c r="BL54">
        <f t="shared" si="8"/>
        <v>1707.09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0.9771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0.8861</v>
      </c>
      <c r="BQ54" s="24" cm="1">
        <f t="array" ref="BQ54">1+$B$13+VLOOKUP($R54,武学奇术!$A:$ZZ,18,FALSE)+SUM(_xlfn.XLOOKUP($S54:$AL54,增益!$A:$A,增益!$R:$R,0))</f>
        <v>1.69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0.86580831</v>
      </c>
      <c r="BU54" s="24">
        <f t="shared" si="10"/>
        <v>0.0220824599999999</v>
      </c>
      <c r="BV54" s="24">
        <f>IF(VLOOKUP($R54,武学奇术!$A:$ZZ,22,FALSE)=1,0,(1-$BO54))*(1-$BR54)</f>
        <v>0.02080923</v>
      </c>
      <c r="BW54" s="24" cm="1">
        <f t="array" ref="BW54">SUM(_xlfn.XLOOKUP($S54:$AL54,增益!$A:$A,增益!$W:$W,0))+$I$5</f>
        <v>0.11</v>
      </c>
      <c r="BX54" s="24" cm="1">
        <f t="array" ref="BX54">SUM(_xlfn.XLOOKUP($S54:$AL54,增益!$A:$A,增益!$X:$X,0))</f>
        <v>0</v>
      </c>
    </row>
    <row r="55" spans="1:76">
      <c r="A55" s="4"/>
      <c r="B55" s="90"/>
      <c r="F55" s="4"/>
      <c r="G55" s="90"/>
      <c r="K55" s="37">
        <f>$L55*VLOOKUP($R55,武学奇术!$A:$ZZ,31,FALSE)</f>
        <v>46239.4796009715</v>
      </c>
      <c r="L55" s="37">
        <f t="shared" si="13"/>
        <v>46239.4796009715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48421.8246241487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36442.3337466896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24332.5751880144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21670.8290821847</v>
      </c>
      <c r="Q55" s="38">
        <v>1</v>
      </c>
      <c r="R55" s="39" t="s">
        <v>123</v>
      </c>
      <c r="S55" s="39" t="s">
        <v>106</v>
      </c>
      <c r="T55" s="39" t="s">
        <v>189</v>
      </c>
      <c r="U55" s="39" t="s">
        <v>89</v>
      </c>
      <c r="V55" s="39" t="s">
        <v>90</v>
      </c>
      <c r="W55" s="39" t="s">
        <v>91</v>
      </c>
      <c r="X55" s="39" t="s">
        <v>80</v>
      </c>
      <c r="Y55" s="39" t="s">
        <v>80</v>
      </c>
      <c r="Z55" s="39" t="s">
        <v>80</v>
      </c>
      <c r="AA55" s="39" t="s">
        <v>80</v>
      </c>
      <c r="AB55" s="39" t="s">
        <v>203</v>
      </c>
      <c r="AC55" s="39" t="s">
        <v>80</v>
      </c>
      <c r="AD55" s="39" t="s">
        <v>80</v>
      </c>
      <c r="AE55" s="39" t="s">
        <v>80</v>
      </c>
      <c r="AF55" s="39" t="s">
        <v>84</v>
      </c>
      <c r="AG55" s="39" t="s">
        <v>80</v>
      </c>
      <c r="AH55" s="39" t="s">
        <v>80</v>
      </c>
      <c r="AI55" s="39" t="s">
        <v>80</v>
      </c>
      <c r="AJ55" s="39" t="s">
        <v>80</v>
      </c>
      <c r="AK55" s="39" t="s">
        <v>80</v>
      </c>
      <c r="AL55" s="39" t="s">
        <v>80</v>
      </c>
      <c r="AM55" t="str">
        <f>VLOOKUP($R55,武学奇术!$A:$ZZ,25,FALSE)</f>
        <v>拳甲</v>
      </c>
      <c r="AN55" s="24">
        <f>VLOOKUP($R55,武学奇术!$A:$ZZ,26,FALSE)</f>
        <v>1.58662</v>
      </c>
      <c r="AO55" s="25">
        <f>VLOOKUP($R55,武学奇术!$A:$ZZ,27,FALSE)*(1+IF(OR($AM55=$F$4,$AM55=$F$5),$B$22,0))</f>
        <v>703.36</v>
      </c>
      <c r="AP55" s="24">
        <f>VLOOKUP($R55,武学奇术!$A:$ZZ,28,FALSE)</f>
        <v>2.37986</v>
      </c>
      <c r="AQ55" s="25">
        <f>VLOOKUP($R55,武学奇术!$A:$ZZ,29,FALSE)*(1+IF(OR($AM55=$F$4,$AM55=$F$5),$B$22,0))</f>
        <v>383.04</v>
      </c>
      <c r="AR55" s="24" cm="1">
        <f t="array" ref="AR55">$G$3+IFERROR(VLOOKUP($AM55,$F$4:$G$7,2,FALSE),0)+VLOOKUP($R55,武学奇术!$A:$ZZ,2,FALSE)+SUM(_xlfn.XLOOKUP($S55:$AL55,增益!$A:$A,增益!$B:$B,0))</f>
        <v>0.3743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4302.6</v>
      </c>
      <c r="AU55" cm="1">
        <f t="array" ref="AU55">$E$10*(1+$AS55)+VLOOKUP($R55,武学奇术!$A:$ZZ,4,FALSE)+SUM(_xlfn.XLOOKUP($S55:$AL55,增益!$A:$A,增益!$D:$D,0))-$I$2</f>
        <v>4302.6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0.3185</v>
      </c>
      <c r="AW55" s="31" cm="1">
        <f t="array" ref="AW55">$G$10+VLOOKUP($R55,武学奇术!$A:$ZZ,7,FALSE)+SUM(_xlfn.XLOOKUP($S55:$AL55,增益!$A:$A,增益!$G:$G,0))</f>
        <v>0.135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</v>
      </c>
      <c r="BB55" s="31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</v>
      </c>
      <c r="BF55" s="31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</v>
      </c>
      <c r="BJ55" s="31" cm="1">
        <f t="array" ref="BJ55">$G$13+VLOOKUP($R55,武学奇术!$A:$ZZ,14,FALSE)+SUM(_xlfn.XLOOKUP($S55:$AL55,增益!$A:$A,增益!$N:$N,0))</f>
        <v>0.02</v>
      </c>
      <c r="BK55">
        <f t="shared" si="7"/>
        <v>649.11</v>
      </c>
      <c r="BL55">
        <f t="shared" si="8"/>
        <v>1707.09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0.9771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0.8861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0.86580831</v>
      </c>
      <c r="BU55" s="24">
        <f t="shared" si="10"/>
        <v>0.0220824599999999</v>
      </c>
      <c r="BV55" s="24">
        <f>IF(VLOOKUP($R55,武学奇术!$A:$ZZ,22,FALSE)=1,0,(1-$BO55))*(1-$BR55)</f>
        <v>0.02080923</v>
      </c>
      <c r="BW55" s="24" cm="1">
        <f t="array" ref="BW55">SUM(_xlfn.XLOOKUP($S55:$AL55,增益!$A:$A,增益!$W:$W,0))+$I$5</f>
        <v>0.11</v>
      </c>
      <c r="BX55" s="24" cm="1">
        <f t="array" ref="BX55">SUM(_xlfn.XLOOKUP($S55:$AL55,增益!$A:$A,增益!$X:$X,0))</f>
        <v>0</v>
      </c>
    </row>
    <row r="56" spans="1:76">
      <c r="K56" s="37">
        <f>$L56*VLOOKUP($R56,武学奇术!$A:$ZZ,31,FALSE)</f>
        <v>31626.7252508923</v>
      </c>
      <c r="L56" s="37">
        <f t="shared" si="13"/>
        <v>31626.7252508923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33119.4814591182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24924.7225586518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16642.9555070946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14823.1535633359</v>
      </c>
      <c r="Q56" s="38">
        <v>1</v>
      </c>
      <c r="R56" s="39" t="s">
        <v>126</v>
      </c>
      <c r="S56" s="39" t="s">
        <v>106</v>
      </c>
      <c r="T56" s="39" t="s">
        <v>189</v>
      </c>
      <c r="U56" s="39" t="s">
        <v>89</v>
      </c>
      <c r="V56" s="39" t="s">
        <v>90</v>
      </c>
      <c r="W56" s="39" t="s">
        <v>91</v>
      </c>
      <c r="X56" s="39" t="s">
        <v>80</v>
      </c>
      <c r="Y56" s="39" t="s">
        <v>80</v>
      </c>
      <c r="Z56" s="39" t="s">
        <v>80</v>
      </c>
      <c r="AA56" s="39" t="s">
        <v>80</v>
      </c>
      <c r="AB56" s="39" t="s">
        <v>203</v>
      </c>
      <c r="AC56" s="39" t="s">
        <v>80</v>
      </c>
      <c r="AD56" s="39" t="s">
        <v>80</v>
      </c>
      <c r="AE56" s="39" t="s">
        <v>80</v>
      </c>
      <c r="AF56" s="39" t="s">
        <v>84</v>
      </c>
      <c r="AG56" s="39" t="s">
        <v>80</v>
      </c>
      <c r="AH56" s="39" t="s">
        <v>80</v>
      </c>
      <c r="AI56" s="39" t="s">
        <v>80</v>
      </c>
      <c r="AJ56" s="39" t="s">
        <v>80</v>
      </c>
      <c r="AK56" s="39" t="s">
        <v>80</v>
      </c>
      <c r="AL56" s="39" t="s">
        <v>80</v>
      </c>
      <c r="AM56" t="str">
        <f>VLOOKUP($R56,武学奇术!$A:$ZZ,25,FALSE)</f>
        <v>拳甲</v>
      </c>
      <c r="AN56" s="24">
        <f>VLOOKUP($R56,武学奇术!$A:$ZZ,26,FALSE)</f>
        <v>1.08472</v>
      </c>
      <c r="AO56" s="25">
        <f>VLOOKUP($R56,武学奇术!$A:$ZZ,27,FALSE)*(1+IF(OR($AM56=$F$4,$AM56=$F$5),$B$22,0))</f>
        <v>483.84</v>
      </c>
      <c r="AP56" s="24">
        <f>VLOOKUP($R56,武学奇术!$A:$ZZ,28,FALSE)</f>
        <v>1.62708</v>
      </c>
      <c r="AQ56" s="25">
        <f>VLOOKUP($R56,武学奇术!$A:$ZZ,29,FALSE)*(1+IF(OR($AM56=$F$4,$AM56=$F$5),$B$22,0))</f>
        <v>262.08</v>
      </c>
      <c r="AR56" s="24" cm="1">
        <f t="array" ref="AR56">$G$3+IFERROR(VLOOKUP($AM56,$F$4:$G$7,2,FALSE),0)+VLOOKUP($R56,武学奇术!$A:$ZZ,2,FALSE)+SUM(_xlfn.XLOOKUP($S56:$AL56,增益!$A:$A,增益!$B:$B,0))</f>
        <v>0.3743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4302.6</v>
      </c>
      <c r="AU56" cm="1">
        <f t="array" ref="AU56">$E$10*(1+$AS56)+VLOOKUP($R56,武学奇术!$A:$ZZ,4,FALSE)+SUM(_xlfn.XLOOKUP($S56:$AL56,增益!$A:$A,增益!$D:$D,0))-$I$2</f>
        <v>4302.6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0.3185</v>
      </c>
      <c r="AW56" s="31" cm="1">
        <f t="array" ref="AW56">$G$10+VLOOKUP($R56,武学奇术!$A:$ZZ,7,FALSE)+SUM(_xlfn.XLOOKUP($S56:$AL56,增益!$A:$A,增益!$G:$G,0))</f>
        <v>0.135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</v>
      </c>
      <c r="BB56" s="31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</v>
      </c>
      <c r="BF56" s="31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</v>
      </c>
      <c r="BJ56" s="31" cm="1">
        <f t="array" ref="BJ56">$G$13+VLOOKUP($R56,武学奇术!$A:$ZZ,14,FALSE)+SUM(_xlfn.XLOOKUP($S56:$AL56,增益!$A:$A,增益!$N:$N,0))</f>
        <v>0.02</v>
      </c>
      <c r="BK56">
        <f t="shared" si="7"/>
        <v>649.11</v>
      </c>
      <c r="BL56">
        <f t="shared" si="8"/>
        <v>1707.09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0.9771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0.8861</v>
      </c>
      <c r="BQ56" s="24" cm="1">
        <f t="array" ref="BQ56">1+$B$13+VLOOKUP($R56,武学奇术!$A:$ZZ,18,FALSE)+SUM(_xlfn.XLOOKUP($S56:$AL56,增益!$A:$A,增益!$R:$R,0))</f>
        <v>1.99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0.86580831</v>
      </c>
      <c r="BU56" s="24">
        <f t="shared" si="10"/>
        <v>0.0220824599999999</v>
      </c>
      <c r="BV56" s="24">
        <f>IF(VLOOKUP($R56,武学奇术!$A:$ZZ,22,FALSE)=1,0,(1-$BO56))*(1-$BR56)</f>
        <v>0.02080923</v>
      </c>
      <c r="BW56" s="24" cm="1">
        <f t="array" ref="BW56">SUM(_xlfn.XLOOKUP($S56:$AL56,增益!$A:$A,增益!$W:$W,0))+$I$5</f>
        <v>0.11</v>
      </c>
      <c r="BX56" s="24" cm="1">
        <f t="array" ref="BX56">SUM(_xlfn.XLOOKUP($S56:$AL56,增益!$A:$A,增益!$X:$X,0))</f>
        <v>0</v>
      </c>
    </row>
    <row r="57" spans="1:76">
      <c r="D57" s="4"/>
      <c r="E57" s="4"/>
      <c r="F57" s="4"/>
      <c r="G57" s="90"/>
      <c r="K57" s="37">
        <f>$L57*VLOOKUP($R57,武学奇术!$A:$ZZ,31,FALSE)</f>
        <v>76565.3605682429</v>
      </c>
      <c r="L57" s="37">
        <f t="shared" si="13"/>
        <v>47853.3503551518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49405.6740787012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43075.0020720008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28394.065562472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24880.7221827212</v>
      </c>
      <c r="Q57" s="38">
        <v>1</v>
      </c>
      <c r="R57" s="39" t="s">
        <v>128</v>
      </c>
      <c r="S57" s="39" t="s">
        <v>106</v>
      </c>
      <c r="T57" s="39" t="s">
        <v>189</v>
      </c>
      <c r="U57" s="39" t="s">
        <v>89</v>
      </c>
      <c r="V57" s="39" t="s">
        <v>129</v>
      </c>
      <c r="W57" s="39" t="s">
        <v>91</v>
      </c>
      <c r="X57" s="39" t="s">
        <v>80</v>
      </c>
      <c r="Y57" s="39" t="s">
        <v>80</v>
      </c>
      <c r="Z57" s="39" t="s">
        <v>80</v>
      </c>
      <c r="AA57" s="39" t="s">
        <v>80</v>
      </c>
      <c r="AB57" s="39" t="s">
        <v>203</v>
      </c>
      <c r="AC57" s="39" t="s">
        <v>80</v>
      </c>
      <c r="AD57" s="39" t="s">
        <v>80</v>
      </c>
      <c r="AE57" s="39" t="s">
        <v>80</v>
      </c>
      <c r="AF57" s="39" t="s">
        <v>84</v>
      </c>
      <c r="AG57" s="39" t="s">
        <v>80</v>
      </c>
      <c r="AH57" s="39" t="s">
        <v>80</v>
      </c>
      <c r="AI57" s="39" t="s">
        <v>80</v>
      </c>
      <c r="AJ57" s="39" t="s">
        <v>80</v>
      </c>
      <c r="AK57" s="39" t="s">
        <v>80</v>
      </c>
      <c r="AL57" s="39" t="s">
        <v>80</v>
      </c>
      <c r="AM57" t="str">
        <f>VLOOKUP($R57,武学奇术!$A:$ZZ,25,FALSE)</f>
        <v>拳甲</v>
      </c>
      <c r="AN57" s="24">
        <f>VLOOKUP($R57,武学奇术!$A:$ZZ,26,FALSE)</f>
        <v>2.173248</v>
      </c>
      <c r="AO57" s="25">
        <f>VLOOKUP($R57,武学奇术!$A:$ZZ,27,FALSE)*(1+IF(OR($AM57=$F$4,$AM57=$F$5),$B$22,0))</f>
        <v>0</v>
      </c>
      <c r="AP57" s="24">
        <f>VLOOKUP($R57,武学奇术!$A:$ZZ,28,FALSE)</f>
        <v>3.259872</v>
      </c>
      <c r="AQ57" s="25">
        <f>VLOOKUP($R57,武学奇术!$A:$ZZ,29,FALSE)*(1+IF(OR($AM57=$F$4,$AM57=$F$5),$B$22,0))</f>
        <v>0</v>
      </c>
      <c r="AR57" s="24" cm="1">
        <f t="array" ref="AR57">$G$3+IFERROR(VLOOKUP($AM57,$F$4:$G$7,2,FALSE),0)+VLOOKUP($R57,武学奇术!$A:$ZZ,2,FALSE)+SUM(_xlfn.XLOOKUP($S57:$AL57,增益!$A:$A,增益!$B:$B,0))</f>
        <v>0.3243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4302.6</v>
      </c>
      <c r="AU57" cm="1">
        <f t="array" ref="AU57">$E$10*(1+$AS57)+VLOOKUP($R57,武学奇术!$A:$ZZ,4,FALSE)+SUM(_xlfn.XLOOKUP($S57:$AL57,增益!$A:$A,增益!$D:$D,0))-$I$2</f>
        <v>4302.6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0.3185</v>
      </c>
      <c r="AW57" s="31" cm="1">
        <f t="array" ref="AW57">$G$10+VLOOKUP($R57,武学奇术!$A:$ZZ,7,FALSE)+SUM(_xlfn.XLOOKUP($S57:$AL57,增益!$A:$A,增益!$G:$G,0))</f>
        <v>0.135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</v>
      </c>
      <c r="BB57" s="31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</v>
      </c>
      <c r="BF57" s="31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</v>
      </c>
      <c r="BJ57" s="31" cm="1">
        <f t="array" ref="BJ57">$G$13+VLOOKUP($R57,武学奇术!$A:$ZZ,14,FALSE)+SUM(_xlfn.XLOOKUP($S57:$AL57,增益!$A:$A,增益!$N:$N,0))</f>
        <v>0.02</v>
      </c>
      <c r="BK57">
        <f t="shared" si="7"/>
        <v>649.11</v>
      </c>
      <c r="BL57">
        <f t="shared" si="8"/>
        <v>1707.09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0.9771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0.8861</v>
      </c>
      <c r="BQ57" s="24" cm="1">
        <f t="array" ref="BQ57">1+$B$13+VLOOKUP($R57,武学奇术!$A:$ZZ,18,FALSE)+SUM(_xlfn.XLOOKUP($S57:$AL57,增益!$A:$A,增益!$R:$R,0))</f>
        <v>1.74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0.86580831</v>
      </c>
      <c r="BU57" s="24">
        <f t="shared" si="10"/>
        <v>0.0220824599999999</v>
      </c>
      <c r="BV57" s="24">
        <f>IF(VLOOKUP($R57,武学奇术!$A:$ZZ,22,FALSE)=1,0,(1-$BO57))*(1-$BR57)</f>
        <v>0.02080923</v>
      </c>
      <c r="BW57" s="24" cm="1">
        <f t="array" ref="BW57">SUM(_xlfn.XLOOKUP($S57:$AL57,增益!$A:$A,增益!$W:$W,0))+$I$5</f>
        <v>0.11</v>
      </c>
      <c r="BX57" s="24" cm="1">
        <f t="array" ref="BX57">SUM(_xlfn.XLOOKUP($S57:$AL57,增益!$A:$A,增益!$X:$X,0))</f>
        <v>0</v>
      </c>
    </row>
    <row r="58" spans="1:76">
      <c r="A58" s="4"/>
      <c r="B58" s="90"/>
      <c r="F58" s="4"/>
      <c r="G58" s="4"/>
      <c r="K58" s="37">
        <f>$L58*VLOOKUP($R58,武学奇术!$A:$ZZ,31,FALSE)</f>
        <v>307136.971779854</v>
      </c>
      <c r="L58" s="37">
        <f t="shared" si="13"/>
        <v>307136.971779854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321993.073815964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236392.983802264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157839.742066649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140573.570205695</v>
      </c>
      <c r="Q58" s="38">
        <v>1</v>
      </c>
      <c r="R58" s="39" t="s">
        <v>132</v>
      </c>
      <c r="S58" s="39" t="s">
        <v>106</v>
      </c>
      <c r="T58" s="39" t="s">
        <v>189</v>
      </c>
      <c r="U58" s="39" t="s">
        <v>89</v>
      </c>
      <c r="V58" s="39" t="s">
        <v>129</v>
      </c>
      <c r="W58" s="39" t="s">
        <v>91</v>
      </c>
      <c r="X58" s="39" t="s">
        <v>80</v>
      </c>
      <c r="Y58" s="39" t="s">
        <v>80</v>
      </c>
      <c r="Z58" s="39" t="s">
        <v>80</v>
      </c>
      <c r="AA58" s="39" t="s">
        <v>80</v>
      </c>
      <c r="AB58" s="39" t="s">
        <v>203</v>
      </c>
      <c r="AC58" s="39" t="s">
        <v>80</v>
      </c>
      <c r="AD58" s="39" t="s">
        <v>80</v>
      </c>
      <c r="AE58" s="39" t="s">
        <v>80</v>
      </c>
      <c r="AF58" s="39" t="s">
        <v>84</v>
      </c>
      <c r="AG58" s="39" t="s">
        <v>80</v>
      </c>
      <c r="AH58" s="39" t="s">
        <v>80</v>
      </c>
      <c r="AI58" s="39" t="s">
        <v>80</v>
      </c>
      <c r="AJ58" s="39" t="s">
        <v>80</v>
      </c>
      <c r="AK58" s="39" t="s">
        <v>80</v>
      </c>
      <c r="AL58" s="39" t="s">
        <v>80</v>
      </c>
      <c r="AM58" t="str">
        <f>VLOOKUP($R58,武学奇术!$A:$ZZ,25,FALSE)</f>
        <v>拳甲</v>
      </c>
      <c r="AN58" s="24">
        <f>VLOOKUP($R58,武学奇术!$A:$ZZ,26,FALSE)</f>
        <v>7.79674</v>
      </c>
      <c r="AO58" s="25">
        <f>VLOOKUP($R58,武学奇术!$A:$ZZ,27,FALSE)*(1+IF(OR($AM58=$F$4,$AM58=$F$5),$B$22,0))</f>
        <v>3458.56</v>
      </c>
      <c r="AP58" s="24">
        <f>VLOOKUP($R58,武学奇术!$A:$ZZ,28,FALSE)</f>
        <v>11.69518</v>
      </c>
      <c r="AQ58" s="25">
        <f>VLOOKUP($R58,武学奇术!$A:$ZZ,29,FALSE)*(1+IF(OR($AM58=$F$4,$AM58=$F$5),$B$22,0))</f>
        <v>1881.6</v>
      </c>
      <c r="AR58" s="24" cm="1">
        <f t="array" ref="AR58">$G$3+IFERROR(VLOOKUP($AM58,$F$4:$G$7,2,FALSE),0)+VLOOKUP($R58,武学奇术!$A:$ZZ,2,FALSE)+SUM(_xlfn.XLOOKUP($S58:$AL58,增益!$A:$A,增益!$B:$B,0))</f>
        <v>0.3743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4302.6</v>
      </c>
      <c r="AU58" cm="1">
        <f t="array" ref="AU58">$E$10*(1+$AS58)+VLOOKUP($R58,武学奇术!$A:$ZZ,4,FALSE)+SUM(_xlfn.XLOOKUP($S58:$AL58,增益!$A:$A,增益!$D:$D,0))-$I$2</f>
        <v>4302.6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0.3185</v>
      </c>
      <c r="AW58" s="31" cm="1">
        <f t="array" ref="AW58">$G$10+VLOOKUP($R58,武学奇术!$A:$ZZ,7,FALSE)+SUM(_xlfn.XLOOKUP($S58:$AL58,增益!$A:$A,增益!$G:$G,0))</f>
        <v>0.135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</v>
      </c>
      <c r="BB58" s="31" cm="1">
        <f t="array" ref="BB58">$G$11+VLOOKUP($R58,武学奇术!$A:$ZZ,10,FALSE)+SUM(_xlfn.XLOOKUP($S58:$AL58,增益!$A:$A,增益!$J:$J,0))</f>
        <v>0.02</v>
      </c>
      <c r="BC58">
        <f t="shared" si="3"/>
        <v>0</v>
      </c>
      <c r="BD58">
        <f t="shared" si="4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</v>
      </c>
      <c r="BF58" s="31" cm="1">
        <f t="array" ref="BF58">$G$12+VLOOKUP($R58,武学奇术!$A:$ZZ,12,FALSE)+SUM(_xlfn.XLOOKUP($S58:$AL58,增益!$A:$A,增益!$L:$L,0))</f>
        <v>0.02</v>
      </c>
      <c r="BG58">
        <f t="shared" si="5"/>
        <v>0</v>
      </c>
      <c r="BH58">
        <f t="shared" si="6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</v>
      </c>
      <c r="BJ58" s="31" cm="1">
        <f t="array" ref="BJ58">$G$13+VLOOKUP($R58,武学奇术!$A:$ZZ,14,FALSE)+SUM(_xlfn.XLOOKUP($S58:$AL58,增益!$A:$A,增益!$N:$N,0))</f>
        <v>0.02</v>
      </c>
      <c r="BK58">
        <f t="shared" si="7"/>
        <v>649.11</v>
      </c>
      <c r="BL58">
        <f t="shared" si="8"/>
        <v>1707.09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</v>
      </c>
      <c r="BN58" s="31" cm="1">
        <f t="array" ref="BN58">$G$14+VLOOKUP($R58,武学奇术!$A:$ZZ,16,FALSE)+SUM(_xlfn.XLOOKUP($S58:$AL58,增益!$A:$A,增益!$P:$P,0))</f>
        <v>0.26</v>
      </c>
      <c r="BO58" s="24">
        <f>MIN(IF(VLOOKUP($R58,武学奇术!$A:$ZZ,23,FALSE)=1,100%,$B$8),100%)</f>
        <v>0.9771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0.8861</v>
      </c>
      <c r="BQ58" s="24" cm="1">
        <f t="array" ref="BQ58">1+$B$13+VLOOKUP($R58,武学奇术!$A:$ZZ,18,FALSE)+SUM(_xlfn.XLOOKUP($S58:$AL58,增益!$A:$A,增益!$R:$R,0))</f>
        <v>2.04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0.86580831</v>
      </c>
      <c r="BU58" s="24">
        <f t="shared" si="10"/>
        <v>0.0428916899999999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0.11</v>
      </c>
      <c r="BX58" s="24" cm="1">
        <f t="array" ref="BX58">SUM(_xlfn.XLOOKUP($S58:$AL58,增益!$A:$A,增益!$X:$X,0))</f>
        <v>0</v>
      </c>
    </row>
    <row r="59" spans="1:76">
      <c r="F59" s="4"/>
      <c r="G59" s="4"/>
      <c r="K59" s="37">
        <f>$L59*VLOOKUP($R59,武学奇术!$A:$ZZ,31,FALSE)</f>
        <v>307136.971779854</v>
      </c>
      <c r="L59" s="37">
        <f t="shared" si="13"/>
        <v>307136.971779854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321993.073815964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236392.983802264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157839.742066649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140573.570205695</v>
      </c>
      <c r="Q59" s="38">
        <v>1</v>
      </c>
      <c r="R59" s="39" t="s">
        <v>132</v>
      </c>
      <c r="S59" s="39" t="s">
        <v>106</v>
      </c>
      <c r="T59" s="39" t="s">
        <v>189</v>
      </c>
      <c r="U59" s="39" t="s">
        <v>89</v>
      </c>
      <c r="V59" s="39" t="s">
        <v>129</v>
      </c>
      <c r="W59" s="39" t="s">
        <v>91</v>
      </c>
      <c r="X59" s="39" t="s">
        <v>80</v>
      </c>
      <c r="Y59" s="39" t="s">
        <v>80</v>
      </c>
      <c r="Z59" s="39" t="s">
        <v>80</v>
      </c>
      <c r="AA59" s="39" t="s">
        <v>80</v>
      </c>
      <c r="AB59" s="39" t="s">
        <v>203</v>
      </c>
      <c r="AC59" s="39" t="s">
        <v>80</v>
      </c>
      <c r="AD59" s="39" t="s">
        <v>121</v>
      </c>
      <c r="AE59" s="39" t="s">
        <v>80</v>
      </c>
      <c r="AF59" s="39" t="s">
        <v>84</v>
      </c>
      <c r="AG59" s="39" t="s">
        <v>80</v>
      </c>
      <c r="AH59" s="39" t="s">
        <v>80</v>
      </c>
      <c r="AI59" s="39" t="s">
        <v>80</v>
      </c>
      <c r="AJ59" s="39" t="s">
        <v>80</v>
      </c>
      <c r="AK59" s="39" t="s">
        <v>80</v>
      </c>
      <c r="AL59" s="39" t="s">
        <v>80</v>
      </c>
      <c r="AM59" t="str">
        <f>VLOOKUP($R59,武学奇术!$A:$ZZ,25,FALSE)</f>
        <v>拳甲</v>
      </c>
      <c r="AN59" s="24">
        <f>VLOOKUP($R59,武学奇术!$A:$ZZ,26,FALSE)</f>
        <v>7.79674</v>
      </c>
      <c r="AO59" s="25">
        <f>VLOOKUP($R59,武学奇术!$A:$ZZ,27,FALSE)*(1+IF(OR($AM59=$F$4,$AM59=$F$5),$B$22,0))</f>
        <v>3458.56</v>
      </c>
      <c r="AP59" s="24">
        <f>VLOOKUP($R59,武学奇术!$A:$ZZ,28,FALSE)</f>
        <v>11.69518</v>
      </c>
      <c r="AQ59" s="25">
        <f>VLOOKUP($R59,武学奇术!$A:$ZZ,29,FALSE)*(1+IF(OR($AM59=$F$4,$AM59=$F$5),$B$22,0))</f>
        <v>1881.6</v>
      </c>
      <c r="AR59" s="24" cm="1">
        <f t="array" ref="AR59">$G$3+IFERROR(VLOOKUP($AM59,$F$4:$G$7,2,FALSE),0)+VLOOKUP($R59,武学奇术!$A:$ZZ,2,FALSE)+SUM(_xlfn.XLOOKUP($S59:$AL59,增益!$A:$A,增益!$B:$B,0))</f>
        <v>0.3743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4302.6</v>
      </c>
      <c r="AU59" cm="1">
        <f t="array" ref="AU59">$E$10*(1+$AS59)+VLOOKUP($R59,武学奇术!$A:$ZZ,4,FALSE)+SUM(_xlfn.XLOOKUP($S59:$AL59,增益!$A:$A,增益!$D:$D,0))-$I$2</f>
        <v>4302.6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0.3185</v>
      </c>
      <c r="AW59" s="31" cm="1">
        <f t="array" ref="AW59">$G$10+VLOOKUP($R59,武学奇术!$A:$ZZ,7,FALSE)+SUM(_xlfn.XLOOKUP($S59:$AL59,增益!$A:$A,增益!$G:$G,0))</f>
        <v>0.135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</v>
      </c>
      <c r="BB59" s="31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</v>
      </c>
      <c r="BF59" s="31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</v>
      </c>
      <c r="BJ59" s="31" cm="1">
        <f t="array" ref="BJ59">$G$13+VLOOKUP($R59,武学奇术!$A:$ZZ,14,FALSE)+SUM(_xlfn.XLOOKUP($S59:$AL59,增益!$A:$A,增益!$N:$N,0))</f>
        <v>0.02</v>
      </c>
      <c r="BK59">
        <f t="shared" si="7"/>
        <v>649.11</v>
      </c>
      <c r="BL59">
        <f t="shared" si="8"/>
        <v>1707.09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0.9771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0.8861</v>
      </c>
      <c r="BQ59" s="24" cm="1">
        <f t="array" ref="BQ59">1+$B$13+VLOOKUP($R59,武学奇术!$A:$ZZ,18,FALSE)+SUM(_xlfn.XLOOKUP($S59:$AL59,增益!$A:$A,增益!$R:$R,0))</f>
        <v>2.04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0.86580831</v>
      </c>
      <c r="BU59" s="24">
        <f t="shared" si="10"/>
        <v>0.0428916899999999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s="4"/>
      <c r="B60" s="90"/>
      <c r="F60" s="4"/>
      <c r="G60" s="4"/>
      <c r="K60" s="37">
        <f>$L60*VLOOKUP($R60,武学奇术!$A:$ZZ,31,FALSE)</f>
        <v>307136.971779854</v>
      </c>
      <c r="L60" s="37">
        <f t="shared" si="13"/>
        <v>307136.971779854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321993.073815964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236392.983802264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157839.742066649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140573.570205695</v>
      </c>
      <c r="Q60" s="38">
        <v>1</v>
      </c>
      <c r="R60" s="39" t="s">
        <v>132</v>
      </c>
      <c r="S60" s="39" t="s">
        <v>106</v>
      </c>
      <c r="T60" s="39" t="s">
        <v>189</v>
      </c>
      <c r="U60" s="39" t="s">
        <v>89</v>
      </c>
      <c r="V60" s="39" t="s">
        <v>129</v>
      </c>
      <c r="W60" s="39" t="s">
        <v>91</v>
      </c>
      <c r="X60" s="39" t="s">
        <v>80</v>
      </c>
      <c r="Y60" s="39" t="s">
        <v>80</v>
      </c>
      <c r="Z60" s="39" t="s">
        <v>80</v>
      </c>
      <c r="AA60" s="39" t="s">
        <v>80</v>
      </c>
      <c r="AB60" s="39" t="s">
        <v>203</v>
      </c>
      <c r="AC60" s="39" t="s">
        <v>80</v>
      </c>
      <c r="AD60" s="39" t="s">
        <v>121</v>
      </c>
      <c r="AE60" s="39" t="s">
        <v>80</v>
      </c>
      <c r="AF60" s="39" t="s">
        <v>84</v>
      </c>
      <c r="AG60" s="39" t="s">
        <v>80</v>
      </c>
      <c r="AH60" s="39" t="s">
        <v>80</v>
      </c>
      <c r="AI60" s="39" t="s">
        <v>80</v>
      </c>
      <c r="AJ60" s="39" t="s">
        <v>80</v>
      </c>
      <c r="AK60" s="39" t="s">
        <v>80</v>
      </c>
      <c r="AL60" s="39" t="s">
        <v>80</v>
      </c>
      <c r="AM60" t="str">
        <f>VLOOKUP($R60,武学奇术!$A:$ZZ,25,FALSE)</f>
        <v>拳甲</v>
      </c>
      <c r="AN60" s="24">
        <f>VLOOKUP($R60,武学奇术!$A:$ZZ,26,FALSE)</f>
        <v>7.79674</v>
      </c>
      <c r="AO60" s="25">
        <f>VLOOKUP($R60,武学奇术!$A:$ZZ,27,FALSE)*(1+IF(OR($AM60=$F$4,$AM60=$F$5),$B$22,0))</f>
        <v>3458.56</v>
      </c>
      <c r="AP60" s="24">
        <f>VLOOKUP($R60,武学奇术!$A:$ZZ,28,FALSE)</f>
        <v>11.69518</v>
      </c>
      <c r="AQ60" s="25">
        <f>VLOOKUP($R60,武学奇术!$A:$ZZ,29,FALSE)*(1+IF(OR($AM60=$F$4,$AM60=$F$5),$B$22,0))</f>
        <v>1881.6</v>
      </c>
      <c r="AR60" s="24" cm="1">
        <f t="array" ref="AR60">$G$3+IFERROR(VLOOKUP($AM60,$F$4:$G$7,2,FALSE),0)+VLOOKUP($R60,武学奇术!$A:$ZZ,2,FALSE)+SUM(_xlfn.XLOOKUP($S60:$AL60,增益!$A:$A,增益!$B:$B,0))</f>
        <v>0.3743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4302.6</v>
      </c>
      <c r="AU60" cm="1">
        <f t="array" ref="AU60">$E$10*(1+$AS60)+VLOOKUP($R60,武学奇术!$A:$ZZ,4,FALSE)+SUM(_xlfn.XLOOKUP($S60:$AL60,增益!$A:$A,增益!$D:$D,0))-$I$2</f>
        <v>4302.6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0.3185</v>
      </c>
      <c r="AW60" s="31" cm="1">
        <f t="array" ref="AW60">$G$10+VLOOKUP($R60,武学奇术!$A:$ZZ,7,FALSE)+SUM(_xlfn.XLOOKUP($S60:$AL60,增益!$A:$A,增益!$G:$G,0))</f>
        <v>0.135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</v>
      </c>
      <c r="BB60" s="31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</v>
      </c>
      <c r="BF60" s="31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</v>
      </c>
      <c r="BJ60" s="31" cm="1">
        <f t="array" ref="BJ60">$G$13+VLOOKUP($R60,武学奇术!$A:$ZZ,14,FALSE)+SUM(_xlfn.XLOOKUP($S60:$AL60,增益!$A:$A,增益!$N:$N,0))</f>
        <v>0.02</v>
      </c>
      <c r="BK60">
        <f t="shared" si="7"/>
        <v>649.11</v>
      </c>
      <c r="BL60">
        <f t="shared" si="8"/>
        <v>1707.09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0.9771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0.8861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0.86580831</v>
      </c>
      <c r="BU60" s="24">
        <f t="shared" si="10"/>
        <v>0.0428916899999999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/>
      <c r="B61" s="4"/>
      <c r="F61" s="4"/>
      <c r="G61" s="90"/>
      <c r="K61" s="37">
        <f>$L61*VLOOKUP($R61,武学奇术!$A:$ZZ,31,FALSE)</f>
        <v>168665.595531298</v>
      </c>
      <c r="L61" s="37">
        <f t="shared" si="13"/>
        <v>168665.595531298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176823.570948407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129819.310110954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86678.2210531407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77193.9901722414</v>
      </c>
      <c r="Q61" s="38">
        <v>1</v>
      </c>
      <c r="R61" s="39" t="s">
        <v>156</v>
      </c>
      <c r="S61" s="39" t="s">
        <v>106</v>
      </c>
      <c r="T61" s="39" t="s">
        <v>189</v>
      </c>
      <c r="U61" s="39" t="s">
        <v>89</v>
      </c>
      <c r="V61" s="39" t="s">
        <v>129</v>
      </c>
      <c r="W61" s="39" t="s">
        <v>91</v>
      </c>
      <c r="X61" s="39" t="s">
        <v>80</v>
      </c>
      <c r="Y61" s="39" t="s">
        <v>80</v>
      </c>
      <c r="Z61" s="39" t="s">
        <v>80</v>
      </c>
      <c r="AA61" s="39" t="s">
        <v>80</v>
      </c>
      <c r="AB61" s="39" t="s">
        <v>203</v>
      </c>
      <c r="AC61" s="39" t="s">
        <v>80</v>
      </c>
      <c r="AD61" s="39" t="s">
        <v>80</v>
      </c>
      <c r="AE61" s="39" t="s">
        <v>80</v>
      </c>
      <c r="AF61" s="39" t="s">
        <v>84</v>
      </c>
      <c r="AG61" s="39" t="s">
        <v>80</v>
      </c>
      <c r="AH61" s="39" t="s">
        <v>80</v>
      </c>
      <c r="AI61" s="39" t="s">
        <v>80</v>
      </c>
      <c r="AJ61" s="39" t="s">
        <v>80</v>
      </c>
      <c r="AK61" s="39" t="s">
        <v>80</v>
      </c>
      <c r="AL61" s="39" t="s">
        <v>80</v>
      </c>
      <c r="AM61" t="str">
        <f>VLOOKUP($R61,武学奇术!$A:$ZZ,25,FALSE)</f>
        <v>双刀</v>
      </c>
      <c r="AN61" s="24">
        <f>VLOOKUP($R61,武学奇术!$A:$ZZ,26,FALSE)</f>
        <v>4.28274</v>
      </c>
      <c r="AO61" s="25">
        <f>VLOOKUP($R61,武学奇术!$A:$ZZ,27,FALSE)*(1+IF(OR($AM61=$F$4,$AM61=$F$5),$B$22,0))</f>
        <v>1895.04</v>
      </c>
      <c r="AP61" s="24">
        <f>VLOOKUP($R61,武学奇术!$A:$ZZ,28,FALSE)</f>
        <v>6.42411</v>
      </c>
      <c r="AQ61" s="25">
        <f>VLOOKUP($R61,武学奇术!$A:$ZZ,29,FALSE)*(1+IF(OR($AM61=$F$4,$AM61=$F$5),$B$22,0))</f>
        <v>1031.52</v>
      </c>
      <c r="AR61" s="24" cm="1">
        <f t="array" ref="AR61">$G$3+IFERROR(VLOOKUP($AM61,$F$4:$G$7,2,FALSE),0)+VLOOKUP($R61,武学奇术!$A:$ZZ,2,FALSE)+SUM(_xlfn.XLOOKUP($S61:$AL61,增益!$A:$A,增益!$B:$B,0))</f>
        <v>0.3743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4302.6</v>
      </c>
      <c r="AU61" cm="1">
        <f t="array" ref="AU61">$E$10*(1+$AS61)+VLOOKUP($R61,武学奇术!$A:$ZZ,4,FALSE)+SUM(_xlfn.XLOOKUP($S61:$AL61,增益!$A:$A,增益!$D:$D,0))-$I$2</f>
        <v>4302.6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0.3185</v>
      </c>
      <c r="AW61" s="31" cm="1">
        <f t="array" ref="AW61">$G$10+VLOOKUP($R61,武学奇术!$A:$ZZ,7,FALSE)+SUM(_xlfn.XLOOKUP($S61:$AL61,增益!$A:$A,增益!$G:$G,0))</f>
        <v>0.135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</v>
      </c>
      <c r="BB61" s="31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</v>
      </c>
      <c r="BF61" s="31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</v>
      </c>
      <c r="BJ61" s="31" cm="1">
        <f t="array" ref="BJ61">$G$13+VLOOKUP($R61,武学奇术!$A:$ZZ,14,FALSE)+SUM(_xlfn.XLOOKUP($S61:$AL61,增益!$A:$A,增益!$N:$N,0))</f>
        <v>0.02</v>
      </c>
      <c r="BK61">
        <f t="shared" si="7"/>
        <v>649.11</v>
      </c>
      <c r="BL61">
        <f t="shared" si="8"/>
        <v>1707.09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0.9771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0.8861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0.86580831</v>
      </c>
      <c r="BU61" s="24">
        <f t="shared" si="10"/>
        <v>0.0428916899999999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s="4"/>
      <c r="B62" s="4"/>
      <c r="K62" s="37">
        <f>$L62*VLOOKUP($R62,武学奇术!$A:$ZZ,31,FALSE)</f>
        <v>224845.729260962</v>
      </c>
      <c r="L62" s="37">
        <f t="shared" si="13"/>
        <v>224845.729260962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235720.867389244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173061.691883586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115549.444798649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102905.043757604</v>
      </c>
      <c r="Q62" s="38">
        <v>1</v>
      </c>
      <c r="R62" s="39" t="s">
        <v>162</v>
      </c>
      <c r="S62" s="39" t="s">
        <v>106</v>
      </c>
      <c r="T62" s="39" t="s">
        <v>189</v>
      </c>
      <c r="U62" s="39" t="s">
        <v>89</v>
      </c>
      <c r="V62" s="39" t="s">
        <v>129</v>
      </c>
      <c r="W62" s="39" t="s">
        <v>91</v>
      </c>
      <c r="X62" s="39" t="s">
        <v>80</v>
      </c>
      <c r="Y62" s="39" t="s">
        <v>80</v>
      </c>
      <c r="Z62" s="39" t="s">
        <v>80</v>
      </c>
      <c r="AA62" s="39" t="s">
        <v>80</v>
      </c>
      <c r="AB62" s="39" t="s">
        <v>203</v>
      </c>
      <c r="AC62" s="39" t="s">
        <v>80</v>
      </c>
      <c r="AD62" s="39" t="s">
        <v>80</v>
      </c>
      <c r="AE62" s="39" t="s">
        <v>80</v>
      </c>
      <c r="AF62" s="39" t="s">
        <v>84</v>
      </c>
      <c r="AG62" s="39" t="s">
        <v>80</v>
      </c>
      <c r="AH62" s="39" t="s">
        <v>80</v>
      </c>
      <c r="AI62" s="39" t="s">
        <v>80</v>
      </c>
      <c r="AJ62" s="39" t="s">
        <v>80</v>
      </c>
      <c r="AK62" s="39" t="s">
        <v>80</v>
      </c>
      <c r="AL62" s="39" t="s">
        <v>80</v>
      </c>
      <c r="AM62" t="str">
        <f>VLOOKUP($R62,武学奇术!$A:$ZZ,25,FALSE)</f>
        <v>双刀</v>
      </c>
      <c r="AN62" s="24">
        <f>VLOOKUP($R62,武学奇术!$A:$ZZ,26,FALSE)</f>
        <v>5.71032</v>
      </c>
      <c r="AO62" s="25">
        <f>VLOOKUP($R62,武学奇术!$A:$ZZ,27,FALSE)*(1+IF(OR($AM62=$F$4,$AM62=$F$5),$B$22,0))</f>
        <v>2526.72</v>
      </c>
      <c r="AP62" s="24">
        <f>VLOOKUP($R62,武学奇术!$A:$ZZ,28,FALSE)</f>
        <v>8.56464</v>
      </c>
      <c r="AQ62" s="25">
        <f>VLOOKUP($R62,武学奇术!$A:$ZZ,29,FALSE)*(1+IF(OR($AM62=$F$4,$AM62=$F$5),$B$22,0))</f>
        <v>1370.88</v>
      </c>
      <c r="AR62" s="24" cm="1">
        <f t="array" ref="AR62">$G$3+IFERROR(VLOOKUP($AM62,$F$4:$G$7,2,FALSE),0)+VLOOKUP($R62,武学奇术!$A:$ZZ,2,FALSE)+SUM(_xlfn.XLOOKUP($S62:$AL62,增益!$A:$A,增益!$B:$B,0))</f>
        <v>0.3743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4302.6</v>
      </c>
      <c r="AU62" cm="1">
        <f t="array" ref="AU62">$E$10*(1+$AS62)+VLOOKUP($R62,武学奇术!$A:$ZZ,4,FALSE)+SUM(_xlfn.XLOOKUP($S62:$AL62,增益!$A:$A,增益!$D:$D,0))-$I$2</f>
        <v>4302.6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0.3185</v>
      </c>
      <c r="AW62" s="31" cm="1">
        <f t="array" ref="AW62">$G$10+VLOOKUP($R62,武学奇术!$A:$ZZ,7,FALSE)+SUM(_xlfn.XLOOKUP($S62:$AL62,增益!$A:$A,增益!$G:$G,0))</f>
        <v>0.135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</v>
      </c>
      <c r="BB62" s="31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</v>
      </c>
      <c r="BF62" s="31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</v>
      </c>
      <c r="BJ62" s="31" cm="1">
        <f t="array" ref="BJ62">$G$13+VLOOKUP($R62,武学奇术!$A:$ZZ,14,FALSE)+SUM(_xlfn.XLOOKUP($S62:$AL62,增益!$A:$A,增益!$N:$N,0))</f>
        <v>0.02</v>
      </c>
      <c r="BK62">
        <f t="shared" si="7"/>
        <v>649.11</v>
      </c>
      <c r="BL62">
        <f t="shared" si="8"/>
        <v>1707.09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0.9771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0.8861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0.86580831</v>
      </c>
      <c r="BU62" s="24">
        <f t="shared" si="10"/>
        <v>0.0428916899999999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s="4"/>
      <c r="B63" s="4"/>
      <c r="K63" s="37">
        <f>$L63*VLOOKUP($R63,武学奇术!$A:$ZZ,31,FALSE)</f>
        <v>168665.595531298</v>
      </c>
      <c r="L63" s="37">
        <f t="shared" si="13"/>
        <v>168665.595531298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176823.570948407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129819.310110954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86678.2210531407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77193.9901722414</v>
      </c>
      <c r="Q63" s="38">
        <v>1</v>
      </c>
      <c r="R63" s="39" t="s">
        <v>165</v>
      </c>
      <c r="S63" s="39" t="s">
        <v>106</v>
      </c>
      <c r="T63" s="39" t="s">
        <v>189</v>
      </c>
      <c r="U63" s="39" t="s">
        <v>89</v>
      </c>
      <c r="V63" s="39" t="s">
        <v>129</v>
      </c>
      <c r="W63" s="39" t="s">
        <v>91</v>
      </c>
      <c r="X63" s="39" t="s">
        <v>80</v>
      </c>
      <c r="Y63" s="39" t="s">
        <v>80</v>
      </c>
      <c r="Z63" s="39" t="s">
        <v>80</v>
      </c>
      <c r="AA63" s="39" t="s">
        <v>80</v>
      </c>
      <c r="AB63" s="39" t="s">
        <v>203</v>
      </c>
      <c r="AC63" s="39" t="s">
        <v>80</v>
      </c>
      <c r="AD63" s="39" t="s">
        <v>80</v>
      </c>
      <c r="AE63" s="39" t="s">
        <v>80</v>
      </c>
      <c r="AF63" s="39" t="s">
        <v>84</v>
      </c>
      <c r="AG63" s="39" t="s">
        <v>80</v>
      </c>
      <c r="AH63" s="39" t="s">
        <v>80</v>
      </c>
      <c r="AI63" s="39" t="s">
        <v>80</v>
      </c>
      <c r="AJ63" s="39" t="s">
        <v>80</v>
      </c>
      <c r="AK63" s="39" t="s">
        <v>80</v>
      </c>
      <c r="AL63" s="39" t="s">
        <v>80</v>
      </c>
      <c r="AM63" t="str">
        <f>VLOOKUP($R63,武学奇术!$A:$ZZ,25,FALSE)</f>
        <v>双刀</v>
      </c>
      <c r="AN63" s="24">
        <f>VLOOKUP($R63,武学奇术!$A:$ZZ,26,FALSE)</f>
        <v>4.28274</v>
      </c>
      <c r="AO63" s="25">
        <f>VLOOKUP($R63,武学奇术!$A:$ZZ,27,FALSE)*(1+IF(OR($AM63=$F$4,$AM63=$F$5),$B$22,0))</f>
        <v>1895.04</v>
      </c>
      <c r="AP63" s="24">
        <f>VLOOKUP($R63,武学奇术!$A:$ZZ,28,FALSE)</f>
        <v>6.42411</v>
      </c>
      <c r="AQ63" s="25">
        <f>VLOOKUP($R63,武学奇术!$A:$ZZ,29,FALSE)*(1+IF(OR($AM63=$F$4,$AM63=$F$5),$B$22,0))</f>
        <v>1031.52</v>
      </c>
      <c r="AR63" s="24" cm="1">
        <f t="array" ref="AR63">$G$3+IFERROR(VLOOKUP($AM63,$F$4:$G$7,2,FALSE),0)+VLOOKUP($R63,武学奇术!$A:$ZZ,2,FALSE)+SUM(_xlfn.XLOOKUP($S63:$AL63,增益!$A:$A,增益!$B:$B,0))</f>
        <v>0.3743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4302.6</v>
      </c>
      <c r="AU63" cm="1">
        <f t="array" ref="AU63">$E$10*(1+$AS63)+VLOOKUP($R63,武学奇术!$A:$ZZ,4,FALSE)+SUM(_xlfn.XLOOKUP($S63:$AL63,增益!$A:$A,增益!$D:$D,0))-$I$2</f>
        <v>4302.6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0.3185</v>
      </c>
      <c r="AW63" s="31" cm="1">
        <f t="array" ref="AW63">$G$10+VLOOKUP($R63,武学奇术!$A:$ZZ,7,FALSE)+SUM(_xlfn.XLOOKUP($S63:$AL63,增益!$A:$A,增益!$G:$G,0))</f>
        <v>0.135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</v>
      </c>
      <c r="BB63" s="31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</v>
      </c>
      <c r="BF63" s="31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</v>
      </c>
      <c r="BJ63" s="31" cm="1">
        <f t="array" ref="BJ63">$G$13+VLOOKUP($R63,武学奇术!$A:$ZZ,14,FALSE)+SUM(_xlfn.XLOOKUP($S63:$AL63,增益!$A:$A,增益!$N:$N,0))</f>
        <v>0.02</v>
      </c>
      <c r="BK63">
        <f t="shared" si="7"/>
        <v>649.11</v>
      </c>
      <c r="BL63">
        <f t="shared" si="8"/>
        <v>1707.09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0.9771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0.8861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0.86580831</v>
      </c>
      <c r="BU63" s="24">
        <f t="shared" si="10"/>
        <v>0.0428916899999999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/>
      <c r="B64" s="90"/>
      <c r="F64" s="4"/>
      <c r="G64" s="90"/>
      <c r="K64" s="37">
        <f>$L64*VLOOKUP($R64,武学奇术!$A:$ZZ,31,FALSE)</f>
        <v>13782.2911655224</v>
      </c>
      <c r="L64" s="37">
        <f t="shared" si="13"/>
        <v>13782.2911655224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14150.9117153475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12922.9015791844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8628.60470448019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7684.68972067562</v>
      </c>
      <c r="Q64" s="38">
        <v>1</v>
      </c>
      <c r="R64" s="39" t="s">
        <v>110</v>
      </c>
      <c r="S64" s="39" t="s">
        <v>106</v>
      </c>
      <c r="T64" s="39" t="s">
        <v>189</v>
      </c>
      <c r="U64" s="39" t="s">
        <v>89</v>
      </c>
      <c r="V64" s="39" t="s">
        <v>80</v>
      </c>
      <c r="W64" s="39" t="s">
        <v>80</v>
      </c>
      <c r="X64" s="39" t="s">
        <v>80</v>
      </c>
      <c r="Y64" s="39" t="s">
        <v>80</v>
      </c>
      <c r="Z64" s="39" t="s">
        <v>80</v>
      </c>
      <c r="AA64" s="39" t="s">
        <v>80</v>
      </c>
      <c r="AB64" s="39" t="s">
        <v>209</v>
      </c>
      <c r="AC64" s="39" t="s">
        <v>80</v>
      </c>
      <c r="AD64" s="39" t="s">
        <v>80</v>
      </c>
      <c r="AE64" s="39" t="s">
        <v>80</v>
      </c>
      <c r="AF64" s="39" t="s">
        <v>84</v>
      </c>
      <c r="AG64" s="39" t="s">
        <v>80</v>
      </c>
      <c r="AH64" s="39" t="s">
        <v>80</v>
      </c>
      <c r="AI64" s="39" t="s">
        <v>80</v>
      </c>
      <c r="AJ64" s="39" t="s">
        <v>80</v>
      </c>
      <c r="AK64" s="39" t="s">
        <v>80</v>
      </c>
      <c r="AL64" s="39" t="s">
        <v>80</v>
      </c>
      <c r="AM64" t="str">
        <f>VLOOKUP($R64,武学奇术!$A:$ZZ,25,FALSE)</f>
        <v>双刀</v>
      </c>
      <c r="AN64" s="24">
        <f>VLOOKUP($R64,武学奇术!$A:$ZZ,26,FALSE)</f>
        <v>0.6587</v>
      </c>
      <c r="AO64" s="25">
        <f>VLOOKUP($R64,武学奇术!$A:$ZZ,27,FALSE)*(1+IF(OR($AM64=$F$4,$AM64=$F$5),$B$22,0))</f>
        <v>292.8</v>
      </c>
      <c r="AP64" s="24">
        <f>VLOOKUP($R64,武学奇术!$A:$ZZ,28,FALSE)</f>
        <v>0.9881</v>
      </c>
      <c r="AQ64" s="25">
        <f>VLOOKUP($R64,武学奇术!$A:$ZZ,29,FALSE)*(1+IF(OR($AM64=$F$4,$AM64=$F$5),$B$22,0))</f>
        <v>160</v>
      </c>
      <c r="AR64" s="24" cm="1">
        <f t="array" ref="AR64">$G$3+IFERROR(VLOOKUP($AM64,$F$4:$G$7,2,FALSE),0)+VLOOKUP($R64,武学奇术!$A:$ZZ,2,FALSE)+SUM(_xlfn.XLOOKUP($S64:$AL64,增益!$A:$A,增益!$B:$B,0))</f>
        <v>0.3243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4302.6</v>
      </c>
      <c r="AU64" cm="1">
        <f t="array" ref="AU64">$E$10*(1+$AS64)+VLOOKUP($R64,武学奇术!$A:$ZZ,4,FALSE)+SUM(_xlfn.XLOOKUP($S64:$AL64,增益!$A:$A,增益!$D:$D,0))-$I$2</f>
        <v>4302.6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0.2685</v>
      </c>
      <c r="AW64" s="31" cm="1">
        <f t="array" ref="AW64">$G$10+VLOOKUP($R64,武学奇术!$A:$ZZ,7,FALSE)+SUM(_xlfn.XLOOKUP($S64:$AL64,增益!$A:$A,增益!$G:$G,0))</f>
        <v>0.045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</v>
      </c>
      <c r="BB64" s="31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</v>
      </c>
      <c r="BF64" s="31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</v>
      </c>
      <c r="BJ64" s="31" cm="1">
        <f t="array" ref="BJ64">$G$13+VLOOKUP($R64,武学奇术!$A:$ZZ,14,FALSE)+SUM(_xlfn.XLOOKUP($S64:$AL64,增益!$A:$A,增益!$N:$N,0))</f>
        <v>0.02</v>
      </c>
      <c r="BK64">
        <f t="shared" si="7"/>
        <v>649.11</v>
      </c>
      <c r="BL64">
        <f t="shared" si="8"/>
        <v>1707.09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0.05</v>
      </c>
      <c r="BN64" s="31" cm="1">
        <f t="array" ref="BN64">$G$14+VLOOKUP($R64,武学奇术!$A:$ZZ,16,FALSE)+SUM(_xlfn.XLOOKUP($S64:$AL64,增益!$A:$A,增益!$P:$P,0))</f>
        <v>0.17</v>
      </c>
      <c r="BO64" s="24">
        <f>MIN(IF(VLOOKUP($R64,武学奇术!$A:$ZZ,23,FALSE)=1,100%,$B$8),100%)</f>
        <v>0.9771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0.8861</v>
      </c>
      <c r="BQ64" s="24" cm="1">
        <f t="array" ref="BQ64">1+$B$13+VLOOKUP($R64,武学奇术!$A:$ZZ,18,FALSE)+SUM(_xlfn.XLOOKUP($S64:$AL64,增益!$A:$A,增益!$R:$R,0))</f>
        <v>1.64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0.86580831</v>
      </c>
      <c r="BU64" s="24">
        <f t="shared" si="10"/>
        <v>0.0220824599999999</v>
      </c>
      <c r="BV64" s="24">
        <f>IF(VLOOKUP($R64,武学奇术!$A:$ZZ,22,FALSE)=1,0,(1-$BO64))*(1-$BR64)</f>
        <v>0.02080923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K65" s="37">
        <f>$L65*VLOOKUP($R65,武学奇术!$A:$ZZ,31,FALSE)</f>
        <v>187374.484861798</v>
      </c>
      <c r="L65" s="88">
        <f>SUM(L55,L56,L58:L63)*0.2*(1+BX65)</f>
        <v>374748.969723596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38">
        <v>1</v>
      </c>
      <c r="R65" s="39" t="s">
        <v>168</v>
      </c>
      <c r="S65" s="39" t="s">
        <v>169</v>
      </c>
      <c r="T65" s="39" t="s">
        <v>80</v>
      </c>
      <c r="U65" s="39" t="s">
        <v>80</v>
      </c>
      <c r="V65" s="39" t="s">
        <v>80</v>
      </c>
      <c r="W65" s="39" t="s">
        <v>80</v>
      </c>
      <c r="X65" s="39" t="s">
        <v>80</v>
      </c>
      <c r="Y65" s="39" t="s">
        <v>80</v>
      </c>
      <c r="Z65" s="39" t="s">
        <v>80</v>
      </c>
      <c r="AA65" s="39" t="s">
        <v>80</v>
      </c>
      <c r="AB65" s="39" t="s">
        <v>80</v>
      </c>
      <c r="AC65" s="39" t="s">
        <v>80</v>
      </c>
      <c r="AD65" s="39" t="s">
        <v>80</v>
      </c>
      <c r="AE65" s="39" t="s">
        <v>80</v>
      </c>
      <c r="AF65" s="39" t="s">
        <v>84</v>
      </c>
      <c r="AG65" s="39" t="s">
        <v>80</v>
      </c>
      <c r="AH65" s="39" t="s">
        <v>80</v>
      </c>
      <c r="AI65" s="39" t="s">
        <v>80</v>
      </c>
      <c r="AJ65" s="39" t="s">
        <v>80</v>
      </c>
      <c r="AK65" s="39" t="s">
        <v>80</v>
      </c>
      <c r="AL65" s="39" t="s">
        <v>80</v>
      </c>
      <c r="AM65" t="str">
        <f>VLOOKUP($R65,武学奇术!$A:$ZZ,25,FALSE)</f>
        <v>心法</v>
      </c>
      <c r="AN65" s="24">
        <f>VLOOKUP($R65,武学奇术!$A:$ZZ,26,FALSE)</f>
        <v>0</v>
      </c>
      <c r="AO65" s="25">
        <f>VLOOKUP($R65,武学奇术!$A:$ZZ,27,FALSE)*(1+IF(OR($AM65=$F$4,$AM65=$F$5),$B$22,0))</f>
        <v>0</v>
      </c>
      <c r="AP65" s="24">
        <f>VLOOKUP($R65,武学奇术!$A:$ZZ,28,FALSE)</f>
        <v>0</v>
      </c>
      <c r="AQ65" s="25">
        <f>VLOOKUP($R65,武学奇术!$A:$ZZ,29,FALSE)*(1+IF(OR($AM65=$F$4,$AM65=$F$5),$B$22,0))</f>
        <v>0</v>
      </c>
      <c r="AR65" s="24" cm="1">
        <f t="array" ref="AR65">$G$3+IFERROR(VLOOKUP($AM65,$F$4:$G$7,2,FALSE),0)+VLOOKUP($R65,武学奇术!$A:$ZZ,2,FALSE)+SUM(_xlfn.XLOOKUP($S65:$AL65,增益!$A:$A,增益!$B:$B,0))</f>
        <v>0.1042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4302.6</v>
      </c>
      <c r="AU65" cm="1">
        <f t="array" ref="AU65">$E$10*(1+$AS65)+VLOOKUP($R65,武学奇术!$A:$ZZ,4,FALSE)+SUM(_xlfn.XLOOKUP($S65:$AL65,增益!$A:$A,增益!$D:$D,0))-$I$2</f>
        <v>4302.6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0.1685</v>
      </c>
      <c r="AW65" s="31" cm="1">
        <f t="array" ref="AW65">$G$10+VLOOKUP($R65,武学奇术!$A:$ZZ,7,FALSE)+SUM(_xlfn.XLOOKUP($S65:$AL65,增益!$A:$A,增益!$G:$G,0))</f>
        <v>0.025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1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1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1" cm="1">
        <f t="array" ref="BJ65">$G$13+VLOOKUP($R65,武学奇术!$A:$ZZ,14,FALSE)+SUM(_xlfn.XLOOKUP($S65:$AL65,增益!$A:$A,增益!$N:$N,0))</f>
        <v>0</v>
      </c>
      <c r="BK65">
        <f t="shared" si="7"/>
        <v>649.11</v>
      </c>
      <c r="BL65">
        <f t="shared" si="8"/>
        <v>1707.09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1" cm="1">
        <f t="array" ref="BN65">$G$14+VLOOKUP($R65,武学奇术!$A:$ZZ,16,FALSE)+SUM(_xlfn.XLOOKUP($S65:$AL65,增益!$A:$A,增益!$P:$P,0))</f>
        <v>0.15</v>
      </c>
      <c r="BO65" s="24">
        <f>MIN(IF(VLOOKUP($R65,武学奇术!$A:$ZZ,23,FALSE)=1,100%,$B$8),100%)</f>
        <v>0.9771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0.8861</v>
      </c>
      <c r="BQ65" s="24" cm="1">
        <f t="array" ref="BQ65">1+$B$13+VLOOKUP($R65,武学奇术!$A:$ZZ,18,FALSE)+SUM(_xlfn.XLOOKUP($S65:$AL65,增益!$A:$A,增益!$R:$R,0))</f>
        <v>1.54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0.86580831</v>
      </c>
      <c r="BU65" s="24">
        <f t="shared" si="10"/>
        <v>0.0220824599999999</v>
      </c>
      <c r="BV65" s="24">
        <f>IF(VLOOKUP($R65,武学奇术!$A:$ZZ,22,FALSE)=1,0,(1-$BO65))*(1-$BR65)</f>
        <v>0.02080923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0.2</v>
      </c>
    </row>
    <row r="66" spans="1:76">
      <c r="F66" s="4"/>
      <c r="G66" s="4"/>
      <c r="K66" s="37">
        <f>$L66*VLOOKUP($R66,武学奇术!$A:$ZZ,31,FALSE)</f>
        <v>199109.240786025</v>
      </c>
      <c r="L66" s="37">
        <f t="shared" ref="L66:L77" si="14">($M66*$BT66+$N66*$BR66+$O66*$BU66+$P66*$BV66)</f>
        <v>199109.240786025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204974.719975232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183359.090139612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121286.816553392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106752.084855219</v>
      </c>
      <c r="Q66" s="38">
        <v>1</v>
      </c>
      <c r="R66" s="39" t="s">
        <v>210</v>
      </c>
      <c r="S66" s="39" t="s">
        <v>106</v>
      </c>
      <c r="T66" s="39" t="s">
        <v>189</v>
      </c>
      <c r="U66" s="39" t="s">
        <v>89</v>
      </c>
      <c r="V66" s="39" t="s">
        <v>90</v>
      </c>
      <c r="W66" s="39" t="s">
        <v>91</v>
      </c>
      <c r="X66" s="39" t="s">
        <v>80</v>
      </c>
      <c r="Y66" s="39" t="s">
        <v>80</v>
      </c>
      <c r="Z66" s="39" t="s">
        <v>80</v>
      </c>
      <c r="AA66" s="39" t="s">
        <v>80</v>
      </c>
      <c r="AB66" s="39" t="s">
        <v>203</v>
      </c>
      <c r="AC66" s="39" t="s">
        <v>80</v>
      </c>
      <c r="AD66" s="39" t="s">
        <v>80</v>
      </c>
      <c r="AE66" s="39" t="s">
        <v>80</v>
      </c>
      <c r="AF66" s="39" t="s">
        <v>84</v>
      </c>
      <c r="AG66" s="39" t="s">
        <v>80</v>
      </c>
      <c r="AH66" s="39" t="s">
        <v>80</v>
      </c>
      <c r="AI66" s="39" t="s">
        <v>80</v>
      </c>
      <c r="AJ66" s="39" t="s">
        <v>80</v>
      </c>
      <c r="AK66" s="39" t="s">
        <v>80</v>
      </c>
      <c r="AL66" s="39" t="s">
        <v>80</v>
      </c>
      <c r="AM66" t="str">
        <f>VLOOKUP($R66,武学奇术!$A:$ZZ,25,FALSE)</f>
        <v>群体奇术</v>
      </c>
      <c r="AN66" s="24">
        <f>VLOOKUP($R66,武学奇术!$A:$ZZ,26,FALSE)</f>
        <v>10.315755</v>
      </c>
      <c r="AO66" s="25">
        <f>VLOOKUP($R66,武学奇术!$A:$ZZ,27,FALSE)*(1+IF(OR($AM66=$F$4,$AM66=$F$5),$B$22,0))</f>
        <v>1992.6</v>
      </c>
      <c r="AP66" s="24">
        <f>VLOOKUP($R66,武学奇术!$A:$ZZ,28,FALSE)</f>
        <v>15.4736325</v>
      </c>
      <c r="AQ66" s="25">
        <f>VLOOKUP($R66,武学奇术!$A:$ZZ,29,FALSE)*(1+IF(OR($AM66=$F$4,$AM66=$F$5),$B$22,0))</f>
        <v>0</v>
      </c>
      <c r="AR66" s="24" cm="1">
        <f t="array" ref="AR66">$G$3+IFERROR(VLOOKUP($AM66,$F$4:$G$7,2,FALSE),0)+VLOOKUP($R66,武学奇术!$A:$ZZ,2,FALSE)+SUM(_xlfn.XLOOKUP($S66:$AL66,增益!$A:$A,增益!$B:$B,0))</f>
        <v>0.1542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4302.6</v>
      </c>
      <c r="AU66" cm="1">
        <f t="array" ref="AU66">$E$10*(1+$AS66)+VLOOKUP($R66,武学奇术!$A:$ZZ,4,FALSE)+SUM(_xlfn.XLOOKUP($S66:$AL66,增益!$A:$A,增益!$D:$D,0))-$I$2</f>
        <v>4302.6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0.3185</v>
      </c>
      <c r="AW66" s="31" cm="1">
        <f t="array" ref="AW66">$G$10+VLOOKUP($R66,武学奇术!$A:$ZZ,7,FALSE)+SUM(_xlfn.XLOOKUP($S66:$AL66,增益!$A:$A,增益!$G:$G,0))</f>
        <v>0.135</v>
      </c>
      <c r="AX66" s="24" cm="1">
        <f t="array" ref="AX66">VLOOKUP($R66,武学奇术!$A:$ZZ,8,FALSE)+SUM(_xlfn.XLOOKUP($S66:$AL66,增益!$A:$A,增益!$H:$H,0))</f>
        <v>0</v>
      </c>
      <c r="AY66">
        <f t="shared" ref="AY66:AY129" si="15">$D$11*(1+$AX66)</f>
        <v>0</v>
      </c>
      <c r="AZ66">
        <f t="shared" ref="AZ66:AZ129" si="16">$E$11*(1+$AX66)</f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</v>
      </c>
      <c r="BB66" s="31" cm="1">
        <f t="array" ref="BB66">$G$11+VLOOKUP($R66,武学奇术!$A:$ZZ,10,FALSE)+SUM(_xlfn.XLOOKUP($S66:$AL66,增益!$A:$A,增益!$J:$J,0))</f>
        <v>0.02</v>
      </c>
      <c r="BC66">
        <f t="shared" ref="BC66:BC129" si="17">$D$12*(1+$AX66)</f>
        <v>0</v>
      </c>
      <c r="BD66">
        <f t="shared" ref="BD66:BD129" si="18">$E$12*(1+$AX66)</f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</v>
      </c>
      <c r="BF66" s="31" cm="1">
        <f t="array" ref="BF66">$G$12+VLOOKUP($R66,武学奇术!$A:$ZZ,12,FALSE)+SUM(_xlfn.XLOOKUP($S66:$AL66,增益!$A:$A,增益!$L:$L,0))</f>
        <v>0.02</v>
      </c>
      <c r="BG66">
        <f t="shared" ref="BG66:BG129" si="19">$D$13*(1+$AX66)</f>
        <v>0</v>
      </c>
      <c r="BH66">
        <f t="shared" ref="BH66:BH129" si="20">$E$13*(1+$AX66)</f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</v>
      </c>
      <c r="BJ66" s="31" cm="1">
        <f t="array" ref="BJ66">$G$13+VLOOKUP($R66,武学奇术!$A:$ZZ,14,FALSE)+SUM(_xlfn.XLOOKUP($S66:$AL66,增益!$A:$A,增益!$N:$N,0))</f>
        <v>0.02</v>
      </c>
      <c r="BK66">
        <f t="shared" ref="BK66:BK129" si="21">$D$14*(1+$AX66)</f>
        <v>649.11</v>
      </c>
      <c r="BL66">
        <f t="shared" ref="BL66:BL129" si="22">$E$14*(1+$AX66)</f>
        <v>1707.09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</v>
      </c>
      <c r="BN66" s="31" cm="1">
        <f t="array" ref="BN66">$G$14+VLOOKUP($R66,武学奇术!$A:$ZZ,16,FALSE)+SUM(_xlfn.XLOOKUP($S66:$AL66,增益!$A:$A,增益!$P:$P,0))</f>
        <v>0.26</v>
      </c>
      <c r="BO66" s="24">
        <f>MIN(IF(VLOOKUP($R66,武学奇术!$A:$ZZ,23,FALSE)=1,100%,$B$8),100%)</f>
        <v>0.9771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0.8861</v>
      </c>
      <c r="BQ66" s="24" cm="1">
        <f t="array" ref="BQ66">1+$B$13+VLOOKUP($R66,武学奇术!$A:$ZZ,18,FALSE)+SUM(_xlfn.XLOOKUP($S66:$AL66,增益!$A:$A,增益!$R:$R,0))</f>
        <v>1.69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3">MIN((1-BR66)*BO66,BO66*BP66)</f>
        <v>0.86580831</v>
      </c>
      <c r="BU66" s="24">
        <f t="shared" ref="BU66:BU129" si="24">1-BR66-BT66-BV66</f>
        <v>0.0220824599999999</v>
      </c>
      <c r="BV66" s="24">
        <f>IF(VLOOKUP($R66,武学奇术!$A:$ZZ,22,FALSE)=1,0,(1-$BO66))*(1-$BR66)</f>
        <v>0.02080923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/>
      <c r="B67" s="90"/>
      <c r="K67" s="37">
        <f>$L67*VLOOKUP($R67,武学奇术!$A:$ZZ,31,FALSE)</f>
        <v>0</v>
      </c>
      <c r="L67" s="37">
        <f t="shared" si="14"/>
        <v>0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8">
        <v>1</v>
      </c>
      <c r="R67" s="39" t="s">
        <v>80</v>
      </c>
      <c r="S67" s="39" t="s">
        <v>80</v>
      </c>
      <c r="T67" s="39" t="s">
        <v>80</v>
      </c>
      <c r="U67" s="39" t="s">
        <v>80</v>
      </c>
      <c r="V67" s="39" t="s">
        <v>80</v>
      </c>
      <c r="W67" s="39" t="s">
        <v>80</v>
      </c>
      <c r="X67" s="39" t="s">
        <v>80</v>
      </c>
      <c r="Y67" s="39" t="s">
        <v>80</v>
      </c>
      <c r="Z67" s="39" t="s">
        <v>80</v>
      </c>
      <c r="AA67" s="39" t="s">
        <v>80</v>
      </c>
      <c r="AB67" s="39" t="s">
        <v>80</v>
      </c>
      <c r="AC67" s="39" t="s">
        <v>80</v>
      </c>
      <c r="AD67" s="39" t="s">
        <v>80</v>
      </c>
      <c r="AE67" s="39" t="s">
        <v>80</v>
      </c>
      <c r="AF67" s="39" t="s">
        <v>84</v>
      </c>
      <c r="AG67" s="39" t="s">
        <v>80</v>
      </c>
      <c r="AH67" s="39" t="s">
        <v>80</v>
      </c>
      <c r="AI67" s="39" t="s">
        <v>80</v>
      </c>
      <c r="AJ67" s="39" t="s">
        <v>80</v>
      </c>
      <c r="AK67" s="39" t="s">
        <v>80</v>
      </c>
      <c r="AL67" s="39" t="s">
        <v>80</v>
      </c>
      <c r="AM67" t="str">
        <f>VLOOKUP($R67,武学奇术!$A:$ZZ,25,FALSE)</f>
        <v>心法</v>
      </c>
      <c r="AN67" s="24">
        <f>VLOOKUP($R67,武学奇术!$A:$ZZ,26,FALSE)</f>
        <v>0</v>
      </c>
      <c r="AO67" s="25">
        <f>VLOOKUP($R67,武学奇术!$A:$ZZ,27,FALSE)*(1+IF(OR($AM67=$F$4,$AM67=$F$5),$B$22,0))</f>
        <v>0</v>
      </c>
      <c r="AP67" s="24">
        <f>VLOOKUP($R67,武学奇术!$A:$ZZ,28,FALSE)</f>
        <v>0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0.1042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4302.6</v>
      </c>
      <c r="AU67" cm="1">
        <f t="array" ref="AU67">$E$10*(1+$AS67)+VLOOKUP($R67,武学奇术!$A:$ZZ,4,FALSE)+SUM(_xlfn.XLOOKUP($S67:$AL67,增益!$A:$A,增益!$D:$D,0))-$I$2</f>
        <v>4302.6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0.1685</v>
      </c>
      <c r="AW67" s="31" cm="1">
        <f t="array" ref="AW67">$G$10+VLOOKUP($R67,武学奇术!$A:$ZZ,7,FALSE)+SUM(_xlfn.XLOOKUP($S67:$AL67,增益!$A:$A,增益!$G:$G,0))</f>
        <v>0.025</v>
      </c>
      <c r="AX67" s="24" cm="1">
        <f t="array" ref="AX67">VLOOKUP($R67,武学奇术!$A:$ZZ,8,FALSE)+SUM(_xlfn.XLOOKUP($S67:$AL67,增益!$A:$A,增益!$H:$H,0))</f>
        <v>0</v>
      </c>
      <c r="AY67">
        <f t="shared" si="15"/>
        <v>0</v>
      </c>
      <c r="AZ67">
        <f t="shared" si="16"/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</v>
      </c>
      <c r="BC67">
        <f t="shared" si="17"/>
        <v>0</v>
      </c>
      <c r="BD67">
        <f t="shared" si="18"/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</v>
      </c>
      <c r="BG67">
        <f t="shared" si="19"/>
        <v>0</v>
      </c>
      <c r="BH67">
        <f t="shared" si="20"/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</v>
      </c>
      <c r="BK67">
        <f t="shared" si="21"/>
        <v>649.11</v>
      </c>
      <c r="BL67">
        <f t="shared" si="22"/>
        <v>1707.09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0.15</v>
      </c>
      <c r="BO67" s="24">
        <f>MIN(IF(VLOOKUP($R67,武学奇术!$A:$ZZ,23,FALSE)=1,100%,$B$8),100%)</f>
        <v>0.9771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0.8861</v>
      </c>
      <c r="BQ67" s="24" cm="1">
        <f t="array" ref="BQ67">1+$B$13+VLOOKUP($R67,武学奇术!$A:$ZZ,18,FALSE)+SUM(_xlfn.XLOOKUP($S67:$AL67,增益!$A:$A,增益!$R:$R,0))</f>
        <v>1.54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3"/>
        <v>0.86580831</v>
      </c>
      <c r="BU67" s="24">
        <f t="shared" si="24"/>
        <v>0.0220824599999999</v>
      </c>
      <c r="BV67" s="24">
        <f>IF(VLOOKUP($R67,武学奇术!$A:$ZZ,22,FALSE)=1,0,(1-$BO67))*(1-$BR67)</f>
        <v>0.02080923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K68" s="37">
        <f>$L68*VLOOKUP($R68,武学奇术!$A:$ZZ,31,FALSE)</f>
        <v>29170.0926650607</v>
      </c>
      <c r="L68" s="37">
        <f t="shared" si="14"/>
        <v>29170.0926650607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30044.5483668198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26682.3238026278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17777.8392703076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15790.9942423724</v>
      </c>
      <c r="Q68" s="38">
        <v>1</v>
      </c>
      <c r="R68" s="39" t="s">
        <v>115</v>
      </c>
      <c r="S68" s="39" t="s">
        <v>78</v>
      </c>
      <c r="T68" s="39" t="s">
        <v>189</v>
      </c>
      <c r="U68" s="39" t="s">
        <v>89</v>
      </c>
      <c r="V68" s="39" t="s">
        <v>90</v>
      </c>
      <c r="W68" s="39" t="s">
        <v>91</v>
      </c>
      <c r="X68" s="39" t="s">
        <v>80</v>
      </c>
      <c r="Y68" s="39" t="s">
        <v>80</v>
      </c>
      <c r="Z68" s="39" t="s">
        <v>80</v>
      </c>
      <c r="AA68" s="39" t="s">
        <v>80</v>
      </c>
      <c r="AB68" s="39" t="s">
        <v>203</v>
      </c>
      <c r="AC68" s="39" t="s">
        <v>80</v>
      </c>
      <c r="AD68" s="39" t="s">
        <v>80</v>
      </c>
      <c r="AE68" s="39" t="s">
        <v>80</v>
      </c>
      <c r="AF68" s="39" t="s">
        <v>84</v>
      </c>
      <c r="AG68" s="39" t="s">
        <v>80</v>
      </c>
      <c r="AH68" s="39" t="s">
        <v>80</v>
      </c>
      <c r="AI68" s="39" t="s">
        <v>80</v>
      </c>
      <c r="AJ68" s="39" t="s">
        <v>80</v>
      </c>
      <c r="AK68" s="39" t="s">
        <v>80</v>
      </c>
      <c r="AL68" s="39" t="s">
        <v>80</v>
      </c>
      <c r="AM68" t="str">
        <f>VLOOKUP($R68,武学奇术!$A:$ZZ,25,FALSE)</f>
        <v>双刀</v>
      </c>
      <c r="AN68" s="24">
        <f>VLOOKUP($R68,武学奇术!$A:$ZZ,26,FALSE)</f>
        <v>1.2672</v>
      </c>
      <c r="AO68" s="25">
        <f>VLOOKUP($R68,武学奇术!$A:$ZZ,27,FALSE)*(1+IF(OR($AM68=$F$4,$AM68=$F$5),$B$22,0))</f>
        <v>562.56</v>
      </c>
      <c r="AP68" s="24">
        <f>VLOOKUP($R68,武学奇术!$A:$ZZ,28,FALSE)</f>
        <v>1.90092</v>
      </c>
      <c r="AQ68" s="25">
        <f>VLOOKUP($R68,武学奇术!$A:$ZZ,29,FALSE)*(1+IF(OR($AM68=$F$4,$AM68=$F$5),$B$22,0))</f>
        <v>307.2</v>
      </c>
      <c r="AR68" s="24" cm="1">
        <f t="array" ref="AR68">$G$3+IFERROR(VLOOKUP($AM68,$F$4:$G$7,2,FALSE),0)+VLOOKUP($R68,武学奇术!$A:$ZZ,2,FALSE)+SUM(_xlfn.XLOOKUP($S68:$AL68,增益!$A:$A,增益!$B:$B,0))</f>
        <v>0.2843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4302.6</v>
      </c>
      <c r="AU68" cm="1">
        <f t="array" ref="AU68">$E$10*(1+$AS68)+VLOOKUP($R68,武学奇术!$A:$ZZ,4,FALSE)+SUM(_xlfn.XLOOKUP($S68:$AL68,增益!$A:$A,增益!$D:$D,0))-$I$2</f>
        <v>4302.6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0.2785</v>
      </c>
      <c r="AW68" s="31" cm="1">
        <f t="array" ref="AW68">$G$10+VLOOKUP($R68,武学奇术!$A:$ZZ,7,FALSE)+SUM(_xlfn.XLOOKUP($S68:$AL68,增益!$A:$A,增益!$G:$G,0))</f>
        <v>0.135</v>
      </c>
      <c r="AX68" s="24" cm="1">
        <f t="array" ref="AX68">VLOOKUP($R68,武学奇术!$A:$ZZ,8,FALSE)+SUM(_xlfn.XLOOKUP($S68:$AL68,增益!$A:$A,增益!$H:$H,0))</f>
        <v>0</v>
      </c>
      <c r="AY68">
        <f t="shared" si="15"/>
        <v>0</v>
      </c>
      <c r="AZ68">
        <f t="shared" si="16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31" cm="1">
        <f t="array" ref="BB68">$G$11+VLOOKUP($R68,武学奇术!$A:$ZZ,10,FALSE)+SUM(_xlfn.XLOOKUP($S68:$AL68,增益!$A:$A,增益!$J:$J,0))</f>
        <v>0.02</v>
      </c>
      <c r="BC68">
        <f t="shared" si="17"/>
        <v>0</v>
      </c>
      <c r="BD68">
        <f t="shared" si="18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31" cm="1">
        <f t="array" ref="BF68">$G$12+VLOOKUP($R68,武学奇术!$A:$ZZ,12,FALSE)+SUM(_xlfn.XLOOKUP($S68:$AL68,增益!$A:$A,增益!$L:$L,0))</f>
        <v>0.02</v>
      </c>
      <c r="BG68">
        <f t="shared" si="19"/>
        <v>0</v>
      </c>
      <c r="BH68">
        <f t="shared" si="20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31" cm="1">
        <f t="array" ref="BJ68">$G$13+VLOOKUP($R68,武学奇术!$A:$ZZ,14,FALSE)+SUM(_xlfn.XLOOKUP($S68:$AL68,增益!$A:$A,增益!$N:$N,0))</f>
        <v>0.02</v>
      </c>
      <c r="BK68">
        <f t="shared" si="21"/>
        <v>649.11</v>
      </c>
      <c r="BL68">
        <f t="shared" si="22"/>
        <v>1707.09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0.9771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0.8861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3"/>
        <v>0.86580831</v>
      </c>
      <c r="BU68" s="24">
        <f t="shared" si="24"/>
        <v>0.0220824599999999</v>
      </c>
      <c r="BV68" s="24">
        <f>IF(VLOOKUP($R68,武学奇术!$A:$ZZ,22,FALSE)=1,0,(1-$BO68))*(1-$BR68)</f>
        <v>0.02080923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 s="37">
        <f>$L69*VLOOKUP($R69,武学奇术!$A:$ZZ,31,FALSE)</f>
        <v>44507.3601799095</v>
      </c>
      <c r="L69" s="37">
        <f t="shared" si="14"/>
        <v>44507.3601799095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46603.4652772229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35130.3329307246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23418.8267724738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20815.1847073738</v>
      </c>
      <c r="Q69" s="38">
        <v>1</v>
      </c>
      <c r="R69" s="39" t="s">
        <v>123</v>
      </c>
      <c r="S69" s="39" t="s">
        <v>87</v>
      </c>
      <c r="T69" s="39" t="s">
        <v>189</v>
      </c>
      <c r="U69" s="39" t="s">
        <v>89</v>
      </c>
      <c r="V69" s="39" t="s">
        <v>90</v>
      </c>
      <c r="W69" s="39" t="s">
        <v>91</v>
      </c>
      <c r="X69" s="39" t="s">
        <v>80</v>
      </c>
      <c r="Y69" s="39" t="s">
        <v>80</v>
      </c>
      <c r="Z69" s="39" t="s">
        <v>80</v>
      </c>
      <c r="AA69" s="39" t="s">
        <v>80</v>
      </c>
      <c r="AB69" s="39" t="s">
        <v>203</v>
      </c>
      <c r="AC69" s="39" t="s">
        <v>80</v>
      </c>
      <c r="AD69" s="39" t="s">
        <v>80</v>
      </c>
      <c r="AE69" s="39" t="s">
        <v>80</v>
      </c>
      <c r="AF69" s="39" t="s">
        <v>84</v>
      </c>
      <c r="AG69" s="39" t="s">
        <v>80</v>
      </c>
      <c r="AH69" s="39" t="s">
        <v>80</v>
      </c>
      <c r="AI69" s="39" t="s">
        <v>80</v>
      </c>
      <c r="AJ69" s="39" t="s">
        <v>80</v>
      </c>
      <c r="AK69" s="39" t="s">
        <v>80</v>
      </c>
      <c r="AL69" s="39" t="s">
        <v>80</v>
      </c>
      <c r="AM69" t="str">
        <f>VLOOKUP($R69,武学奇术!$A:$ZZ,25,FALSE)</f>
        <v>拳甲</v>
      </c>
      <c r="AN69" s="24">
        <f>VLOOKUP($R69,武学奇术!$A:$ZZ,26,FALSE)</f>
        <v>1.58662</v>
      </c>
      <c r="AO69" s="25">
        <f>VLOOKUP($R69,武学奇术!$A:$ZZ,27,FALSE)*(1+IF(OR($AM69=$F$4,$AM69=$F$5),$B$22,0))</f>
        <v>703.36</v>
      </c>
      <c r="AP69" s="24">
        <f>VLOOKUP($R69,武学奇术!$A:$ZZ,28,FALSE)</f>
        <v>2.37986</v>
      </c>
      <c r="AQ69" s="25">
        <f>VLOOKUP($R69,武学奇术!$A:$ZZ,29,FALSE)*(1+IF(OR($AM69=$F$4,$AM69=$F$5),$B$22,0))</f>
        <v>383.04</v>
      </c>
      <c r="AR69" s="24" cm="1">
        <f t="array" ref="AR69">$G$3+IFERROR(VLOOKUP($AM69,$F$4:$G$7,2,FALSE),0)+VLOOKUP($R69,武学奇术!$A:$ZZ,2,FALSE)+SUM(_xlfn.XLOOKUP($S69:$AL69,增益!$A:$A,增益!$B:$B,0))</f>
        <v>0.3443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4302.6</v>
      </c>
      <c r="AU69" cm="1">
        <f t="array" ref="AU69">$E$10*(1+$AS69)+VLOOKUP($R69,武学奇术!$A:$ZZ,4,FALSE)+SUM(_xlfn.XLOOKUP($S69:$AL69,增益!$A:$A,增益!$D:$D,0))-$I$2</f>
        <v>4302.6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0.2885</v>
      </c>
      <c r="AW69" s="31" cm="1">
        <f t="array" ref="AW69">$G$10+VLOOKUP($R69,武学奇术!$A:$ZZ,7,FALSE)+SUM(_xlfn.XLOOKUP($S69:$AL69,增益!$A:$A,增益!$G:$G,0))</f>
        <v>0.135</v>
      </c>
      <c r="AX69" s="24" cm="1">
        <f t="array" ref="AX69">VLOOKUP($R69,武学奇术!$A:$ZZ,8,FALSE)+SUM(_xlfn.XLOOKUP($S69:$AL69,增益!$A:$A,增益!$H:$H,0))</f>
        <v>0</v>
      </c>
      <c r="AY69">
        <f t="shared" si="15"/>
        <v>0</v>
      </c>
      <c r="AZ69">
        <f t="shared" si="16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</v>
      </c>
      <c r="BB69" s="31" cm="1">
        <f t="array" ref="BB69">$G$11+VLOOKUP($R69,武学奇术!$A:$ZZ,10,FALSE)+SUM(_xlfn.XLOOKUP($S69:$AL69,增益!$A:$A,增益!$J:$J,0))</f>
        <v>0.02</v>
      </c>
      <c r="BC69">
        <f t="shared" si="17"/>
        <v>0</v>
      </c>
      <c r="BD69">
        <f t="shared" si="18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</v>
      </c>
      <c r="BF69" s="31" cm="1">
        <f t="array" ref="BF69">$G$12+VLOOKUP($R69,武学奇术!$A:$ZZ,12,FALSE)+SUM(_xlfn.XLOOKUP($S69:$AL69,增益!$A:$A,增益!$L:$L,0))</f>
        <v>0.02</v>
      </c>
      <c r="BG69">
        <f t="shared" si="19"/>
        <v>0</v>
      </c>
      <c r="BH69">
        <f t="shared" si="20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</v>
      </c>
      <c r="BJ69" s="31" cm="1">
        <f t="array" ref="BJ69">$G$13+VLOOKUP($R69,武学奇术!$A:$ZZ,14,FALSE)+SUM(_xlfn.XLOOKUP($S69:$AL69,增益!$A:$A,增益!$N:$N,0))</f>
        <v>0.02</v>
      </c>
      <c r="BK69">
        <f t="shared" si="21"/>
        <v>649.11</v>
      </c>
      <c r="BL69">
        <f t="shared" si="22"/>
        <v>1707.09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0.9771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0.8861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3"/>
        <v>0.86580831</v>
      </c>
      <c r="BU69" s="24">
        <f t="shared" si="24"/>
        <v>0.0220824599999999</v>
      </c>
      <c r="BV69" s="24">
        <f>IF(VLOOKUP($R69,武学奇术!$A:$ZZ,22,FALSE)=1,0,(1-$BO69))*(1-$BR69)</f>
        <v>0.02080923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F70" s="4"/>
      <c r="G70" s="90"/>
      <c r="K70" s="37">
        <f>$L70*VLOOKUP($R70,武学奇术!$A:$ZZ,31,FALSE)</f>
        <v>30441.9340386972</v>
      </c>
      <c r="L70" s="37">
        <f t="shared" si="14"/>
        <v>30441.9340386972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31875.6990269227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24027.321815936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16017.9392095089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14237.8622590652</v>
      </c>
      <c r="Q70" s="38">
        <v>1</v>
      </c>
      <c r="R70" s="39" t="s">
        <v>126</v>
      </c>
      <c r="S70" s="39" t="s">
        <v>87</v>
      </c>
      <c r="T70" s="39" t="s">
        <v>189</v>
      </c>
      <c r="U70" s="39" t="s">
        <v>89</v>
      </c>
      <c r="V70" s="39" t="s">
        <v>90</v>
      </c>
      <c r="W70" s="39" t="s">
        <v>91</v>
      </c>
      <c r="X70" s="39" t="s">
        <v>80</v>
      </c>
      <c r="Y70" s="39" t="s">
        <v>80</v>
      </c>
      <c r="Z70" s="39" t="s">
        <v>80</v>
      </c>
      <c r="AA70" s="39" t="s">
        <v>80</v>
      </c>
      <c r="AB70" s="39" t="s">
        <v>203</v>
      </c>
      <c r="AC70" s="39" t="s">
        <v>80</v>
      </c>
      <c r="AD70" s="39" t="s">
        <v>80</v>
      </c>
      <c r="AE70" s="39" t="s">
        <v>80</v>
      </c>
      <c r="AF70" s="39" t="s">
        <v>84</v>
      </c>
      <c r="AG70" s="39" t="s">
        <v>80</v>
      </c>
      <c r="AH70" s="39" t="s">
        <v>80</v>
      </c>
      <c r="AI70" s="39" t="s">
        <v>80</v>
      </c>
      <c r="AJ70" s="39" t="s">
        <v>80</v>
      </c>
      <c r="AK70" s="39" t="s">
        <v>80</v>
      </c>
      <c r="AL70" s="39" t="s">
        <v>80</v>
      </c>
      <c r="AM70" t="str">
        <f>VLOOKUP($R70,武学奇术!$A:$ZZ,25,FALSE)</f>
        <v>拳甲</v>
      </c>
      <c r="AN70" s="24">
        <f>VLOOKUP($R70,武学奇术!$A:$ZZ,26,FALSE)</f>
        <v>1.08472</v>
      </c>
      <c r="AO70" s="25">
        <f>VLOOKUP($R70,武学奇术!$A:$ZZ,27,FALSE)*(1+IF(OR($AM70=$F$4,$AM70=$F$5),$B$22,0))</f>
        <v>483.84</v>
      </c>
      <c r="AP70" s="24">
        <f>VLOOKUP($R70,武学奇术!$A:$ZZ,28,FALSE)</f>
        <v>1.62708</v>
      </c>
      <c r="AQ70" s="25">
        <f>VLOOKUP($R70,武学奇术!$A:$ZZ,29,FALSE)*(1+IF(OR($AM70=$F$4,$AM70=$F$5),$B$22,0))</f>
        <v>262.08</v>
      </c>
      <c r="AR70" s="24" cm="1">
        <f t="array" ref="AR70">$G$3+IFERROR(VLOOKUP($AM70,$F$4:$G$7,2,FALSE),0)+VLOOKUP($R70,武学奇术!$A:$ZZ,2,FALSE)+SUM(_xlfn.XLOOKUP($S70:$AL70,增益!$A:$A,增益!$B:$B,0))</f>
        <v>0.3443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4302.6</v>
      </c>
      <c r="AU70" cm="1">
        <f t="array" ref="AU70">$E$10*(1+$AS70)+VLOOKUP($R70,武学奇术!$A:$ZZ,4,FALSE)+SUM(_xlfn.XLOOKUP($S70:$AL70,增益!$A:$A,增益!$D:$D,0))-$I$2</f>
        <v>4302.6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0.2885</v>
      </c>
      <c r="AW70" s="31" cm="1">
        <f t="array" ref="AW70">$G$10+VLOOKUP($R70,武学奇术!$A:$ZZ,7,FALSE)+SUM(_xlfn.XLOOKUP($S70:$AL70,增益!$A:$A,增益!$G:$G,0))</f>
        <v>0.135</v>
      </c>
      <c r="AX70" s="24" cm="1">
        <f t="array" ref="AX70">VLOOKUP($R70,武学奇术!$A:$ZZ,8,FALSE)+SUM(_xlfn.XLOOKUP($S70:$AL70,增益!$A:$A,增益!$H:$H,0))</f>
        <v>0</v>
      </c>
      <c r="AY70">
        <f t="shared" si="15"/>
        <v>0</v>
      </c>
      <c r="AZ70">
        <f t="shared" si="16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</v>
      </c>
      <c r="BB70" s="31" cm="1">
        <f t="array" ref="BB70">$G$11+VLOOKUP($R70,武学奇术!$A:$ZZ,10,FALSE)+SUM(_xlfn.XLOOKUP($S70:$AL70,增益!$A:$A,增益!$J:$J,0))</f>
        <v>0.02</v>
      </c>
      <c r="BC70">
        <f t="shared" si="17"/>
        <v>0</v>
      </c>
      <c r="BD70">
        <f t="shared" si="18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</v>
      </c>
      <c r="BF70" s="31" cm="1">
        <f t="array" ref="BF70">$G$12+VLOOKUP($R70,武学奇术!$A:$ZZ,12,FALSE)+SUM(_xlfn.XLOOKUP($S70:$AL70,增益!$A:$A,增益!$L:$L,0))</f>
        <v>0.02</v>
      </c>
      <c r="BG70">
        <f t="shared" si="19"/>
        <v>0</v>
      </c>
      <c r="BH70">
        <f t="shared" si="20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</v>
      </c>
      <c r="BJ70" s="31" cm="1">
        <f t="array" ref="BJ70">$G$13+VLOOKUP($R70,武学奇术!$A:$ZZ,14,FALSE)+SUM(_xlfn.XLOOKUP($S70:$AL70,增益!$A:$A,增益!$N:$N,0))</f>
        <v>0.02</v>
      </c>
      <c r="BK70">
        <f t="shared" si="21"/>
        <v>649.11</v>
      </c>
      <c r="BL70">
        <f t="shared" si="22"/>
        <v>1707.09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0.9771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0.8861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3"/>
        <v>0.86580831</v>
      </c>
      <c r="BU70" s="24">
        <f t="shared" si="24"/>
        <v>0.0220824599999999</v>
      </c>
      <c r="BV70" s="24">
        <f>IF(VLOOKUP($R70,武学奇术!$A:$ZZ,22,FALSE)=1,0,(1-$BO70))*(1-$BR70)</f>
        <v>0.02080923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K71" s="37">
        <f>$L71*VLOOKUP($R71,武学奇术!$A:$ZZ,31,FALSE)</f>
        <v>71283.7758671694</v>
      </c>
      <c r="L71" s="37">
        <f t="shared" si="14"/>
        <v>44552.3599169809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45993.7585129155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40149.33705062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26433.1945476526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23126.1394281793</v>
      </c>
      <c r="Q71" s="38">
        <v>1</v>
      </c>
      <c r="R71" s="39" t="s">
        <v>120</v>
      </c>
      <c r="S71" s="39" t="s">
        <v>97</v>
      </c>
      <c r="T71" s="39" t="s">
        <v>189</v>
      </c>
      <c r="U71" s="39" t="s">
        <v>89</v>
      </c>
      <c r="V71" s="39" t="s">
        <v>129</v>
      </c>
      <c r="W71" s="39" t="s">
        <v>91</v>
      </c>
      <c r="X71" s="39" t="s">
        <v>80</v>
      </c>
      <c r="Y71" s="39" t="s">
        <v>80</v>
      </c>
      <c r="Z71" s="39" t="s">
        <v>80</v>
      </c>
      <c r="AA71" s="39" t="s">
        <v>80</v>
      </c>
      <c r="AB71" s="39" t="s">
        <v>203</v>
      </c>
      <c r="AC71" s="39" t="s">
        <v>80</v>
      </c>
      <c r="AD71" s="39" t="s">
        <v>121</v>
      </c>
      <c r="AE71" s="39" t="s">
        <v>80</v>
      </c>
      <c r="AF71" s="39" t="s">
        <v>84</v>
      </c>
      <c r="AG71" s="39" t="s">
        <v>212</v>
      </c>
      <c r="AH71" s="39" t="s">
        <v>80</v>
      </c>
      <c r="AI71" s="39" t="s">
        <v>80</v>
      </c>
      <c r="AJ71" s="39" t="s">
        <v>80</v>
      </c>
      <c r="AK71" s="39" t="s">
        <v>80</v>
      </c>
      <c r="AL71" s="39" t="s">
        <v>80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0.4543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4302.6</v>
      </c>
      <c r="AU71" cm="1">
        <f t="array" ref="AU71">$E$10*(1+$AS71)+VLOOKUP($R71,武学奇术!$A:$ZZ,4,FALSE)+SUM(_xlfn.XLOOKUP($S71:$AL71,增益!$A:$A,增益!$D:$D,0))-$I$2</f>
        <v>4302.6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0.2985</v>
      </c>
      <c r="AW71" s="31" cm="1">
        <f t="array" ref="AW71">$G$10+VLOOKUP($R71,武学奇术!$A:$ZZ,7,FALSE)+SUM(_xlfn.XLOOKUP($S71:$AL71,增益!$A:$A,增益!$G:$G,0))</f>
        <v>0.135</v>
      </c>
      <c r="AX71" s="24" cm="1">
        <f t="array" ref="AX71">VLOOKUP($R71,武学奇术!$A:$ZZ,8,FALSE)+SUM(_xlfn.XLOOKUP($S71:$AL71,增益!$A:$A,增益!$H:$H,0))</f>
        <v>0</v>
      </c>
      <c r="AY71">
        <f t="shared" si="15"/>
        <v>0</v>
      </c>
      <c r="AZ71">
        <f t="shared" si="16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</v>
      </c>
      <c r="BB71" s="31" cm="1">
        <f t="array" ref="BB71">$G$11+VLOOKUP($R71,武学奇术!$A:$ZZ,10,FALSE)+SUM(_xlfn.XLOOKUP($S71:$AL71,增益!$A:$A,增益!$J:$J,0))</f>
        <v>0.02</v>
      </c>
      <c r="BC71">
        <f t="shared" si="17"/>
        <v>0</v>
      </c>
      <c r="BD71">
        <f t="shared" si="18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</v>
      </c>
      <c r="BF71" s="31" cm="1">
        <f t="array" ref="BF71">$G$12+VLOOKUP($R71,武学奇术!$A:$ZZ,12,FALSE)+SUM(_xlfn.XLOOKUP($S71:$AL71,增益!$A:$A,增益!$L:$L,0))</f>
        <v>0.02</v>
      </c>
      <c r="BG71">
        <f t="shared" si="19"/>
        <v>0</v>
      </c>
      <c r="BH71">
        <f t="shared" si="20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</v>
      </c>
      <c r="BJ71" s="31" cm="1">
        <f t="array" ref="BJ71">$G$13+VLOOKUP($R71,武学奇术!$A:$ZZ,14,FALSE)+SUM(_xlfn.XLOOKUP($S71:$AL71,增益!$A:$A,增益!$N:$N,0))</f>
        <v>0.02</v>
      </c>
      <c r="BK71">
        <f t="shared" si="21"/>
        <v>649.11</v>
      </c>
      <c r="BL71">
        <f t="shared" si="22"/>
        <v>1707.09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0.9771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0.8861</v>
      </c>
      <c r="BQ71" s="24" cm="1">
        <f t="array" ref="BQ71">1+$B$13+VLOOKUP($R71,武学奇术!$A:$ZZ,18,FALSE)+SUM(_xlfn.XLOOKUP($S71:$AL71,增益!$A:$A,增益!$R:$R,0))</f>
        <v>1.74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3"/>
        <v>0.86580831</v>
      </c>
      <c r="BU71" s="24">
        <f t="shared" si="24"/>
        <v>0.0220824599999999</v>
      </c>
      <c r="BV71" s="24">
        <f>IF(VLOOKUP($R71,武学奇术!$A:$ZZ,22,FALSE)=1,0,(1-$BO71))*(1-$BR71)</f>
        <v>0.02080923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s="4"/>
      <c r="B72" s="4"/>
      <c r="F72" s="4"/>
      <c r="G72" s="90"/>
      <c r="K72" s="37">
        <f>$L72*VLOOKUP($R72,武学奇术!$A:$ZZ,31,FALSE)</f>
        <v>332612.404730081</v>
      </c>
      <c r="L72" s="37">
        <f t="shared" si="14"/>
        <v>332612.404730081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348674.573434872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256254.772441941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170918.908546506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152019.467136018</v>
      </c>
      <c r="Q72" s="38">
        <v>1</v>
      </c>
      <c r="R72" s="39" t="s">
        <v>132</v>
      </c>
      <c r="S72" s="39" t="s">
        <v>97</v>
      </c>
      <c r="T72" s="39" t="s">
        <v>189</v>
      </c>
      <c r="U72" s="39" t="s">
        <v>89</v>
      </c>
      <c r="V72" s="39" t="s">
        <v>129</v>
      </c>
      <c r="W72" s="39" t="s">
        <v>91</v>
      </c>
      <c r="X72" s="39" t="s">
        <v>80</v>
      </c>
      <c r="Y72" s="39" t="s">
        <v>80</v>
      </c>
      <c r="Z72" s="39" t="s">
        <v>80</v>
      </c>
      <c r="AA72" s="39" t="s">
        <v>80</v>
      </c>
      <c r="AB72" s="39" t="s">
        <v>203</v>
      </c>
      <c r="AC72" s="39" t="s">
        <v>80</v>
      </c>
      <c r="AD72" s="39" t="s">
        <v>121</v>
      </c>
      <c r="AE72" s="39" t="s">
        <v>80</v>
      </c>
      <c r="AF72" s="39" t="s">
        <v>84</v>
      </c>
      <c r="AG72" s="39" t="s">
        <v>212</v>
      </c>
      <c r="AH72" s="39" t="s">
        <v>80</v>
      </c>
      <c r="AI72" s="39" t="s">
        <v>80</v>
      </c>
      <c r="AJ72" s="39" t="s">
        <v>80</v>
      </c>
      <c r="AK72" s="39" t="s">
        <v>80</v>
      </c>
      <c r="AL72" s="39" t="s">
        <v>80</v>
      </c>
      <c r="AM72" t="str">
        <f>VLOOKUP($R72,武学奇术!$A:$ZZ,25,FALSE)</f>
        <v>拳甲</v>
      </c>
      <c r="AN72" s="24">
        <f>VLOOKUP($R72,武学奇术!$A:$ZZ,26,FALSE)</f>
        <v>7.79674</v>
      </c>
      <c r="AO72" s="25">
        <f>VLOOKUP($R72,武学奇术!$A:$ZZ,27,FALSE)*(1+IF(OR($AM72=$F$4,$AM72=$F$5),$B$22,0))</f>
        <v>3458.56</v>
      </c>
      <c r="AP72" s="24">
        <f>VLOOKUP($R72,武学奇术!$A:$ZZ,28,FALSE)</f>
        <v>11.69518</v>
      </c>
      <c r="AQ72" s="25">
        <f>VLOOKUP($R72,武学奇术!$A:$ZZ,29,FALSE)*(1+IF(OR($AM72=$F$4,$AM72=$F$5),$B$22,0))</f>
        <v>1881.6</v>
      </c>
      <c r="AR72" s="24" cm="1">
        <f t="array" ref="AR72">$G$3+IFERROR(VLOOKUP($AM72,$F$4:$G$7,2,FALSE),0)+VLOOKUP($R72,武学奇术!$A:$ZZ,2,FALSE)+SUM(_xlfn.XLOOKUP($S72:$AL72,增益!$A:$A,增益!$B:$B,0))</f>
        <v>0.5043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4302.6</v>
      </c>
      <c r="AU72" cm="1">
        <f t="array" ref="AU72">$E$10*(1+$AS72)+VLOOKUP($R72,武学奇术!$A:$ZZ,4,FALSE)+SUM(_xlfn.XLOOKUP($S72:$AL72,增益!$A:$A,增益!$D:$D,0))-$I$2</f>
        <v>4302.6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0.2985</v>
      </c>
      <c r="AW72" s="31" cm="1">
        <f t="array" ref="AW72">$G$10+VLOOKUP($R72,武学奇术!$A:$ZZ,7,FALSE)+SUM(_xlfn.XLOOKUP($S72:$AL72,增益!$A:$A,增益!$G:$G,0))</f>
        <v>0.135</v>
      </c>
      <c r="AX72" s="24" cm="1">
        <f t="array" ref="AX72">VLOOKUP($R72,武学奇术!$A:$ZZ,8,FALSE)+SUM(_xlfn.XLOOKUP($S72:$AL72,增益!$A:$A,增益!$H:$H,0))</f>
        <v>0</v>
      </c>
      <c r="AY72">
        <f t="shared" si="15"/>
        <v>0</v>
      </c>
      <c r="AZ72">
        <f t="shared" si="16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</v>
      </c>
      <c r="BB72" s="31" cm="1">
        <f t="array" ref="BB72">$G$11+VLOOKUP($R72,武学奇术!$A:$ZZ,10,FALSE)+SUM(_xlfn.XLOOKUP($S72:$AL72,增益!$A:$A,增益!$J:$J,0))</f>
        <v>0.02</v>
      </c>
      <c r="BC72">
        <f t="shared" si="17"/>
        <v>0</v>
      </c>
      <c r="BD72">
        <f t="shared" si="18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</v>
      </c>
      <c r="BF72" s="31" cm="1">
        <f t="array" ref="BF72">$G$12+VLOOKUP($R72,武学奇术!$A:$ZZ,12,FALSE)+SUM(_xlfn.XLOOKUP($S72:$AL72,增益!$A:$A,增益!$L:$L,0))</f>
        <v>0.02</v>
      </c>
      <c r="BG72">
        <f t="shared" si="19"/>
        <v>0</v>
      </c>
      <c r="BH72">
        <f t="shared" si="20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</v>
      </c>
      <c r="BJ72" s="31" cm="1">
        <f t="array" ref="BJ72">$G$13+VLOOKUP($R72,武学奇术!$A:$ZZ,14,FALSE)+SUM(_xlfn.XLOOKUP($S72:$AL72,增益!$A:$A,增益!$N:$N,0))</f>
        <v>0.02</v>
      </c>
      <c r="BK72">
        <f t="shared" si="21"/>
        <v>649.11</v>
      </c>
      <c r="BL72">
        <f t="shared" si="22"/>
        <v>1707.09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0.9771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0.8861</v>
      </c>
      <c r="BQ72" s="24" cm="1">
        <f t="array" ref="BQ72">1+$B$13+VLOOKUP($R72,武学奇术!$A:$ZZ,18,FALSE)+SUM(_xlfn.XLOOKUP($S72:$AL72,增益!$A:$A,增益!$R:$R,0))</f>
        <v>2.04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3"/>
        <v>0.86580831</v>
      </c>
      <c r="BU72" s="24">
        <f t="shared" si="24"/>
        <v>0.0428916899999999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/>
      <c r="B73" s="90"/>
      <c r="K73" s="37">
        <f>$L73*VLOOKUP($R73,武学奇术!$A:$ZZ,31,FALSE)</f>
        <v>336624.255309943</v>
      </c>
      <c r="L73" s="37">
        <f t="shared" si="14"/>
        <v>336624.255309943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352893.474074626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259216.300743868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172986.997095405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153961.919565722</v>
      </c>
      <c r="Q73" s="38">
        <v>1</v>
      </c>
      <c r="R73" s="39" t="s">
        <v>132</v>
      </c>
      <c r="S73" s="39" t="s">
        <v>103</v>
      </c>
      <c r="T73" s="39" t="s">
        <v>189</v>
      </c>
      <c r="U73" s="39" t="s">
        <v>89</v>
      </c>
      <c r="V73" s="39" t="s">
        <v>129</v>
      </c>
      <c r="W73" s="39" t="s">
        <v>91</v>
      </c>
      <c r="X73" s="39" t="s">
        <v>80</v>
      </c>
      <c r="Y73" s="39" t="s">
        <v>80</v>
      </c>
      <c r="Z73" s="39" t="s">
        <v>80</v>
      </c>
      <c r="AA73" s="39" t="s">
        <v>80</v>
      </c>
      <c r="AB73" s="39" t="s">
        <v>203</v>
      </c>
      <c r="AC73" s="39" t="s">
        <v>80</v>
      </c>
      <c r="AD73" s="39" t="s">
        <v>121</v>
      </c>
      <c r="AE73" s="39" t="s">
        <v>80</v>
      </c>
      <c r="AF73" s="39" t="s">
        <v>84</v>
      </c>
      <c r="AG73" s="39" t="s">
        <v>212</v>
      </c>
      <c r="AH73" s="39" t="s">
        <v>80</v>
      </c>
      <c r="AI73" s="39" t="s">
        <v>80</v>
      </c>
      <c r="AJ73" s="39" t="s">
        <v>80</v>
      </c>
      <c r="AK73" s="39" t="s">
        <v>80</v>
      </c>
      <c r="AL73" s="39" t="s">
        <v>80</v>
      </c>
      <c r="AM73" t="str">
        <f>VLOOKUP($R73,武学奇术!$A:$ZZ,25,FALSE)</f>
        <v>拳甲</v>
      </c>
      <c r="AN73" s="24">
        <f>VLOOKUP($R73,武学奇术!$A:$ZZ,26,FALSE)</f>
        <v>7.79674</v>
      </c>
      <c r="AO73" s="25">
        <f>VLOOKUP($R73,武学奇术!$A:$ZZ,27,FALSE)*(1+IF(OR($AM73=$F$4,$AM73=$F$5),$B$22,0))</f>
        <v>3458.56</v>
      </c>
      <c r="AP73" s="24">
        <f>VLOOKUP($R73,武学奇术!$A:$ZZ,28,FALSE)</f>
        <v>11.69518</v>
      </c>
      <c r="AQ73" s="25">
        <f>VLOOKUP($R73,武学奇术!$A:$ZZ,29,FALSE)*(1+IF(OR($AM73=$F$4,$AM73=$F$5),$B$22,0))</f>
        <v>1881.6</v>
      </c>
      <c r="AR73" s="24" cm="1">
        <f t="array" ref="AR73">$G$3+IFERROR(VLOOKUP($AM73,$F$4:$G$7,2,FALSE),0)+VLOOKUP($R73,武学奇术!$A:$ZZ,2,FALSE)+SUM(_xlfn.XLOOKUP($S73:$AL73,增益!$A:$A,增益!$B:$B,0))</f>
        <v>0.5143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4302.6</v>
      </c>
      <c r="AU73" cm="1">
        <f t="array" ref="AU73">$E$10*(1+$AS73)+VLOOKUP($R73,武学奇术!$A:$ZZ,4,FALSE)+SUM(_xlfn.XLOOKUP($S73:$AL73,增益!$A:$A,增益!$D:$D,0))-$I$2</f>
        <v>4302.6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0.3085</v>
      </c>
      <c r="AW73" s="31" cm="1">
        <f t="array" ref="AW73">$G$10+VLOOKUP($R73,武学奇术!$A:$ZZ,7,FALSE)+SUM(_xlfn.XLOOKUP($S73:$AL73,增益!$A:$A,增益!$G:$G,0))</f>
        <v>0.135</v>
      </c>
      <c r="AX73" s="24" cm="1">
        <f t="array" ref="AX73">VLOOKUP($R73,武学奇术!$A:$ZZ,8,FALSE)+SUM(_xlfn.XLOOKUP($S73:$AL73,增益!$A:$A,增益!$H:$H,0))</f>
        <v>0</v>
      </c>
      <c r="AY73">
        <f t="shared" si="15"/>
        <v>0</v>
      </c>
      <c r="AZ73">
        <f t="shared" si="16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</v>
      </c>
      <c r="BB73" s="31" cm="1">
        <f t="array" ref="BB73">$G$11+VLOOKUP($R73,武学奇术!$A:$ZZ,10,FALSE)+SUM(_xlfn.XLOOKUP($S73:$AL73,增益!$A:$A,增益!$J:$J,0))</f>
        <v>0.02</v>
      </c>
      <c r="BC73">
        <f t="shared" si="17"/>
        <v>0</v>
      </c>
      <c r="BD73">
        <f t="shared" si="18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</v>
      </c>
      <c r="BF73" s="31" cm="1">
        <f t="array" ref="BF73">$G$12+VLOOKUP($R73,武学奇术!$A:$ZZ,12,FALSE)+SUM(_xlfn.XLOOKUP($S73:$AL73,增益!$A:$A,增益!$L:$L,0))</f>
        <v>0.02</v>
      </c>
      <c r="BG73">
        <f t="shared" si="19"/>
        <v>0</v>
      </c>
      <c r="BH73">
        <f t="shared" si="20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</v>
      </c>
      <c r="BJ73" s="31" cm="1">
        <f t="array" ref="BJ73">$G$13+VLOOKUP($R73,武学奇术!$A:$ZZ,14,FALSE)+SUM(_xlfn.XLOOKUP($S73:$AL73,增益!$A:$A,增益!$N:$N,0))</f>
        <v>0.02</v>
      </c>
      <c r="BK73">
        <f t="shared" si="21"/>
        <v>649.11</v>
      </c>
      <c r="BL73">
        <f t="shared" si="22"/>
        <v>1707.09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</v>
      </c>
      <c r="BN73" s="31" cm="1">
        <f t="array" ref="BN73">$G$14+VLOOKUP($R73,武学奇术!$A:$ZZ,16,FALSE)+SUM(_xlfn.XLOOKUP($S73:$AL73,增益!$A:$A,增益!$P:$P,0))</f>
        <v>0.26</v>
      </c>
      <c r="BO73" s="24">
        <f>MIN(IF(VLOOKUP($R73,武学奇术!$A:$ZZ,23,FALSE)=1,100%,$B$8),100%)</f>
        <v>0.9771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0.8861</v>
      </c>
      <c r="BQ73" s="24" cm="1">
        <f t="array" ref="BQ73">1+$B$13+VLOOKUP($R73,武学奇术!$A:$ZZ,18,FALSE)+SUM(_xlfn.XLOOKUP($S73:$AL73,增益!$A:$A,增益!$R:$R,0))</f>
        <v>2.04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3"/>
        <v>0.86580831</v>
      </c>
      <c r="BU73" s="24">
        <f t="shared" si="24"/>
        <v>0.0428916899999999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F74" s="4"/>
      <c r="G74" s="90"/>
      <c r="K74" s="37">
        <f>$L74*VLOOKUP($R74,武学奇术!$A:$ZZ,31,FALSE)</f>
        <v>340659.889459384</v>
      </c>
      <c r="L74" s="37">
        <f t="shared" si="14"/>
        <v>340659.889459384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357137.482658571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262194.444597098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175067.393460084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155916.679811206</v>
      </c>
      <c r="Q74" s="38">
        <v>1</v>
      </c>
      <c r="R74" s="39" t="s">
        <v>132</v>
      </c>
      <c r="S74" s="39" t="s">
        <v>106</v>
      </c>
      <c r="T74" s="39" t="s">
        <v>189</v>
      </c>
      <c r="U74" s="39" t="s">
        <v>89</v>
      </c>
      <c r="V74" s="39" t="s">
        <v>129</v>
      </c>
      <c r="W74" s="39" t="s">
        <v>91</v>
      </c>
      <c r="X74" s="39" t="s">
        <v>80</v>
      </c>
      <c r="Y74" s="39" t="s">
        <v>80</v>
      </c>
      <c r="Z74" s="39" t="s">
        <v>80</v>
      </c>
      <c r="AA74" s="39" t="s">
        <v>80</v>
      </c>
      <c r="AB74" s="39" t="s">
        <v>203</v>
      </c>
      <c r="AC74" s="39" t="s">
        <v>80</v>
      </c>
      <c r="AD74" s="39" t="s">
        <v>80</v>
      </c>
      <c r="AE74" s="39" t="s">
        <v>80</v>
      </c>
      <c r="AF74" s="39" t="s">
        <v>84</v>
      </c>
      <c r="AG74" s="39" t="s">
        <v>212</v>
      </c>
      <c r="AH74" s="39" t="s">
        <v>80</v>
      </c>
      <c r="AI74" s="39" t="s">
        <v>80</v>
      </c>
      <c r="AJ74" s="39" t="s">
        <v>80</v>
      </c>
      <c r="AK74" s="39" t="s">
        <v>80</v>
      </c>
      <c r="AL74" s="39" t="s">
        <v>80</v>
      </c>
      <c r="AM74" t="str">
        <f>VLOOKUP($R74,武学奇术!$A:$ZZ,25,FALSE)</f>
        <v>拳甲</v>
      </c>
      <c r="AN74" s="24">
        <f>VLOOKUP($R74,武学奇术!$A:$ZZ,26,FALSE)</f>
        <v>7.79674</v>
      </c>
      <c r="AO74" s="25">
        <f>VLOOKUP($R74,武学奇术!$A:$ZZ,27,FALSE)*(1+IF(OR($AM74=$F$4,$AM74=$F$5),$B$22,0))</f>
        <v>3458.56</v>
      </c>
      <c r="AP74" s="24">
        <f>VLOOKUP($R74,武学奇术!$A:$ZZ,28,FALSE)</f>
        <v>11.69518</v>
      </c>
      <c r="AQ74" s="25">
        <f>VLOOKUP($R74,武学奇术!$A:$ZZ,29,FALSE)*(1+IF(OR($AM74=$F$4,$AM74=$F$5),$B$22,0))</f>
        <v>1881.6</v>
      </c>
      <c r="AR74" s="24" cm="1">
        <f t="array" ref="AR74">$G$3+IFERROR(VLOOKUP($AM74,$F$4:$G$7,2,FALSE),0)+VLOOKUP($R74,武学奇术!$A:$ZZ,2,FALSE)+SUM(_xlfn.XLOOKUP($S74:$AL74,增益!$A:$A,增益!$B:$B,0))</f>
        <v>0.5243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4302.6</v>
      </c>
      <c r="AU74" cm="1">
        <f t="array" ref="AU74">$E$10*(1+$AS74)+VLOOKUP($R74,武学奇术!$A:$ZZ,4,FALSE)+SUM(_xlfn.XLOOKUP($S74:$AL74,增益!$A:$A,增益!$D:$D,0))-$I$2</f>
        <v>4302.6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0.3185</v>
      </c>
      <c r="AW74" s="31" cm="1">
        <f t="array" ref="AW74">$G$10+VLOOKUP($R74,武学奇术!$A:$ZZ,7,FALSE)+SUM(_xlfn.XLOOKUP($S74:$AL74,增益!$A:$A,增益!$G:$G,0))</f>
        <v>0.135</v>
      </c>
      <c r="AX74" s="24" cm="1">
        <f t="array" ref="AX74">VLOOKUP($R74,武学奇术!$A:$ZZ,8,FALSE)+SUM(_xlfn.XLOOKUP($S74:$AL74,增益!$A:$A,增益!$H:$H,0))</f>
        <v>0</v>
      </c>
      <c r="AY74">
        <f t="shared" si="15"/>
        <v>0</v>
      </c>
      <c r="AZ74">
        <f t="shared" si="16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</v>
      </c>
      <c r="BB74" s="31" cm="1">
        <f t="array" ref="BB74">$G$11+VLOOKUP($R74,武学奇术!$A:$ZZ,10,FALSE)+SUM(_xlfn.XLOOKUP($S74:$AL74,增益!$A:$A,增益!$J:$J,0))</f>
        <v>0.02</v>
      </c>
      <c r="BC74">
        <f t="shared" si="17"/>
        <v>0</v>
      </c>
      <c r="BD74">
        <f t="shared" si="18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</v>
      </c>
      <c r="BF74" s="31" cm="1">
        <f t="array" ref="BF74">$G$12+VLOOKUP($R74,武学奇术!$A:$ZZ,12,FALSE)+SUM(_xlfn.XLOOKUP($S74:$AL74,增益!$A:$A,增益!$L:$L,0))</f>
        <v>0.02</v>
      </c>
      <c r="BG74">
        <f t="shared" si="19"/>
        <v>0</v>
      </c>
      <c r="BH74">
        <f t="shared" si="20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</v>
      </c>
      <c r="BJ74" s="31" cm="1">
        <f t="array" ref="BJ74">$G$13+VLOOKUP($R74,武学奇术!$A:$ZZ,14,FALSE)+SUM(_xlfn.XLOOKUP($S74:$AL74,增益!$A:$A,增益!$N:$N,0))</f>
        <v>0.02</v>
      </c>
      <c r="BK74">
        <f t="shared" si="21"/>
        <v>649.11</v>
      </c>
      <c r="BL74">
        <f t="shared" si="22"/>
        <v>1707.09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0.9771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0.8861</v>
      </c>
      <c r="BQ74" s="24" cm="1">
        <f t="array" ref="BQ74">1+$B$13+VLOOKUP($R74,武学奇术!$A:$ZZ,18,FALSE)+SUM(_xlfn.XLOOKUP($S74:$AL74,增益!$A:$A,增益!$R:$R,0))</f>
        <v>2.04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3"/>
        <v>0.86580831</v>
      </c>
      <c r="BU74" s="24">
        <f t="shared" si="24"/>
        <v>0.0428916899999999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/>
      <c r="B75" s="90"/>
      <c r="F75" s="4"/>
      <c r="G75" s="4"/>
      <c r="K75" s="37">
        <f>$L75*VLOOKUP($R75,武学奇术!$A:$ZZ,31,FALSE)</f>
        <v>187074.850664599</v>
      </c>
      <c r="L75" s="37">
        <f t="shared" si="14"/>
        <v>187074.850664599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196123.240338104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143988.630140527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96138.8433029923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85619.4420574457</v>
      </c>
      <c r="Q75" s="38">
        <v>1</v>
      </c>
      <c r="R75" s="39" t="s">
        <v>156</v>
      </c>
      <c r="S75" s="39" t="s">
        <v>106</v>
      </c>
      <c r="T75" s="39" t="s">
        <v>189</v>
      </c>
      <c r="U75" s="39" t="s">
        <v>89</v>
      </c>
      <c r="V75" s="39" t="s">
        <v>129</v>
      </c>
      <c r="W75" s="39" t="s">
        <v>91</v>
      </c>
      <c r="X75" s="39" t="s">
        <v>80</v>
      </c>
      <c r="Y75" s="39" t="s">
        <v>80</v>
      </c>
      <c r="Z75" s="39" t="s">
        <v>80</v>
      </c>
      <c r="AA75" s="39" t="s">
        <v>80</v>
      </c>
      <c r="AB75" s="39" t="s">
        <v>203</v>
      </c>
      <c r="AC75" s="39" t="s">
        <v>80</v>
      </c>
      <c r="AD75" s="39" t="s">
        <v>80</v>
      </c>
      <c r="AE75" s="39" t="s">
        <v>80</v>
      </c>
      <c r="AF75" s="39" t="s">
        <v>84</v>
      </c>
      <c r="AG75" s="39" t="s">
        <v>212</v>
      </c>
      <c r="AH75" s="39" t="s">
        <v>80</v>
      </c>
      <c r="AI75" s="39" t="s">
        <v>80</v>
      </c>
      <c r="AJ75" s="39" t="s">
        <v>80</v>
      </c>
      <c r="AK75" s="39" t="s">
        <v>80</v>
      </c>
      <c r="AL75" s="39" t="s">
        <v>80</v>
      </c>
      <c r="AM75" t="str">
        <f>VLOOKUP($R75,武学奇术!$A:$ZZ,25,FALSE)</f>
        <v>双刀</v>
      </c>
      <c r="AN75" s="24">
        <f>VLOOKUP($R75,武学奇术!$A:$ZZ,26,FALSE)</f>
        <v>4.28274</v>
      </c>
      <c r="AO75" s="25">
        <f>VLOOKUP($R75,武学奇术!$A:$ZZ,27,FALSE)*(1+IF(OR($AM75=$F$4,$AM75=$F$5),$B$22,0))</f>
        <v>1895.04</v>
      </c>
      <c r="AP75" s="24">
        <f>VLOOKUP($R75,武学奇术!$A:$ZZ,28,FALSE)</f>
        <v>6.42411</v>
      </c>
      <c r="AQ75" s="25">
        <f>VLOOKUP($R75,武学奇术!$A:$ZZ,29,FALSE)*(1+IF(OR($AM75=$F$4,$AM75=$F$5),$B$22,0))</f>
        <v>1031.52</v>
      </c>
      <c r="AR75" s="24" cm="1">
        <f t="array" ref="AR75">$G$3+IFERROR(VLOOKUP($AM75,$F$4:$G$7,2,FALSE),0)+VLOOKUP($R75,武学奇术!$A:$ZZ,2,FALSE)+SUM(_xlfn.XLOOKUP($S75:$AL75,增益!$A:$A,增益!$B:$B,0))</f>
        <v>0.5243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4302.6</v>
      </c>
      <c r="AU75" cm="1">
        <f t="array" ref="AU75">$E$10*(1+$AS75)+VLOOKUP($R75,武学奇术!$A:$ZZ,4,FALSE)+SUM(_xlfn.XLOOKUP($S75:$AL75,增益!$A:$A,增益!$D:$D,0))-$I$2</f>
        <v>4302.6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0.3185</v>
      </c>
      <c r="AW75" s="31" cm="1">
        <f t="array" ref="AW75">$G$10+VLOOKUP($R75,武学奇术!$A:$ZZ,7,FALSE)+SUM(_xlfn.XLOOKUP($S75:$AL75,增益!$A:$A,增益!$G:$G,0))</f>
        <v>0.135</v>
      </c>
      <c r="AX75" s="24" cm="1">
        <f t="array" ref="AX75">VLOOKUP($R75,武学奇术!$A:$ZZ,8,FALSE)+SUM(_xlfn.XLOOKUP($S75:$AL75,增益!$A:$A,增益!$H:$H,0))</f>
        <v>0</v>
      </c>
      <c r="AY75">
        <f t="shared" si="15"/>
        <v>0</v>
      </c>
      <c r="AZ75">
        <f t="shared" si="16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</v>
      </c>
      <c r="BB75" s="31" cm="1">
        <f t="array" ref="BB75">$G$11+VLOOKUP($R75,武学奇术!$A:$ZZ,10,FALSE)+SUM(_xlfn.XLOOKUP($S75:$AL75,增益!$A:$A,增益!$J:$J,0))</f>
        <v>0.02</v>
      </c>
      <c r="BC75">
        <f t="shared" si="17"/>
        <v>0</v>
      </c>
      <c r="BD75">
        <f t="shared" si="18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</v>
      </c>
      <c r="BF75" s="31" cm="1">
        <f t="array" ref="BF75">$G$12+VLOOKUP($R75,武学奇术!$A:$ZZ,12,FALSE)+SUM(_xlfn.XLOOKUP($S75:$AL75,增益!$A:$A,增益!$L:$L,0))</f>
        <v>0.02</v>
      </c>
      <c r="BG75">
        <f t="shared" si="19"/>
        <v>0</v>
      </c>
      <c r="BH75">
        <f t="shared" si="20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</v>
      </c>
      <c r="BJ75" s="31" cm="1">
        <f t="array" ref="BJ75">$G$13+VLOOKUP($R75,武学奇术!$A:$ZZ,14,FALSE)+SUM(_xlfn.XLOOKUP($S75:$AL75,增益!$A:$A,增益!$N:$N,0))</f>
        <v>0.02</v>
      </c>
      <c r="BK75">
        <f t="shared" si="21"/>
        <v>649.11</v>
      </c>
      <c r="BL75">
        <f t="shared" si="22"/>
        <v>1707.09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0.9771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0.8861</v>
      </c>
      <c r="BQ75" s="24" cm="1">
        <f t="array" ref="BQ75">1+$B$13+VLOOKUP($R75,武学奇术!$A:$ZZ,18,FALSE)+SUM(_xlfn.XLOOKUP($S75:$AL75,增益!$A:$A,增益!$R:$R,0))</f>
        <v>2.04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3"/>
        <v>0.86580831</v>
      </c>
      <c r="BU75" s="24">
        <f t="shared" si="24"/>
        <v>0.0428916899999999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F76" s="4"/>
      <c r="G76" s="4"/>
      <c r="K76" s="37">
        <f>$L76*VLOOKUP($R76,武学奇术!$A:$ZZ,31,FALSE)</f>
        <v>249386.847931663</v>
      </c>
      <c r="L76" s="37">
        <f t="shared" si="14"/>
        <v>249386.847931663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261448.969047096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191950.765435604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128161.259336812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114136.766499102</v>
      </c>
      <c r="Q76" s="38">
        <v>1</v>
      </c>
      <c r="R76" s="39" t="s">
        <v>162</v>
      </c>
      <c r="S76" s="39" t="s">
        <v>106</v>
      </c>
      <c r="T76" s="39" t="s">
        <v>189</v>
      </c>
      <c r="U76" s="39" t="s">
        <v>89</v>
      </c>
      <c r="V76" s="39" t="s">
        <v>129</v>
      </c>
      <c r="W76" s="39" t="s">
        <v>91</v>
      </c>
      <c r="X76" s="39" t="s">
        <v>80</v>
      </c>
      <c r="Y76" s="39" t="s">
        <v>80</v>
      </c>
      <c r="Z76" s="39" t="s">
        <v>80</v>
      </c>
      <c r="AA76" s="39" t="s">
        <v>80</v>
      </c>
      <c r="AB76" s="39" t="s">
        <v>203</v>
      </c>
      <c r="AC76" s="39" t="s">
        <v>80</v>
      </c>
      <c r="AD76" s="39" t="s">
        <v>80</v>
      </c>
      <c r="AE76" s="39" t="s">
        <v>80</v>
      </c>
      <c r="AF76" s="39" t="s">
        <v>84</v>
      </c>
      <c r="AG76" s="39" t="s">
        <v>212</v>
      </c>
      <c r="AH76" s="39" t="s">
        <v>80</v>
      </c>
      <c r="AI76" s="39" t="s">
        <v>80</v>
      </c>
      <c r="AJ76" s="39" t="s">
        <v>80</v>
      </c>
      <c r="AK76" s="39" t="s">
        <v>80</v>
      </c>
      <c r="AL76" s="39" t="s">
        <v>80</v>
      </c>
      <c r="AM76" t="str">
        <f>VLOOKUP($R76,武学奇术!$A:$ZZ,25,FALSE)</f>
        <v>双刀</v>
      </c>
      <c r="AN76" s="24">
        <f>VLOOKUP($R76,武学奇术!$A:$ZZ,26,FALSE)</f>
        <v>5.71032</v>
      </c>
      <c r="AO76" s="25">
        <f>VLOOKUP($R76,武学奇术!$A:$ZZ,27,FALSE)*(1+IF(OR($AM76=$F$4,$AM76=$F$5),$B$22,0))</f>
        <v>2526.72</v>
      </c>
      <c r="AP76" s="24">
        <f>VLOOKUP($R76,武学奇术!$A:$ZZ,28,FALSE)</f>
        <v>8.56464</v>
      </c>
      <c r="AQ76" s="25">
        <f>VLOOKUP($R76,武学奇术!$A:$ZZ,29,FALSE)*(1+IF(OR($AM76=$F$4,$AM76=$F$5),$B$22,0))</f>
        <v>1370.88</v>
      </c>
      <c r="AR76" s="24" cm="1">
        <f t="array" ref="AR76">$G$3+IFERROR(VLOOKUP($AM76,$F$4:$G$7,2,FALSE),0)+VLOOKUP($R76,武学奇术!$A:$ZZ,2,FALSE)+SUM(_xlfn.XLOOKUP($S76:$AL76,增益!$A:$A,增益!$B:$B,0))</f>
        <v>0.5243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4302.6</v>
      </c>
      <c r="AU76" cm="1">
        <f t="array" ref="AU76">$E$10*(1+$AS76)+VLOOKUP($R76,武学奇术!$A:$ZZ,4,FALSE)+SUM(_xlfn.XLOOKUP($S76:$AL76,增益!$A:$A,增益!$D:$D,0))-$I$2</f>
        <v>4302.6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0.3185</v>
      </c>
      <c r="AW76" s="31" cm="1">
        <f t="array" ref="AW76">$G$10+VLOOKUP($R76,武学奇术!$A:$ZZ,7,FALSE)+SUM(_xlfn.XLOOKUP($S76:$AL76,增益!$A:$A,增益!$G:$G,0))</f>
        <v>0.135</v>
      </c>
      <c r="AX76" s="24" cm="1">
        <f t="array" ref="AX76">VLOOKUP($R76,武学奇术!$A:$ZZ,8,FALSE)+SUM(_xlfn.XLOOKUP($S76:$AL76,增益!$A:$A,增益!$H:$H,0))</f>
        <v>0</v>
      </c>
      <c r="AY76">
        <f t="shared" si="15"/>
        <v>0</v>
      </c>
      <c r="AZ76">
        <f t="shared" si="16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</v>
      </c>
      <c r="BB76" s="31" cm="1">
        <f t="array" ref="BB76">$G$11+VLOOKUP($R76,武学奇术!$A:$ZZ,10,FALSE)+SUM(_xlfn.XLOOKUP($S76:$AL76,增益!$A:$A,增益!$J:$J,0))</f>
        <v>0.02</v>
      </c>
      <c r="BC76">
        <f t="shared" si="17"/>
        <v>0</v>
      </c>
      <c r="BD76">
        <f t="shared" si="18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</v>
      </c>
      <c r="BF76" s="31" cm="1">
        <f t="array" ref="BF76">$G$12+VLOOKUP($R76,武学奇术!$A:$ZZ,12,FALSE)+SUM(_xlfn.XLOOKUP($S76:$AL76,增益!$A:$A,增益!$L:$L,0))</f>
        <v>0.02</v>
      </c>
      <c r="BG76">
        <f t="shared" si="19"/>
        <v>0</v>
      </c>
      <c r="BH76">
        <f t="shared" si="20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</v>
      </c>
      <c r="BJ76" s="31" cm="1">
        <f t="array" ref="BJ76">$G$13+VLOOKUP($R76,武学奇术!$A:$ZZ,14,FALSE)+SUM(_xlfn.XLOOKUP($S76:$AL76,增益!$A:$A,增益!$N:$N,0))</f>
        <v>0.02</v>
      </c>
      <c r="BK76">
        <f t="shared" si="21"/>
        <v>649.11</v>
      </c>
      <c r="BL76">
        <f t="shared" si="22"/>
        <v>1707.09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0.9771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0.8861</v>
      </c>
      <c r="BQ76" s="24" cm="1">
        <f t="array" ref="BQ76">1+$B$13+VLOOKUP($R76,武学奇术!$A:$ZZ,18,FALSE)+SUM(_xlfn.XLOOKUP($S76:$AL76,增益!$A:$A,增益!$R:$R,0))</f>
        <v>2.04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3"/>
        <v>0.86580831</v>
      </c>
      <c r="BU76" s="24">
        <f t="shared" si="24"/>
        <v>0.0428916899999999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s="4"/>
      <c r="B77" s="90"/>
      <c r="K77" s="37">
        <f>$L77*VLOOKUP($R77,武学奇术!$A:$ZZ,31,FALSE)</f>
        <v>168665.595531298</v>
      </c>
      <c r="L77" s="37">
        <f t="shared" si="14"/>
        <v>168665.595531298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176823.570948407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129819.310110954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86678.2210531407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77193.9901722414</v>
      </c>
      <c r="Q77" s="38">
        <v>1</v>
      </c>
      <c r="R77" s="39" t="s">
        <v>165</v>
      </c>
      <c r="S77" s="39" t="s">
        <v>106</v>
      </c>
      <c r="T77" s="39" t="s">
        <v>189</v>
      </c>
      <c r="U77" s="39" t="s">
        <v>89</v>
      </c>
      <c r="V77" s="39" t="s">
        <v>129</v>
      </c>
      <c r="W77" s="39" t="s">
        <v>91</v>
      </c>
      <c r="X77" s="39" t="s">
        <v>80</v>
      </c>
      <c r="Y77" s="39" t="s">
        <v>80</v>
      </c>
      <c r="Z77" s="39" t="s">
        <v>80</v>
      </c>
      <c r="AA77" s="39" t="s">
        <v>80</v>
      </c>
      <c r="AB77" s="39" t="s">
        <v>203</v>
      </c>
      <c r="AC77" s="39" t="s">
        <v>80</v>
      </c>
      <c r="AD77" s="39" t="s">
        <v>80</v>
      </c>
      <c r="AE77" s="39" t="s">
        <v>80</v>
      </c>
      <c r="AF77" s="39" t="s">
        <v>84</v>
      </c>
      <c r="AG77" s="39" t="s">
        <v>80</v>
      </c>
      <c r="AH77" s="39" t="s">
        <v>80</v>
      </c>
      <c r="AI77" s="39" t="s">
        <v>80</v>
      </c>
      <c r="AJ77" s="39" t="s">
        <v>80</v>
      </c>
      <c r="AK77" s="39" t="s">
        <v>80</v>
      </c>
      <c r="AL77" s="39" t="s">
        <v>80</v>
      </c>
      <c r="AM77" t="str">
        <f>VLOOKUP($R77,武学奇术!$A:$ZZ,25,FALSE)</f>
        <v>双刀</v>
      </c>
      <c r="AN77" s="24">
        <f>VLOOKUP($R77,武学奇术!$A:$ZZ,26,FALSE)</f>
        <v>4.28274</v>
      </c>
      <c r="AO77" s="25">
        <f>VLOOKUP($R77,武学奇术!$A:$ZZ,27,FALSE)*(1+IF(OR($AM77=$F$4,$AM77=$F$5),$B$22,0))</f>
        <v>1895.04</v>
      </c>
      <c r="AP77" s="24">
        <f>VLOOKUP($R77,武学奇术!$A:$ZZ,28,FALSE)</f>
        <v>6.42411</v>
      </c>
      <c r="AQ77" s="25">
        <f>VLOOKUP($R77,武学奇术!$A:$ZZ,29,FALSE)*(1+IF(OR($AM77=$F$4,$AM77=$F$5),$B$22,0))</f>
        <v>1031.52</v>
      </c>
      <c r="AR77" s="24" cm="1">
        <f t="array" ref="AR77">$G$3+IFERROR(VLOOKUP($AM77,$F$4:$G$7,2,FALSE),0)+VLOOKUP($R77,武学奇术!$A:$ZZ,2,FALSE)+SUM(_xlfn.XLOOKUP($S77:$AL77,增益!$A:$A,增益!$B:$B,0))</f>
        <v>0.3743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4302.6</v>
      </c>
      <c r="AU77" cm="1">
        <f t="array" ref="AU77">$E$10*(1+$AS77)+VLOOKUP($R77,武学奇术!$A:$ZZ,4,FALSE)+SUM(_xlfn.XLOOKUP($S77:$AL77,增益!$A:$A,增益!$D:$D,0))-$I$2</f>
        <v>4302.6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0.3185</v>
      </c>
      <c r="AW77" s="31" cm="1">
        <f t="array" ref="AW77">$G$10+VLOOKUP($R77,武学奇术!$A:$ZZ,7,FALSE)+SUM(_xlfn.XLOOKUP($S77:$AL77,增益!$A:$A,增益!$G:$G,0))</f>
        <v>0.135</v>
      </c>
      <c r="AX77" s="24" cm="1">
        <f t="array" ref="AX77">VLOOKUP($R77,武学奇术!$A:$ZZ,8,FALSE)+SUM(_xlfn.XLOOKUP($S77:$AL77,增益!$A:$A,增益!$H:$H,0))</f>
        <v>0</v>
      </c>
      <c r="AY77">
        <f t="shared" si="15"/>
        <v>0</v>
      </c>
      <c r="AZ77">
        <f t="shared" si="16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</v>
      </c>
      <c r="BB77" s="31" cm="1">
        <f t="array" ref="BB77">$G$11+VLOOKUP($R77,武学奇术!$A:$ZZ,10,FALSE)+SUM(_xlfn.XLOOKUP($S77:$AL77,增益!$A:$A,增益!$J:$J,0))</f>
        <v>0.02</v>
      </c>
      <c r="BC77">
        <f t="shared" si="17"/>
        <v>0</v>
      </c>
      <c r="BD77">
        <f t="shared" si="18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</v>
      </c>
      <c r="BF77" s="31" cm="1">
        <f t="array" ref="BF77">$G$12+VLOOKUP($R77,武学奇术!$A:$ZZ,12,FALSE)+SUM(_xlfn.XLOOKUP($S77:$AL77,增益!$A:$A,增益!$L:$L,0))</f>
        <v>0.02</v>
      </c>
      <c r="BG77">
        <f t="shared" si="19"/>
        <v>0</v>
      </c>
      <c r="BH77">
        <f t="shared" si="20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</v>
      </c>
      <c r="BJ77" s="31" cm="1">
        <f t="array" ref="BJ77">$G$13+VLOOKUP($R77,武学奇术!$A:$ZZ,14,FALSE)+SUM(_xlfn.XLOOKUP($S77:$AL77,增益!$A:$A,增益!$N:$N,0))</f>
        <v>0.02</v>
      </c>
      <c r="BK77">
        <f t="shared" si="21"/>
        <v>649.11</v>
      </c>
      <c r="BL77">
        <f t="shared" si="22"/>
        <v>1707.09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0.9771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0.8861</v>
      </c>
      <c r="BQ77" s="24" cm="1">
        <f t="array" ref="BQ77">1+$B$13+VLOOKUP($R77,武学奇术!$A:$ZZ,18,FALSE)+SUM(_xlfn.XLOOKUP($S77:$AL77,增益!$A:$A,增益!$R:$R,0))</f>
        <v>2.04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3"/>
        <v>0.86580831</v>
      </c>
      <c r="BU77" s="24">
        <f t="shared" si="24"/>
        <v>0.0428916899999999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s="4"/>
      <c r="B78" s="4"/>
      <c r="K78" s="37">
        <f>$L78*VLOOKUP($R78,武学奇术!$A:$ZZ,31,FALSE)</f>
        <v>202796.776541469</v>
      </c>
      <c r="L78" s="88">
        <f>SUM(L69,L70,L72:L77)*0.2*(1+BX78)</f>
        <v>405593.553082938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38">
        <v>1</v>
      </c>
      <c r="R78" s="39" t="s">
        <v>168</v>
      </c>
      <c r="S78" s="39" t="s">
        <v>169</v>
      </c>
      <c r="T78" s="39" t="s">
        <v>80</v>
      </c>
      <c r="U78" s="39" t="s">
        <v>80</v>
      </c>
      <c r="V78" s="39" t="s">
        <v>80</v>
      </c>
      <c r="W78" s="39" t="s">
        <v>80</v>
      </c>
      <c r="X78" s="39" t="s">
        <v>80</v>
      </c>
      <c r="Y78" s="39" t="s">
        <v>80</v>
      </c>
      <c r="Z78" s="39" t="s">
        <v>80</v>
      </c>
      <c r="AA78" s="39" t="s">
        <v>80</v>
      </c>
      <c r="AB78" s="39" t="s">
        <v>80</v>
      </c>
      <c r="AC78" s="39" t="s">
        <v>80</v>
      </c>
      <c r="AD78" s="39" t="s">
        <v>80</v>
      </c>
      <c r="AE78" s="39" t="s">
        <v>80</v>
      </c>
      <c r="AF78" s="39" t="s">
        <v>84</v>
      </c>
      <c r="AG78" s="39" t="s">
        <v>80</v>
      </c>
      <c r="AH78" s="39" t="s">
        <v>80</v>
      </c>
      <c r="AI78" s="39" t="s">
        <v>80</v>
      </c>
      <c r="AJ78" s="39" t="s">
        <v>80</v>
      </c>
      <c r="AK78" s="39" t="s">
        <v>80</v>
      </c>
      <c r="AL78" s="39" t="s">
        <v>80</v>
      </c>
      <c r="AM78" t="str">
        <f>VLOOKUP($R78,武学奇术!$A:$ZZ,25,FALSE)</f>
        <v>心法</v>
      </c>
      <c r="AN78" s="24">
        <f>VLOOKUP($R78,武学奇术!$A:$ZZ,26,FALSE)</f>
        <v>0</v>
      </c>
      <c r="AO78" s="25">
        <f>VLOOKUP($R78,武学奇术!$A:$ZZ,27,FALSE)*(1+IF(OR($AM78=$F$4,$AM78=$F$5),$B$22,0))</f>
        <v>0</v>
      </c>
      <c r="AP78" s="24">
        <f>VLOOKUP($R78,武学奇术!$A:$ZZ,28,FALSE)</f>
        <v>0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0.1042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4302.6</v>
      </c>
      <c r="AU78" cm="1">
        <f t="array" ref="AU78">$E$10*(1+$AS78)+VLOOKUP($R78,武学奇术!$A:$ZZ,4,FALSE)+SUM(_xlfn.XLOOKUP($S78:$AL78,增益!$A:$A,增益!$D:$D,0))-$I$2</f>
        <v>4302.6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0.1685</v>
      </c>
      <c r="AW78" s="31" cm="1">
        <f t="array" ref="AW78">$G$10+VLOOKUP($R78,武学奇术!$A:$ZZ,7,FALSE)+SUM(_xlfn.XLOOKUP($S78:$AL78,增益!$A:$A,增益!$G:$G,0))</f>
        <v>0.025</v>
      </c>
      <c r="AX78" s="24" cm="1">
        <f t="array" ref="AX78">VLOOKUP($R78,武学奇术!$A:$ZZ,8,FALSE)+SUM(_xlfn.XLOOKUP($S78:$AL78,增益!$A:$A,增益!$H:$H,0))</f>
        <v>0</v>
      </c>
      <c r="AY78">
        <f t="shared" si="15"/>
        <v>0</v>
      </c>
      <c r="AZ78">
        <f t="shared" si="16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1" cm="1">
        <f t="array" ref="BB78">$G$11+VLOOKUP($R78,武学奇术!$A:$ZZ,10,FALSE)+SUM(_xlfn.XLOOKUP($S78:$AL78,增益!$A:$A,增益!$J:$J,0))</f>
        <v>0</v>
      </c>
      <c r="BC78">
        <f t="shared" si="17"/>
        <v>0</v>
      </c>
      <c r="BD78">
        <f t="shared" si="18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1" cm="1">
        <f t="array" ref="BF78">$G$12+VLOOKUP($R78,武学奇术!$A:$ZZ,12,FALSE)+SUM(_xlfn.XLOOKUP($S78:$AL78,增益!$A:$A,增益!$L:$L,0))</f>
        <v>0</v>
      </c>
      <c r="BG78">
        <f t="shared" si="19"/>
        <v>0</v>
      </c>
      <c r="BH78">
        <f t="shared" si="20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1" cm="1">
        <f t="array" ref="BJ78">$G$13+VLOOKUP($R78,武学奇术!$A:$ZZ,14,FALSE)+SUM(_xlfn.XLOOKUP($S78:$AL78,增益!$A:$A,增益!$N:$N,0))</f>
        <v>0</v>
      </c>
      <c r="BK78">
        <f t="shared" si="21"/>
        <v>649.11</v>
      </c>
      <c r="BL78">
        <f t="shared" si="22"/>
        <v>1707.09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1" cm="1">
        <f t="array" ref="BN78">$G$14+VLOOKUP($R78,武学奇术!$A:$ZZ,16,FALSE)+SUM(_xlfn.XLOOKUP($S78:$AL78,增益!$A:$A,增益!$P:$P,0))</f>
        <v>0.15</v>
      </c>
      <c r="BO78" s="24">
        <f>MIN(IF(VLOOKUP($R78,武学奇术!$A:$ZZ,23,FALSE)=1,100%,$B$8),100%)</f>
        <v>0.9771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0.8861</v>
      </c>
      <c r="BQ78" s="24" cm="1">
        <f t="array" ref="BQ78">1+$B$13+VLOOKUP($R78,武学奇术!$A:$ZZ,18,FALSE)+SUM(_xlfn.XLOOKUP($S78:$AL78,增益!$A:$A,增益!$R:$R,0))</f>
        <v>1.54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23"/>
        <v>0.86580831</v>
      </c>
      <c r="BU78" s="24">
        <f t="shared" si="24"/>
        <v>0.0220824599999999</v>
      </c>
      <c r="BV78" s="24">
        <f>IF(VLOOKUP($R78,武学奇术!$A:$ZZ,22,FALSE)=1,0,(1-$BO78))*(1-$BR78)</f>
        <v>0.02080923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0.2</v>
      </c>
    </row>
    <row r="79" spans="1:76">
      <c r="A79" s="4"/>
      <c r="B79" s="4"/>
      <c r="K79" s="37">
        <f>$L79*VLOOKUP($R79,武学奇术!$A:$ZZ,31,FALSE)</f>
        <v>28258.3555268862</v>
      </c>
      <c r="L79" s="37">
        <f t="shared" ref="L79:L96" si="25">($M79*$BT79+$N79*$BR79+$O79*$BU79+$P79*$BV79)</f>
        <v>28258.3555268862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29023.7998126392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26381.3057727408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17697.4389101459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15853.1698404838</v>
      </c>
      <c r="Q79" s="38">
        <v>1</v>
      </c>
      <c r="R79" s="39" t="s">
        <v>197</v>
      </c>
      <c r="S79" s="39" t="s">
        <v>106</v>
      </c>
      <c r="T79" s="39" t="s">
        <v>189</v>
      </c>
      <c r="U79" s="39" t="s">
        <v>89</v>
      </c>
      <c r="V79" s="39" t="s">
        <v>80</v>
      </c>
      <c r="W79" s="39" t="s">
        <v>80</v>
      </c>
      <c r="X79" s="39" t="s">
        <v>80</v>
      </c>
      <c r="Y79" s="39" t="s">
        <v>80</v>
      </c>
      <c r="Z79" s="39" t="s">
        <v>80</v>
      </c>
      <c r="AA79" s="39" t="s">
        <v>80</v>
      </c>
      <c r="AB79" s="39" t="s">
        <v>209</v>
      </c>
      <c r="AC79" s="39" t="s">
        <v>80</v>
      </c>
      <c r="AD79" s="39" t="s">
        <v>80</v>
      </c>
      <c r="AE79" s="39" t="s">
        <v>80</v>
      </c>
      <c r="AF79" s="39" t="s">
        <v>84</v>
      </c>
      <c r="AG79" s="39" t="s">
        <v>80</v>
      </c>
      <c r="AH79" s="39" t="s">
        <v>80</v>
      </c>
      <c r="AI79" s="39" t="s">
        <v>80</v>
      </c>
      <c r="AJ79" s="39" t="s">
        <v>80</v>
      </c>
      <c r="AK79" s="39" t="s">
        <v>80</v>
      </c>
      <c r="AL79" s="39" t="s">
        <v>80</v>
      </c>
      <c r="AM79" t="str">
        <f>VLOOKUP($R79,武学奇术!$A:$ZZ,25,FALSE)</f>
        <v>拳甲</v>
      </c>
      <c r="AN79" s="24">
        <f>VLOOKUP($R79,武学奇术!$A:$ZZ,26,FALSE)</f>
        <v>1.28702</v>
      </c>
      <c r="AO79" s="25">
        <f>VLOOKUP($R79,武学奇术!$A:$ZZ,27,FALSE)*(1+IF(OR($AM79=$F$4,$AM79=$F$5),$B$22,0))</f>
        <v>571.2</v>
      </c>
      <c r="AP79" s="24">
        <f>VLOOKUP($R79,武学奇术!$A:$ZZ,28,FALSE)</f>
        <v>1.9306</v>
      </c>
      <c r="AQ79" s="25">
        <f>VLOOKUP($R79,武学奇术!$A:$ZZ,29,FALSE)*(1+IF(OR($AM79=$F$4,$AM79=$F$5),$B$22,0))</f>
        <v>622.72</v>
      </c>
      <c r="AR79" s="24" cm="1">
        <f t="array" ref="AR79">$G$3+IFERROR(VLOOKUP($AM79,$F$4:$G$7,2,FALSE),0)+VLOOKUP($R79,武学奇术!$A:$ZZ,2,FALSE)+SUM(_xlfn.XLOOKUP($S79:$AL79,增益!$A:$A,增益!$B:$B,0))</f>
        <v>0.3243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4302.6</v>
      </c>
      <c r="AU79" cm="1">
        <f t="array" ref="AU79">$E$10*(1+$AS79)+VLOOKUP($R79,武学奇术!$A:$ZZ,4,FALSE)+SUM(_xlfn.XLOOKUP($S79:$AL79,增益!$A:$A,增益!$D:$D,0))-$I$2</f>
        <v>4302.6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0.2685</v>
      </c>
      <c r="AW79" s="31" cm="1">
        <f t="array" ref="AW79">$G$10+VLOOKUP($R79,武学奇术!$A:$ZZ,7,FALSE)+SUM(_xlfn.XLOOKUP($S79:$AL79,增益!$A:$A,增益!$G:$G,0))</f>
        <v>0.045</v>
      </c>
      <c r="AX79" s="24" cm="1">
        <f t="array" ref="AX79">VLOOKUP($R79,武学奇术!$A:$ZZ,8,FALSE)+SUM(_xlfn.XLOOKUP($S79:$AL79,增益!$A:$A,增益!$H:$H,0))</f>
        <v>0</v>
      </c>
      <c r="AY79">
        <f t="shared" si="15"/>
        <v>0</v>
      </c>
      <c r="AZ79">
        <f t="shared" si="16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-0.2</v>
      </c>
      <c r="BB79" s="31" cm="1">
        <f t="array" ref="BB79">$G$11+VLOOKUP($R79,武学奇术!$A:$ZZ,10,FALSE)+SUM(_xlfn.XLOOKUP($S79:$AL79,增益!$A:$A,增益!$J:$J,0))</f>
        <v>0.02</v>
      </c>
      <c r="BC79">
        <f t="shared" si="17"/>
        <v>0</v>
      </c>
      <c r="BD79">
        <f t="shared" si="18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-0.2</v>
      </c>
      <c r="BF79" s="31" cm="1">
        <f t="array" ref="BF79">$G$12+VLOOKUP($R79,武学奇术!$A:$ZZ,12,FALSE)+SUM(_xlfn.XLOOKUP($S79:$AL79,增益!$A:$A,增益!$L:$L,0))</f>
        <v>0.02</v>
      </c>
      <c r="BG79">
        <f t="shared" si="19"/>
        <v>0</v>
      </c>
      <c r="BH79">
        <f t="shared" si="20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-0.2</v>
      </c>
      <c r="BJ79" s="31" cm="1">
        <f t="array" ref="BJ79">$G$13+VLOOKUP($R79,武学奇术!$A:$ZZ,14,FALSE)+SUM(_xlfn.XLOOKUP($S79:$AL79,增益!$A:$A,增益!$N:$N,0))</f>
        <v>0.02</v>
      </c>
      <c r="BK79">
        <f t="shared" si="21"/>
        <v>649.11</v>
      </c>
      <c r="BL79">
        <f t="shared" si="22"/>
        <v>1707.09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0.05</v>
      </c>
      <c r="BN79" s="31" cm="1">
        <f t="array" ref="BN79">$G$14+VLOOKUP($R79,武学奇术!$A:$ZZ,16,FALSE)+SUM(_xlfn.XLOOKUP($S79:$AL79,增益!$A:$A,增益!$P:$P,0))</f>
        <v>0.17</v>
      </c>
      <c r="BO79" s="24">
        <f>MIN(IF(VLOOKUP($R79,武学奇术!$A:$ZZ,23,FALSE)=1,100%,$B$8),100%)</f>
        <v>0.9771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0.8861</v>
      </c>
      <c r="BQ79" s="24" cm="1">
        <f t="array" ref="BQ79">1+$B$13+VLOOKUP($R79,武学奇术!$A:$ZZ,18,FALSE)+SUM(_xlfn.XLOOKUP($S79:$AL79,增益!$A:$A,增益!$R:$R,0))</f>
        <v>1.64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3"/>
        <v>0.86580831</v>
      </c>
      <c r="BU79" s="24">
        <f t="shared" si="24"/>
        <v>0.0220824599999999</v>
      </c>
      <c r="BV79" s="24">
        <f>IF(VLOOKUP($R79,武学奇术!$A:$ZZ,22,FALSE)=1,0,(1-$BO79))*(1-$BR79)</f>
        <v>0.02080923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</v>
      </c>
    </row>
    <row r="80" spans="1:76">
      <c r="A80" s="4"/>
      <c r="B80" s="90"/>
      <c r="K80" s="37">
        <f>$L80*VLOOKUP($R80,武学奇术!$A:$ZZ,31,FALSE)</f>
        <v>36085.8819701923</v>
      </c>
      <c r="L80" s="37">
        <f t="shared" si="25"/>
        <v>36085.8819701923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37050.9687484842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33836.5307638498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22592.0541149294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20120.0113677478</v>
      </c>
      <c r="Q80" s="38">
        <v>1</v>
      </c>
      <c r="R80" s="39" t="s">
        <v>213</v>
      </c>
      <c r="S80" s="39" t="s">
        <v>106</v>
      </c>
      <c r="T80" s="39" t="s">
        <v>189</v>
      </c>
      <c r="U80" s="39" t="s">
        <v>89</v>
      </c>
      <c r="V80" s="39" t="s">
        <v>80</v>
      </c>
      <c r="W80" s="39" t="s">
        <v>80</v>
      </c>
      <c r="X80" s="39" t="s">
        <v>80</v>
      </c>
      <c r="Y80" s="39" t="s">
        <v>80</v>
      </c>
      <c r="Z80" s="39" t="s">
        <v>80</v>
      </c>
      <c r="AA80" s="39" t="s">
        <v>80</v>
      </c>
      <c r="AB80" s="39" t="s">
        <v>209</v>
      </c>
      <c r="AC80" s="39" t="s">
        <v>80</v>
      </c>
      <c r="AD80" s="39" t="s">
        <v>80</v>
      </c>
      <c r="AE80" s="39" t="s">
        <v>80</v>
      </c>
      <c r="AF80" s="39" t="s">
        <v>84</v>
      </c>
      <c r="AG80" s="39" t="s">
        <v>80</v>
      </c>
      <c r="AH80" s="39" t="s">
        <v>80</v>
      </c>
      <c r="AI80" s="39" t="s">
        <v>80</v>
      </c>
      <c r="AJ80" s="39" t="s">
        <v>80</v>
      </c>
      <c r="AK80" s="39" t="s">
        <v>80</v>
      </c>
      <c r="AL80" s="39" t="s">
        <v>80</v>
      </c>
      <c r="AM80" t="str">
        <f>VLOOKUP($R80,武学奇术!$A:$ZZ,25,FALSE)</f>
        <v>拳甲</v>
      </c>
      <c r="AN80" s="24">
        <f>VLOOKUP($R80,武学奇术!$A:$ZZ,26,FALSE)</f>
        <v>1.72536</v>
      </c>
      <c r="AO80" s="25">
        <f>VLOOKUP($R80,武学奇术!$A:$ZZ,27,FALSE)*(1+IF(OR($AM80=$F$4,$AM80=$F$5),$B$22,0))</f>
        <v>766.08</v>
      </c>
      <c r="AP80" s="24">
        <f>VLOOKUP($R80,武学奇术!$A:$ZZ,28,FALSE)</f>
        <v>2.58776</v>
      </c>
      <c r="AQ80" s="25">
        <f>VLOOKUP($R80,武学奇术!$A:$ZZ,29,FALSE)*(1+IF(OR($AM80=$F$4,$AM80=$F$5),$B$22,0))</f>
        <v>416.64</v>
      </c>
      <c r="AR80" s="24" cm="1">
        <f t="array" ref="AR80">$G$3+IFERROR(VLOOKUP($AM80,$F$4:$G$7,2,FALSE),0)+VLOOKUP($R80,武学奇术!$A:$ZZ,2,FALSE)+SUM(_xlfn.XLOOKUP($S80:$AL80,增益!$A:$A,增益!$B:$B,0))</f>
        <v>0.3243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4302.6</v>
      </c>
      <c r="AU80" cm="1">
        <f t="array" ref="AU80">$E$10*(1+$AS80)+VLOOKUP($R80,武学奇术!$A:$ZZ,4,FALSE)+SUM(_xlfn.XLOOKUP($S80:$AL80,增益!$A:$A,增益!$D:$D,0))-$I$2</f>
        <v>4302.6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0.2685</v>
      </c>
      <c r="AW80" s="31" cm="1">
        <f t="array" ref="AW80">$G$10+VLOOKUP($R80,武学奇术!$A:$ZZ,7,FALSE)+SUM(_xlfn.XLOOKUP($S80:$AL80,增益!$A:$A,增益!$G:$G,0))</f>
        <v>0.045</v>
      </c>
      <c r="AX80" s="24" cm="1">
        <f t="array" ref="AX80">VLOOKUP($R80,武学奇术!$A:$ZZ,8,FALSE)+SUM(_xlfn.XLOOKUP($S80:$AL80,增益!$A:$A,增益!$H:$H,0))</f>
        <v>0</v>
      </c>
      <c r="AY80">
        <f t="shared" si="15"/>
        <v>0</v>
      </c>
      <c r="AZ80">
        <f t="shared" si="16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-0.2</v>
      </c>
      <c r="BB80" s="31" cm="1">
        <f t="array" ref="BB80">$G$11+VLOOKUP($R80,武学奇术!$A:$ZZ,10,FALSE)+SUM(_xlfn.XLOOKUP($S80:$AL80,增益!$A:$A,增益!$J:$J,0))</f>
        <v>0.02</v>
      </c>
      <c r="BC80">
        <f t="shared" si="17"/>
        <v>0</v>
      </c>
      <c r="BD80">
        <f t="shared" si="18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-0.2</v>
      </c>
      <c r="BF80" s="31" cm="1">
        <f t="array" ref="BF80">$G$12+VLOOKUP($R80,武学奇术!$A:$ZZ,12,FALSE)+SUM(_xlfn.XLOOKUP($S80:$AL80,增益!$A:$A,增益!$L:$L,0))</f>
        <v>0.02</v>
      </c>
      <c r="BG80">
        <f t="shared" si="19"/>
        <v>0</v>
      </c>
      <c r="BH80">
        <f t="shared" si="20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-0.2</v>
      </c>
      <c r="BJ80" s="31" cm="1">
        <f t="array" ref="BJ80">$G$13+VLOOKUP($R80,武学奇术!$A:$ZZ,14,FALSE)+SUM(_xlfn.XLOOKUP($S80:$AL80,增益!$A:$A,增益!$N:$N,0))</f>
        <v>0.02</v>
      </c>
      <c r="BK80">
        <f t="shared" si="21"/>
        <v>649.11</v>
      </c>
      <c r="BL80">
        <f t="shared" si="22"/>
        <v>1707.09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0.05</v>
      </c>
      <c r="BN80" s="31" cm="1">
        <f t="array" ref="BN80">$G$14+VLOOKUP($R80,武学奇术!$A:$ZZ,16,FALSE)+SUM(_xlfn.XLOOKUP($S80:$AL80,增益!$A:$A,增益!$P:$P,0))</f>
        <v>0.17</v>
      </c>
      <c r="BO80" s="24">
        <f>MIN(IF(VLOOKUP($R80,武学奇术!$A:$ZZ,23,FALSE)=1,100%,$B$8),100%)</f>
        <v>0.9771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0.8861</v>
      </c>
      <c r="BQ80" s="24" cm="1">
        <f t="array" ref="BQ80">1+$B$13+VLOOKUP($R80,武学奇术!$A:$ZZ,18,FALSE)+SUM(_xlfn.XLOOKUP($S80:$AL80,增益!$A:$A,增益!$R:$R,0))</f>
        <v>1.64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3"/>
        <v>0.86580831</v>
      </c>
      <c r="BU80" s="24">
        <f t="shared" si="24"/>
        <v>0.0220824599999999</v>
      </c>
      <c r="BV80" s="24">
        <f>IF(VLOOKUP($R80,武学奇术!$A:$ZZ,22,FALSE)=1,0,(1-$BO80))*(1-$BR80)</f>
        <v>0.02080923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K81" s="37">
        <f>$L81*VLOOKUP($R81,武学奇术!$A:$ZZ,31,FALSE)</f>
        <v>63941.7044012135</v>
      </c>
      <c r="L81" s="37">
        <f t="shared" si="25"/>
        <v>39963.5652507584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41130.8321147808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36921.4303474292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24337.7704821188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21326.3332994753</v>
      </c>
      <c r="Q81" s="38">
        <v>1</v>
      </c>
      <c r="R81" s="39" t="s">
        <v>120</v>
      </c>
      <c r="S81" s="39" t="s">
        <v>106</v>
      </c>
      <c r="T81" s="39" t="s">
        <v>189</v>
      </c>
      <c r="U81" s="39" t="s">
        <v>89</v>
      </c>
      <c r="V81" s="39" t="s">
        <v>90</v>
      </c>
      <c r="W81" s="39" t="s">
        <v>91</v>
      </c>
      <c r="X81" s="39" t="s">
        <v>80</v>
      </c>
      <c r="Y81" s="39" t="s">
        <v>80</v>
      </c>
      <c r="Z81" s="39" t="s">
        <v>80</v>
      </c>
      <c r="AA81" s="39" t="s">
        <v>80</v>
      </c>
      <c r="AB81" s="39" t="s">
        <v>203</v>
      </c>
      <c r="AC81" s="39" t="s">
        <v>80</v>
      </c>
      <c r="AD81" s="39" t="s">
        <v>80</v>
      </c>
      <c r="AE81" s="39" t="s">
        <v>80</v>
      </c>
      <c r="AF81" s="39" t="s">
        <v>84</v>
      </c>
      <c r="AG81" s="39" t="s">
        <v>80</v>
      </c>
      <c r="AH81" s="39" t="s">
        <v>80</v>
      </c>
      <c r="AI81" s="39" t="s">
        <v>80</v>
      </c>
      <c r="AJ81" s="39" t="s">
        <v>80</v>
      </c>
      <c r="AK81" s="39" t="s">
        <v>80</v>
      </c>
      <c r="AL81" s="39" t="s">
        <v>80</v>
      </c>
      <c r="AM81" t="str">
        <f>VLOOKUP($R81,武学奇术!$A:$ZZ,25,FALSE)</f>
        <v>拳甲</v>
      </c>
      <c r="AN81" s="24">
        <f>VLOOKUP($R81,武学奇术!$A:$ZZ,26,FALSE)</f>
        <v>1.862784</v>
      </c>
      <c r="AO81" s="25">
        <f>VLOOKUP($R81,武学奇术!$A:$ZZ,27,FALSE)*(1+IF(OR($AM81=$F$4,$AM81=$F$5),$B$22,0))</f>
        <v>0</v>
      </c>
      <c r="AP81" s="24">
        <f>VLOOKUP($R81,武学奇术!$A:$ZZ,28,FALSE)</f>
        <v>2.794176</v>
      </c>
      <c r="AQ81" s="25">
        <f>VLOOKUP($R81,武学奇术!$A:$ZZ,29,FALSE)*(1+IF(OR($AM81=$F$4,$AM81=$F$5),$B$22,0))</f>
        <v>0</v>
      </c>
      <c r="AR81" s="24" cm="1">
        <f t="array" ref="AR81">$G$3+IFERROR(VLOOKUP($AM81,$F$4:$G$7,2,FALSE),0)+VLOOKUP($R81,武学奇术!$A:$ZZ,2,FALSE)+SUM(_xlfn.XLOOKUP($S81:$AL81,增益!$A:$A,增益!$B:$B,0))</f>
        <v>0.3243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4302.6</v>
      </c>
      <c r="AU81" cm="1">
        <f t="array" ref="AU81">$E$10*(1+$AS81)+VLOOKUP($R81,武学奇术!$A:$ZZ,4,FALSE)+SUM(_xlfn.XLOOKUP($S81:$AL81,增益!$A:$A,增益!$D:$D,0))-$I$2</f>
        <v>4302.6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0.3185</v>
      </c>
      <c r="AW81" s="31" cm="1">
        <f t="array" ref="AW81">$G$10+VLOOKUP($R81,武学奇术!$A:$ZZ,7,FALSE)+SUM(_xlfn.XLOOKUP($S81:$AL81,增益!$A:$A,增益!$G:$G,0))</f>
        <v>0.135</v>
      </c>
      <c r="AX81" s="24" cm="1">
        <f t="array" ref="AX81">VLOOKUP($R81,武学奇术!$A:$ZZ,8,FALSE)+SUM(_xlfn.XLOOKUP($S81:$AL81,增益!$A:$A,增益!$H:$H,0))</f>
        <v>0</v>
      </c>
      <c r="AY81">
        <f t="shared" si="15"/>
        <v>0</v>
      </c>
      <c r="AZ81">
        <f t="shared" si="16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</v>
      </c>
      <c r="BB81" s="31" cm="1">
        <f t="array" ref="BB81">$G$11+VLOOKUP($R81,武学奇术!$A:$ZZ,10,FALSE)+SUM(_xlfn.XLOOKUP($S81:$AL81,增益!$A:$A,增益!$J:$J,0))</f>
        <v>0.02</v>
      </c>
      <c r="BC81">
        <f t="shared" si="17"/>
        <v>0</v>
      </c>
      <c r="BD81">
        <f t="shared" si="18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</v>
      </c>
      <c r="BF81" s="31" cm="1">
        <f t="array" ref="BF81">$G$12+VLOOKUP($R81,武学奇术!$A:$ZZ,12,FALSE)+SUM(_xlfn.XLOOKUP($S81:$AL81,增益!$A:$A,增益!$L:$L,0))</f>
        <v>0.02</v>
      </c>
      <c r="BG81">
        <f t="shared" si="19"/>
        <v>0</v>
      </c>
      <c r="BH81">
        <f t="shared" si="20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</v>
      </c>
      <c r="BJ81" s="31" cm="1">
        <f t="array" ref="BJ81">$G$13+VLOOKUP($R81,武学奇术!$A:$ZZ,14,FALSE)+SUM(_xlfn.XLOOKUP($S81:$AL81,增益!$A:$A,增益!$N:$N,0))</f>
        <v>0.02</v>
      </c>
      <c r="BK81">
        <f t="shared" si="21"/>
        <v>649.11</v>
      </c>
      <c r="BL81">
        <f t="shared" si="22"/>
        <v>1707.09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0.9771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0.8861</v>
      </c>
      <c r="BQ81" s="24" cm="1">
        <f t="array" ref="BQ81">1+$B$13+VLOOKUP($R81,武学奇术!$A:$ZZ,18,FALSE)+SUM(_xlfn.XLOOKUP($S81:$AL81,增益!$A:$A,增益!$R:$R,0))</f>
        <v>1.69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3"/>
        <v>0.86580831</v>
      </c>
      <c r="BU81" s="24">
        <f t="shared" si="24"/>
        <v>0.0220824599999999</v>
      </c>
      <c r="BV81" s="24">
        <f>IF(VLOOKUP($R81,武学奇术!$A:$ZZ,22,FALSE)=1,0,(1-$BO81))*(1-$BR81)</f>
        <v>0.02080923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s="4"/>
      <c r="B82" s="4"/>
      <c r="K82" s="37">
        <f>$L82*VLOOKUP($R82,武学奇术!$A:$ZZ,31,FALSE)</f>
        <v>15977.9302998667</v>
      </c>
      <c r="L82" s="37">
        <f t="shared" si="25"/>
        <v>15977.9302998667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16459.396545998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14585.6937901836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9739.28789704023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8674.35817172225</v>
      </c>
      <c r="Q82" s="38">
        <v>1</v>
      </c>
      <c r="R82" s="39" t="s">
        <v>110</v>
      </c>
      <c r="S82" s="39" t="s">
        <v>106</v>
      </c>
      <c r="T82" s="39" t="s">
        <v>189</v>
      </c>
      <c r="U82" s="39" t="s">
        <v>89</v>
      </c>
      <c r="V82" s="39" t="s">
        <v>90</v>
      </c>
      <c r="W82" s="39" t="s">
        <v>91</v>
      </c>
      <c r="X82" s="39" t="s">
        <v>80</v>
      </c>
      <c r="Y82" s="39" t="s">
        <v>80</v>
      </c>
      <c r="Z82" s="39" t="s">
        <v>80</v>
      </c>
      <c r="AA82" s="39" t="s">
        <v>80</v>
      </c>
      <c r="AB82" s="39" t="s">
        <v>203</v>
      </c>
      <c r="AC82" s="39" t="s">
        <v>80</v>
      </c>
      <c r="AD82" s="39" t="s">
        <v>80</v>
      </c>
      <c r="AE82" s="39" t="s">
        <v>80</v>
      </c>
      <c r="AF82" s="39" t="s">
        <v>84</v>
      </c>
      <c r="AG82" s="39" t="s">
        <v>80</v>
      </c>
      <c r="AH82" s="39" t="s">
        <v>80</v>
      </c>
      <c r="AI82" s="39" t="s">
        <v>80</v>
      </c>
      <c r="AJ82" s="39" t="s">
        <v>80</v>
      </c>
      <c r="AK82" s="39" t="s">
        <v>80</v>
      </c>
      <c r="AL82" s="39" t="s">
        <v>80</v>
      </c>
      <c r="AM82" t="str">
        <f>VLOOKUP($R82,武学奇术!$A:$ZZ,25,FALSE)</f>
        <v>双刀</v>
      </c>
      <c r="AN82" s="24">
        <f>VLOOKUP($R82,武学奇术!$A:$ZZ,26,FALSE)</f>
        <v>0.6587</v>
      </c>
      <c r="AO82" s="25">
        <f>VLOOKUP($R82,武学奇术!$A:$ZZ,27,FALSE)*(1+IF(OR($AM82=$F$4,$AM82=$F$5),$B$22,0))</f>
        <v>292.8</v>
      </c>
      <c r="AP82" s="24">
        <f>VLOOKUP($R82,武学奇术!$A:$ZZ,28,FALSE)</f>
        <v>0.9881</v>
      </c>
      <c r="AQ82" s="25">
        <f>VLOOKUP($R82,武学奇术!$A:$ZZ,29,FALSE)*(1+IF(OR($AM82=$F$4,$AM82=$F$5),$B$22,0))</f>
        <v>160</v>
      </c>
      <c r="AR82" s="24" cm="1">
        <f t="array" ref="AR82">$G$3+IFERROR(VLOOKUP($AM82,$F$4:$G$7,2,FALSE),0)+VLOOKUP($R82,武学奇术!$A:$ZZ,2,FALSE)+SUM(_xlfn.XLOOKUP($S82:$AL82,增益!$A:$A,增益!$B:$B,0))</f>
        <v>0.3243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4302.6</v>
      </c>
      <c r="AU82" cm="1">
        <f t="array" ref="AU82">$E$10*(1+$AS82)+VLOOKUP($R82,武学奇术!$A:$ZZ,4,FALSE)+SUM(_xlfn.XLOOKUP($S82:$AL82,增益!$A:$A,增益!$D:$D,0))-$I$2</f>
        <v>4302.6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0.3185</v>
      </c>
      <c r="AW82" s="31" cm="1">
        <f t="array" ref="AW82">$G$10+VLOOKUP($R82,武学奇术!$A:$ZZ,7,FALSE)+SUM(_xlfn.XLOOKUP($S82:$AL82,增益!$A:$A,增益!$G:$G,0))</f>
        <v>0.135</v>
      </c>
      <c r="AX82" s="24" cm="1">
        <f t="array" ref="AX82">VLOOKUP($R82,武学奇术!$A:$ZZ,8,FALSE)+SUM(_xlfn.XLOOKUP($S82:$AL82,增益!$A:$A,增益!$H:$H,0))</f>
        <v>0</v>
      </c>
      <c r="AY82">
        <f t="shared" si="15"/>
        <v>0</v>
      </c>
      <c r="AZ82">
        <f t="shared" si="16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</v>
      </c>
      <c r="BB82" s="31" cm="1">
        <f t="array" ref="BB82">$G$11+VLOOKUP($R82,武学奇术!$A:$ZZ,10,FALSE)+SUM(_xlfn.XLOOKUP($S82:$AL82,增益!$A:$A,增益!$J:$J,0))</f>
        <v>0.02</v>
      </c>
      <c r="BC82">
        <f t="shared" si="17"/>
        <v>0</v>
      </c>
      <c r="BD82">
        <f t="shared" si="18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</v>
      </c>
      <c r="BF82" s="31" cm="1">
        <f t="array" ref="BF82">$G$12+VLOOKUP($R82,武学奇术!$A:$ZZ,12,FALSE)+SUM(_xlfn.XLOOKUP($S82:$AL82,增益!$A:$A,增益!$L:$L,0))</f>
        <v>0.02</v>
      </c>
      <c r="BG82">
        <f t="shared" si="19"/>
        <v>0</v>
      </c>
      <c r="BH82">
        <f t="shared" si="20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</v>
      </c>
      <c r="BJ82" s="31" cm="1">
        <f t="array" ref="BJ82">$G$13+VLOOKUP($R82,武学奇术!$A:$ZZ,14,FALSE)+SUM(_xlfn.XLOOKUP($S82:$AL82,增益!$A:$A,增益!$N:$N,0))</f>
        <v>0.02</v>
      </c>
      <c r="BK82">
        <f t="shared" si="21"/>
        <v>649.11</v>
      </c>
      <c r="BL82">
        <f t="shared" si="22"/>
        <v>1707.09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0.9771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0.8861</v>
      </c>
      <c r="BQ82" s="24" cm="1">
        <f t="array" ref="BQ82">1+$B$13+VLOOKUP($R82,武学奇术!$A:$ZZ,18,FALSE)+SUM(_xlfn.XLOOKUP($S82:$AL82,增益!$A:$A,增益!$R:$R,0))</f>
        <v>1.69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3"/>
        <v>0.86580831</v>
      </c>
      <c r="BU82" s="24">
        <f t="shared" si="24"/>
        <v>0.0220824599999999</v>
      </c>
      <c r="BV82" s="24">
        <f>IF(VLOOKUP($R82,武学奇术!$A:$ZZ,22,FALSE)=1,0,(1-$BO82))*(1-$BR82)</f>
        <v>0.02080923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s="4"/>
      <c r="B83" s="90"/>
      <c r="K83" s="37">
        <f>$L83*VLOOKUP($R83,武学奇术!$A:$ZZ,31,FALSE)</f>
        <v>30732.6474300922</v>
      </c>
      <c r="L83" s="37">
        <f t="shared" si="25"/>
        <v>30732.6474300922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31658.6787435914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28055.2572750776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18732.9460021251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16684.2199486371</v>
      </c>
      <c r="Q83" s="38">
        <v>1</v>
      </c>
      <c r="R83" s="39" t="s">
        <v>115</v>
      </c>
      <c r="S83" s="39" t="s">
        <v>106</v>
      </c>
      <c r="T83" s="39" t="s">
        <v>189</v>
      </c>
      <c r="U83" s="39" t="s">
        <v>89</v>
      </c>
      <c r="V83" s="39" t="s">
        <v>90</v>
      </c>
      <c r="W83" s="39" t="s">
        <v>91</v>
      </c>
      <c r="X83" s="39" t="s">
        <v>80</v>
      </c>
      <c r="Y83" s="39" t="s">
        <v>80</v>
      </c>
      <c r="Z83" s="39" t="s">
        <v>80</v>
      </c>
      <c r="AA83" s="39" t="s">
        <v>80</v>
      </c>
      <c r="AB83" s="39" t="s">
        <v>203</v>
      </c>
      <c r="AC83" s="39" t="s">
        <v>80</v>
      </c>
      <c r="AD83" s="39" t="s">
        <v>80</v>
      </c>
      <c r="AE83" s="39" t="s">
        <v>80</v>
      </c>
      <c r="AF83" s="39" t="s">
        <v>84</v>
      </c>
      <c r="AG83" s="39" t="s">
        <v>80</v>
      </c>
      <c r="AH83" s="39" t="s">
        <v>80</v>
      </c>
      <c r="AI83" s="39" t="s">
        <v>80</v>
      </c>
      <c r="AJ83" s="39" t="s">
        <v>80</v>
      </c>
      <c r="AK83" s="39" t="s">
        <v>80</v>
      </c>
      <c r="AL83" s="39" t="s">
        <v>80</v>
      </c>
      <c r="AM83" t="str">
        <f>VLOOKUP($R83,武学奇术!$A:$ZZ,25,FALSE)</f>
        <v>双刀</v>
      </c>
      <c r="AN83" s="24">
        <f>VLOOKUP($R83,武学奇术!$A:$ZZ,26,FALSE)</f>
        <v>1.2672</v>
      </c>
      <c r="AO83" s="25">
        <f>VLOOKUP($R83,武学奇术!$A:$ZZ,27,FALSE)*(1+IF(OR($AM83=$F$4,$AM83=$F$5),$B$22,0))</f>
        <v>562.56</v>
      </c>
      <c r="AP83" s="24">
        <f>VLOOKUP($R83,武学奇术!$A:$ZZ,28,FALSE)</f>
        <v>1.90092</v>
      </c>
      <c r="AQ83" s="25">
        <f>VLOOKUP($R83,武学奇术!$A:$ZZ,29,FALSE)*(1+IF(OR($AM83=$F$4,$AM83=$F$5),$B$22,0))</f>
        <v>307.2</v>
      </c>
      <c r="AR83" s="24" cm="1">
        <f t="array" ref="AR83">$G$3+IFERROR(VLOOKUP($AM83,$F$4:$G$7,2,FALSE),0)+VLOOKUP($R83,武学奇术!$A:$ZZ,2,FALSE)+SUM(_xlfn.XLOOKUP($S83:$AL83,增益!$A:$A,增益!$B:$B,0))</f>
        <v>0.3243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4302.6</v>
      </c>
      <c r="AU83" cm="1">
        <f t="array" ref="AU83">$E$10*(1+$AS83)+VLOOKUP($R83,武学奇术!$A:$ZZ,4,FALSE)+SUM(_xlfn.XLOOKUP($S83:$AL83,增益!$A:$A,增益!$D:$D,0))-$I$2</f>
        <v>4302.6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0.3185</v>
      </c>
      <c r="AW83" s="31" cm="1">
        <f t="array" ref="AW83">$G$10+VLOOKUP($R83,武学奇术!$A:$ZZ,7,FALSE)+SUM(_xlfn.XLOOKUP($S83:$AL83,增益!$A:$A,增益!$G:$G,0))</f>
        <v>0.135</v>
      </c>
      <c r="AX83" s="24" cm="1">
        <f t="array" ref="AX83">VLOOKUP($R83,武学奇术!$A:$ZZ,8,FALSE)+SUM(_xlfn.XLOOKUP($S83:$AL83,增益!$A:$A,增益!$H:$H,0))</f>
        <v>0</v>
      </c>
      <c r="AY83">
        <f t="shared" si="15"/>
        <v>0</v>
      </c>
      <c r="AZ83">
        <f t="shared" si="16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</v>
      </c>
      <c r="BB83" s="31" cm="1">
        <f t="array" ref="BB83">$G$11+VLOOKUP($R83,武学奇术!$A:$ZZ,10,FALSE)+SUM(_xlfn.XLOOKUP($S83:$AL83,增益!$A:$A,增益!$J:$J,0))</f>
        <v>0.02</v>
      </c>
      <c r="BC83">
        <f t="shared" si="17"/>
        <v>0</v>
      </c>
      <c r="BD83">
        <f t="shared" si="18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</v>
      </c>
      <c r="BF83" s="31" cm="1">
        <f t="array" ref="BF83">$G$12+VLOOKUP($R83,武学奇术!$A:$ZZ,12,FALSE)+SUM(_xlfn.XLOOKUP($S83:$AL83,增益!$A:$A,增益!$L:$L,0))</f>
        <v>0.02</v>
      </c>
      <c r="BG83">
        <f t="shared" si="19"/>
        <v>0</v>
      </c>
      <c r="BH83">
        <f t="shared" si="20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</v>
      </c>
      <c r="BJ83" s="31" cm="1">
        <f t="array" ref="BJ83">$G$13+VLOOKUP($R83,武学奇术!$A:$ZZ,14,FALSE)+SUM(_xlfn.XLOOKUP($S83:$AL83,增益!$A:$A,增益!$N:$N,0))</f>
        <v>0.02</v>
      </c>
      <c r="BK83">
        <f t="shared" si="21"/>
        <v>649.11</v>
      </c>
      <c r="BL83">
        <f t="shared" si="22"/>
        <v>1707.09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0.9771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0.8861</v>
      </c>
      <c r="BQ83" s="24" cm="1">
        <f t="array" ref="BQ83">1+$B$13+VLOOKUP($R83,武学奇术!$A:$ZZ,18,FALSE)+SUM(_xlfn.XLOOKUP($S83:$AL83,增益!$A:$A,增益!$R:$R,0))</f>
        <v>1.69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3"/>
        <v>0.86580831</v>
      </c>
      <c r="BU83" s="24">
        <f t="shared" si="24"/>
        <v>0.0220824599999999</v>
      </c>
      <c r="BV83" s="24">
        <f>IF(VLOOKUP($R83,武学奇术!$A:$ZZ,22,FALSE)=1,0,(1-$BO83))*(1-$BR83)</f>
        <v>0.02080923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K84" s="37">
        <f>$L84*VLOOKUP($R84,武学奇术!$A:$ZZ,31,FALSE)</f>
        <v>46239.4796009715</v>
      </c>
      <c r="L84" s="37">
        <f t="shared" si="25"/>
        <v>46239.4796009715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48421.8246241487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36442.3337466896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24332.5751880144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21670.8290821847</v>
      </c>
      <c r="Q84" s="38">
        <v>1</v>
      </c>
      <c r="R84" s="39" t="s">
        <v>123</v>
      </c>
      <c r="S84" s="39" t="s">
        <v>106</v>
      </c>
      <c r="T84" s="39" t="s">
        <v>189</v>
      </c>
      <c r="U84" s="39" t="s">
        <v>89</v>
      </c>
      <c r="V84" s="39" t="s">
        <v>90</v>
      </c>
      <c r="W84" s="39" t="s">
        <v>91</v>
      </c>
      <c r="X84" s="39" t="s">
        <v>80</v>
      </c>
      <c r="Y84" s="39" t="s">
        <v>80</v>
      </c>
      <c r="Z84" s="39" t="s">
        <v>80</v>
      </c>
      <c r="AA84" s="39" t="s">
        <v>80</v>
      </c>
      <c r="AB84" s="39" t="s">
        <v>203</v>
      </c>
      <c r="AC84" s="39" t="s">
        <v>80</v>
      </c>
      <c r="AD84" s="39" t="s">
        <v>80</v>
      </c>
      <c r="AE84" s="39" t="s">
        <v>80</v>
      </c>
      <c r="AF84" s="39" t="s">
        <v>84</v>
      </c>
      <c r="AG84" s="39" t="s">
        <v>80</v>
      </c>
      <c r="AH84" s="39" t="s">
        <v>80</v>
      </c>
      <c r="AI84" s="39" t="s">
        <v>80</v>
      </c>
      <c r="AJ84" s="39" t="s">
        <v>80</v>
      </c>
      <c r="AK84" s="39" t="s">
        <v>80</v>
      </c>
      <c r="AL84" s="39" t="s">
        <v>80</v>
      </c>
      <c r="AM84" t="str">
        <f>VLOOKUP($R84,武学奇术!$A:$ZZ,25,FALSE)</f>
        <v>拳甲</v>
      </c>
      <c r="AN84" s="24">
        <f>VLOOKUP($R84,武学奇术!$A:$ZZ,26,FALSE)</f>
        <v>1.58662</v>
      </c>
      <c r="AO84" s="25">
        <f>VLOOKUP($R84,武学奇术!$A:$ZZ,27,FALSE)*(1+IF(OR($AM84=$F$4,$AM84=$F$5),$B$22,0))</f>
        <v>703.36</v>
      </c>
      <c r="AP84" s="24">
        <f>VLOOKUP($R84,武学奇术!$A:$ZZ,28,FALSE)</f>
        <v>2.37986</v>
      </c>
      <c r="AQ84" s="25">
        <f>VLOOKUP($R84,武学奇术!$A:$ZZ,29,FALSE)*(1+IF(OR($AM84=$F$4,$AM84=$F$5),$B$22,0))</f>
        <v>383.04</v>
      </c>
      <c r="AR84" s="24" cm="1">
        <f t="array" ref="AR84">$G$3+IFERROR(VLOOKUP($AM84,$F$4:$G$7,2,FALSE),0)+VLOOKUP($R84,武学奇术!$A:$ZZ,2,FALSE)+SUM(_xlfn.XLOOKUP($S84:$AL84,增益!$A:$A,增益!$B:$B,0))</f>
        <v>0.3743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4302.6</v>
      </c>
      <c r="AU84" cm="1">
        <f t="array" ref="AU84">$E$10*(1+$AS84)+VLOOKUP($R84,武学奇术!$A:$ZZ,4,FALSE)+SUM(_xlfn.XLOOKUP($S84:$AL84,增益!$A:$A,增益!$D:$D,0))-$I$2</f>
        <v>4302.6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0.3185</v>
      </c>
      <c r="AW84" s="31" cm="1">
        <f t="array" ref="AW84">$G$10+VLOOKUP($R84,武学奇术!$A:$ZZ,7,FALSE)+SUM(_xlfn.XLOOKUP($S84:$AL84,增益!$A:$A,增益!$G:$G,0))</f>
        <v>0.135</v>
      </c>
      <c r="AX84" s="24" cm="1">
        <f t="array" ref="AX84">VLOOKUP($R84,武学奇术!$A:$ZZ,8,FALSE)+SUM(_xlfn.XLOOKUP($S84:$AL84,增益!$A:$A,增益!$H:$H,0))</f>
        <v>0</v>
      </c>
      <c r="AY84">
        <f t="shared" si="15"/>
        <v>0</v>
      </c>
      <c r="AZ84">
        <f t="shared" si="16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31" cm="1">
        <f t="array" ref="BB84">$G$11+VLOOKUP($R84,武学奇术!$A:$ZZ,10,FALSE)+SUM(_xlfn.XLOOKUP($S84:$AL84,增益!$A:$A,增益!$J:$J,0))</f>
        <v>0.02</v>
      </c>
      <c r="BC84">
        <f t="shared" si="17"/>
        <v>0</v>
      </c>
      <c r="BD84">
        <f t="shared" si="18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31" cm="1">
        <f t="array" ref="BF84">$G$12+VLOOKUP($R84,武学奇术!$A:$ZZ,12,FALSE)+SUM(_xlfn.XLOOKUP($S84:$AL84,增益!$A:$A,增益!$L:$L,0))</f>
        <v>0.02</v>
      </c>
      <c r="BG84">
        <f t="shared" si="19"/>
        <v>0</v>
      </c>
      <c r="BH84">
        <f t="shared" si="20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31" cm="1">
        <f t="array" ref="BJ84">$G$13+VLOOKUP($R84,武学奇术!$A:$ZZ,14,FALSE)+SUM(_xlfn.XLOOKUP($S84:$AL84,增益!$A:$A,增益!$N:$N,0))</f>
        <v>0.02</v>
      </c>
      <c r="BK84">
        <f t="shared" si="21"/>
        <v>649.11</v>
      </c>
      <c r="BL84">
        <f t="shared" si="22"/>
        <v>1707.09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0.9771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0.8861</v>
      </c>
      <c r="BQ84" s="24" cm="1">
        <f t="array" ref="BQ84">1+$B$13+VLOOKUP($R84,武学奇术!$A:$ZZ,18,FALSE)+SUM(_xlfn.XLOOKUP($S84:$AL84,增益!$A:$A,增益!$R:$R,0))</f>
        <v>1.99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3"/>
        <v>0.86580831</v>
      </c>
      <c r="BU84" s="24">
        <f t="shared" si="24"/>
        <v>0.0220824599999999</v>
      </c>
      <c r="BV84" s="24">
        <f>IF(VLOOKUP($R84,武学奇术!$A:$ZZ,22,FALSE)=1,0,(1-$BO84))*(1-$BR84)</f>
        <v>0.02080923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A85" s="4"/>
      <c r="B85" s="4"/>
      <c r="K85" s="37">
        <f>$L85*VLOOKUP($R85,武学奇术!$A:$ZZ,31,FALSE)</f>
        <v>31626.7252508923</v>
      </c>
      <c r="L85" s="37">
        <f t="shared" si="25"/>
        <v>31626.7252508923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33119.4814591182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24924.7225586518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16642.9555070946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14823.1535633359</v>
      </c>
      <c r="Q85" s="38">
        <v>1</v>
      </c>
      <c r="R85" s="39" t="s">
        <v>126</v>
      </c>
      <c r="S85" s="39" t="s">
        <v>106</v>
      </c>
      <c r="T85" s="39" t="s">
        <v>189</v>
      </c>
      <c r="U85" s="39" t="s">
        <v>89</v>
      </c>
      <c r="V85" s="39" t="s">
        <v>90</v>
      </c>
      <c r="W85" s="39" t="s">
        <v>91</v>
      </c>
      <c r="X85" s="39" t="s">
        <v>80</v>
      </c>
      <c r="Y85" s="39" t="s">
        <v>80</v>
      </c>
      <c r="Z85" s="39" t="s">
        <v>80</v>
      </c>
      <c r="AA85" s="39" t="s">
        <v>80</v>
      </c>
      <c r="AB85" s="39" t="s">
        <v>203</v>
      </c>
      <c r="AC85" s="39" t="s">
        <v>80</v>
      </c>
      <c r="AD85" s="39" t="s">
        <v>80</v>
      </c>
      <c r="AE85" s="39" t="s">
        <v>80</v>
      </c>
      <c r="AF85" s="39" t="s">
        <v>84</v>
      </c>
      <c r="AG85" s="39" t="s">
        <v>80</v>
      </c>
      <c r="AH85" s="39" t="s">
        <v>80</v>
      </c>
      <c r="AI85" s="39" t="s">
        <v>80</v>
      </c>
      <c r="AJ85" s="39" t="s">
        <v>80</v>
      </c>
      <c r="AK85" s="39" t="s">
        <v>80</v>
      </c>
      <c r="AL85" s="39" t="s">
        <v>80</v>
      </c>
      <c r="AM85" t="str">
        <f>VLOOKUP($R85,武学奇术!$A:$ZZ,25,FALSE)</f>
        <v>拳甲</v>
      </c>
      <c r="AN85" s="24">
        <f>VLOOKUP($R85,武学奇术!$A:$ZZ,26,FALSE)</f>
        <v>1.08472</v>
      </c>
      <c r="AO85" s="25">
        <f>VLOOKUP($R85,武学奇术!$A:$ZZ,27,FALSE)*(1+IF(OR($AM85=$F$4,$AM85=$F$5),$B$22,0))</f>
        <v>483.84</v>
      </c>
      <c r="AP85" s="24">
        <f>VLOOKUP($R85,武学奇术!$A:$ZZ,28,FALSE)</f>
        <v>1.62708</v>
      </c>
      <c r="AQ85" s="25">
        <f>VLOOKUP($R85,武学奇术!$A:$ZZ,29,FALSE)*(1+IF(OR($AM85=$F$4,$AM85=$F$5),$B$22,0))</f>
        <v>262.08</v>
      </c>
      <c r="AR85" s="24" cm="1">
        <f t="array" ref="AR85">$G$3+IFERROR(VLOOKUP($AM85,$F$4:$G$7,2,FALSE),0)+VLOOKUP($R85,武学奇术!$A:$ZZ,2,FALSE)+SUM(_xlfn.XLOOKUP($S85:$AL85,增益!$A:$A,增益!$B:$B,0))</f>
        <v>0.3743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4302.6</v>
      </c>
      <c r="AU85" cm="1">
        <f t="array" ref="AU85">$E$10*(1+$AS85)+VLOOKUP($R85,武学奇术!$A:$ZZ,4,FALSE)+SUM(_xlfn.XLOOKUP($S85:$AL85,增益!$A:$A,增益!$D:$D,0))-$I$2</f>
        <v>4302.6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0.3185</v>
      </c>
      <c r="AW85" s="31" cm="1">
        <f t="array" ref="AW85">$G$10+VLOOKUP($R85,武学奇术!$A:$ZZ,7,FALSE)+SUM(_xlfn.XLOOKUP($S85:$AL85,增益!$A:$A,增益!$G:$G,0))</f>
        <v>0.135</v>
      </c>
      <c r="AX85" s="24" cm="1">
        <f t="array" ref="AX85">VLOOKUP($R85,武学奇术!$A:$ZZ,8,FALSE)+SUM(_xlfn.XLOOKUP($S85:$AL85,增益!$A:$A,增益!$H:$H,0))</f>
        <v>0</v>
      </c>
      <c r="AY85">
        <f t="shared" si="15"/>
        <v>0</v>
      </c>
      <c r="AZ85">
        <f t="shared" si="16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31" cm="1">
        <f t="array" ref="BB85">$G$11+VLOOKUP($R85,武学奇术!$A:$ZZ,10,FALSE)+SUM(_xlfn.XLOOKUP($S85:$AL85,增益!$A:$A,增益!$J:$J,0))</f>
        <v>0.02</v>
      </c>
      <c r="BC85">
        <f t="shared" si="17"/>
        <v>0</v>
      </c>
      <c r="BD85">
        <f t="shared" si="18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31" cm="1">
        <f t="array" ref="BF85">$G$12+VLOOKUP($R85,武学奇术!$A:$ZZ,12,FALSE)+SUM(_xlfn.XLOOKUP($S85:$AL85,增益!$A:$A,增益!$L:$L,0))</f>
        <v>0.02</v>
      </c>
      <c r="BG85">
        <f t="shared" si="19"/>
        <v>0</v>
      </c>
      <c r="BH85">
        <f t="shared" si="20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31" cm="1">
        <f t="array" ref="BJ85">$G$13+VLOOKUP($R85,武学奇术!$A:$ZZ,14,FALSE)+SUM(_xlfn.XLOOKUP($S85:$AL85,增益!$A:$A,增益!$N:$N,0))</f>
        <v>0.02</v>
      </c>
      <c r="BK85">
        <f t="shared" si="21"/>
        <v>649.11</v>
      </c>
      <c r="BL85">
        <f t="shared" si="22"/>
        <v>1707.09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0.9771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0.8861</v>
      </c>
      <c r="BQ85" s="24" cm="1">
        <f t="array" ref="BQ85">1+$B$13+VLOOKUP($R85,武学奇术!$A:$ZZ,18,FALSE)+SUM(_xlfn.XLOOKUP($S85:$AL85,增益!$A:$A,增益!$R:$R,0))</f>
        <v>1.99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3"/>
        <v>0.86580831</v>
      </c>
      <c r="BU85" s="24">
        <f t="shared" si="24"/>
        <v>0.0220824599999999</v>
      </c>
      <c r="BV85" s="24">
        <f>IF(VLOOKUP($R85,武学奇术!$A:$ZZ,22,FALSE)=1,0,(1-$BO85))*(1-$BR85)</f>
        <v>0.02080923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K86" s="37">
        <f>$L86*VLOOKUP($R86,武学奇术!$A:$ZZ,31,FALSE)</f>
        <v>76565.3605682429</v>
      </c>
      <c r="L86" s="37">
        <f t="shared" si="25"/>
        <v>47853.3503551518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49405.6740787012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43075.0020720008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28394.065562472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24880.7221827212</v>
      </c>
      <c r="Q86" s="38">
        <v>1</v>
      </c>
      <c r="R86" s="39" t="s">
        <v>128</v>
      </c>
      <c r="S86" s="39" t="s">
        <v>106</v>
      </c>
      <c r="T86" s="39" t="s">
        <v>189</v>
      </c>
      <c r="U86" s="39" t="s">
        <v>89</v>
      </c>
      <c r="V86" s="39" t="s">
        <v>129</v>
      </c>
      <c r="W86" s="39" t="s">
        <v>91</v>
      </c>
      <c r="X86" s="39" t="s">
        <v>80</v>
      </c>
      <c r="Y86" s="39" t="s">
        <v>80</v>
      </c>
      <c r="Z86" s="39" t="s">
        <v>80</v>
      </c>
      <c r="AA86" s="39" t="s">
        <v>80</v>
      </c>
      <c r="AB86" s="39" t="s">
        <v>203</v>
      </c>
      <c r="AC86" s="39" t="s">
        <v>80</v>
      </c>
      <c r="AD86" s="39" t="s">
        <v>80</v>
      </c>
      <c r="AE86" s="39" t="s">
        <v>80</v>
      </c>
      <c r="AF86" s="39" t="s">
        <v>84</v>
      </c>
      <c r="AG86" s="39" t="s">
        <v>80</v>
      </c>
      <c r="AH86" s="39" t="s">
        <v>80</v>
      </c>
      <c r="AI86" s="39" t="s">
        <v>80</v>
      </c>
      <c r="AJ86" s="39" t="s">
        <v>80</v>
      </c>
      <c r="AK86" s="39" t="s">
        <v>80</v>
      </c>
      <c r="AL86" s="39" t="s">
        <v>80</v>
      </c>
      <c r="AM86" t="str">
        <f>VLOOKUP($R86,武学奇术!$A:$ZZ,25,FALSE)</f>
        <v>拳甲</v>
      </c>
      <c r="AN86" s="24">
        <f>VLOOKUP($R86,武学奇术!$A:$ZZ,26,FALSE)</f>
        <v>2.173248</v>
      </c>
      <c r="AO86" s="25">
        <f>VLOOKUP($R86,武学奇术!$A:$ZZ,27,FALSE)*(1+IF(OR($AM86=$F$4,$AM86=$F$5),$B$22,0))</f>
        <v>0</v>
      </c>
      <c r="AP86" s="24">
        <f>VLOOKUP($R86,武学奇术!$A:$ZZ,28,FALSE)</f>
        <v>3.259872</v>
      </c>
      <c r="AQ86" s="25">
        <f>VLOOKUP($R86,武学奇术!$A:$ZZ,29,FALSE)*(1+IF(OR($AM86=$F$4,$AM86=$F$5),$B$22,0))</f>
        <v>0</v>
      </c>
      <c r="AR86" s="24" cm="1">
        <f t="array" ref="AR86">$G$3+IFERROR(VLOOKUP($AM86,$F$4:$G$7,2,FALSE),0)+VLOOKUP($R86,武学奇术!$A:$ZZ,2,FALSE)+SUM(_xlfn.XLOOKUP($S86:$AL86,增益!$A:$A,增益!$B:$B,0))</f>
        <v>0.3243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4302.6</v>
      </c>
      <c r="AU86" cm="1">
        <f t="array" ref="AU86">$E$10*(1+$AS86)+VLOOKUP($R86,武学奇术!$A:$ZZ,4,FALSE)+SUM(_xlfn.XLOOKUP($S86:$AL86,增益!$A:$A,增益!$D:$D,0))-$I$2</f>
        <v>4302.6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0.3185</v>
      </c>
      <c r="AW86" s="31" cm="1">
        <f t="array" ref="AW86">$G$10+VLOOKUP($R86,武学奇术!$A:$ZZ,7,FALSE)+SUM(_xlfn.XLOOKUP($S86:$AL86,增益!$A:$A,增益!$G:$G,0))</f>
        <v>0.135</v>
      </c>
      <c r="AX86" s="24" cm="1">
        <f t="array" ref="AX86">VLOOKUP($R86,武学奇术!$A:$ZZ,8,FALSE)+SUM(_xlfn.XLOOKUP($S86:$AL86,增益!$A:$A,增益!$H:$H,0))</f>
        <v>0</v>
      </c>
      <c r="AY86">
        <f t="shared" si="15"/>
        <v>0</v>
      </c>
      <c r="AZ86">
        <f t="shared" si="16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31" cm="1">
        <f t="array" ref="BB86">$G$11+VLOOKUP($R86,武学奇术!$A:$ZZ,10,FALSE)+SUM(_xlfn.XLOOKUP($S86:$AL86,增益!$A:$A,增益!$J:$J,0))</f>
        <v>0.02</v>
      </c>
      <c r="BC86">
        <f t="shared" si="17"/>
        <v>0</v>
      </c>
      <c r="BD86">
        <f t="shared" si="18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31" cm="1">
        <f t="array" ref="BF86">$G$12+VLOOKUP($R86,武学奇术!$A:$ZZ,12,FALSE)+SUM(_xlfn.XLOOKUP($S86:$AL86,增益!$A:$A,增益!$L:$L,0))</f>
        <v>0.02</v>
      </c>
      <c r="BG86">
        <f t="shared" si="19"/>
        <v>0</v>
      </c>
      <c r="BH86">
        <f t="shared" si="20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31" cm="1">
        <f t="array" ref="BJ86">$G$13+VLOOKUP($R86,武学奇术!$A:$ZZ,14,FALSE)+SUM(_xlfn.XLOOKUP($S86:$AL86,增益!$A:$A,增益!$N:$N,0))</f>
        <v>0.02</v>
      </c>
      <c r="BK86">
        <f t="shared" si="21"/>
        <v>649.11</v>
      </c>
      <c r="BL86">
        <f t="shared" si="22"/>
        <v>1707.09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0.9771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0.8861</v>
      </c>
      <c r="BQ86" s="24" cm="1">
        <f t="array" ref="BQ86">1+$B$13+VLOOKUP($R86,武学奇术!$A:$ZZ,18,FALSE)+SUM(_xlfn.XLOOKUP($S86:$AL86,增益!$A:$A,增益!$R:$R,0))</f>
        <v>1.74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3"/>
        <v>0.86580831</v>
      </c>
      <c r="BU86" s="24">
        <f t="shared" si="24"/>
        <v>0.0220824599999999</v>
      </c>
      <c r="BV86" s="24">
        <f>IF(VLOOKUP($R86,武学奇术!$A:$ZZ,22,FALSE)=1,0,(1-$BO86))*(1-$BR86)</f>
        <v>0.02080923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K87" s="37">
        <f>$L87*VLOOKUP($R87,武学奇术!$A:$ZZ,31,FALSE)</f>
        <v>307136.971779854</v>
      </c>
      <c r="L87" s="37">
        <f t="shared" si="25"/>
        <v>307136.971779854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321993.073815964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236392.983802264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157839.742066649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140573.570205695</v>
      </c>
      <c r="Q87" s="38">
        <v>1</v>
      </c>
      <c r="R87" s="39" t="s">
        <v>132</v>
      </c>
      <c r="S87" s="39" t="s">
        <v>106</v>
      </c>
      <c r="T87" s="39" t="s">
        <v>189</v>
      </c>
      <c r="U87" s="39" t="s">
        <v>89</v>
      </c>
      <c r="V87" s="39" t="s">
        <v>129</v>
      </c>
      <c r="W87" s="39" t="s">
        <v>91</v>
      </c>
      <c r="X87" s="39" t="s">
        <v>80</v>
      </c>
      <c r="Y87" s="39" t="s">
        <v>80</v>
      </c>
      <c r="Z87" s="39" t="s">
        <v>80</v>
      </c>
      <c r="AA87" s="39" t="s">
        <v>80</v>
      </c>
      <c r="AB87" s="39" t="s">
        <v>203</v>
      </c>
      <c r="AC87" s="39" t="s">
        <v>80</v>
      </c>
      <c r="AD87" s="39" t="s">
        <v>80</v>
      </c>
      <c r="AE87" s="39" t="s">
        <v>80</v>
      </c>
      <c r="AF87" s="39" t="s">
        <v>84</v>
      </c>
      <c r="AG87" s="39" t="s">
        <v>80</v>
      </c>
      <c r="AH87" s="39" t="s">
        <v>80</v>
      </c>
      <c r="AI87" s="39" t="s">
        <v>80</v>
      </c>
      <c r="AJ87" s="39" t="s">
        <v>80</v>
      </c>
      <c r="AK87" s="39" t="s">
        <v>80</v>
      </c>
      <c r="AL87" s="39" t="s">
        <v>80</v>
      </c>
      <c r="AM87" t="str">
        <f>VLOOKUP($R87,武学奇术!$A:$ZZ,25,FALSE)</f>
        <v>拳甲</v>
      </c>
      <c r="AN87" s="24">
        <f>VLOOKUP($R87,武学奇术!$A:$ZZ,26,FALSE)</f>
        <v>7.79674</v>
      </c>
      <c r="AO87" s="25">
        <f>VLOOKUP($R87,武学奇术!$A:$ZZ,27,FALSE)*(1+IF(OR($AM87=$F$4,$AM87=$F$5),$B$22,0))</f>
        <v>3458.56</v>
      </c>
      <c r="AP87" s="24">
        <f>VLOOKUP($R87,武学奇术!$A:$ZZ,28,FALSE)</f>
        <v>11.69518</v>
      </c>
      <c r="AQ87" s="25">
        <f>VLOOKUP($R87,武学奇术!$A:$ZZ,29,FALSE)*(1+IF(OR($AM87=$F$4,$AM87=$F$5),$B$22,0))</f>
        <v>1881.6</v>
      </c>
      <c r="AR87" s="24" cm="1">
        <f t="array" ref="AR87">$G$3+IFERROR(VLOOKUP($AM87,$F$4:$G$7,2,FALSE),0)+VLOOKUP($R87,武学奇术!$A:$ZZ,2,FALSE)+SUM(_xlfn.XLOOKUP($S87:$AL87,增益!$A:$A,增益!$B:$B,0))</f>
        <v>0.3743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4302.6</v>
      </c>
      <c r="AU87" cm="1">
        <f t="array" ref="AU87">$E$10*(1+$AS87)+VLOOKUP($R87,武学奇术!$A:$ZZ,4,FALSE)+SUM(_xlfn.XLOOKUP($S87:$AL87,增益!$A:$A,增益!$D:$D,0))-$I$2</f>
        <v>4302.6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0.3185</v>
      </c>
      <c r="AW87" s="31" cm="1">
        <f t="array" ref="AW87">$G$10+VLOOKUP($R87,武学奇术!$A:$ZZ,7,FALSE)+SUM(_xlfn.XLOOKUP($S87:$AL87,增益!$A:$A,增益!$G:$G,0))</f>
        <v>0.135</v>
      </c>
      <c r="AX87" s="24" cm="1">
        <f t="array" ref="AX87">VLOOKUP($R87,武学奇术!$A:$ZZ,8,FALSE)+SUM(_xlfn.XLOOKUP($S87:$AL87,增益!$A:$A,增益!$H:$H,0))</f>
        <v>0</v>
      </c>
      <c r="AY87">
        <f t="shared" si="15"/>
        <v>0</v>
      </c>
      <c r="AZ87">
        <f t="shared" si="16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31" cm="1">
        <f t="array" ref="BB87">$G$11+VLOOKUP($R87,武学奇术!$A:$ZZ,10,FALSE)+SUM(_xlfn.XLOOKUP($S87:$AL87,增益!$A:$A,增益!$J:$J,0))</f>
        <v>0.02</v>
      </c>
      <c r="BC87">
        <f t="shared" si="17"/>
        <v>0</v>
      </c>
      <c r="BD87">
        <f t="shared" si="18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31" cm="1">
        <f t="array" ref="BF87">$G$12+VLOOKUP($R87,武学奇术!$A:$ZZ,12,FALSE)+SUM(_xlfn.XLOOKUP($S87:$AL87,增益!$A:$A,增益!$L:$L,0))</f>
        <v>0.02</v>
      </c>
      <c r="BG87">
        <f t="shared" si="19"/>
        <v>0</v>
      </c>
      <c r="BH87">
        <f t="shared" si="20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31" cm="1">
        <f t="array" ref="BJ87">$G$13+VLOOKUP($R87,武学奇术!$A:$ZZ,14,FALSE)+SUM(_xlfn.XLOOKUP($S87:$AL87,增益!$A:$A,增益!$N:$N,0))</f>
        <v>0.02</v>
      </c>
      <c r="BK87">
        <f t="shared" si="21"/>
        <v>649.11</v>
      </c>
      <c r="BL87">
        <f t="shared" si="22"/>
        <v>1707.09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0.9771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0.8861</v>
      </c>
      <c r="BQ87" s="24" cm="1">
        <f t="array" ref="BQ87">1+$B$13+VLOOKUP($R87,武学奇术!$A:$ZZ,18,FALSE)+SUM(_xlfn.XLOOKUP($S87:$AL87,增益!$A:$A,增益!$R:$R,0))</f>
        <v>2.04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3"/>
        <v>0.86580831</v>
      </c>
      <c r="BU87" s="24">
        <f t="shared" si="24"/>
        <v>0.0428916899999999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s="4"/>
      <c r="B88" s="90"/>
      <c r="K88" s="37">
        <f>$L88*VLOOKUP($R88,武学奇术!$A:$ZZ,31,FALSE)</f>
        <v>307136.971779854</v>
      </c>
      <c r="L88" s="37">
        <f t="shared" si="25"/>
        <v>307136.971779854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321993.073815964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236392.983802264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157839.742066649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140573.570205695</v>
      </c>
      <c r="Q88" s="38">
        <v>1</v>
      </c>
      <c r="R88" s="39" t="s">
        <v>132</v>
      </c>
      <c r="S88" s="39" t="s">
        <v>106</v>
      </c>
      <c r="T88" s="39" t="s">
        <v>189</v>
      </c>
      <c r="U88" s="39" t="s">
        <v>89</v>
      </c>
      <c r="V88" s="39" t="s">
        <v>129</v>
      </c>
      <c r="W88" s="39" t="s">
        <v>91</v>
      </c>
      <c r="X88" s="39" t="s">
        <v>80</v>
      </c>
      <c r="Y88" s="39" t="s">
        <v>80</v>
      </c>
      <c r="Z88" s="39" t="s">
        <v>80</v>
      </c>
      <c r="AA88" s="39" t="s">
        <v>80</v>
      </c>
      <c r="AB88" s="39" t="s">
        <v>203</v>
      </c>
      <c r="AC88" s="39" t="s">
        <v>80</v>
      </c>
      <c r="AD88" s="39" t="s">
        <v>80</v>
      </c>
      <c r="AE88" s="39" t="s">
        <v>80</v>
      </c>
      <c r="AF88" s="39" t="s">
        <v>84</v>
      </c>
      <c r="AG88" s="39" t="s">
        <v>80</v>
      </c>
      <c r="AH88" s="39" t="s">
        <v>80</v>
      </c>
      <c r="AI88" s="39" t="s">
        <v>80</v>
      </c>
      <c r="AJ88" s="39" t="s">
        <v>80</v>
      </c>
      <c r="AK88" s="39" t="s">
        <v>80</v>
      </c>
      <c r="AL88" s="39" t="s">
        <v>80</v>
      </c>
      <c r="AM88" t="str">
        <f>VLOOKUP($R88,武学奇术!$A:$ZZ,25,FALSE)</f>
        <v>拳甲</v>
      </c>
      <c r="AN88" s="24">
        <f>VLOOKUP($R88,武学奇术!$A:$ZZ,26,FALSE)</f>
        <v>7.79674</v>
      </c>
      <c r="AO88" s="25">
        <f>VLOOKUP($R88,武学奇术!$A:$ZZ,27,FALSE)*(1+IF(OR($AM88=$F$4,$AM88=$F$5),$B$22,0))</f>
        <v>3458.56</v>
      </c>
      <c r="AP88" s="24">
        <f>VLOOKUP($R88,武学奇术!$A:$ZZ,28,FALSE)</f>
        <v>11.69518</v>
      </c>
      <c r="AQ88" s="25">
        <f>VLOOKUP($R88,武学奇术!$A:$ZZ,29,FALSE)*(1+IF(OR($AM88=$F$4,$AM88=$F$5),$B$22,0))</f>
        <v>1881.6</v>
      </c>
      <c r="AR88" s="24" cm="1">
        <f t="array" ref="AR88">$G$3+IFERROR(VLOOKUP($AM88,$F$4:$G$7,2,FALSE),0)+VLOOKUP($R88,武学奇术!$A:$ZZ,2,FALSE)+SUM(_xlfn.XLOOKUP($S88:$AL88,增益!$A:$A,增益!$B:$B,0))</f>
        <v>0.3743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4302.6</v>
      </c>
      <c r="AU88" cm="1">
        <f t="array" ref="AU88">$E$10*(1+$AS88)+VLOOKUP($R88,武学奇术!$A:$ZZ,4,FALSE)+SUM(_xlfn.XLOOKUP($S88:$AL88,增益!$A:$A,增益!$D:$D,0))-$I$2</f>
        <v>4302.6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0.3185</v>
      </c>
      <c r="AW88" s="31" cm="1">
        <f t="array" ref="AW88">$G$10+VLOOKUP($R88,武学奇术!$A:$ZZ,7,FALSE)+SUM(_xlfn.XLOOKUP($S88:$AL88,增益!$A:$A,增益!$G:$G,0))</f>
        <v>0.135</v>
      </c>
      <c r="AX88" s="24" cm="1">
        <f t="array" ref="AX88">VLOOKUP($R88,武学奇术!$A:$ZZ,8,FALSE)+SUM(_xlfn.XLOOKUP($S88:$AL88,增益!$A:$A,增益!$H:$H,0))</f>
        <v>0</v>
      </c>
      <c r="AY88">
        <f t="shared" si="15"/>
        <v>0</v>
      </c>
      <c r="AZ88">
        <f t="shared" si="16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</v>
      </c>
      <c r="BB88" s="31" cm="1">
        <f t="array" ref="BB88">$G$11+VLOOKUP($R88,武学奇术!$A:$ZZ,10,FALSE)+SUM(_xlfn.XLOOKUP($S88:$AL88,增益!$A:$A,增益!$J:$J,0))</f>
        <v>0.02</v>
      </c>
      <c r="BC88">
        <f t="shared" si="17"/>
        <v>0</v>
      </c>
      <c r="BD88">
        <f t="shared" si="18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</v>
      </c>
      <c r="BF88" s="31" cm="1">
        <f t="array" ref="BF88">$G$12+VLOOKUP($R88,武学奇术!$A:$ZZ,12,FALSE)+SUM(_xlfn.XLOOKUP($S88:$AL88,增益!$A:$A,增益!$L:$L,0))</f>
        <v>0.02</v>
      </c>
      <c r="BG88">
        <f t="shared" si="19"/>
        <v>0</v>
      </c>
      <c r="BH88">
        <f t="shared" si="20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</v>
      </c>
      <c r="BJ88" s="31" cm="1">
        <f t="array" ref="BJ88">$G$13+VLOOKUP($R88,武学奇术!$A:$ZZ,14,FALSE)+SUM(_xlfn.XLOOKUP($S88:$AL88,增益!$A:$A,增益!$N:$N,0))</f>
        <v>0.02</v>
      </c>
      <c r="BK88">
        <f t="shared" si="21"/>
        <v>649.11</v>
      </c>
      <c r="BL88">
        <f t="shared" si="22"/>
        <v>1707.09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0.9771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0.8861</v>
      </c>
      <c r="BQ88" s="24" cm="1">
        <f t="array" ref="BQ88">1+$B$13+VLOOKUP($R88,武学奇术!$A:$ZZ,18,FALSE)+SUM(_xlfn.XLOOKUP($S88:$AL88,增益!$A:$A,增益!$R:$R,0))</f>
        <v>2.04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3"/>
        <v>0.86580831</v>
      </c>
      <c r="BU88" s="24">
        <f t="shared" si="24"/>
        <v>0.0428916899999999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s="4"/>
      <c r="B89" s="4"/>
      <c r="K89" s="37">
        <f>$L89*VLOOKUP($R89,武学奇术!$A:$ZZ,31,FALSE)</f>
        <v>307136.971779854</v>
      </c>
      <c r="L89" s="37">
        <f t="shared" si="25"/>
        <v>307136.971779854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321993.073815964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236392.983802264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157839.742066649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140573.570205695</v>
      </c>
      <c r="Q89" s="38">
        <v>1</v>
      </c>
      <c r="R89" s="39" t="s">
        <v>132</v>
      </c>
      <c r="S89" s="39" t="s">
        <v>106</v>
      </c>
      <c r="T89" s="39" t="s">
        <v>189</v>
      </c>
      <c r="U89" s="39" t="s">
        <v>89</v>
      </c>
      <c r="V89" s="39" t="s">
        <v>129</v>
      </c>
      <c r="W89" s="39" t="s">
        <v>91</v>
      </c>
      <c r="X89" s="39" t="s">
        <v>80</v>
      </c>
      <c r="Y89" s="39" t="s">
        <v>80</v>
      </c>
      <c r="Z89" s="39" t="s">
        <v>80</v>
      </c>
      <c r="AA89" s="39" t="s">
        <v>80</v>
      </c>
      <c r="AB89" s="39" t="s">
        <v>203</v>
      </c>
      <c r="AC89" s="39" t="s">
        <v>80</v>
      </c>
      <c r="AD89" s="39" t="s">
        <v>80</v>
      </c>
      <c r="AE89" s="39" t="s">
        <v>80</v>
      </c>
      <c r="AF89" s="39" t="s">
        <v>84</v>
      </c>
      <c r="AG89" s="39" t="s">
        <v>80</v>
      </c>
      <c r="AH89" s="39" t="s">
        <v>80</v>
      </c>
      <c r="AI89" s="39" t="s">
        <v>80</v>
      </c>
      <c r="AJ89" s="39" t="s">
        <v>80</v>
      </c>
      <c r="AK89" s="39" t="s">
        <v>80</v>
      </c>
      <c r="AL89" s="39" t="s">
        <v>80</v>
      </c>
      <c r="AM89" t="str">
        <f>VLOOKUP($R89,武学奇术!$A:$ZZ,25,FALSE)</f>
        <v>拳甲</v>
      </c>
      <c r="AN89" s="24">
        <f>VLOOKUP($R89,武学奇术!$A:$ZZ,26,FALSE)</f>
        <v>7.79674</v>
      </c>
      <c r="AO89" s="25">
        <f>VLOOKUP($R89,武学奇术!$A:$ZZ,27,FALSE)*(1+IF(OR($AM89=$F$4,$AM89=$F$5),$B$22,0))</f>
        <v>3458.56</v>
      </c>
      <c r="AP89" s="24">
        <f>VLOOKUP($R89,武学奇术!$A:$ZZ,28,FALSE)</f>
        <v>11.69518</v>
      </c>
      <c r="AQ89" s="25">
        <f>VLOOKUP($R89,武学奇术!$A:$ZZ,29,FALSE)*(1+IF(OR($AM89=$F$4,$AM89=$F$5),$B$22,0))</f>
        <v>1881.6</v>
      </c>
      <c r="AR89" s="24" cm="1">
        <f t="array" ref="AR89">$G$3+IFERROR(VLOOKUP($AM89,$F$4:$G$7,2,FALSE),0)+VLOOKUP($R89,武学奇术!$A:$ZZ,2,FALSE)+SUM(_xlfn.XLOOKUP($S89:$AL89,增益!$A:$A,增益!$B:$B,0))</f>
        <v>0.3743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4302.6</v>
      </c>
      <c r="AU89" cm="1">
        <f t="array" ref="AU89">$E$10*(1+$AS89)+VLOOKUP($R89,武学奇术!$A:$ZZ,4,FALSE)+SUM(_xlfn.XLOOKUP($S89:$AL89,增益!$A:$A,增益!$D:$D,0))-$I$2</f>
        <v>4302.6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0.3185</v>
      </c>
      <c r="AW89" s="31" cm="1">
        <f t="array" ref="AW89">$G$10+VLOOKUP($R89,武学奇术!$A:$ZZ,7,FALSE)+SUM(_xlfn.XLOOKUP($S89:$AL89,增益!$A:$A,增益!$G:$G,0))</f>
        <v>0.135</v>
      </c>
      <c r="AX89" s="24" cm="1">
        <f t="array" ref="AX89">VLOOKUP($R89,武学奇术!$A:$ZZ,8,FALSE)+SUM(_xlfn.XLOOKUP($S89:$AL89,增益!$A:$A,增益!$H:$H,0))</f>
        <v>0</v>
      </c>
      <c r="AY89">
        <f t="shared" si="15"/>
        <v>0</v>
      </c>
      <c r="AZ89">
        <f t="shared" si="16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</v>
      </c>
      <c r="BB89" s="31" cm="1">
        <f t="array" ref="BB89">$G$11+VLOOKUP($R89,武学奇术!$A:$ZZ,10,FALSE)+SUM(_xlfn.XLOOKUP($S89:$AL89,增益!$A:$A,增益!$J:$J,0))</f>
        <v>0.02</v>
      </c>
      <c r="BC89">
        <f t="shared" si="17"/>
        <v>0</v>
      </c>
      <c r="BD89">
        <f t="shared" si="18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</v>
      </c>
      <c r="BF89" s="31" cm="1">
        <f t="array" ref="BF89">$G$12+VLOOKUP($R89,武学奇术!$A:$ZZ,12,FALSE)+SUM(_xlfn.XLOOKUP($S89:$AL89,增益!$A:$A,增益!$L:$L,0))</f>
        <v>0.02</v>
      </c>
      <c r="BG89">
        <f t="shared" si="19"/>
        <v>0</v>
      </c>
      <c r="BH89">
        <f t="shared" si="20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</v>
      </c>
      <c r="BJ89" s="31" cm="1">
        <f t="array" ref="BJ89">$G$13+VLOOKUP($R89,武学奇术!$A:$ZZ,14,FALSE)+SUM(_xlfn.XLOOKUP($S89:$AL89,增益!$A:$A,增益!$N:$N,0))</f>
        <v>0.02</v>
      </c>
      <c r="BK89">
        <f t="shared" si="21"/>
        <v>649.11</v>
      </c>
      <c r="BL89">
        <f t="shared" si="22"/>
        <v>1707.09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</v>
      </c>
      <c r="BN89" s="31" cm="1">
        <f t="array" ref="BN89">$G$14+VLOOKUP($R89,武学奇术!$A:$ZZ,16,FALSE)+SUM(_xlfn.XLOOKUP($S89:$AL89,增益!$A:$A,增益!$P:$P,0))</f>
        <v>0.26</v>
      </c>
      <c r="BO89" s="24">
        <f>MIN(IF(VLOOKUP($R89,武学奇术!$A:$ZZ,23,FALSE)=1,100%,$B$8),100%)</f>
        <v>0.9771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0.8861</v>
      </c>
      <c r="BQ89" s="24" cm="1">
        <f t="array" ref="BQ89">1+$B$13+VLOOKUP($R89,武学奇术!$A:$ZZ,18,FALSE)+SUM(_xlfn.XLOOKUP($S89:$AL89,增益!$A:$A,增益!$R:$R,0))</f>
        <v>2.04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3"/>
        <v>0.86580831</v>
      </c>
      <c r="BU89" s="24">
        <f t="shared" si="24"/>
        <v>0.0428916899999999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0.11</v>
      </c>
      <c r="BX89" s="24" cm="1">
        <f t="array" ref="BX89">SUM(_xlfn.XLOOKUP($S89:$AL89,增益!$A:$A,增益!$X:$X,0))</f>
        <v>0</v>
      </c>
    </row>
    <row r="90" spans="1:76">
      <c r="A90" s="4"/>
      <c r="B90" s="4"/>
      <c r="K90" s="37">
        <f>$L90*VLOOKUP($R90,武学奇术!$A:$ZZ,31,FALSE)</f>
        <v>168665.595531298</v>
      </c>
      <c r="L90" s="37">
        <f t="shared" si="25"/>
        <v>168665.595531298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176823.570948407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129819.310110954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86678.2210531407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77193.9901722414</v>
      </c>
      <c r="Q90" s="38">
        <v>1</v>
      </c>
      <c r="R90" s="39" t="s">
        <v>156</v>
      </c>
      <c r="S90" s="39" t="s">
        <v>106</v>
      </c>
      <c r="T90" s="39" t="s">
        <v>189</v>
      </c>
      <c r="U90" s="39" t="s">
        <v>89</v>
      </c>
      <c r="V90" s="39" t="s">
        <v>129</v>
      </c>
      <c r="W90" s="39" t="s">
        <v>91</v>
      </c>
      <c r="X90" s="39" t="s">
        <v>80</v>
      </c>
      <c r="Y90" s="39" t="s">
        <v>80</v>
      </c>
      <c r="Z90" s="39" t="s">
        <v>80</v>
      </c>
      <c r="AA90" s="39" t="s">
        <v>80</v>
      </c>
      <c r="AB90" s="39" t="s">
        <v>203</v>
      </c>
      <c r="AC90" s="39" t="s">
        <v>80</v>
      </c>
      <c r="AD90" s="39" t="s">
        <v>80</v>
      </c>
      <c r="AE90" s="39" t="s">
        <v>80</v>
      </c>
      <c r="AF90" s="39" t="s">
        <v>84</v>
      </c>
      <c r="AG90" s="39" t="s">
        <v>80</v>
      </c>
      <c r="AH90" s="39" t="s">
        <v>80</v>
      </c>
      <c r="AI90" s="39" t="s">
        <v>80</v>
      </c>
      <c r="AJ90" s="39" t="s">
        <v>80</v>
      </c>
      <c r="AK90" s="39" t="s">
        <v>80</v>
      </c>
      <c r="AL90" s="39" t="s">
        <v>80</v>
      </c>
      <c r="AM90" t="str">
        <f>VLOOKUP($R90,武学奇术!$A:$ZZ,25,FALSE)</f>
        <v>双刀</v>
      </c>
      <c r="AN90" s="24">
        <f>VLOOKUP($R90,武学奇术!$A:$ZZ,26,FALSE)</f>
        <v>4.28274</v>
      </c>
      <c r="AO90" s="25">
        <f>VLOOKUP($R90,武学奇术!$A:$ZZ,27,FALSE)*(1+IF(OR($AM90=$F$4,$AM90=$F$5),$B$22,0))</f>
        <v>1895.04</v>
      </c>
      <c r="AP90" s="24">
        <f>VLOOKUP($R90,武学奇术!$A:$ZZ,28,FALSE)</f>
        <v>6.42411</v>
      </c>
      <c r="AQ90" s="25">
        <f>VLOOKUP($R90,武学奇术!$A:$ZZ,29,FALSE)*(1+IF(OR($AM90=$F$4,$AM90=$F$5),$B$22,0))</f>
        <v>1031.52</v>
      </c>
      <c r="AR90" s="24" cm="1">
        <f t="array" ref="AR90">$G$3+IFERROR(VLOOKUP($AM90,$F$4:$G$7,2,FALSE),0)+VLOOKUP($R90,武学奇术!$A:$ZZ,2,FALSE)+SUM(_xlfn.XLOOKUP($S90:$AL90,增益!$A:$A,增益!$B:$B,0))</f>
        <v>0.3743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4302.6</v>
      </c>
      <c r="AU90" cm="1">
        <f t="array" ref="AU90">$E$10*(1+$AS90)+VLOOKUP($R90,武学奇术!$A:$ZZ,4,FALSE)+SUM(_xlfn.XLOOKUP($S90:$AL90,增益!$A:$A,增益!$D:$D,0))-$I$2</f>
        <v>4302.6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0.3185</v>
      </c>
      <c r="AW90" s="31" cm="1">
        <f t="array" ref="AW90">$G$10+VLOOKUP($R90,武学奇术!$A:$ZZ,7,FALSE)+SUM(_xlfn.XLOOKUP($S90:$AL90,增益!$A:$A,增益!$G:$G,0))</f>
        <v>0.135</v>
      </c>
      <c r="AX90" s="24" cm="1">
        <f t="array" ref="AX90">VLOOKUP($R90,武学奇术!$A:$ZZ,8,FALSE)+SUM(_xlfn.XLOOKUP($S90:$AL90,增益!$A:$A,增益!$H:$H,0))</f>
        <v>0</v>
      </c>
      <c r="AY90">
        <f t="shared" si="15"/>
        <v>0</v>
      </c>
      <c r="AZ90">
        <f t="shared" si="16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</v>
      </c>
      <c r="BB90" s="31" cm="1">
        <f t="array" ref="BB90">$G$11+VLOOKUP($R90,武学奇术!$A:$ZZ,10,FALSE)+SUM(_xlfn.XLOOKUP($S90:$AL90,增益!$A:$A,增益!$J:$J,0))</f>
        <v>0.02</v>
      </c>
      <c r="BC90">
        <f t="shared" si="17"/>
        <v>0</v>
      </c>
      <c r="BD90">
        <f t="shared" si="18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</v>
      </c>
      <c r="BF90" s="31" cm="1">
        <f t="array" ref="BF90">$G$12+VLOOKUP($R90,武学奇术!$A:$ZZ,12,FALSE)+SUM(_xlfn.XLOOKUP($S90:$AL90,增益!$A:$A,增益!$L:$L,0))</f>
        <v>0.02</v>
      </c>
      <c r="BG90">
        <f t="shared" si="19"/>
        <v>0</v>
      </c>
      <c r="BH90">
        <f t="shared" si="20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</v>
      </c>
      <c r="BJ90" s="31" cm="1">
        <f t="array" ref="BJ90">$G$13+VLOOKUP($R90,武学奇术!$A:$ZZ,14,FALSE)+SUM(_xlfn.XLOOKUP($S90:$AL90,增益!$A:$A,增益!$N:$N,0))</f>
        <v>0.02</v>
      </c>
      <c r="BK90">
        <f t="shared" si="21"/>
        <v>649.11</v>
      </c>
      <c r="BL90">
        <f t="shared" si="22"/>
        <v>1707.09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</v>
      </c>
      <c r="BN90" s="31" cm="1">
        <f t="array" ref="BN90">$G$14+VLOOKUP($R90,武学奇术!$A:$ZZ,16,FALSE)+SUM(_xlfn.XLOOKUP($S90:$AL90,增益!$A:$A,增益!$P:$P,0))</f>
        <v>0.26</v>
      </c>
      <c r="BO90" s="24">
        <f>MIN(IF(VLOOKUP($R90,武学奇术!$A:$ZZ,23,FALSE)=1,100%,$B$8),100%)</f>
        <v>0.9771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0.8861</v>
      </c>
      <c r="BQ90" s="24" cm="1">
        <f t="array" ref="BQ90">1+$B$13+VLOOKUP($R90,武学奇术!$A:$ZZ,18,FALSE)+SUM(_xlfn.XLOOKUP($S90:$AL90,增益!$A:$A,增益!$R:$R,0))</f>
        <v>2.04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3"/>
        <v>0.86580831</v>
      </c>
      <c r="BU90" s="24">
        <f t="shared" si="24"/>
        <v>0.0428916899999999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</v>
      </c>
    </row>
    <row r="91" spans="1:76">
      <c r="K91" s="37">
        <f>$L91*VLOOKUP($R91,武学奇术!$A:$ZZ,31,FALSE)</f>
        <v>224845.729260962</v>
      </c>
      <c r="L91" s="37">
        <f t="shared" si="25"/>
        <v>224845.729260962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235720.867389244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173061.691883586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115549.444798649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102905.043757604</v>
      </c>
      <c r="Q91" s="38">
        <v>1</v>
      </c>
      <c r="R91" s="39" t="s">
        <v>162</v>
      </c>
      <c r="S91" s="39" t="s">
        <v>106</v>
      </c>
      <c r="T91" s="39" t="s">
        <v>189</v>
      </c>
      <c r="U91" s="39" t="s">
        <v>89</v>
      </c>
      <c r="V91" s="39" t="s">
        <v>129</v>
      </c>
      <c r="W91" s="39" t="s">
        <v>91</v>
      </c>
      <c r="X91" s="39" t="s">
        <v>80</v>
      </c>
      <c r="Y91" s="39" t="s">
        <v>80</v>
      </c>
      <c r="Z91" s="39" t="s">
        <v>80</v>
      </c>
      <c r="AA91" s="39" t="s">
        <v>80</v>
      </c>
      <c r="AB91" s="39" t="s">
        <v>203</v>
      </c>
      <c r="AC91" s="39" t="s">
        <v>80</v>
      </c>
      <c r="AD91" s="39" t="s">
        <v>80</v>
      </c>
      <c r="AE91" s="39" t="s">
        <v>80</v>
      </c>
      <c r="AF91" s="39" t="s">
        <v>84</v>
      </c>
      <c r="AG91" s="39" t="s">
        <v>80</v>
      </c>
      <c r="AH91" s="39" t="s">
        <v>80</v>
      </c>
      <c r="AI91" s="39" t="s">
        <v>80</v>
      </c>
      <c r="AJ91" s="39" t="s">
        <v>80</v>
      </c>
      <c r="AK91" s="39" t="s">
        <v>80</v>
      </c>
      <c r="AL91" s="39" t="s">
        <v>80</v>
      </c>
      <c r="AM91" t="str">
        <f>VLOOKUP($R91,武学奇术!$A:$ZZ,25,FALSE)</f>
        <v>双刀</v>
      </c>
      <c r="AN91" s="24">
        <f>VLOOKUP($R91,武学奇术!$A:$ZZ,26,FALSE)</f>
        <v>5.71032</v>
      </c>
      <c r="AO91" s="25">
        <f>VLOOKUP($R91,武学奇术!$A:$ZZ,27,FALSE)*(1+IF(OR($AM91=$F$4,$AM91=$F$5),$B$22,0))</f>
        <v>2526.72</v>
      </c>
      <c r="AP91" s="24">
        <f>VLOOKUP($R91,武学奇术!$A:$ZZ,28,FALSE)</f>
        <v>8.56464</v>
      </c>
      <c r="AQ91" s="25">
        <f>VLOOKUP($R91,武学奇术!$A:$ZZ,29,FALSE)*(1+IF(OR($AM91=$F$4,$AM91=$F$5),$B$22,0))</f>
        <v>1370.88</v>
      </c>
      <c r="AR91" s="24" cm="1">
        <f t="array" ref="AR91">$G$3+IFERROR(VLOOKUP($AM91,$F$4:$G$7,2,FALSE),0)+VLOOKUP($R91,武学奇术!$A:$ZZ,2,FALSE)+SUM(_xlfn.XLOOKUP($S91:$AL91,增益!$A:$A,增益!$B:$B,0))</f>
        <v>0.3743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4302.6</v>
      </c>
      <c r="AU91" cm="1">
        <f t="array" ref="AU91">$E$10*(1+$AS91)+VLOOKUP($R91,武学奇术!$A:$ZZ,4,FALSE)+SUM(_xlfn.XLOOKUP($S91:$AL91,增益!$A:$A,增益!$D:$D,0))-$I$2</f>
        <v>4302.6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0.3185</v>
      </c>
      <c r="AW91" s="31" cm="1">
        <f t="array" ref="AW91">$G$10+VLOOKUP($R91,武学奇术!$A:$ZZ,7,FALSE)+SUM(_xlfn.XLOOKUP($S91:$AL91,增益!$A:$A,增益!$G:$G,0))</f>
        <v>0.135</v>
      </c>
      <c r="AX91" s="24" cm="1">
        <f t="array" ref="AX91">VLOOKUP($R91,武学奇术!$A:$ZZ,8,FALSE)+SUM(_xlfn.XLOOKUP($S91:$AL91,增益!$A:$A,增益!$H:$H,0))</f>
        <v>0</v>
      </c>
      <c r="AY91">
        <f t="shared" si="15"/>
        <v>0</v>
      </c>
      <c r="AZ91">
        <f t="shared" si="16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</v>
      </c>
      <c r="BB91" s="31" cm="1">
        <f t="array" ref="BB91">$G$11+VLOOKUP($R91,武学奇术!$A:$ZZ,10,FALSE)+SUM(_xlfn.XLOOKUP($S91:$AL91,增益!$A:$A,增益!$J:$J,0))</f>
        <v>0.02</v>
      </c>
      <c r="BC91">
        <f t="shared" si="17"/>
        <v>0</v>
      </c>
      <c r="BD91">
        <f t="shared" si="18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</v>
      </c>
      <c r="BF91" s="31" cm="1">
        <f t="array" ref="BF91">$G$12+VLOOKUP($R91,武学奇术!$A:$ZZ,12,FALSE)+SUM(_xlfn.XLOOKUP($S91:$AL91,增益!$A:$A,增益!$L:$L,0))</f>
        <v>0.02</v>
      </c>
      <c r="BG91">
        <f t="shared" si="19"/>
        <v>0</v>
      </c>
      <c r="BH91">
        <f t="shared" si="20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</v>
      </c>
      <c r="BJ91" s="31" cm="1">
        <f t="array" ref="BJ91">$G$13+VLOOKUP($R91,武学奇术!$A:$ZZ,14,FALSE)+SUM(_xlfn.XLOOKUP($S91:$AL91,增益!$A:$A,增益!$N:$N,0))</f>
        <v>0.02</v>
      </c>
      <c r="BK91">
        <f t="shared" si="21"/>
        <v>649.11</v>
      </c>
      <c r="BL91">
        <f t="shared" si="22"/>
        <v>1707.09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0.9771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0.8861</v>
      </c>
      <c r="BQ91" s="24" cm="1">
        <f t="array" ref="BQ91">1+$B$13+VLOOKUP($R91,武学奇术!$A:$ZZ,18,FALSE)+SUM(_xlfn.XLOOKUP($S91:$AL91,增益!$A:$A,增益!$R:$R,0))</f>
        <v>2.04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3"/>
        <v>0.86580831</v>
      </c>
      <c r="BU91" s="24">
        <f t="shared" si="24"/>
        <v>0.0428916899999999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0.11</v>
      </c>
      <c r="BX91" s="24" cm="1">
        <f t="array" ref="BX91">SUM(_xlfn.XLOOKUP($S91:$AL91,增益!$A:$A,增益!$X:$X,0))</f>
        <v>0</v>
      </c>
    </row>
    <row r="92" spans="1:76">
      <c r="K92" s="37">
        <f>$L92*VLOOKUP($R92,武学奇术!$A:$ZZ,31,FALSE)</f>
        <v>183860.694227812</v>
      </c>
      <c r="L92" s="37">
        <f t="shared" si="25"/>
        <v>183860.694227812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192753.6223852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141514.743454283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94487.0697966668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84148.4037012722</v>
      </c>
      <c r="Q92" s="38">
        <v>1</v>
      </c>
      <c r="R92" s="39" t="s">
        <v>165</v>
      </c>
      <c r="S92" s="39" t="s">
        <v>106</v>
      </c>
      <c r="T92" s="39" t="s">
        <v>189</v>
      </c>
      <c r="U92" s="39" t="s">
        <v>89</v>
      </c>
      <c r="V92" s="39" t="s">
        <v>129</v>
      </c>
      <c r="W92" s="39" t="s">
        <v>91</v>
      </c>
      <c r="X92" s="39" t="s">
        <v>80</v>
      </c>
      <c r="Y92" s="39" t="s">
        <v>80</v>
      </c>
      <c r="Z92" s="39" t="s">
        <v>193</v>
      </c>
      <c r="AA92" s="39" t="s">
        <v>80</v>
      </c>
      <c r="AB92" s="39" t="s">
        <v>203</v>
      </c>
      <c r="AC92" s="39" t="s">
        <v>80</v>
      </c>
      <c r="AD92" s="39" t="s">
        <v>199</v>
      </c>
      <c r="AE92" s="39" t="s">
        <v>80</v>
      </c>
      <c r="AF92" s="39" t="s">
        <v>84</v>
      </c>
      <c r="AG92" s="39" t="s">
        <v>80</v>
      </c>
      <c r="AH92" s="39" t="s">
        <v>80</v>
      </c>
      <c r="AI92" s="39" t="s">
        <v>80</v>
      </c>
      <c r="AJ92" s="39" t="s">
        <v>80</v>
      </c>
      <c r="AK92" s="39" t="s">
        <v>80</v>
      </c>
      <c r="AL92" s="39" t="s">
        <v>80</v>
      </c>
      <c r="AM92" t="str">
        <f>VLOOKUP($R92,武学奇术!$A:$ZZ,25,FALSE)</f>
        <v>双刀</v>
      </c>
      <c r="AN92" s="24">
        <f>VLOOKUP($R92,武学奇术!$A:$ZZ,26,FALSE)</f>
        <v>4.28274</v>
      </c>
      <c r="AO92" s="25">
        <f>VLOOKUP($R92,武学奇术!$A:$ZZ,27,FALSE)*(1+IF(OR($AM92=$F$4,$AM92=$F$5),$B$22,0))</f>
        <v>1895.04</v>
      </c>
      <c r="AP92" s="24">
        <f>VLOOKUP($R92,武学奇术!$A:$ZZ,28,FALSE)</f>
        <v>6.42411</v>
      </c>
      <c r="AQ92" s="25">
        <f>VLOOKUP($R92,武学奇术!$A:$ZZ,29,FALSE)*(1+IF(OR($AM92=$F$4,$AM92=$F$5),$B$22,0))</f>
        <v>1031.52</v>
      </c>
      <c r="AR92" s="24" cm="1">
        <f t="array" ref="AR92">$G$3+IFERROR(VLOOKUP($AM92,$F$4:$G$7,2,FALSE),0)+VLOOKUP($R92,武学奇术!$A:$ZZ,2,FALSE)+SUM(_xlfn.XLOOKUP($S92:$AL92,增益!$A:$A,增益!$B:$B,0))</f>
        <v>0.3743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4302.6</v>
      </c>
      <c r="AU92" cm="1">
        <f t="array" ref="AU92">$E$10*(1+$AS92)+VLOOKUP($R92,武学奇术!$A:$ZZ,4,FALSE)+SUM(_xlfn.XLOOKUP($S92:$AL92,增益!$A:$A,增益!$D:$D,0))-$I$2</f>
        <v>4302.6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0.3185</v>
      </c>
      <c r="AW92" s="31" cm="1">
        <f t="array" ref="AW92">$G$10+VLOOKUP($R92,武学奇术!$A:$ZZ,7,FALSE)+SUM(_xlfn.XLOOKUP($S92:$AL92,增益!$A:$A,增益!$G:$G,0))</f>
        <v>0.135</v>
      </c>
      <c r="AX92" s="24" cm="1">
        <f t="array" ref="AX92">VLOOKUP($R92,武学奇术!$A:$ZZ,8,FALSE)+SUM(_xlfn.XLOOKUP($S92:$AL92,增益!$A:$A,增益!$H:$H,0))</f>
        <v>0</v>
      </c>
      <c r="AY92">
        <f t="shared" si="15"/>
        <v>0</v>
      </c>
      <c r="AZ92">
        <f t="shared" si="16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</v>
      </c>
      <c r="BB92" s="31" cm="1">
        <f t="array" ref="BB92">$G$11+VLOOKUP($R92,武学奇术!$A:$ZZ,10,FALSE)+SUM(_xlfn.XLOOKUP($S92:$AL92,增益!$A:$A,增益!$J:$J,0))</f>
        <v>0.02</v>
      </c>
      <c r="BC92">
        <f t="shared" si="17"/>
        <v>0</v>
      </c>
      <c r="BD92">
        <f t="shared" si="18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</v>
      </c>
      <c r="BF92" s="31" cm="1">
        <f t="array" ref="BF92">$G$12+VLOOKUP($R92,武学奇术!$A:$ZZ,12,FALSE)+SUM(_xlfn.XLOOKUP($S92:$AL92,增益!$A:$A,增益!$L:$L,0))</f>
        <v>0.02</v>
      </c>
      <c r="BG92">
        <f t="shared" si="19"/>
        <v>0</v>
      </c>
      <c r="BH92">
        <f t="shared" si="20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</v>
      </c>
      <c r="BJ92" s="31" cm="1">
        <f t="array" ref="BJ92">$G$13+VLOOKUP($R92,武学奇术!$A:$ZZ,14,FALSE)+SUM(_xlfn.XLOOKUP($S92:$AL92,增益!$A:$A,增益!$N:$N,0))</f>
        <v>0.02</v>
      </c>
      <c r="BK92">
        <f t="shared" si="21"/>
        <v>649.11</v>
      </c>
      <c r="BL92">
        <f t="shared" si="22"/>
        <v>1707.09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0.9771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0.8861</v>
      </c>
      <c r="BQ92" s="24" cm="1">
        <f t="array" ref="BQ92">1+$B$13+VLOOKUP($R92,武学奇术!$A:$ZZ,18,FALSE)+SUM(_xlfn.XLOOKUP($S92:$AL92,增益!$A:$A,增益!$R:$R,0))</f>
        <v>2.04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3"/>
        <v>0.86580831</v>
      </c>
      <c r="BU92" s="24">
        <f t="shared" si="24"/>
        <v>0.0428916899999999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0.21</v>
      </c>
      <c r="BX92" s="24" cm="1">
        <f t="array" ref="BX92">SUM(_xlfn.XLOOKUP($S92:$AL92,增益!$A:$A,增益!$X:$X,0))</f>
        <v>0</v>
      </c>
    </row>
    <row r="93" spans="1:76">
      <c r="A93" s="4"/>
      <c r="B93" s="90"/>
      <c r="K93" s="37">
        <f>$L93*VLOOKUP($R93,武学奇术!$A:$ZZ,31,FALSE)</f>
        <v>32102.2092849414</v>
      </c>
      <c r="L93" s="37">
        <f t="shared" si="25"/>
        <v>32102.2092849414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32970.6063840212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29983.7456704477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20104.0282829398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17997.8745877701</v>
      </c>
      <c r="Q93" s="38">
        <v>1</v>
      </c>
      <c r="R93" s="39" t="s">
        <v>197</v>
      </c>
      <c r="S93" s="39" t="s">
        <v>106</v>
      </c>
      <c r="T93" s="39" t="s">
        <v>189</v>
      </c>
      <c r="U93" s="39" t="s">
        <v>89</v>
      </c>
      <c r="V93" s="39" t="s">
        <v>80</v>
      </c>
      <c r="W93" s="39" t="s">
        <v>80</v>
      </c>
      <c r="X93" s="39" t="s">
        <v>80</v>
      </c>
      <c r="Y93" s="39" t="s">
        <v>80</v>
      </c>
      <c r="Z93" s="39" t="s">
        <v>193</v>
      </c>
      <c r="AA93" s="39" t="s">
        <v>80</v>
      </c>
      <c r="AB93" s="39" t="s">
        <v>203</v>
      </c>
      <c r="AC93" s="39" t="s">
        <v>80</v>
      </c>
      <c r="AD93" s="39" t="s">
        <v>200</v>
      </c>
      <c r="AE93" s="39" t="s">
        <v>80</v>
      </c>
      <c r="AF93" s="39" t="s">
        <v>84</v>
      </c>
      <c r="AG93" s="39" t="s">
        <v>80</v>
      </c>
      <c r="AH93" s="39" t="s">
        <v>80</v>
      </c>
      <c r="AI93" s="39" t="s">
        <v>80</v>
      </c>
      <c r="AJ93" s="39" t="s">
        <v>80</v>
      </c>
      <c r="AK93" s="39" t="s">
        <v>80</v>
      </c>
      <c r="AL93" s="39" t="s">
        <v>80</v>
      </c>
      <c r="AM93" t="str">
        <f>VLOOKUP($R93,武学奇术!$A:$ZZ,25,FALSE)</f>
        <v>拳甲</v>
      </c>
      <c r="AN93" s="24">
        <f>VLOOKUP($R93,武学奇术!$A:$ZZ,26,FALSE)</f>
        <v>1.28702</v>
      </c>
      <c r="AO93" s="25">
        <f>VLOOKUP($R93,武学奇术!$A:$ZZ,27,FALSE)*(1+IF(OR($AM93=$F$4,$AM93=$F$5),$B$22,0))</f>
        <v>571.2</v>
      </c>
      <c r="AP93" s="24">
        <f>VLOOKUP($R93,武学奇术!$A:$ZZ,28,FALSE)</f>
        <v>1.9306</v>
      </c>
      <c r="AQ93" s="25">
        <f>VLOOKUP($R93,武学奇术!$A:$ZZ,29,FALSE)*(1+IF(OR($AM93=$F$4,$AM93=$F$5),$B$22,0))</f>
        <v>622.72</v>
      </c>
      <c r="AR93" s="24" cm="1">
        <f t="array" ref="AR93">$G$3+IFERROR(VLOOKUP($AM93,$F$4:$G$7,2,FALSE),0)+VLOOKUP($R93,武学奇术!$A:$ZZ,2,FALSE)+SUM(_xlfn.XLOOKUP($S93:$AL93,增益!$A:$A,增益!$B:$B,0))</f>
        <v>0.3243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4302.6</v>
      </c>
      <c r="AU93" cm="1">
        <f t="array" ref="AU93">$E$10*(1+$AS93)+VLOOKUP($R93,武学奇术!$A:$ZZ,4,FALSE)+SUM(_xlfn.XLOOKUP($S93:$AL93,增益!$A:$A,增益!$D:$D,0))-$I$2</f>
        <v>4302.6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0.3185</v>
      </c>
      <c r="AW93" s="31" cm="1">
        <f t="array" ref="AW93">$G$10+VLOOKUP($R93,武学奇术!$A:$ZZ,7,FALSE)+SUM(_xlfn.XLOOKUP($S93:$AL93,增益!$A:$A,增益!$G:$G,0))</f>
        <v>0.045</v>
      </c>
      <c r="AX93" s="24" cm="1">
        <f t="array" ref="AX93">VLOOKUP($R93,武学奇术!$A:$ZZ,8,FALSE)+SUM(_xlfn.XLOOKUP($S93:$AL93,增益!$A:$A,增益!$H:$H,0))</f>
        <v>0</v>
      </c>
      <c r="AY93">
        <f t="shared" si="15"/>
        <v>0</v>
      </c>
      <c r="AZ93">
        <f t="shared" si="16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</v>
      </c>
      <c r="BB93" s="31" cm="1">
        <f t="array" ref="BB93">$G$11+VLOOKUP($R93,武学奇术!$A:$ZZ,10,FALSE)+SUM(_xlfn.XLOOKUP($S93:$AL93,增益!$A:$A,增益!$J:$J,0))</f>
        <v>0.02</v>
      </c>
      <c r="BC93">
        <f t="shared" si="17"/>
        <v>0</v>
      </c>
      <c r="BD93">
        <f t="shared" si="18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</v>
      </c>
      <c r="BF93" s="31" cm="1">
        <f t="array" ref="BF93">$G$12+VLOOKUP($R93,武学奇术!$A:$ZZ,12,FALSE)+SUM(_xlfn.XLOOKUP($S93:$AL93,增益!$A:$A,增益!$L:$L,0))</f>
        <v>0.02</v>
      </c>
      <c r="BG93">
        <f t="shared" si="19"/>
        <v>0</v>
      </c>
      <c r="BH93">
        <f t="shared" si="20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</v>
      </c>
      <c r="BJ93" s="31" cm="1">
        <f t="array" ref="BJ93">$G$13+VLOOKUP($R93,武学奇术!$A:$ZZ,14,FALSE)+SUM(_xlfn.XLOOKUP($S93:$AL93,增益!$A:$A,增益!$N:$N,0))</f>
        <v>0.02</v>
      </c>
      <c r="BK93">
        <f t="shared" si="21"/>
        <v>649.11</v>
      </c>
      <c r="BL93">
        <f t="shared" si="22"/>
        <v>1707.09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</v>
      </c>
      <c r="BN93" s="31" cm="1">
        <f t="array" ref="BN93">$G$14+VLOOKUP($R93,武学奇术!$A:$ZZ,16,FALSE)+SUM(_xlfn.XLOOKUP($S93:$AL93,增益!$A:$A,增益!$P:$P,0))</f>
        <v>0.17</v>
      </c>
      <c r="BO93" s="24">
        <f>MIN(IF(VLOOKUP($R93,武学奇术!$A:$ZZ,23,FALSE)=1,100%,$B$8),100%)</f>
        <v>0.9771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0.8861</v>
      </c>
      <c r="BQ93" s="24" cm="1">
        <f t="array" ref="BQ93">1+$B$13+VLOOKUP($R93,武学奇术!$A:$ZZ,18,FALSE)+SUM(_xlfn.XLOOKUP($S93:$AL93,增益!$A:$A,增益!$R:$R,0))</f>
        <v>1.64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23"/>
        <v>0.86580831</v>
      </c>
      <c r="BU93" s="24">
        <f t="shared" si="24"/>
        <v>0.0220824599999999</v>
      </c>
      <c r="BV93" s="24">
        <f>IF(VLOOKUP($R93,武学奇术!$A:$ZZ,22,FALSE)=1,0,(1-$BO93))*(1-$BR93)</f>
        <v>0.02080923</v>
      </c>
      <c r="BW93" s="24" cm="1">
        <f t="array" ref="BW93">SUM(_xlfn.XLOOKUP($S93:$AL93,增益!$A:$A,增益!$W:$W,0))+$I$5</f>
        <v>0.21</v>
      </c>
      <c r="BX93" s="24" cm="1">
        <f t="array" ref="BX93">SUM(_xlfn.XLOOKUP($S93:$AL93,增益!$A:$A,增益!$X:$X,0))</f>
        <v>0</v>
      </c>
    </row>
    <row r="94" spans="1:76">
      <c r="A94" s="4"/>
      <c r="B94" s="90"/>
      <c r="K94" s="37">
        <f>$L94*VLOOKUP($R94,武学奇术!$A:$ZZ,31,FALSE)</f>
        <v>183860.694227812</v>
      </c>
      <c r="L94" s="37">
        <f t="shared" si="25"/>
        <v>183860.694227812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192753.6223852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141514.743454283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94487.0697966668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84148.4037012722</v>
      </c>
      <c r="Q94" s="38">
        <v>1</v>
      </c>
      <c r="R94" s="39" t="s">
        <v>156</v>
      </c>
      <c r="S94" s="39" t="s">
        <v>106</v>
      </c>
      <c r="T94" s="39" t="s">
        <v>189</v>
      </c>
      <c r="U94" s="39" t="s">
        <v>89</v>
      </c>
      <c r="V94" s="39" t="s">
        <v>129</v>
      </c>
      <c r="W94" s="39" t="s">
        <v>91</v>
      </c>
      <c r="X94" s="39" t="s">
        <v>80</v>
      </c>
      <c r="Y94" s="39" t="s">
        <v>80</v>
      </c>
      <c r="Z94" s="39" t="s">
        <v>193</v>
      </c>
      <c r="AA94" s="39" t="s">
        <v>80</v>
      </c>
      <c r="AB94" s="39" t="s">
        <v>203</v>
      </c>
      <c r="AC94" s="39" t="s">
        <v>80</v>
      </c>
      <c r="AD94" s="39" t="s">
        <v>201</v>
      </c>
      <c r="AE94" s="39" t="s">
        <v>80</v>
      </c>
      <c r="AF94" s="39" t="s">
        <v>84</v>
      </c>
      <c r="AG94" s="39" t="s">
        <v>80</v>
      </c>
      <c r="AH94" s="39" t="s">
        <v>80</v>
      </c>
      <c r="AI94" s="39" t="s">
        <v>80</v>
      </c>
      <c r="AJ94" s="39" t="s">
        <v>80</v>
      </c>
      <c r="AK94" s="39" t="s">
        <v>80</v>
      </c>
      <c r="AL94" s="39" t="s">
        <v>80</v>
      </c>
      <c r="AM94" t="str">
        <f>VLOOKUP($R94,武学奇术!$A:$ZZ,25,FALSE)</f>
        <v>双刀</v>
      </c>
      <c r="AN94" s="24">
        <f>VLOOKUP($R94,武学奇术!$A:$ZZ,26,FALSE)</f>
        <v>4.28274</v>
      </c>
      <c r="AO94" s="25">
        <f>VLOOKUP($R94,武学奇术!$A:$ZZ,27,FALSE)*(1+IF(OR($AM94=$F$4,$AM94=$F$5),$B$22,0))</f>
        <v>1895.04</v>
      </c>
      <c r="AP94" s="24">
        <f>VLOOKUP($R94,武学奇术!$A:$ZZ,28,FALSE)</f>
        <v>6.42411</v>
      </c>
      <c r="AQ94" s="25">
        <f>VLOOKUP($R94,武学奇术!$A:$ZZ,29,FALSE)*(1+IF(OR($AM94=$F$4,$AM94=$F$5),$B$22,0))</f>
        <v>1031.52</v>
      </c>
      <c r="AR94" s="24" cm="1">
        <f t="array" ref="AR94">$G$3+IFERROR(VLOOKUP($AM94,$F$4:$G$7,2,FALSE),0)+VLOOKUP($R94,武学奇术!$A:$ZZ,2,FALSE)+SUM(_xlfn.XLOOKUP($S94:$AL94,增益!$A:$A,增益!$B:$B,0))</f>
        <v>0.3743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4302.6</v>
      </c>
      <c r="AU94" cm="1">
        <f t="array" ref="AU94">$E$10*(1+$AS94)+VLOOKUP($R94,武学奇术!$A:$ZZ,4,FALSE)+SUM(_xlfn.XLOOKUP($S94:$AL94,增益!$A:$A,增益!$D:$D,0))-$I$2</f>
        <v>4302.6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0.3185</v>
      </c>
      <c r="AW94" s="31" cm="1">
        <f t="array" ref="AW94">$G$10+VLOOKUP($R94,武学奇术!$A:$ZZ,7,FALSE)+SUM(_xlfn.XLOOKUP($S94:$AL94,增益!$A:$A,增益!$G:$G,0))</f>
        <v>0.135</v>
      </c>
      <c r="AX94" s="24" cm="1">
        <f t="array" ref="AX94">VLOOKUP($R94,武学奇术!$A:$ZZ,8,FALSE)+SUM(_xlfn.XLOOKUP($S94:$AL94,增益!$A:$A,增益!$H:$H,0))</f>
        <v>0</v>
      </c>
      <c r="AY94">
        <f t="shared" si="15"/>
        <v>0</v>
      </c>
      <c r="AZ94">
        <f t="shared" si="16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</v>
      </c>
      <c r="BB94" s="31" cm="1">
        <f t="array" ref="BB94">$G$11+VLOOKUP($R94,武学奇术!$A:$ZZ,10,FALSE)+SUM(_xlfn.XLOOKUP($S94:$AL94,增益!$A:$A,增益!$J:$J,0))</f>
        <v>0.02</v>
      </c>
      <c r="BC94">
        <f t="shared" si="17"/>
        <v>0</v>
      </c>
      <c r="BD94">
        <f t="shared" si="18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</v>
      </c>
      <c r="BF94" s="31" cm="1">
        <f t="array" ref="BF94">$G$12+VLOOKUP($R94,武学奇术!$A:$ZZ,12,FALSE)+SUM(_xlfn.XLOOKUP($S94:$AL94,增益!$A:$A,增益!$L:$L,0))</f>
        <v>0.02</v>
      </c>
      <c r="BG94">
        <f t="shared" si="19"/>
        <v>0</v>
      </c>
      <c r="BH94">
        <f t="shared" si="20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</v>
      </c>
      <c r="BJ94" s="31" cm="1">
        <f t="array" ref="BJ94">$G$13+VLOOKUP($R94,武学奇术!$A:$ZZ,14,FALSE)+SUM(_xlfn.XLOOKUP($S94:$AL94,增益!$A:$A,增益!$N:$N,0))</f>
        <v>0.02</v>
      </c>
      <c r="BK94">
        <f t="shared" si="21"/>
        <v>649.11</v>
      </c>
      <c r="BL94">
        <f t="shared" si="22"/>
        <v>1707.09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0.9771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0.8861</v>
      </c>
      <c r="BQ94" s="24" cm="1">
        <f t="array" ref="BQ94">1+$B$13+VLOOKUP($R94,武学奇术!$A:$ZZ,18,FALSE)+SUM(_xlfn.XLOOKUP($S94:$AL94,增益!$A:$A,增益!$R:$R,0))</f>
        <v>2.04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3"/>
        <v>0.86580831</v>
      </c>
      <c r="BU94" s="24">
        <f t="shared" si="24"/>
        <v>0.0428916899999999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0.21</v>
      </c>
      <c r="BX94" s="24" cm="1">
        <f t="array" ref="BX94">SUM(_xlfn.XLOOKUP($S94:$AL94,增益!$A:$A,增益!$X:$X,0))</f>
        <v>0</v>
      </c>
    </row>
    <row r="95" spans="1:76">
      <c r="A95" s="4"/>
      <c r="B95" s="4"/>
      <c r="K95" s="37">
        <f>$L95*VLOOKUP($R95,武学奇术!$A:$ZZ,31,FALSE)</f>
        <v>245102.101266454</v>
      </c>
      <c r="L95" s="37">
        <f t="shared" si="25"/>
        <v>245102.101266454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256956.981568455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188652.835296522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125959.304690419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112175.768420452</v>
      </c>
      <c r="Q95" s="38">
        <v>1</v>
      </c>
      <c r="R95" s="39" t="s">
        <v>162</v>
      </c>
      <c r="S95" s="39" t="s">
        <v>106</v>
      </c>
      <c r="T95" s="39" t="s">
        <v>189</v>
      </c>
      <c r="U95" s="39" t="s">
        <v>89</v>
      </c>
      <c r="V95" s="39" t="s">
        <v>129</v>
      </c>
      <c r="W95" s="39" t="s">
        <v>91</v>
      </c>
      <c r="X95" s="39" t="s">
        <v>80</v>
      </c>
      <c r="Y95" s="39" t="s">
        <v>80</v>
      </c>
      <c r="Z95" s="39" t="s">
        <v>193</v>
      </c>
      <c r="AA95" s="39" t="s">
        <v>80</v>
      </c>
      <c r="AB95" s="39" t="s">
        <v>203</v>
      </c>
      <c r="AC95" s="39" t="s">
        <v>80</v>
      </c>
      <c r="AD95" s="39" t="s">
        <v>121</v>
      </c>
      <c r="AE95" s="39" t="s">
        <v>80</v>
      </c>
      <c r="AF95" s="39" t="s">
        <v>84</v>
      </c>
      <c r="AG95" s="39" t="s">
        <v>80</v>
      </c>
      <c r="AH95" s="39" t="s">
        <v>80</v>
      </c>
      <c r="AI95" s="39" t="s">
        <v>80</v>
      </c>
      <c r="AJ95" s="39" t="s">
        <v>80</v>
      </c>
      <c r="AK95" s="39" t="s">
        <v>80</v>
      </c>
      <c r="AL95" s="39" t="s">
        <v>80</v>
      </c>
      <c r="AM95" t="str">
        <f>VLOOKUP($R95,武学奇术!$A:$ZZ,25,FALSE)</f>
        <v>双刀</v>
      </c>
      <c r="AN95" s="24">
        <f>VLOOKUP($R95,武学奇术!$A:$ZZ,26,FALSE)</f>
        <v>5.71032</v>
      </c>
      <c r="AO95" s="25">
        <f>VLOOKUP($R95,武学奇术!$A:$ZZ,27,FALSE)*(1+IF(OR($AM95=$F$4,$AM95=$F$5),$B$22,0))</f>
        <v>2526.72</v>
      </c>
      <c r="AP95" s="24">
        <f>VLOOKUP($R95,武学奇术!$A:$ZZ,28,FALSE)</f>
        <v>8.56464</v>
      </c>
      <c r="AQ95" s="25">
        <f>VLOOKUP($R95,武学奇术!$A:$ZZ,29,FALSE)*(1+IF(OR($AM95=$F$4,$AM95=$F$5),$B$22,0))</f>
        <v>1370.88</v>
      </c>
      <c r="AR95" s="24" cm="1">
        <f t="array" ref="AR95">$G$3+IFERROR(VLOOKUP($AM95,$F$4:$G$7,2,FALSE),0)+VLOOKUP($R95,武学奇术!$A:$ZZ,2,FALSE)+SUM(_xlfn.XLOOKUP($S95:$AL95,增益!$A:$A,增益!$B:$B,0))</f>
        <v>0.3743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4302.6</v>
      </c>
      <c r="AU95" cm="1">
        <f t="array" ref="AU95">$E$10*(1+$AS95)+VLOOKUP($R95,武学奇术!$A:$ZZ,4,FALSE)+SUM(_xlfn.XLOOKUP($S95:$AL95,增益!$A:$A,增益!$D:$D,0))-$I$2</f>
        <v>4302.6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0.3185</v>
      </c>
      <c r="AW95" s="31" cm="1">
        <f t="array" ref="AW95">$G$10+VLOOKUP($R95,武学奇术!$A:$ZZ,7,FALSE)+SUM(_xlfn.XLOOKUP($S95:$AL95,增益!$A:$A,增益!$G:$G,0))</f>
        <v>0.135</v>
      </c>
      <c r="AX95" s="24" cm="1">
        <f t="array" ref="AX95">VLOOKUP($R95,武学奇术!$A:$ZZ,8,FALSE)+SUM(_xlfn.XLOOKUP($S95:$AL95,增益!$A:$A,增益!$H:$H,0))</f>
        <v>0</v>
      </c>
      <c r="AY95">
        <f t="shared" si="15"/>
        <v>0</v>
      </c>
      <c r="AZ95">
        <f t="shared" si="16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</v>
      </c>
      <c r="BB95" s="31" cm="1">
        <f t="array" ref="BB95">$G$11+VLOOKUP($R95,武学奇术!$A:$ZZ,10,FALSE)+SUM(_xlfn.XLOOKUP($S95:$AL95,增益!$A:$A,增益!$J:$J,0))</f>
        <v>0.02</v>
      </c>
      <c r="BC95">
        <f t="shared" si="17"/>
        <v>0</v>
      </c>
      <c r="BD95">
        <f t="shared" si="18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</v>
      </c>
      <c r="BF95" s="31" cm="1">
        <f t="array" ref="BF95">$G$12+VLOOKUP($R95,武学奇术!$A:$ZZ,12,FALSE)+SUM(_xlfn.XLOOKUP($S95:$AL95,增益!$A:$A,增益!$L:$L,0))</f>
        <v>0.02</v>
      </c>
      <c r="BG95">
        <f t="shared" si="19"/>
        <v>0</v>
      </c>
      <c r="BH95">
        <f t="shared" si="20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</v>
      </c>
      <c r="BJ95" s="31" cm="1">
        <f t="array" ref="BJ95">$G$13+VLOOKUP($R95,武学奇术!$A:$ZZ,14,FALSE)+SUM(_xlfn.XLOOKUP($S95:$AL95,增益!$A:$A,增益!$N:$N,0))</f>
        <v>0.02</v>
      </c>
      <c r="BK95">
        <f t="shared" si="21"/>
        <v>649.11</v>
      </c>
      <c r="BL95">
        <f t="shared" si="22"/>
        <v>1707.09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0.9771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0.8861</v>
      </c>
      <c r="BQ95" s="24" cm="1">
        <f t="array" ref="BQ95">1+$B$13+VLOOKUP($R95,武学奇术!$A:$ZZ,18,FALSE)+SUM(_xlfn.XLOOKUP($S95:$AL95,增益!$A:$A,增益!$R:$R,0))</f>
        <v>2.04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3"/>
        <v>0.86580831</v>
      </c>
      <c r="BU95" s="24">
        <f t="shared" si="24"/>
        <v>0.0428916899999999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0.21</v>
      </c>
      <c r="BX95" s="24" cm="1">
        <f t="array" ref="BX95">SUM(_xlfn.XLOOKUP($S95:$AL95,增益!$A:$A,增益!$X:$X,0))</f>
        <v>0</v>
      </c>
    </row>
    <row r="96" spans="1:76">
      <c r="A96" s="4"/>
      <c r="B96" s="4"/>
      <c r="K96" s="37">
        <f>$L96*VLOOKUP($R96,武学奇术!$A:$ZZ,31,FALSE)</f>
        <v>183860.694227812</v>
      </c>
      <c r="L96" s="37">
        <f t="shared" si="25"/>
        <v>183860.694227812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192753.6223852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141514.743454283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94487.0697966668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84148.4037012722</v>
      </c>
      <c r="Q96" s="38">
        <v>1</v>
      </c>
      <c r="R96" s="39" t="s">
        <v>165</v>
      </c>
      <c r="S96" s="39" t="s">
        <v>106</v>
      </c>
      <c r="T96" s="39" t="s">
        <v>189</v>
      </c>
      <c r="U96" s="39" t="s">
        <v>89</v>
      </c>
      <c r="V96" s="39" t="s">
        <v>129</v>
      </c>
      <c r="W96" s="39" t="s">
        <v>91</v>
      </c>
      <c r="X96" s="39" t="s">
        <v>80</v>
      </c>
      <c r="Y96" s="39" t="s">
        <v>80</v>
      </c>
      <c r="Z96" s="39" t="s">
        <v>193</v>
      </c>
      <c r="AA96" s="39" t="s">
        <v>80</v>
      </c>
      <c r="AB96" s="39" t="s">
        <v>203</v>
      </c>
      <c r="AC96" s="39" t="s">
        <v>80</v>
      </c>
      <c r="AD96" s="39" t="s">
        <v>121</v>
      </c>
      <c r="AE96" s="39" t="s">
        <v>80</v>
      </c>
      <c r="AF96" s="39" t="s">
        <v>84</v>
      </c>
      <c r="AG96" s="39" t="s">
        <v>80</v>
      </c>
      <c r="AH96" s="39" t="s">
        <v>80</v>
      </c>
      <c r="AI96" s="39" t="s">
        <v>80</v>
      </c>
      <c r="AJ96" s="39" t="s">
        <v>80</v>
      </c>
      <c r="AK96" s="39" t="s">
        <v>80</v>
      </c>
      <c r="AL96" s="39" t="s">
        <v>80</v>
      </c>
      <c r="AM96" t="str">
        <f>VLOOKUP($R96,武学奇术!$A:$ZZ,25,FALSE)</f>
        <v>双刀</v>
      </c>
      <c r="AN96" s="24">
        <f>VLOOKUP($R96,武学奇术!$A:$ZZ,26,FALSE)</f>
        <v>4.28274</v>
      </c>
      <c r="AO96" s="25">
        <f>VLOOKUP($R96,武学奇术!$A:$ZZ,27,FALSE)*(1+IF(OR($AM96=$F$4,$AM96=$F$5),$B$22,0))</f>
        <v>1895.04</v>
      </c>
      <c r="AP96" s="24">
        <f>VLOOKUP($R96,武学奇术!$A:$ZZ,28,FALSE)</f>
        <v>6.42411</v>
      </c>
      <c r="AQ96" s="25">
        <f>VLOOKUP($R96,武学奇术!$A:$ZZ,29,FALSE)*(1+IF(OR($AM96=$F$4,$AM96=$F$5),$B$22,0))</f>
        <v>1031.52</v>
      </c>
      <c r="AR96" s="24" cm="1">
        <f t="array" ref="AR96">$G$3+IFERROR(VLOOKUP($AM96,$F$4:$G$7,2,FALSE),0)+VLOOKUP($R96,武学奇术!$A:$ZZ,2,FALSE)+SUM(_xlfn.XLOOKUP($S96:$AL96,增益!$A:$A,增益!$B:$B,0))</f>
        <v>0.3743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4302.6</v>
      </c>
      <c r="AU96" cm="1">
        <f t="array" ref="AU96">$E$10*(1+$AS96)+VLOOKUP($R96,武学奇术!$A:$ZZ,4,FALSE)+SUM(_xlfn.XLOOKUP($S96:$AL96,增益!$A:$A,增益!$D:$D,0))-$I$2</f>
        <v>4302.6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0.3185</v>
      </c>
      <c r="AW96" s="31" cm="1">
        <f t="array" ref="AW96">$G$10+VLOOKUP($R96,武学奇术!$A:$ZZ,7,FALSE)+SUM(_xlfn.XLOOKUP($S96:$AL96,增益!$A:$A,增益!$G:$G,0))</f>
        <v>0.135</v>
      </c>
      <c r="AX96" s="24" cm="1">
        <f t="array" ref="AX96">VLOOKUP($R96,武学奇术!$A:$ZZ,8,FALSE)+SUM(_xlfn.XLOOKUP($S96:$AL96,增益!$A:$A,增益!$H:$H,0))</f>
        <v>0</v>
      </c>
      <c r="AY96">
        <f t="shared" si="15"/>
        <v>0</v>
      </c>
      <c r="AZ96">
        <f t="shared" si="16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</v>
      </c>
      <c r="BB96" s="31" cm="1">
        <f t="array" ref="BB96">$G$11+VLOOKUP($R96,武学奇术!$A:$ZZ,10,FALSE)+SUM(_xlfn.XLOOKUP($S96:$AL96,增益!$A:$A,增益!$J:$J,0))</f>
        <v>0.02</v>
      </c>
      <c r="BC96">
        <f t="shared" si="17"/>
        <v>0</v>
      </c>
      <c r="BD96">
        <f t="shared" si="18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</v>
      </c>
      <c r="BF96" s="31" cm="1">
        <f t="array" ref="BF96">$G$12+VLOOKUP($R96,武学奇术!$A:$ZZ,12,FALSE)+SUM(_xlfn.XLOOKUP($S96:$AL96,增益!$A:$A,增益!$L:$L,0))</f>
        <v>0.02</v>
      </c>
      <c r="BG96">
        <f t="shared" si="19"/>
        <v>0</v>
      </c>
      <c r="BH96">
        <f t="shared" si="20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</v>
      </c>
      <c r="BJ96" s="31" cm="1">
        <f t="array" ref="BJ96">$G$13+VLOOKUP($R96,武学奇术!$A:$ZZ,14,FALSE)+SUM(_xlfn.XLOOKUP($S96:$AL96,增益!$A:$A,增益!$N:$N,0))</f>
        <v>0.02</v>
      </c>
      <c r="BK96">
        <f t="shared" si="21"/>
        <v>649.11</v>
      </c>
      <c r="BL96">
        <f t="shared" si="22"/>
        <v>1707.09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0.9771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0.8861</v>
      </c>
      <c r="BQ96" s="24" cm="1">
        <f t="array" ref="BQ96">1+$B$13+VLOOKUP($R96,武学奇术!$A:$ZZ,18,FALSE)+SUM(_xlfn.XLOOKUP($S96:$AL96,增益!$A:$A,增益!$R:$R,0))</f>
        <v>2.04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3"/>
        <v>0.86580831</v>
      </c>
      <c r="BU96" s="24">
        <f t="shared" si="24"/>
        <v>0.0428916899999999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0.21</v>
      </c>
      <c r="BX96" s="24" cm="1">
        <f t="array" ref="BX96">SUM(_xlfn.XLOOKUP($S96:$AL96,增益!$A:$A,增益!$X:$X,0))</f>
        <v>0</v>
      </c>
    </row>
    <row r="97" spans="11:76">
      <c r="K97" s="37">
        <f>$L97*VLOOKUP($R97,武学奇术!$A:$ZZ,31,FALSE)</f>
        <v>262736.715472029</v>
      </c>
      <c r="L97" s="88">
        <f>SUM(L84,L85,L87:L92,L94:L96)*0.2*(1+BX97)</f>
        <v>525473.430944058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8">
        <v>1</v>
      </c>
      <c r="R97" s="39" t="s">
        <v>168</v>
      </c>
      <c r="S97" s="39" t="s">
        <v>169</v>
      </c>
      <c r="T97" s="39" t="s">
        <v>80</v>
      </c>
      <c r="U97" s="39" t="s">
        <v>80</v>
      </c>
      <c r="V97" s="39" t="s">
        <v>80</v>
      </c>
      <c r="W97" s="39" t="s">
        <v>80</v>
      </c>
      <c r="X97" s="39" t="s">
        <v>80</v>
      </c>
      <c r="Y97" s="39" t="s">
        <v>80</v>
      </c>
      <c r="Z97" s="39" t="s">
        <v>80</v>
      </c>
      <c r="AA97" s="39" t="s">
        <v>80</v>
      </c>
      <c r="AB97" s="39" t="s">
        <v>80</v>
      </c>
      <c r="AC97" s="39" t="s">
        <v>80</v>
      </c>
      <c r="AD97" s="39" t="s">
        <v>80</v>
      </c>
      <c r="AE97" s="39" t="s">
        <v>80</v>
      </c>
      <c r="AF97" s="39" t="s">
        <v>84</v>
      </c>
      <c r="AG97" s="39" t="s">
        <v>80</v>
      </c>
      <c r="AH97" s="39" t="s">
        <v>80</v>
      </c>
      <c r="AI97" s="39" t="s">
        <v>80</v>
      </c>
      <c r="AJ97" s="39" t="s">
        <v>80</v>
      </c>
      <c r="AK97" s="39" t="s">
        <v>80</v>
      </c>
      <c r="AL97" s="39" t="s">
        <v>80</v>
      </c>
      <c r="AM97" t="str">
        <f>VLOOKUP($R97,武学奇术!$A:$ZZ,25,FALSE)</f>
        <v>心法</v>
      </c>
      <c r="AN97" s="24">
        <f>VLOOKUP($R97,武学奇术!$A:$ZZ,26,FALSE)</f>
        <v>0</v>
      </c>
      <c r="AO97" s="25">
        <f>VLOOKUP($R97,武学奇术!$A:$ZZ,27,FALSE)*(1+IF(OR($AM97=$F$4,$AM97=$F$5),$B$22,0))</f>
        <v>0</v>
      </c>
      <c r="AP97" s="24">
        <f>VLOOKUP($R97,武学奇术!$A:$ZZ,28,FALSE)</f>
        <v>0</v>
      </c>
      <c r="AQ97" s="25">
        <f>VLOOKUP($R97,武学奇术!$A:$ZZ,29,FALSE)*(1+IF(OR($AM97=$F$4,$AM97=$F$5),$B$22,0))</f>
        <v>0</v>
      </c>
      <c r="AR97" s="24" cm="1">
        <f t="array" ref="AR97">$G$3+IFERROR(VLOOKUP($AM97,$F$4:$G$7,2,FALSE),0)+VLOOKUP($R97,武学奇术!$A:$ZZ,2,FALSE)+SUM(_xlfn.XLOOKUP($S97:$AL97,增益!$A:$A,增益!$B:$B,0))</f>
        <v>0.1042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4302.6</v>
      </c>
      <c r="AU97" cm="1">
        <f t="array" ref="AU97">$E$10*(1+$AS97)+VLOOKUP($R97,武学奇术!$A:$ZZ,4,FALSE)+SUM(_xlfn.XLOOKUP($S97:$AL97,增益!$A:$A,增益!$D:$D,0))-$I$2</f>
        <v>4302.6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0.1685</v>
      </c>
      <c r="AW97" s="31" cm="1">
        <f t="array" ref="AW97">$G$10+VLOOKUP($R97,武学奇术!$A:$ZZ,7,FALSE)+SUM(_xlfn.XLOOKUP($S97:$AL97,增益!$A:$A,增益!$G:$G,0))</f>
        <v>0.025</v>
      </c>
      <c r="AX97" s="24" cm="1">
        <f t="array" ref="AX97">VLOOKUP($R97,武学奇术!$A:$ZZ,8,FALSE)+SUM(_xlfn.XLOOKUP($S97:$AL97,增益!$A:$A,增益!$H:$H,0))</f>
        <v>0</v>
      </c>
      <c r="AY97">
        <f t="shared" si="15"/>
        <v>0</v>
      </c>
      <c r="AZ97">
        <f t="shared" si="16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</v>
      </c>
      <c r="BC97">
        <f t="shared" si="17"/>
        <v>0</v>
      </c>
      <c r="BD97">
        <f t="shared" si="18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</v>
      </c>
      <c r="BG97">
        <f t="shared" si="19"/>
        <v>0</v>
      </c>
      <c r="BH97">
        <f t="shared" si="20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</v>
      </c>
      <c r="BK97">
        <f t="shared" si="21"/>
        <v>649.11</v>
      </c>
      <c r="BL97">
        <f t="shared" si="22"/>
        <v>1707.09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0.15</v>
      </c>
      <c r="BO97" s="24">
        <f>MIN(IF(VLOOKUP($R97,武学奇术!$A:$ZZ,23,FALSE)=1,100%,$B$8),100%)</f>
        <v>0.9771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0.8861</v>
      </c>
      <c r="BQ97" s="24" cm="1">
        <f t="array" ref="BQ97">1+$B$13+VLOOKUP($R97,武学奇术!$A:$ZZ,18,FALSE)+SUM(_xlfn.XLOOKUP($S97:$AL97,增益!$A:$A,增益!$R:$R,0))</f>
        <v>1.54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3"/>
        <v>0.86580831</v>
      </c>
      <c r="BU97" s="24">
        <f t="shared" si="24"/>
        <v>0.0220824599999999</v>
      </c>
      <c r="BV97" s="24">
        <f>IF(VLOOKUP($R97,武学奇术!$A:$ZZ,22,FALSE)=1,0,(1-$BO97))*(1-$BR97)</f>
        <v>0.02080923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0.2</v>
      </c>
    </row>
    <row r="98" spans="11:76">
      <c r="K98" s="37">
        <f>$L98*VLOOKUP($R98,武学奇术!$A:$ZZ,31,FALSE)</f>
        <v>15652.9554218032</v>
      </c>
      <c r="L98" s="37">
        <f t="shared" ref="L98:L136" si="26">($M98*$BT98+$N98*$BR98+$O98*$BU98+$P98*$BV98)</f>
        <v>15652.9554218032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16070.9817918338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14684.3944780325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9799.37914136205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8721.42903973709</v>
      </c>
      <c r="Q98" s="38">
        <v>1</v>
      </c>
      <c r="R98" s="39" t="s">
        <v>110</v>
      </c>
      <c r="S98" s="39" t="s">
        <v>106</v>
      </c>
      <c r="T98" s="39" t="s">
        <v>189</v>
      </c>
      <c r="U98" s="39" t="s">
        <v>89</v>
      </c>
      <c r="V98" s="39" t="s">
        <v>80</v>
      </c>
      <c r="W98" s="39" t="s">
        <v>80</v>
      </c>
      <c r="X98" s="39" t="s">
        <v>80</v>
      </c>
      <c r="Y98" s="39" t="s">
        <v>80</v>
      </c>
      <c r="Z98" s="39" t="s">
        <v>193</v>
      </c>
      <c r="AA98" s="39" t="s">
        <v>80</v>
      </c>
      <c r="AB98" s="39" t="s">
        <v>203</v>
      </c>
      <c r="AC98" s="39" t="s">
        <v>80</v>
      </c>
      <c r="AD98" s="39" t="s">
        <v>121</v>
      </c>
      <c r="AE98" s="39" t="s">
        <v>80</v>
      </c>
      <c r="AF98" s="39" t="s">
        <v>84</v>
      </c>
      <c r="AG98" s="39" t="s">
        <v>80</v>
      </c>
      <c r="AH98" s="39" t="s">
        <v>80</v>
      </c>
      <c r="AI98" s="39" t="s">
        <v>80</v>
      </c>
      <c r="AJ98" s="39" t="s">
        <v>80</v>
      </c>
      <c r="AK98" s="39" t="s">
        <v>80</v>
      </c>
      <c r="AL98" s="39" t="s">
        <v>80</v>
      </c>
      <c r="AM98" t="str">
        <f>VLOOKUP($R98,武学奇术!$A:$ZZ,25,FALSE)</f>
        <v>双刀</v>
      </c>
      <c r="AN98" s="24">
        <f>VLOOKUP($R98,武学奇术!$A:$ZZ,26,FALSE)</f>
        <v>0.6587</v>
      </c>
      <c r="AO98" s="25">
        <f>VLOOKUP($R98,武学奇术!$A:$ZZ,27,FALSE)*(1+IF(OR($AM98=$F$4,$AM98=$F$5),$B$22,0))</f>
        <v>292.8</v>
      </c>
      <c r="AP98" s="24">
        <f>VLOOKUP($R98,武学奇术!$A:$ZZ,28,FALSE)</f>
        <v>0.9881</v>
      </c>
      <c r="AQ98" s="25">
        <f>VLOOKUP($R98,武学奇术!$A:$ZZ,29,FALSE)*(1+IF(OR($AM98=$F$4,$AM98=$F$5),$B$22,0))</f>
        <v>160</v>
      </c>
      <c r="AR98" s="24" cm="1">
        <f t="array" ref="AR98">$G$3+IFERROR(VLOOKUP($AM98,$F$4:$G$7,2,FALSE),0)+VLOOKUP($R98,武学奇术!$A:$ZZ,2,FALSE)+SUM(_xlfn.XLOOKUP($S98:$AL98,增益!$A:$A,增益!$B:$B,0))</f>
        <v>0.3243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4302.6</v>
      </c>
      <c r="AU98" cm="1">
        <f t="array" ref="AU98">$E$10*(1+$AS98)+VLOOKUP($R98,武学奇术!$A:$ZZ,4,FALSE)+SUM(_xlfn.XLOOKUP($S98:$AL98,增益!$A:$A,增益!$D:$D,0))-$I$2</f>
        <v>4302.6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0.3185</v>
      </c>
      <c r="AW98" s="31" cm="1">
        <f t="array" ref="AW98">$G$10+VLOOKUP($R98,武学奇术!$A:$ZZ,7,FALSE)+SUM(_xlfn.XLOOKUP($S98:$AL98,增益!$A:$A,增益!$G:$G,0))</f>
        <v>0.045</v>
      </c>
      <c r="AX98" s="24" cm="1">
        <f t="array" ref="AX98">VLOOKUP($R98,武学奇术!$A:$ZZ,8,FALSE)+SUM(_xlfn.XLOOKUP($S98:$AL98,增益!$A:$A,增益!$H:$H,0))</f>
        <v>0</v>
      </c>
      <c r="AY98">
        <f t="shared" si="15"/>
        <v>0</v>
      </c>
      <c r="AZ98">
        <f t="shared" si="16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</v>
      </c>
      <c r="BB98" s="31" cm="1">
        <f t="array" ref="BB98">$G$11+VLOOKUP($R98,武学奇术!$A:$ZZ,10,FALSE)+SUM(_xlfn.XLOOKUP($S98:$AL98,增益!$A:$A,增益!$J:$J,0))</f>
        <v>0.02</v>
      </c>
      <c r="BC98">
        <f t="shared" si="17"/>
        <v>0</v>
      </c>
      <c r="BD98">
        <f t="shared" si="18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</v>
      </c>
      <c r="BF98" s="31" cm="1">
        <f t="array" ref="BF98">$G$12+VLOOKUP($R98,武学奇术!$A:$ZZ,12,FALSE)+SUM(_xlfn.XLOOKUP($S98:$AL98,增益!$A:$A,增益!$L:$L,0))</f>
        <v>0.02</v>
      </c>
      <c r="BG98">
        <f t="shared" si="19"/>
        <v>0</v>
      </c>
      <c r="BH98">
        <f t="shared" si="20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</v>
      </c>
      <c r="BJ98" s="31" cm="1">
        <f t="array" ref="BJ98">$G$13+VLOOKUP($R98,武学奇术!$A:$ZZ,14,FALSE)+SUM(_xlfn.XLOOKUP($S98:$AL98,增益!$A:$A,增益!$N:$N,0))</f>
        <v>0.02</v>
      </c>
      <c r="BK98">
        <f t="shared" si="21"/>
        <v>649.11</v>
      </c>
      <c r="BL98">
        <f t="shared" si="22"/>
        <v>1707.09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</v>
      </c>
      <c r="BN98" s="31" cm="1">
        <f t="array" ref="BN98">$G$14+VLOOKUP($R98,武学奇术!$A:$ZZ,16,FALSE)+SUM(_xlfn.XLOOKUP($S98:$AL98,增益!$A:$A,增益!$P:$P,0))</f>
        <v>0.17</v>
      </c>
      <c r="BO98" s="24">
        <f>MIN(IF(VLOOKUP($R98,武学奇术!$A:$ZZ,23,FALSE)=1,100%,$B$8),100%)</f>
        <v>0.9771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0.8861</v>
      </c>
      <c r="BQ98" s="24" cm="1">
        <f t="array" ref="BQ98">1+$B$13+VLOOKUP($R98,武学奇术!$A:$ZZ,18,FALSE)+SUM(_xlfn.XLOOKUP($S98:$AL98,增益!$A:$A,增益!$R:$R,0))</f>
        <v>1.64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3"/>
        <v>0.86580831</v>
      </c>
      <c r="BU98" s="24">
        <f t="shared" si="24"/>
        <v>0.0220824599999999</v>
      </c>
      <c r="BV98" s="24">
        <f>IF(VLOOKUP($R98,武学奇术!$A:$ZZ,22,FALSE)=1,0,(1-$BO98))*(1-$BR98)</f>
        <v>0.02080923</v>
      </c>
      <c r="BW98" s="24" cm="1">
        <f t="array" ref="BW98">SUM(_xlfn.XLOOKUP($S98:$AL98,增益!$A:$A,增益!$W:$W,0))+$I$5</f>
        <v>0.21</v>
      </c>
      <c r="BX98" s="24" cm="1">
        <f t="array" ref="BX98">SUM(_xlfn.XLOOKUP($S98:$AL98,增益!$A:$A,增益!$X:$X,0))</f>
        <v>0</v>
      </c>
    </row>
    <row r="99" spans="11:76">
      <c r="K99" s="37">
        <f>$L99*VLOOKUP($R99,武学奇术!$A:$ZZ,31,FALSE)</f>
        <v>0</v>
      </c>
      <c r="L99" s="37">
        <f t="shared" si="26"/>
        <v>0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8">
        <v>1</v>
      </c>
      <c r="R99" s="39" t="s">
        <v>80</v>
      </c>
      <c r="S99" s="39" t="s">
        <v>80</v>
      </c>
      <c r="T99" s="39" t="s">
        <v>80</v>
      </c>
      <c r="U99" s="39" t="s">
        <v>80</v>
      </c>
      <c r="V99" s="39" t="s">
        <v>80</v>
      </c>
      <c r="W99" s="39" t="s">
        <v>80</v>
      </c>
      <c r="X99" s="39" t="s">
        <v>80</v>
      </c>
      <c r="Y99" s="39" t="s">
        <v>80</v>
      </c>
      <c r="Z99" s="39" t="s">
        <v>80</v>
      </c>
      <c r="AA99" s="39" t="s">
        <v>80</v>
      </c>
      <c r="AB99" s="39" t="s">
        <v>80</v>
      </c>
      <c r="AC99" s="39" t="s">
        <v>80</v>
      </c>
      <c r="AD99" s="39" t="s">
        <v>80</v>
      </c>
      <c r="AE99" s="39" t="s">
        <v>80</v>
      </c>
      <c r="AF99" s="39" t="s">
        <v>84</v>
      </c>
      <c r="AG99" s="39" t="s">
        <v>80</v>
      </c>
      <c r="AH99" s="39" t="s">
        <v>80</v>
      </c>
      <c r="AI99" s="39" t="s">
        <v>80</v>
      </c>
      <c r="AJ99" s="39" t="s">
        <v>80</v>
      </c>
      <c r="AK99" s="39" t="s">
        <v>80</v>
      </c>
      <c r="AL99" s="39" t="s">
        <v>80</v>
      </c>
      <c r="AM99" t="str">
        <f>VLOOKUP($R99,武学奇术!$A:$ZZ,25,FALSE)</f>
        <v>心法</v>
      </c>
      <c r="AN99" s="24">
        <f>VLOOKUP($R99,武学奇术!$A:$ZZ,26,FALSE)</f>
        <v>0</v>
      </c>
      <c r="AO99" s="25">
        <f>VLOOKUP($R99,武学奇术!$A:$ZZ,27,FALSE)*(1+IF(OR($AM99=$F$4,$AM99=$F$5),$B$22,0))</f>
        <v>0</v>
      </c>
      <c r="AP99" s="24">
        <f>VLOOKUP($R99,武学奇术!$A:$ZZ,28,FALSE)</f>
        <v>0</v>
      </c>
      <c r="AQ99" s="25">
        <f>VLOOKUP($R99,武学奇术!$A:$ZZ,29,FALSE)*(1+IF(OR($AM99=$F$4,$AM99=$F$5),$B$22,0))</f>
        <v>0</v>
      </c>
      <c r="AR99" s="24" cm="1">
        <f t="array" ref="AR99">$G$3+IFERROR(VLOOKUP($AM99,$F$4:$G$7,2,FALSE),0)+VLOOKUP($R99,武学奇术!$A:$ZZ,2,FALSE)+SUM(_xlfn.XLOOKUP($S99:$AL99,增益!$A:$A,增益!$B:$B,0))</f>
        <v>0.1042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4302.6</v>
      </c>
      <c r="AU99" cm="1">
        <f t="array" ref="AU99">$E$10*(1+$AS99)+VLOOKUP($R99,武学奇术!$A:$ZZ,4,FALSE)+SUM(_xlfn.XLOOKUP($S99:$AL99,增益!$A:$A,增益!$D:$D,0))-$I$2</f>
        <v>4302.6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0.1685</v>
      </c>
      <c r="AW99" s="31" cm="1">
        <f t="array" ref="AW99">$G$10+VLOOKUP($R99,武学奇术!$A:$ZZ,7,FALSE)+SUM(_xlfn.XLOOKUP($S99:$AL99,增益!$A:$A,增益!$G:$G,0))</f>
        <v>0.025</v>
      </c>
      <c r="AX99" s="24" cm="1">
        <f t="array" ref="AX99">VLOOKUP($R99,武学奇术!$A:$ZZ,8,FALSE)+SUM(_xlfn.XLOOKUP($S99:$AL99,增益!$A:$A,增益!$H:$H,0))</f>
        <v>0</v>
      </c>
      <c r="AY99">
        <f t="shared" si="15"/>
        <v>0</v>
      </c>
      <c r="AZ99">
        <f t="shared" si="16"/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</v>
      </c>
      <c r="BC99">
        <f t="shared" si="17"/>
        <v>0</v>
      </c>
      <c r="BD99">
        <f t="shared" si="18"/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</v>
      </c>
      <c r="BG99">
        <f t="shared" si="19"/>
        <v>0</v>
      </c>
      <c r="BH99">
        <f t="shared" si="20"/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</v>
      </c>
      <c r="BK99">
        <f t="shared" si="21"/>
        <v>649.11</v>
      </c>
      <c r="BL99">
        <f t="shared" si="22"/>
        <v>1707.09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0.15</v>
      </c>
      <c r="BO99" s="24">
        <f>MIN(IF(VLOOKUP($R99,武学奇术!$A:$ZZ,23,FALSE)=1,100%,$B$8),100%)</f>
        <v>0.9771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0.8861</v>
      </c>
      <c r="BQ99" s="24" cm="1">
        <f t="array" ref="BQ99">1+$B$13+VLOOKUP($R99,武学奇术!$A:$ZZ,18,FALSE)+SUM(_xlfn.XLOOKUP($S99:$AL99,增益!$A:$A,增益!$R:$R,0))</f>
        <v>1.54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si="23"/>
        <v>0.86580831</v>
      </c>
      <c r="BU99" s="24">
        <f t="shared" si="24"/>
        <v>0.0220824599999999</v>
      </c>
      <c r="BV99" s="24">
        <f>IF(VLOOKUP($R99,武学奇术!$A:$ZZ,22,FALSE)=1,0,(1-$BO99))*(1-$BR99)</f>
        <v>0.02080923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1:76">
      <c r="K100" s="37">
        <f>$L100*VLOOKUP($R100,武学奇术!$A:$ZZ,31,FALSE)</f>
        <v>0</v>
      </c>
      <c r="L100" s="37">
        <f t="shared" si="26"/>
        <v>0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8">
        <v>1</v>
      </c>
      <c r="R100" s="39" t="s">
        <v>80</v>
      </c>
      <c r="S100" s="39" t="s">
        <v>80</v>
      </c>
      <c r="T100" s="39" t="s">
        <v>80</v>
      </c>
      <c r="U100" s="39" t="s">
        <v>80</v>
      </c>
      <c r="V100" s="39" t="s">
        <v>80</v>
      </c>
      <c r="W100" s="39" t="s">
        <v>80</v>
      </c>
      <c r="X100" s="39" t="s">
        <v>80</v>
      </c>
      <c r="Y100" s="39" t="s">
        <v>80</v>
      </c>
      <c r="Z100" s="39" t="s">
        <v>80</v>
      </c>
      <c r="AA100" s="39" t="s">
        <v>80</v>
      </c>
      <c r="AB100" s="39" t="s">
        <v>80</v>
      </c>
      <c r="AC100" s="39" t="s">
        <v>80</v>
      </c>
      <c r="AD100" s="39" t="s">
        <v>80</v>
      </c>
      <c r="AE100" s="39" t="s">
        <v>80</v>
      </c>
      <c r="AF100" s="39" t="s">
        <v>84</v>
      </c>
      <c r="AG100" s="39" t="s">
        <v>80</v>
      </c>
      <c r="AH100" s="39" t="s">
        <v>80</v>
      </c>
      <c r="AI100" s="39" t="s">
        <v>80</v>
      </c>
      <c r="AJ100" s="39" t="s">
        <v>80</v>
      </c>
      <c r="AK100" s="39" t="s">
        <v>80</v>
      </c>
      <c r="AL100" s="39" t="s">
        <v>80</v>
      </c>
      <c r="AM100" t="str">
        <f>VLOOKUP($R100,武学奇术!$A:$ZZ,25,FALSE)</f>
        <v>心法</v>
      </c>
      <c r="AN100" s="24">
        <f>VLOOKUP($R100,武学奇术!$A:$ZZ,26,FALSE)</f>
        <v>0</v>
      </c>
      <c r="AO100" s="25">
        <f>VLOOKUP($R100,武学奇术!$A:$ZZ,27,FALSE)*(1+IF(OR($AM100=$F$4,$AM100=$F$5),$B$22,0))</f>
        <v>0</v>
      </c>
      <c r="AP100" s="24">
        <f>VLOOKUP($R100,武学奇术!$A:$ZZ,28,FALSE)</f>
        <v>0</v>
      </c>
      <c r="AQ100" s="25">
        <f>VLOOKUP($R100,武学奇术!$A:$ZZ,29,FALSE)*(1+IF(OR($AM100=$F$4,$AM100=$F$5),$B$22,0))</f>
        <v>0</v>
      </c>
      <c r="AR100" s="24" cm="1">
        <f t="array" ref="AR100">$G$3+IFERROR(VLOOKUP($AM100,$F$4:$G$7,2,FALSE),0)+VLOOKUP($R100,武学奇术!$A:$ZZ,2,FALSE)+SUM(_xlfn.XLOOKUP($S100:$AL100,增益!$A:$A,增益!$B:$B,0))</f>
        <v>0.1042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4302.6</v>
      </c>
      <c r="AU100" cm="1">
        <f t="array" ref="AU100">$E$10*(1+$AS100)+VLOOKUP($R100,武学奇术!$A:$ZZ,4,FALSE)+SUM(_xlfn.XLOOKUP($S100:$AL100,增益!$A:$A,增益!$D:$D,0))-$I$2</f>
        <v>4302.6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0.1685</v>
      </c>
      <c r="AW100" s="31" cm="1">
        <f t="array" ref="AW100">$G$10+VLOOKUP($R100,武学奇术!$A:$ZZ,7,FALSE)+SUM(_xlfn.XLOOKUP($S100:$AL100,增益!$A:$A,增益!$G:$G,0))</f>
        <v>0.025</v>
      </c>
      <c r="AX100" s="24" cm="1">
        <f t="array" ref="AX100">VLOOKUP($R100,武学奇术!$A:$ZZ,8,FALSE)+SUM(_xlfn.XLOOKUP($S100:$AL100,增益!$A:$A,增益!$H:$H,0))</f>
        <v>0</v>
      </c>
      <c r="AY100">
        <f t="shared" si="15"/>
        <v>0</v>
      </c>
      <c r="AZ100">
        <f t="shared" si="16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</v>
      </c>
      <c r="BC100">
        <f t="shared" si="17"/>
        <v>0</v>
      </c>
      <c r="BD100">
        <f t="shared" si="18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</v>
      </c>
      <c r="BG100">
        <f t="shared" si="19"/>
        <v>0</v>
      </c>
      <c r="BH100">
        <f t="shared" si="20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</v>
      </c>
      <c r="BK100">
        <f t="shared" si="21"/>
        <v>649.11</v>
      </c>
      <c r="BL100">
        <f t="shared" si="22"/>
        <v>1707.09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0.15</v>
      </c>
      <c r="BO100" s="24">
        <f>MIN(IF(VLOOKUP($R100,武学奇术!$A:$ZZ,23,FALSE)=1,100%,$B$8),100%)</f>
        <v>0.9771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0.8861</v>
      </c>
      <c r="BQ100" s="24" cm="1">
        <f t="array" ref="BQ100">1+$B$13+VLOOKUP($R100,武学奇术!$A:$ZZ,18,FALSE)+SUM(_xlfn.XLOOKUP($S100:$AL100,增益!$A:$A,增益!$R:$R,0))</f>
        <v>1.54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3"/>
        <v>0.86580831</v>
      </c>
      <c r="BU100" s="24">
        <f t="shared" si="24"/>
        <v>0.0220824599999999</v>
      </c>
      <c r="BV100" s="24">
        <f>IF(VLOOKUP($R100,武学奇术!$A:$ZZ,22,FALSE)=1,0,(1-$BO100))*(1-$BR100)</f>
        <v>0.02080923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1:76">
      <c r="K101" s="37">
        <f>$L101*VLOOKUP($R101,武学奇术!$A:$ZZ,31,FALSE)</f>
        <v>0</v>
      </c>
      <c r="L101" s="37">
        <f t="shared" si="26"/>
        <v>0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8">
        <v>1</v>
      </c>
      <c r="R101" s="39" t="s">
        <v>80</v>
      </c>
      <c r="S101" s="39" t="s">
        <v>80</v>
      </c>
      <c r="T101" s="39" t="s">
        <v>80</v>
      </c>
      <c r="U101" s="39" t="s">
        <v>80</v>
      </c>
      <c r="V101" s="39" t="s">
        <v>80</v>
      </c>
      <c r="W101" s="39" t="s">
        <v>80</v>
      </c>
      <c r="X101" s="39" t="s">
        <v>80</v>
      </c>
      <c r="Y101" s="39" t="s">
        <v>80</v>
      </c>
      <c r="Z101" s="39" t="s">
        <v>80</v>
      </c>
      <c r="AA101" s="39" t="s">
        <v>80</v>
      </c>
      <c r="AB101" s="39" t="s">
        <v>80</v>
      </c>
      <c r="AC101" s="39" t="s">
        <v>80</v>
      </c>
      <c r="AD101" s="39" t="s">
        <v>80</v>
      </c>
      <c r="AE101" s="39" t="s">
        <v>80</v>
      </c>
      <c r="AF101" s="39" t="s">
        <v>84</v>
      </c>
      <c r="AG101" s="39" t="s">
        <v>80</v>
      </c>
      <c r="AH101" s="39" t="s">
        <v>80</v>
      </c>
      <c r="AI101" s="39" t="s">
        <v>80</v>
      </c>
      <c r="AJ101" s="39" t="s">
        <v>80</v>
      </c>
      <c r="AK101" s="39" t="s">
        <v>80</v>
      </c>
      <c r="AL101" s="39" t="s">
        <v>80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VLOOKUP($R101,武学奇术!$A:$ZZ,27,FALSE)*(1+IF(OR($AM101=$F$4,$AM101=$F$5),$B$22,0))</f>
        <v>0</v>
      </c>
      <c r="AP101" s="24">
        <f>VLOOKUP($R101,武学奇术!$A:$ZZ,28,FALSE)</f>
        <v>0</v>
      </c>
      <c r="AQ101" s="25">
        <f>VLOOKUP($R101,武学奇术!$A:$ZZ,29,FALSE)*(1+IF(OR($AM101=$F$4,$AM101=$F$5),$B$22,0))</f>
        <v>0</v>
      </c>
      <c r="AR101" s="24" cm="1">
        <f t="array" ref="AR101">$G$3+IFERROR(VLOOKUP($AM101,$F$4:$G$7,2,FALSE),0)+VLOOKUP($R101,武学奇术!$A:$ZZ,2,FALSE)+SUM(_xlfn.XLOOKUP($S101:$AL101,增益!$A:$A,增益!$B:$B,0))</f>
        <v>0.1042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4302.6</v>
      </c>
      <c r="AU101" cm="1">
        <f t="array" ref="AU101">$E$10*(1+$AS101)+VLOOKUP($R101,武学奇术!$A:$ZZ,4,FALSE)+SUM(_xlfn.XLOOKUP($S101:$AL101,增益!$A:$A,增益!$D:$D,0))-$I$2</f>
        <v>4302.6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0.1685</v>
      </c>
      <c r="AW101" s="31" cm="1">
        <f t="array" ref="AW101">$G$10+VLOOKUP($R101,武学奇术!$A:$ZZ,7,FALSE)+SUM(_xlfn.XLOOKUP($S101:$AL101,增益!$A:$A,增益!$G:$G,0))</f>
        <v>0.025</v>
      </c>
      <c r="AX101" s="24" cm="1">
        <f t="array" ref="AX101">VLOOKUP($R101,武学奇术!$A:$ZZ,8,FALSE)+SUM(_xlfn.XLOOKUP($S101:$AL101,增益!$A:$A,增益!$H:$H,0))</f>
        <v>0</v>
      </c>
      <c r="AY101">
        <f t="shared" si="15"/>
        <v>0</v>
      </c>
      <c r="AZ101">
        <f t="shared" si="16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1" cm="1">
        <f t="array" ref="BB101">$G$11+VLOOKUP($R101,武学奇术!$A:$ZZ,10,FALSE)+SUM(_xlfn.XLOOKUP($S101:$AL101,增益!$A:$A,增益!$J:$J,0))</f>
        <v>0</v>
      </c>
      <c r="BC101">
        <f t="shared" si="17"/>
        <v>0</v>
      </c>
      <c r="BD101">
        <f t="shared" si="18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1" cm="1">
        <f t="array" ref="BF101">$G$12+VLOOKUP($R101,武学奇术!$A:$ZZ,12,FALSE)+SUM(_xlfn.XLOOKUP($S101:$AL101,增益!$A:$A,增益!$L:$L,0))</f>
        <v>0</v>
      </c>
      <c r="BG101">
        <f t="shared" si="19"/>
        <v>0</v>
      </c>
      <c r="BH101">
        <f t="shared" si="20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1" cm="1">
        <f t="array" ref="BJ101">$G$13+VLOOKUP($R101,武学奇术!$A:$ZZ,14,FALSE)+SUM(_xlfn.XLOOKUP($S101:$AL101,增益!$A:$A,增益!$N:$N,0))</f>
        <v>0</v>
      </c>
      <c r="BK101">
        <f t="shared" si="21"/>
        <v>649.11</v>
      </c>
      <c r="BL101">
        <f t="shared" si="22"/>
        <v>1707.09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1" cm="1">
        <f t="array" ref="BN101">$G$14+VLOOKUP($R101,武学奇术!$A:$ZZ,16,FALSE)+SUM(_xlfn.XLOOKUP($S101:$AL101,增益!$A:$A,增益!$P:$P,0))</f>
        <v>0.15</v>
      </c>
      <c r="BO101" s="24">
        <f>MIN(IF(VLOOKUP($R101,武学奇术!$A:$ZZ,23,FALSE)=1,100%,$B$8),100%)</f>
        <v>0.9771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0.8861</v>
      </c>
      <c r="BQ101" s="24" cm="1">
        <f t="array" ref="BQ101">1+$B$13+VLOOKUP($R101,武学奇术!$A:$ZZ,18,FALSE)+SUM(_xlfn.XLOOKUP($S101:$AL101,增益!$A:$A,增益!$R:$R,0))</f>
        <v>1.54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3"/>
        <v>0.86580831</v>
      </c>
      <c r="BU101" s="24">
        <f t="shared" si="24"/>
        <v>0.0220824599999999</v>
      </c>
      <c r="BV101" s="24">
        <f>IF(VLOOKUP($R101,武学奇术!$A:$ZZ,22,FALSE)=1,0,(1-$BO101))*(1-$BR101)</f>
        <v>0.02080923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1:76">
      <c r="K102" s="37">
        <f>$L102*VLOOKUP($R102,武学奇术!$A:$ZZ,31,FALSE)</f>
        <v>0</v>
      </c>
      <c r="L102" s="37">
        <f t="shared" si="26"/>
        <v>0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8">
        <v>1</v>
      </c>
      <c r="R102" s="39" t="s">
        <v>80</v>
      </c>
      <c r="S102" s="39" t="s">
        <v>80</v>
      </c>
      <c r="T102" s="39" t="s">
        <v>80</v>
      </c>
      <c r="U102" s="39" t="s">
        <v>80</v>
      </c>
      <c r="V102" s="39" t="s">
        <v>80</v>
      </c>
      <c r="W102" s="39" t="s">
        <v>80</v>
      </c>
      <c r="X102" s="39" t="s">
        <v>80</v>
      </c>
      <c r="Y102" s="39" t="s">
        <v>80</v>
      </c>
      <c r="Z102" s="39" t="s">
        <v>80</v>
      </c>
      <c r="AA102" s="39" t="s">
        <v>80</v>
      </c>
      <c r="AB102" s="39" t="s">
        <v>80</v>
      </c>
      <c r="AC102" s="39" t="s">
        <v>80</v>
      </c>
      <c r="AD102" s="39" t="s">
        <v>80</v>
      </c>
      <c r="AE102" s="39" t="s">
        <v>80</v>
      </c>
      <c r="AF102" s="39" t="s">
        <v>84</v>
      </c>
      <c r="AG102" s="39" t="s">
        <v>80</v>
      </c>
      <c r="AH102" s="39" t="s">
        <v>80</v>
      </c>
      <c r="AI102" s="39" t="s">
        <v>80</v>
      </c>
      <c r="AJ102" s="39" t="s">
        <v>80</v>
      </c>
      <c r="AK102" s="39" t="s">
        <v>80</v>
      </c>
      <c r="AL102" s="39" t="s">
        <v>80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VLOOKUP($R102,武学奇术!$A:$ZZ,27,FALSE)*(1+IF(OR($AM102=$F$4,$AM102=$F$5),$B$22,0))</f>
        <v>0</v>
      </c>
      <c r="AP102" s="24">
        <f>VLOOKUP($R102,武学奇术!$A:$ZZ,28,FALSE)</f>
        <v>0</v>
      </c>
      <c r="AQ102" s="25">
        <f>VLOOKUP($R102,武学奇术!$A:$ZZ,29,FALSE)*(1+IF(OR($AM102=$F$4,$AM102=$F$5),$B$22,0))</f>
        <v>0</v>
      </c>
      <c r="AR102" s="24" cm="1">
        <f t="array" ref="AR102">$G$3+IFERROR(VLOOKUP($AM102,$F$4:$G$7,2,FALSE),0)+VLOOKUP($R102,武学奇术!$A:$ZZ,2,FALSE)+SUM(_xlfn.XLOOKUP($S102:$AL102,增益!$A:$A,增益!$B:$B,0))</f>
        <v>0.1042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4302.6</v>
      </c>
      <c r="AU102" cm="1">
        <f t="array" ref="AU102">$E$10*(1+$AS102)+VLOOKUP($R102,武学奇术!$A:$ZZ,4,FALSE)+SUM(_xlfn.XLOOKUP($S102:$AL102,增益!$A:$A,增益!$D:$D,0))-$I$2</f>
        <v>4302.6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0.1685</v>
      </c>
      <c r="AW102" s="31" cm="1">
        <f t="array" ref="AW102">$G$10+VLOOKUP($R102,武学奇术!$A:$ZZ,7,FALSE)+SUM(_xlfn.XLOOKUP($S102:$AL102,增益!$A:$A,增益!$G:$G,0))</f>
        <v>0.025</v>
      </c>
      <c r="AX102" s="24" cm="1">
        <f t="array" ref="AX102">VLOOKUP($R102,武学奇术!$A:$ZZ,8,FALSE)+SUM(_xlfn.XLOOKUP($S102:$AL102,增益!$A:$A,增益!$H:$H,0))</f>
        <v>0</v>
      </c>
      <c r="AY102">
        <f t="shared" si="15"/>
        <v>0</v>
      </c>
      <c r="AZ102">
        <f t="shared" si="16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1" cm="1">
        <f t="array" ref="BB102">$G$11+VLOOKUP($R102,武学奇术!$A:$ZZ,10,FALSE)+SUM(_xlfn.XLOOKUP($S102:$AL102,增益!$A:$A,增益!$J:$J,0))</f>
        <v>0</v>
      </c>
      <c r="BC102">
        <f t="shared" si="17"/>
        <v>0</v>
      </c>
      <c r="BD102">
        <f t="shared" si="18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1" cm="1">
        <f t="array" ref="BF102">$G$12+VLOOKUP($R102,武学奇术!$A:$ZZ,12,FALSE)+SUM(_xlfn.XLOOKUP($S102:$AL102,增益!$A:$A,增益!$L:$L,0))</f>
        <v>0</v>
      </c>
      <c r="BG102">
        <f t="shared" si="19"/>
        <v>0</v>
      </c>
      <c r="BH102">
        <f t="shared" si="20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1" cm="1">
        <f t="array" ref="BJ102">$G$13+VLOOKUP($R102,武学奇术!$A:$ZZ,14,FALSE)+SUM(_xlfn.XLOOKUP($S102:$AL102,增益!$A:$A,增益!$N:$N,0))</f>
        <v>0</v>
      </c>
      <c r="BK102">
        <f t="shared" si="21"/>
        <v>649.11</v>
      </c>
      <c r="BL102">
        <f t="shared" si="22"/>
        <v>1707.09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1" cm="1">
        <f t="array" ref="BN102">$G$14+VLOOKUP($R102,武学奇术!$A:$ZZ,16,FALSE)+SUM(_xlfn.XLOOKUP($S102:$AL102,增益!$A:$A,增益!$P:$P,0))</f>
        <v>0.15</v>
      </c>
      <c r="BO102" s="24">
        <f>MIN(IF(VLOOKUP($R102,武学奇术!$A:$ZZ,23,FALSE)=1,100%,$B$8),100%)</f>
        <v>0.9771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0.8861</v>
      </c>
      <c r="BQ102" s="24" cm="1">
        <f t="array" ref="BQ102">1+$B$13+VLOOKUP($R102,武学奇术!$A:$ZZ,18,FALSE)+SUM(_xlfn.XLOOKUP($S102:$AL102,增益!$A:$A,增益!$R:$R,0))</f>
        <v>1.54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3"/>
        <v>0.86580831</v>
      </c>
      <c r="BU102" s="24">
        <f t="shared" si="24"/>
        <v>0.0220824599999999</v>
      </c>
      <c r="BV102" s="24">
        <f>IF(VLOOKUP($R102,武学奇术!$A:$ZZ,22,FALSE)=1,0,(1-$BO102))*(1-$BR102)</f>
        <v>0.02080923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1:76">
      <c r="K103" s="37">
        <f>$L103*VLOOKUP($R103,武学奇术!$A:$ZZ,31,FALSE)</f>
        <v>0</v>
      </c>
      <c r="L103" s="37">
        <f t="shared" si="26"/>
        <v>0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8">
        <v>1</v>
      </c>
      <c r="R103" s="39" t="s">
        <v>80</v>
      </c>
      <c r="S103" s="39" t="s">
        <v>80</v>
      </c>
      <c r="T103" s="39" t="s">
        <v>80</v>
      </c>
      <c r="U103" s="39" t="s">
        <v>80</v>
      </c>
      <c r="V103" s="39" t="s">
        <v>80</v>
      </c>
      <c r="W103" s="39" t="s">
        <v>80</v>
      </c>
      <c r="X103" s="39" t="s">
        <v>80</v>
      </c>
      <c r="Y103" s="39" t="s">
        <v>80</v>
      </c>
      <c r="Z103" s="39" t="s">
        <v>80</v>
      </c>
      <c r="AA103" s="39" t="s">
        <v>80</v>
      </c>
      <c r="AB103" s="39" t="s">
        <v>80</v>
      </c>
      <c r="AC103" s="39" t="s">
        <v>80</v>
      </c>
      <c r="AD103" s="39" t="s">
        <v>80</v>
      </c>
      <c r="AE103" s="39" t="s">
        <v>80</v>
      </c>
      <c r="AF103" s="39" t="s">
        <v>84</v>
      </c>
      <c r="AG103" s="39" t="s">
        <v>80</v>
      </c>
      <c r="AH103" s="39" t="s">
        <v>80</v>
      </c>
      <c r="AI103" s="39" t="s">
        <v>80</v>
      </c>
      <c r="AJ103" s="39" t="s">
        <v>80</v>
      </c>
      <c r="AK103" s="39" t="s">
        <v>80</v>
      </c>
      <c r="AL103" s="39" t="s">
        <v>80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VLOOKUP($R103,武学奇术!$A:$ZZ,27,FALSE)*(1+IF(OR($AM103=$F$4,$AM103=$F$5),$B$22,0))</f>
        <v>0</v>
      </c>
      <c r="AP103" s="24">
        <f>VLOOKUP($R103,武学奇术!$A:$ZZ,28,FALSE)</f>
        <v>0</v>
      </c>
      <c r="AQ103" s="25">
        <f>VLOOKUP($R103,武学奇术!$A:$ZZ,29,FALSE)*(1+IF(OR($AM103=$F$4,$AM103=$F$5),$B$22,0))</f>
        <v>0</v>
      </c>
      <c r="AR103" s="24" cm="1">
        <f t="array" ref="AR103">$G$3+IFERROR(VLOOKUP($AM103,$F$4:$G$7,2,FALSE),0)+VLOOKUP($R103,武学奇术!$A:$ZZ,2,FALSE)+SUM(_xlfn.XLOOKUP($S103:$AL103,增益!$A:$A,增益!$B:$B,0))</f>
        <v>0.1042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4302.6</v>
      </c>
      <c r="AU103" cm="1">
        <f t="array" ref="AU103">$E$10*(1+$AS103)+VLOOKUP($R103,武学奇术!$A:$ZZ,4,FALSE)+SUM(_xlfn.XLOOKUP($S103:$AL103,增益!$A:$A,增益!$D:$D,0))-$I$2</f>
        <v>4302.6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0.1685</v>
      </c>
      <c r="AW103" s="31" cm="1">
        <f t="array" ref="AW103">$G$10+VLOOKUP($R103,武学奇术!$A:$ZZ,7,FALSE)+SUM(_xlfn.XLOOKUP($S103:$AL103,增益!$A:$A,增益!$G:$G,0))</f>
        <v>0.025</v>
      </c>
      <c r="AX103" s="24" cm="1">
        <f t="array" ref="AX103">VLOOKUP($R103,武学奇术!$A:$ZZ,8,FALSE)+SUM(_xlfn.XLOOKUP($S103:$AL103,增益!$A:$A,增益!$H:$H,0))</f>
        <v>0</v>
      </c>
      <c r="AY103">
        <f t="shared" si="15"/>
        <v>0</v>
      </c>
      <c r="AZ103">
        <f t="shared" si="16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1" cm="1">
        <f t="array" ref="BB103">$G$11+VLOOKUP($R103,武学奇术!$A:$ZZ,10,FALSE)+SUM(_xlfn.XLOOKUP($S103:$AL103,增益!$A:$A,增益!$J:$J,0))</f>
        <v>0</v>
      </c>
      <c r="BC103">
        <f t="shared" si="17"/>
        <v>0</v>
      </c>
      <c r="BD103">
        <f t="shared" si="18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1" cm="1">
        <f t="array" ref="BF103">$G$12+VLOOKUP($R103,武学奇术!$A:$ZZ,12,FALSE)+SUM(_xlfn.XLOOKUP($S103:$AL103,增益!$A:$A,增益!$L:$L,0))</f>
        <v>0</v>
      </c>
      <c r="BG103">
        <f t="shared" si="19"/>
        <v>0</v>
      </c>
      <c r="BH103">
        <f t="shared" si="20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1" cm="1">
        <f t="array" ref="BJ103">$G$13+VLOOKUP($R103,武学奇术!$A:$ZZ,14,FALSE)+SUM(_xlfn.XLOOKUP($S103:$AL103,增益!$A:$A,增益!$N:$N,0))</f>
        <v>0</v>
      </c>
      <c r="BK103">
        <f t="shared" si="21"/>
        <v>649.11</v>
      </c>
      <c r="BL103">
        <f t="shared" si="22"/>
        <v>1707.09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1" cm="1">
        <f t="array" ref="BN103">$G$14+VLOOKUP($R103,武学奇术!$A:$ZZ,16,FALSE)+SUM(_xlfn.XLOOKUP($S103:$AL103,增益!$A:$A,增益!$P:$P,0))</f>
        <v>0.15</v>
      </c>
      <c r="BO103" s="24">
        <f>MIN(IF(VLOOKUP($R103,武学奇术!$A:$ZZ,23,FALSE)=1,100%,$B$8),100%)</f>
        <v>0.9771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0.8861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3"/>
        <v>0.86580831</v>
      </c>
      <c r="BU103" s="24">
        <f t="shared" si="24"/>
        <v>0.0220824599999999</v>
      </c>
      <c r="BV103" s="24">
        <f>IF(VLOOKUP($R103,武学奇术!$A:$ZZ,22,FALSE)=1,0,(1-$BO103))*(1-$BR103)</f>
        <v>0.02080923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1:76">
      <c r="K104" s="37">
        <f>$L104*VLOOKUP($R104,武学奇术!$A:$ZZ,31,FALSE)</f>
        <v>0</v>
      </c>
      <c r="L104" s="37">
        <f t="shared" si="26"/>
        <v>0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8">
        <v>1</v>
      </c>
      <c r="R104" s="39" t="s">
        <v>80</v>
      </c>
      <c r="S104" s="39" t="s">
        <v>80</v>
      </c>
      <c r="T104" s="39" t="s">
        <v>80</v>
      </c>
      <c r="U104" s="39" t="s">
        <v>80</v>
      </c>
      <c r="V104" s="39" t="s">
        <v>80</v>
      </c>
      <c r="W104" s="39" t="s">
        <v>80</v>
      </c>
      <c r="X104" s="39" t="s">
        <v>80</v>
      </c>
      <c r="Y104" s="39" t="s">
        <v>80</v>
      </c>
      <c r="Z104" s="39" t="s">
        <v>80</v>
      </c>
      <c r="AA104" s="39" t="s">
        <v>80</v>
      </c>
      <c r="AB104" s="39" t="s">
        <v>80</v>
      </c>
      <c r="AC104" s="39" t="s">
        <v>80</v>
      </c>
      <c r="AD104" s="39" t="s">
        <v>80</v>
      </c>
      <c r="AE104" s="39" t="s">
        <v>80</v>
      </c>
      <c r="AF104" s="39" t="s">
        <v>84</v>
      </c>
      <c r="AG104" s="39" t="s">
        <v>80</v>
      </c>
      <c r="AH104" s="39" t="s">
        <v>80</v>
      </c>
      <c r="AI104" s="39" t="s">
        <v>80</v>
      </c>
      <c r="AJ104" s="39" t="s">
        <v>80</v>
      </c>
      <c r="AK104" s="39" t="s">
        <v>80</v>
      </c>
      <c r="AL104" s="39" t="s">
        <v>80</v>
      </c>
      <c r="AM104" t="str">
        <f>VLOOKUP($R104,武学奇术!$A:$ZZ,25,FALSE)</f>
        <v>心法</v>
      </c>
      <c r="AN104" s="24">
        <f>VLOOKUP($R104,武学奇术!$A:$ZZ,26,FALSE)</f>
        <v>0</v>
      </c>
      <c r="AO104" s="25">
        <f>VLOOKUP($R104,武学奇术!$A:$ZZ,27,FALSE)*(1+IF(OR($AM104=$F$4,$AM104=$F$5),$B$22,0))</f>
        <v>0</v>
      </c>
      <c r="AP104" s="24">
        <f>VLOOKUP($R104,武学奇术!$A:$ZZ,28,FALSE)</f>
        <v>0</v>
      </c>
      <c r="AQ104" s="25">
        <f>VLOOKUP($R104,武学奇术!$A:$ZZ,29,FALSE)*(1+IF(OR($AM104=$F$4,$AM104=$F$5),$B$22,0))</f>
        <v>0</v>
      </c>
      <c r="AR104" s="24" cm="1">
        <f t="array" ref="AR104">$G$3+IFERROR(VLOOKUP($AM104,$F$4:$G$7,2,FALSE),0)+VLOOKUP($R104,武学奇术!$A:$ZZ,2,FALSE)+SUM(_xlfn.XLOOKUP($S104:$AL104,增益!$A:$A,增益!$B:$B,0))</f>
        <v>0.1042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4302.6</v>
      </c>
      <c r="AU104" cm="1">
        <f t="array" ref="AU104">$E$10*(1+$AS104)+VLOOKUP($R104,武学奇术!$A:$ZZ,4,FALSE)+SUM(_xlfn.XLOOKUP($S104:$AL104,增益!$A:$A,增益!$D:$D,0))-$I$2</f>
        <v>4302.6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0.1685</v>
      </c>
      <c r="AW104" s="31" cm="1">
        <f t="array" ref="AW104">$G$10+VLOOKUP($R104,武学奇术!$A:$ZZ,7,FALSE)+SUM(_xlfn.XLOOKUP($S104:$AL104,增益!$A:$A,增益!$G:$G,0))</f>
        <v>0.025</v>
      </c>
      <c r="AX104" s="24" cm="1">
        <f t="array" ref="AX104">VLOOKUP($R104,武学奇术!$A:$ZZ,8,FALSE)+SUM(_xlfn.XLOOKUP($S104:$AL104,增益!$A:$A,增益!$H:$H,0))</f>
        <v>0</v>
      </c>
      <c r="AY104">
        <f t="shared" si="15"/>
        <v>0</v>
      </c>
      <c r="AZ104">
        <f t="shared" si="16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1" cm="1">
        <f t="array" ref="BB104">$G$11+VLOOKUP($R104,武学奇术!$A:$ZZ,10,FALSE)+SUM(_xlfn.XLOOKUP($S104:$AL104,增益!$A:$A,增益!$J:$J,0))</f>
        <v>0</v>
      </c>
      <c r="BC104">
        <f t="shared" si="17"/>
        <v>0</v>
      </c>
      <c r="BD104">
        <f t="shared" si="18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1" cm="1">
        <f t="array" ref="BF104">$G$12+VLOOKUP($R104,武学奇术!$A:$ZZ,12,FALSE)+SUM(_xlfn.XLOOKUP($S104:$AL104,增益!$A:$A,增益!$L:$L,0))</f>
        <v>0</v>
      </c>
      <c r="BG104">
        <f t="shared" si="19"/>
        <v>0</v>
      </c>
      <c r="BH104">
        <f t="shared" si="20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1" cm="1">
        <f t="array" ref="BJ104">$G$13+VLOOKUP($R104,武学奇术!$A:$ZZ,14,FALSE)+SUM(_xlfn.XLOOKUP($S104:$AL104,增益!$A:$A,增益!$N:$N,0))</f>
        <v>0</v>
      </c>
      <c r="BK104">
        <f t="shared" si="21"/>
        <v>649.11</v>
      </c>
      <c r="BL104">
        <f t="shared" si="22"/>
        <v>1707.09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1" cm="1">
        <f t="array" ref="BN104">$G$14+VLOOKUP($R104,武学奇术!$A:$ZZ,16,FALSE)+SUM(_xlfn.XLOOKUP($S104:$AL104,增益!$A:$A,增益!$P:$P,0))</f>
        <v>0.15</v>
      </c>
      <c r="BO104" s="24">
        <f>MIN(IF(VLOOKUP($R104,武学奇术!$A:$ZZ,23,FALSE)=1,100%,$B$8),100%)</f>
        <v>0.9771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0.8861</v>
      </c>
      <c r="BQ104" s="24" cm="1">
        <f t="array" ref="BQ104">1+$B$13+VLOOKUP($R104,武学奇术!$A:$ZZ,18,FALSE)+SUM(_xlfn.XLOOKUP($S104:$AL104,增益!$A:$A,增益!$R:$R,0))</f>
        <v>1.54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3"/>
        <v>0.86580831</v>
      </c>
      <c r="BU104" s="24">
        <f t="shared" si="24"/>
        <v>0.0220824599999999</v>
      </c>
      <c r="BV104" s="24">
        <f>IF(VLOOKUP($R104,武学奇术!$A:$ZZ,22,FALSE)=1,0,(1-$BO104))*(1-$BR104)</f>
        <v>0.02080923</v>
      </c>
      <c r="BW104" s="24" cm="1">
        <f t="array" ref="BW104">SUM(_xlfn.XLOOKUP($S104:$AL104,增益!$A:$A,增益!$W:$W,0))+$I$5</f>
        <v>0.11</v>
      </c>
      <c r="BX104" s="24" cm="1">
        <f t="array" ref="BX104">SUM(_xlfn.XLOOKUP($S104:$AL104,增益!$A:$A,增益!$X:$X,0))</f>
        <v>0</v>
      </c>
    </row>
    <row r="105" spans="11:76">
      <c r="K105" s="37">
        <f>$L105*VLOOKUP($R105,武学奇术!$A:$ZZ,31,FALSE)</f>
        <v>0</v>
      </c>
      <c r="L105" s="37">
        <f t="shared" si="26"/>
        <v>0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8">
        <v>1</v>
      </c>
      <c r="R105" s="39" t="s">
        <v>80</v>
      </c>
      <c r="S105" s="39" t="s">
        <v>80</v>
      </c>
      <c r="T105" s="39" t="s">
        <v>80</v>
      </c>
      <c r="U105" s="39" t="s">
        <v>80</v>
      </c>
      <c r="V105" s="39" t="s">
        <v>80</v>
      </c>
      <c r="W105" s="39" t="s">
        <v>80</v>
      </c>
      <c r="X105" s="39" t="s">
        <v>80</v>
      </c>
      <c r="Y105" s="39" t="s">
        <v>80</v>
      </c>
      <c r="Z105" s="39" t="s">
        <v>80</v>
      </c>
      <c r="AA105" s="39" t="s">
        <v>80</v>
      </c>
      <c r="AB105" s="39" t="s">
        <v>80</v>
      </c>
      <c r="AC105" s="39" t="s">
        <v>80</v>
      </c>
      <c r="AD105" s="39" t="s">
        <v>80</v>
      </c>
      <c r="AE105" s="39" t="s">
        <v>80</v>
      </c>
      <c r="AF105" s="39" t="s">
        <v>84</v>
      </c>
      <c r="AG105" s="39" t="s">
        <v>80</v>
      </c>
      <c r="AH105" s="39" t="s">
        <v>80</v>
      </c>
      <c r="AI105" s="39" t="s">
        <v>80</v>
      </c>
      <c r="AJ105" s="39" t="s">
        <v>80</v>
      </c>
      <c r="AK105" s="39" t="s">
        <v>80</v>
      </c>
      <c r="AL105" s="39" t="s">
        <v>80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VLOOKUP($R105,武学奇术!$A:$ZZ,27,FALSE)*(1+IF(OR($AM105=$F$4,$AM105=$F$5),$B$22,0))</f>
        <v>0</v>
      </c>
      <c r="AP105" s="24">
        <f>VLOOKUP($R105,武学奇术!$A:$ZZ,28,FALSE)</f>
        <v>0</v>
      </c>
      <c r="AQ105" s="25">
        <f>VLOOKUP($R105,武学奇术!$A:$ZZ,29,FALSE)*(1+IF(OR($AM105=$F$4,$AM105=$F$5),$B$22,0))</f>
        <v>0</v>
      </c>
      <c r="AR105" s="24" cm="1">
        <f t="array" ref="AR105">$G$3+IFERROR(VLOOKUP($AM105,$F$4:$G$7,2,FALSE),0)+VLOOKUP($R105,武学奇术!$A:$ZZ,2,FALSE)+SUM(_xlfn.XLOOKUP($S105:$AL105,增益!$A:$A,增益!$B:$B,0))</f>
        <v>0.1042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4302.6</v>
      </c>
      <c r="AU105" cm="1">
        <f t="array" ref="AU105">$E$10*(1+$AS105)+VLOOKUP($R105,武学奇术!$A:$ZZ,4,FALSE)+SUM(_xlfn.XLOOKUP($S105:$AL105,增益!$A:$A,增益!$D:$D,0))-$I$2</f>
        <v>4302.6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0.1685</v>
      </c>
      <c r="AW105" s="31" cm="1">
        <f t="array" ref="AW105">$G$10+VLOOKUP($R105,武学奇术!$A:$ZZ,7,FALSE)+SUM(_xlfn.XLOOKUP($S105:$AL105,增益!$A:$A,增益!$G:$G,0))</f>
        <v>0.025</v>
      </c>
      <c r="AX105" s="24" cm="1">
        <f t="array" ref="AX105">VLOOKUP($R105,武学奇术!$A:$ZZ,8,FALSE)+SUM(_xlfn.XLOOKUP($S105:$AL105,增益!$A:$A,增益!$H:$H,0))</f>
        <v>0</v>
      </c>
      <c r="AY105">
        <f t="shared" si="15"/>
        <v>0</v>
      </c>
      <c r="AZ105">
        <f t="shared" si="16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1" cm="1">
        <f t="array" ref="BB105">$G$11+VLOOKUP($R105,武学奇术!$A:$ZZ,10,FALSE)+SUM(_xlfn.XLOOKUP($S105:$AL105,增益!$A:$A,增益!$J:$J,0))</f>
        <v>0</v>
      </c>
      <c r="BC105">
        <f t="shared" si="17"/>
        <v>0</v>
      </c>
      <c r="BD105">
        <f t="shared" si="18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1" cm="1">
        <f t="array" ref="BF105">$G$12+VLOOKUP($R105,武学奇术!$A:$ZZ,12,FALSE)+SUM(_xlfn.XLOOKUP($S105:$AL105,增益!$A:$A,增益!$L:$L,0))</f>
        <v>0</v>
      </c>
      <c r="BG105">
        <f t="shared" si="19"/>
        <v>0</v>
      </c>
      <c r="BH105">
        <f t="shared" si="20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1" cm="1">
        <f t="array" ref="BJ105">$G$13+VLOOKUP($R105,武学奇术!$A:$ZZ,14,FALSE)+SUM(_xlfn.XLOOKUP($S105:$AL105,增益!$A:$A,增益!$N:$N,0))</f>
        <v>0</v>
      </c>
      <c r="BK105">
        <f t="shared" si="21"/>
        <v>649.11</v>
      </c>
      <c r="BL105">
        <f t="shared" si="22"/>
        <v>1707.09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1" cm="1">
        <f t="array" ref="BN105">$G$14+VLOOKUP($R105,武学奇术!$A:$ZZ,16,FALSE)+SUM(_xlfn.XLOOKUP($S105:$AL105,增益!$A:$A,增益!$P:$P,0))</f>
        <v>0.15</v>
      </c>
      <c r="BO105" s="24">
        <f>MIN(IF(VLOOKUP($R105,武学奇术!$A:$ZZ,23,FALSE)=1,100%,$B$8),100%)</f>
        <v>0.9771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0.8861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3"/>
        <v>0.86580831</v>
      </c>
      <c r="BU105" s="24">
        <f t="shared" si="24"/>
        <v>0.0220824599999999</v>
      </c>
      <c r="BV105" s="24">
        <f>IF(VLOOKUP($R105,武学奇术!$A:$ZZ,22,FALSE)=1,0,(1-$BO105))*(1-$BR105)</f>
        <v>0.02080923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1:76">
      <c r="K106" s="37">
        <f>$L106*VLOOKUP($R106,武学奇术!$A:$ZZ,31,FALSE)</f>
        <v>0</v>
      </c>
      <c r="L106" s="37">
        <f t="shared" si="26"/>
        <v>0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8">
        <v>1</v>
      </c>
      <c r="R106" s="39" t="s">
        <v>80</v>
      </c>
      <c r="S106" s="39" t="s">
        <v>80</v>
      </c>
      <c r="T106" s="39" t="s">
        <v>80</v>
      </c>
      <c r="U106" s="39" t="s">
        <v>80</v>
      </c>
      <c r="V106" s="39" t="s">
        <v>80</v>
      </c>
      <c r="W106" s="39" t="s">
        <v>80</v>
      </c>
      <c r="X106" s="39" t="s">
        <v>80</v>
      </c>
      <c r="Y106" s="39" t="s">
        <v>80</v>
      </c>
      <c r="Z106" s="39" t="s">
        <v>80</v>
      </c>
      <c r="AA106" s="39" t="s">
        <v>80</v>
      </c>
      <c r="AB106" s="39" t="s">
        <v>80</v>
      </c>
      <c r="AC106" s="39" t="s">
        <v>80</v>
      </c>
      <c r="AD106" s="39" t="s">
        <v>80</v>
      </c>
      <c r="AE106" s="39" t="s">
        <v>80</v>
      </c>
      <c r="AF106" s="39" t="s">
        <v>84</v>
      </c>
      <c r="AG106" s="39" t="s">
        <v>80</v>
      </c>
      <c r="AH106" s="39" t="s">
        <v>80</v>
      </c>
      <c r="AI106" s="39" t="s">
        <v>80</v>
      </c>
      <c r="AJ106" s="39" t="s">
        <v>80</v>
      </c>
      <c r="AK106" s="39" t="s">
        <v>80</v>
      </c>
      <c r="AL106" s="39" t="s">
        <v>80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VLOOKUP($R106,武学奇术!$A:$ZZ,27,FALSE)*(1+IF(OR($AM106=$F$4,$AM106=$F$5),$B$22,0))</f>
        <v>0</v>
      </c>
      <c r="AP106" s="24">
        <f>VLOOKUP($R106,武学奇术!$A:$ZZ,28,FALSE)</f>
        <v>0</v>
      </c>
      <c r="AQ106" s="25">
        <f>VLOOKUP($R106,武学奇术!$A:$ZZ,29,FALSE)*(1+IF(OR($AM106=$F$4,$AM106=$F$5),$B$22,0))</f>
        <v>0</v>
      </c>
      <c r="AR106" s="24" cm="1">
        <f t="array" ref="AR106">$G$3+IFERROR(VLOOKUP($AM106,$F$4:$G$7,2,FALSE),0)+VLOOKUP($R106,武学奇术!$A:$ZZ,2,FALSE)+SUM(_xlfn.XLOOKUP($S106:$AL106,增益!$A:$A,增益!$B:$B,0))</f>
        <v>0.1042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4302.6</v>
      </c>
      <c r="AU106" cm="1">
        <f t="array" ref="AU106">$E$10*(1+$AS106)+VLOOKUP($R106,武学奇术!$A:$ZZ,4,FALSE)+SUM(_xlfn.XLOOKUP($S106:$AL106,增益!$A:$A,增益!$D:$D,0))-$I$2</f>
        <v>4302.6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0.1685</v>
      </c>
      <c r="AW106" s="31" cm="1">
        <f t="array" ref="AW106">$G$10+VLOOKUP($R106,武学奇术!$A:$ZZ,7,FALSE)+SUM(_xlfn.XLOOKUP($S106:$AL106,增益!$A:$A,增益!$G:$G,0))</f>
        <v>0.025</v>
      </c>
      <c r="AX106" s="24" cm="1">
        <f t="array" ref="AX106">VLOOKUP($R106,武学奇术!$A:$ZZ,8,FALSE)+SUM(_xlfn.XLOOKUP($S106:$AL106,增益!$A:$A,增益!$H:$H,0))</f>
        <v>0</v>
      </c>
      <c r="AY106">
        <f t="shared" si="15"/>
        <v>0</v>
      </c>
      <c r="AZ106">
        <f t="shared" si="16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1" cm="1">
        <f t="array" ref="BB106">$G$11+VLOOKUP($R106,武学奇术!$A:$ZZ,10,FALSE)+SUM(_xlfn.XLOOKUP($S106:$AL106,增益!$A:$A,增益!$J:$J,0))</f>
        <v>0</v>
      </c>
      <c r="BC106">
        <f t="shared" si="17"/>
        <v>0</v>
      </c>
      <c r="BD106">
        <f t="shared" si="18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1" cm="1">
        <f t="array" ref="BF106">$G$12+VLOOKUP($R106,武学奇术!$A:$ZZ,12,FALSE)+SUM(_xlfn.XLOOKUP($S106:$AL106,增益!$A:$A,增益!$L:$L,0))</f>
        <v>0</v>
      </c>
      <c r="BG106">
        <f t="shared" si="19"/>
        <v>0</v>
      </c>
      <c r="BH106">
        <f t="shared" si="20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1" cm="1">
        <f t="array" ref="BJ106">$G$13+VLOOKUP($R106,武学奇术!$A:$ZZ,14,FALSE)+SUM(_xlfn.XLOOKUP($S106:$AL106,增益!$A:$A,增益!$N:$N,0))</f>
        <v>0</v>
      </c>
      <c r="BK106">
        <f t="shared" si="21"/>
        <v>649.11</v>
      </c>
      <c r="BL106">
        <f t="shared" si="22"/>
        <v>1707.09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1" cm="1">
        <f t="array" ref="BN106">$G$14+VLOOKUP($R106,武学奇术!$A:$ZZ,16,FALSE)+SUM(_xlfn.XLOOKUP($S106:$AL106,增益!$A:$A,增益!$P:$P,0))</f>
        <v>0.15</v>
      </c>
      <c r="BO106" s="24">
        <f>MIN(IF(VLOOKUP($R106,武学奇术!$A:$ZZ,23,FALSE)=1,100%,$B$8),100%)</f>
        <v>0.9771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0.8861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3"/>
        <v>0.86580831</v>
      </c>
      <c r="BU106" s="24">
        <f t="shared" si="24"/>
        <v>0.0220824599999999</v>
      </c>
      <c r="BV106" s="24">
        <f>IF(VLOOKUP($R106,武学奇术!$A:$ZZ,22,FALSE)=1,0,(1-$BO106))*(1-$BR106)</f>
        <v>0.02080923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1:76">
      <c r="K107" s="37">
        <f>$L107*VLOOKUP($R107,武学奇术!$A:$ZZ,31,FALSE)</f>
        <v>0</v>
      </c>
      <c r="L107" s="37">
        <f t="shared" si="26"/>
        <v>0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8">
        <v>1</v>
      </c>
      <c r="R107" s="39" t="s">
        <v>80</v>
      </c>
      <c r="S107" s="39" t="s">
        <v>80</v>
      </c>
      <c r="T107" s="39" t="s">
        <v>80</v>
      </c>
      <c r="U107" s="39" t="s">
        <v>80</v>
      </c>
      <c r="V107" s="39" t="s">
        <v>80</v>
      </c>
      <c r="W107" s="39" t="s">
        <v>80</v>
      </c>
      <c r="X107" s="39" t="s">
        <v>80</v>
      </c>
      <c r="Y107" s="39" t="s">
        <v>80</v>
      </c>
      <c r="Z107" s="39" t="s">
        <v>80</v>
      </c>
      <c r="AA107" s="39" t="s">
        <v>80</v>
      </c>
      <c r="AB107" s="39" t="s">
        <v>80</v>
      </c>
      <c r="AC107" s="39" t="s">
        <v>80</v>
      </c>
      <c r="AD107" s="39" t="s">
        <v>80</v>
      </c>
      <c r="AE107" s="39" t="s">
        <v>80</v>
      </c>
      <c r="AF107" s="39" t="s">
        <v>84</v>
      </c>
      <c r="AG107" s="39" t="s">
        <v>80</v>
      </c>
      <c r="AH107" s="39" t="s">
        <v>80</v>
      </c>
      <c r="AI107" s="39" t="s">
        <v>80</v>
      </c>
      <c r="AJ107" s="39" t="s">
        <v>80</v>
      </c>
      <c r="AK107" s="39" t="s">
        <v>80</v>
      </c>
      <c r="AL107" s="39" t="s">
        <v>80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0.1042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4302.6</v>
      </c>
      <c r="AU107" cm="1">
        <f t="array" ref="AU107">$E$10*(1+$AS107)+VLOOKUP($R107,武学奇术!$A:$ZZ,4,FALSE)+SUM(_xlfn.XLOOKUP($S107:$AL107,增益!$A:$A,增益!$D:$D,0))-$I$2</f>
        <v>4302.6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0.1685</v>
      </c>
      <c r="AW107" s="31" cm="1">
        <f t="array" ref="AW107">$G$10+VLOOKUP($R107,武学奇术!$A:$ZZ,7,FALSE)+SUM(_xlfn.XLOOKUP($S107:$AL107,增益!$A:$A,增益!$G:$G,0))</f>
        <v>0.025</v>
      </c>
      <c r="AX107" s="24" cm="1">
        <f t="array" ref="AX107">VLOOKUP($R107,武学奇术!$A:$ZZ,8,FALSE)+SUM(_xlfn.XLOOKUP($S107:$AL107,增益!$A:$A,增益!$H:$H,0))</f>
        <v>0</v>
      </c>
      <c r="AY107">
        <f t="shared" si="15"/>
        <v>0</v>
      </c>
      <c r="AZ107">
        <f t="shared" si="16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</v>
      </c>
      <c r="BC107">
        <f t="shared" si="17"/>
        <v>0</v>
      </c>
      <c r="BD107">
        <f t="shared" si="18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</v>
      </c>
      <c r="BG107">
        <f t="shared" si="19"/>
        <v>0</v>
      </c>
      <c r="BH107">
        <f t="shared" si="20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</v>
      </c>
      <c r="BK107">
        <f t="shared" si="21"/>
        <v>649.11</v>
      </c>
      <c r="BL107">
        <f t="shared" si="22"/>
        <v>1707.09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0.15</v>
      </c>
      <c r="BO107" s="24">
        <f>MIN(IF(VLOOKUP($R107,武学奇术!$A:$ZZ,23,FALSE)=1,100%,$B$8),100%)</f>
        <v>0.9771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0.8861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3"/>
        <v>0.86580831</v>
      </c>
      <c r="BU107" s="24">
        <f t="shared" si="24"/>
        <v>0.0220824599999999</v>
      </c>
      <c r="BV107" s="24">
        <f>IF(VLOOKUP($R107,武学奇术!$A:$ZZ,22,FALSE)=1,0,(1-$BO107))*(1-$BR107)</f>
        <v>0.02080923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1:76">
      <c r="K108" s="37">
        <f>$L108*VLOOKUP($R108,武学奇术!$A:$ZZ,31,FALSE)</f>
        <v>0</v>
      </c>
      <c r="L108" s="37">
        <f t="shared" si="26"/>
        <v>0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8">
        <v>1</v>
      </c>
      <c r="R108" s="39" t="s">
        <v>80</v>
      </c>
      <c r="S108" s="39" t="s">
        <v>80</v>
      </c>
      <c r="T108" s="39" t="s">
        <v>80</v>
      </c>
      <c r="U108" s="39" t="s">
        <v>80</v>
      </c>
      <c r="V108" s="39" t="s">
        <v>80</v>
      </c>
      <c r="W108" s="39" t="s">
        <v>80</v>
      </c>
      <c r="X108" s="39" t="s">
        <v>80</v>
      </c>
      <c r="Y108" s="39" t="s">
        <v>80</v>
      </c>
      <c r="Z108" s="39" t="s">
        <v>80</v>
      </c>
      <c r="AA108" s="39" t="s">
        <v>80</v>
      </c>
      <c r="AB108" s="39" t="s">
        <v>80</v>
      </c>
      <c r="AC108" s="39" t="s">
        <v>80</v>
      </c>
      <c r="AD108" s="39" t="s">
        <v>80</v>
      </c>
      <c r="AE108" s="39" t="s">
        <v>80</v>
      </c>
      <c r="AF108" s="39" t="s">
        <v>84</v>
      </c>
      <c r="AG108" s="39" t="s">
        <v>80</v>
      </c>
      <c r="AH108" s="39" t="s">
        <v>80</v>
      </c>
      <c r="AI108" s="39" t="s">
        <v>80</v>
      </c>
      <c r="AJ108" s="39" t="s">
        <v>80</v>
      </c>
      <c r="AK108" s="39" t="s">
        <v>80</v>
      </c>
      <c r="AL108" s="39" t="s">
        <v>80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0.1042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4302.6</v>
      </c>
      <c r="AU108" cm="1">
        <f t="array" ref="AU108">$E$10*(1+$AS108)+VLOOKUP($R108,武学奇术!$A:$ZZ,4,FALSE)+SUM(_xlfn.XLOOKUP($S108:$AL108,增益!$A:$A,增益!$D:$D,0))-$I$2</f>
        <v>4302.6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0.1685</v>
      </c>
      <c r="AW108" s="31" cm="1">
        <f t="array" ref="AW108">$G$10+VLOOKUP($R108,武学奇术!$A:$ZZ,7,FALSE)+SUM(_xlfn.XLOOKUP($S108:$AL108,增益!$A:$A,增益!$G:$G,0))</f>
        <v>0.025</v>
      </c>
      <c r="AX108" s="24" cm="1">
        <f t="array" ref="AX108">VLOOKUP($R108,武学奇术!$A:$ZZ,8,FALSE)+SUM(_xlfn.XLOOKUP($S108:$AL108,增益!$A:$A,增益!$H:$H,0))</f>
        <v>0</v>
      </c>
      <c r="AY108">
        <f t="shared" si="15"/>
        <v>0</v>
      </c>
      <c r="AZ108">
        <f t="shared" si="16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17"/>
        <v>0</v>
      </c>
      <c r="BD108">
        <f t="shared" si="18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19"/>
        <v>0</v>
      </c>
      <c r="BH108">
        <f t="shared" si="20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21"/>
        <v>649.11</v>
      </c>
      <c r="BL108">
        <f t="shared" si="22"/>
        <v>1707.09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0.9771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0.8861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3"/>
        <v>0.86580831</v>
      </c>
      <c r="BU108" s="24">
        <f t="shared" si="24"/>
        <v>0.0220824599999999</v>
      </c>
      <c r="BV108" s="24">
        <f>IF(VLOOKUP($R108,武学奇术!$A:$ZZ,22,FALSE)=1,0,(1-$BO108))*(1-$BR108)</f>
        <v>0.02080923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1:76">
      <c r="K109" s="37">
        <f>$L109*VLOOKUP($R109,武学奇术!$A:$ZZ,31,FALSE)</f>
        <v>0</v>
      </c>
      <c r="L109" s="37">
        <f t="shared" si="26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8">
        <v>1</v>
      </c>
      <c r="R109" s="39" t="s">
        <v>80</v>
      </c>
      <c r="S109" s="39" t="s">
        <v>80</v>
      </c>
      <c r="T109" s="39" t="s">
        <v>80</v>
      </c>
      <c r="U109" s="39" t="s">
        <v>80</v>
      </c>
      <c r="V109" s="39" t="s">
        <v>80</v>
      </c>
      <c r="W109" s="39" t="s">
        <v>80</v>
      </c>
      <c r="X109" s="39" t="s">
        <v>80</v>
      </c>
      <c r="Y109" s="39" t="s">
        <v>80</v>
      </c>
      <c r="Z109" s="39" t="s">
        <v>80</v>
      </c>
      <c r="AA109" s="39" t="s">
        <v>80</v>
      </c>
      <c r="AB109" s="39" t="s">
        <v>80</v>
      </c>
      <c r="AC109" s="39" t="s">
        <v>80</v>
      </c>
      <c r="AD109" s="39" t="s">
        <v>80</v>
      </c>
      <c r="AE109" s="39" t="s">
        <v>80</v>
      </c>
      <c r="AF109" s="39" t="s">
        <v>84</v>
      </c>
      <c r="AG109" s="39" t="s">
        <v>80</v>
      </c>
      <c r="AH109" s="39" t="s">
        <v>80</v>
      </c>
      <c r="AI109" s="39" t="s">
        <v>80</v>
      </c>
      <c r="AJ109" s="39" t="s">
        <v>80</v>
      </c>
      <c r="AK109" s="39" t="s">
        <v>80</v>
      </c>
      <c r="AL109" s="39" t="s">
        <v>80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0.1042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4302.6</v>
      </c>
      <c r="AU109" cm="1">
        <f t="array" ref="AU109">$E$10*(1+$AS109)+VLOOKUP($R109,武学奇术!$A:$ZZ,4,FALSE)+SUM(_xlfn.XLOOKUP($S109:$AL109,增益!$A:$A,增益!$D:$D,0))-$I$2</f>
        <v>4302.6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0.1685</v>
      </c>
      <c r="AW109" s="31" cm="1">
        <f t="array" ref="AW109">$G$10+VLOOKUP($R109,武学奇术!$A:$ZZ,7,FALSE)+SUM(_xlfn.XLOOKUP($S109:$AL109,增益!$A:$A,增益!$G:$G,0))</f>
        <v>0.025</v>
      </c>
      <c r="AX109" s="24" cm="1">
        <f t="array" ref="AX109">VLOOKUP($R109,武学奇术!$A:$ZZ,8,FALSE)+SUM(_xlfn.XLOOKUP($S109:$AL109,增益!$A:$A,增益!$H:$H,0))</f>
        <v>0</v>
      </c>
      <c r="AY109">
        <f t="shared" si="15"/>
        <v>0</v>
      </c>
      <c r="AZ109">
        <f t="shared" si="16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17"/>
        <v>0</v>
      </c>
      <c r="BD109">
        <f t="shared" si="18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19"/>
        <v>0</v>
      </c>
      <c r="BH109">
        <f t="shared" si="20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21"/>
        <v>649.11</v>
      </c>
      <c r="BL109">
        <f t="shared" si="22"/>
        <v>1707.09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0.9771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0.8861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3"/>
        <v>0.86580831</v>
      </c>
      <c r="BU109" s="24">
        <f t="shared" si="24"/>
        <v>0.0220824599999999</v>
      </c>
      <c r="BV109" s="24">
        <f>IF(VLOOKUP($R109,武学奇术!$A:$ZZ,22,FALSE)=1,0,(1-$BO109))*(1-$BR109)</f>
        <v>0.02080923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1:76">
      <c r="K110" s="37">
        <f>$L110*VLOOKUP($R110,武学奇术!$A:$ZZ,31,FALSE)</f>
        <v>0</v>
      </c>
      <c r="L110" s="37">
        <f t="shared" si="26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8">
        <v>1</v>
      </c>
      <c r="R110" s="39" t="s">
        <v>80</v>
      </c>
      <c r="S110" s="39" t="s">
        <v>80</v>
      </c>
      <c r="T110" s="39" t="s">
        <v>80</v>
      </c>
      <c r="U110" s="39" t="s">
        <v>80</v>
      </c>
      <c r="V110" s="39" t="s">
        <v>80</v>
      </c>
      <c r="W110" s="39" t="s">
        <v>80</v>
      </c>
      <c r="X110" s="39" t="s">
        <v>80</v>
      </c>
      <c r="Y110" s="39" t="s">
        <v>80</v>
      </c>
      <c r="Z110" s="39" t="s">
        <v>80</v>
      </c>
      <c r="AA110" s="39" t="s">
        <v>80</v>
      </c>
      <c r="AB110" s="39" t="s">
        <v>80</v>
      </c>
      <c r="AC110" s="39" t="s">
        <v>80</v>
      </c>
      <c r="AD110" s="39" t="s">
        <v>80</v>
      </c>
      <c r="AE110" s="39" t="s">
        <v>80</v>
      </c>
      <c r="AF110" s="39" t="s">
        <v>84</v>
      </c>
      <c r="AG110" s="39" t="s">
        <v>80</v>
      </c>
      <c r="AH110" s="39" t="s">
        <v>80</v>
      </c>
      <c r="AI110" s="39" t="s">
        <v>80</v>
      </c>
      <c r="AJ110" s="39" t="s">
        <v>80</v>
      </c>
      <c r="AK110" s="39" t="s">
        <v>80</v>
      </c>
      <c r="AL110" s="39" t="s">
        <v>80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0.1042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4302.6</v>
      </c>
      <c r="AU110" cm="1">
        <f t="array" ref="AU110">$E$10*(1+$AS110)+VLOOKUP($R110,武学奇术!$A:$ZZ,4,FALSE)+SUM(_xlfn.XLOOKUP($S110:$AL110,增益!$A:$A,增益!$D:$D,0))-$I$2</f>
        <v>4302.6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0.1685</v>
      </c>
      <c r="AW110" s="31" cm="1">
        <f t="array" ref="AW110">$G$10+VLOOKUP($R110,武学奇术!$A:$ZZ,7,FALSE)+SUM(_xlfn.XLOOKUP($S110:$AL110,增益!$A:$A,增益!$G:$G,0))</f>
        <v>0.025</v>
      </c>
      <c r="AX110" s="24" cm="1">
        <f t="array" ref="AX110">VLOOKUP($R110,武学奇术!$A:$ZZ,8,FALSE)+SUM(_xlfn.XLOOKUP($S110:$AL110,增益!$A:$A,增益!$H:$H,0))</f>
        <v>0</v>
      </c>
      <c r="AY110">
        <f t="shared" si="15"/>
        <v>0</v>
      </c>
      <c r="AZ110">
        <f t="shared" si="16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17"/>
        <v>0</v>
      </c>
      <c r="BD110">
        <f t="shared" si="18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19"/>
        <v>0</v>
      </c>
      <c r="BH110">
        <f t="shared" si="20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21"/>
        <v>649.11</v>
      </c>
      <c r="BL110">
        <f t="shared" si="22"/>
        <v>1707.09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0.9771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0.8861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3"/>
        <v>0.86580831</v>
      </c>
      <c r="BU110" s="24">
        <f t="shared" si="24"/>
        <v>0.0220824599999999</v>
      </c>
      <c r="BV110" s="24">
        <f>IF(VLOOKUP($R110,武学奇术!$A:$ZZ,22,FALSE)=1,0,(1-$BO110))*(1-$BR110)</f>
        <v>0.02080923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1:76">
      <c r="K111" s="37">
        <f>$L111*VLOOKUP($R111,武学奇术!$A:$ZZ,31,FALSE)</f>
        <v>0</v>
      </c>
      <c r="L111" s="37">
        <f t="shared" si="26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8">
        <v>1</v>
      </c>
      <c r="R111" s="39" t="s">
        <v>80</v>
      </c>
      <c r="S111" s="39" t="s">
        <v>80</v>
      </c>
      <c r="T111" s="39" t="s">
        <v>80</v>
      </c>
      <c r="U111" s="39" t="s">
        <v>80</v>
      </c>
      <c r="V111" s="39" t="s">
        <v>80</v>
      </c>
      <c r="W111" s="39" t="s">
        <v>80</v>
      </c>
      <c r="X111" s="39" t="s">
        <v>80</v>
      </c>
      <c r="Y111" s="39" t="s">
        <v>80</v>
      </c>
      <c r="Z111" s="39" t="s">
        <v>80</v>
      </c>
      <c r="AA111" s="39" t="s">
        <v>80</v>
      </c>
      <c r="AB111" s="39" t="s">
        <v>80</v>
      </c>
      <c r="AC111" s="39" t="s">
        <v>80</v>
      </c>
      <c r="AD111" s="39" t="s">
        <v>80</v>
      </c>
      <c r="AE111" s="39" t="s">
        <v>80</v>
      </c>
      <c r="AF111" s="39" t="s">
        <v>84</v>
      </c>
      <c r="AG111" s="39" t="s">
        <v>80</v>
      </c>
      <c r="AH111" s="39" t="s">
        <v>80</v>
      </c>
      <c r="AI111" s="39" t="s">
        <v>80</v>
      </c>
      <c r="AJ111" s="39" t="s">
        <v>80</v>
      </c>
      <c r="AK111" s="39" t="s">
        <v>80</v>
      </c>
      <c r="AL111" s="39" t="s">
        <v>80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0.1042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4302.6</v>
      </c>
      <c r="AU111" cm="1">
        <f t="array" ref="AU111">$E$10*(1+$AS111)+VLOOKUP($R111,武学奇术!$A:$ZZ,4,FALSE)+SUM(_xlfn.XLOOKUP($S111:$AL111,增益!$A:$A,增益!$D:$D,0))-$I$2</f>
        <v>4302.6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0.1685</v>
      </c>
      <c r="AW111" s="31" cm="1">
        <f t="array" ref="AW111">$G$10+VLOOKUP($R111,武学奇术!$A:$ZZ,7,FALSE)+SUM(_xlfn.XLOOKUP($S111:$AL111,增益!$A:$A,增益!$G:$G,0))</f>
        <v>0.025</v>
      </c>
      <c r="AX111" s="24" cm="1">
        <f t="array" ref="AX111">VLOOKUP($R111,武学奇术!$A:$ZZ,8,FALSE)+SUM(_xlfn.XLOOKUP($S111:$AL111,增益!$A:$A,增益!$H:$H,0))</f>
        <v>0</v>
      </c>
      <c r="AY111">
        <f t="shared" si="15"/>
        <v>0</v>
      </c>
      <c r="AZ111">
        <f t="shared" si="16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17"/>
        <v>0</v>
      </c>
      <c r="BD111">
        <f t="shared" si="18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19"/>
        <v>0</v>
      </c>
      <c r="BH111">
        <f t="shared" si="20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21"/>
        <v>649.11</v>
      </c>
      <c r="BL111">
        <f t="shared" si="22"/>
        <v>1707.09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0.9771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0.8861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3"/>
        <v>0.86580831</v>
      </c>
      <c r="BU111" s="24">
        <f t="shared" si="24"/>
        <v>0.0220824599999999</v>
      </c>
      <c r="BV111" s="24">
        <f>IF(VLOOKUP($R111,武学奇术!$A:$ZZ,22,FALSE)=1,0,(1-$BO111))*(1-$BR111)</f>
        <v>0.02080923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1:76">
      <c r="K112" s="37">
        <f>$L112*VLOOKUP($R112,武学奇术!$A:$ZZ,31,FALSE)</f>
        <v>0</v>
      </c>
      <c r="L112" s="37">
        <f t="shared" si="26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8">
        <v>1</v>
      </c>
      <c r="R112" s="39" t="s">
        <v>80</v>
      </c>
      <c r="S112" s="39" t="s">
        <v>80</v>
      </c>
      <c r="T112" s="39" t="s">
        <v>80</v>
      </c>
      <c r="U112" s="39" t="s">
        <v>80</v>
      </c>
      <c r="V112" s="39" t="s">
        <v>80</v>
      </c>
      <c r="W112" s="39" t="s">
        <v>80</v>
      </c>
      <c r="X112" s="39" t="s">
        <v>80</v>
      </c>
      <c r="Y112" s="39" t="s">
        <v>80</v>
      </c>
      <c r="Z112" s="39" t="s">
        <v>80</v>
      </c>
      <c r="AA112" s="39" t="s">
        <v>80</v>
      </c>
      <c r="AB112" s="39" t="s">
        <v>80</v>
      </c>
      <c r="AC112" s="39" t="s">
        <v>80</v>
      </c>
      <c r="AD112" s="39" t="s">
        <v>80</v>
      </c>
      <c r="AE112" s="39" t="s">
        <v>80</v>
      </c>
      <c r="AF112" s="39" t="s">
        <v>84</v>
      </c>
      <c r="AG112" s="39" t="s">
        <v>80</v>
      </c>
      <c r="AH112" s="39" t="s">
        <v>80</v>
      </c>
      <c r="AI112" s="39" t="s">
        <v>80</v>
      </c>
      <c r="AJ112" s="39" t="s">
        <v>80</v>
      </c>
      <c r="AK112" s="39" t="s">
        <v>80</v>
      </c>
      <c r="AL112" s="39" t="s">
        <v>80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0.1042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4302.6</v>
      </c>
      <c r="AU112" cm="1">
        <f t="array" ref="AU112">$E$10*(1+$AS112)+VLOOKUP($R112,武学奇术!$A:$ZZ,4,FALSE)+SUM(_xlfn.XLOOKUP($S112:$AL112,增益!$A:$A,增益!$D:$D,0))-$I$2</f>
        <v>4302.6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0.1685</v>
      </c>
      <c r="AW112" s="31" cm="1">
        <f t="array" ref="AW112">$G$10+VLOOKUP($R112,武学奇术!$A:$ZZ,7,FALSE)+SUM(_xlfn.XLOOKUP($S112:$AL112,增益!$A:$A,增益!$G:$G,0))</f>
        <v>0.025</v>
      </c>
      <c r="AX112" s="24" cm="1">
        <f t="array" ref="AX112">VLOOKUP($R112,武学奇术!$A:$ZZ,8,FALSE)+SUM(_xlfn.XLOOKUP($S112:$AL112,增益!$A:$A,增益!$H:$H,0))</f>
        <v>0</v>
      </c>
      <c r="AY112">
        <f t="shared" si="15"/>
        <v>0</v>
      </c>
      <c r="AZ112">
        <f t="shared" si="16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17"/>
        <v>0</v>
      </c>
      <c r="BD112">
        <f t="shared" si="18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19"/>
        <v>0</v>
      </c>
      <c r="BH112">
        <f t="shared" si="20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21"/>
        <v>649.11</v>
      </c>
      <c r="BL112">
        <f t="shared" si="22"/>
        <v>1707.09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0.9771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0.8861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3"/>
        <v>0.86580831</v>
      </c>
      <c r="BU112" s="24">
        <f t="shared" si="24"/>
        <v>0.0220824599999999</v>
      </c>
      <c r="BV112" s="24">
        <f>IF(VLOOKUP($R112,武学奇术!$A:$ZZ,22,FALSE)=1,0,(1-$BO112))*(1-$BR112)</f>
        <v>0.02080923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1:76">
      <c r="K113" s="37">
        <f>$L113*VLOOKUP($R113,武学奇术!$A:$ZZ,31,FALSE)</f>
        <v>0</v>
      </c>
      <c r="L113" s="37">
        <f t="shared" si="26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8">
        <v>1</v>
      </c>
      <c r="R113" s="39" t="s">
        <v>80</v>
      </c>
      <c r="S113" s="39" t="s">
        <v>80</v>
      </c>
      <c r="T113" s="39" t="s">
        <v>80</v>
      </c>
      <c r="U113" s="39" t="s">
        <v>80</v>
      </c>
      <c r="V113" s="39" t="s">
        <v>80</v>
      </c>
      <c r="W113" s="39" t="s">
        <v>80</v>
      </c>
      <c r="X113" s="39" t="s">
        <v>80</v>
      </c>
      <c r="Y113" s="39" t="s">
        <v>80</v>
      </c>
      <c r="Z113" s="39" t="s">
        <v>80</v>
      </c>
      <c r="AA113" s="39" t="s">
        <v>80</v>
      </c>
      <c r="AB113" s="39" t="s">
        <v>80</v>
      </c>
      <c r="AC113" s="39" t="s">
        <v>80</v>
      </c>
      <c r="AD113" s="39" t="s">
        <v>80</v>
      </c>
      <c r="AE113" s="39" t="s">
        <v>80</v>
      </c>
      <c r="AF113" s="39" t="s">
        <v>84</v>
      </c>
      <c r="AG113" s="39" t="s">
        <v>80</v>
      </c>
      <c r="AH113" s="39" t="s">
        <v>80</v>
      </c>
      <c r="AI113" s="39" t="s">
        <v>80</v>
      </c>
      <c r="AJ113" s="39" t="s">
        <v>80</v>
      </c>
      <c r="AK113" s="39" t="s">
        <v>80</v>
      </c>
      <c r="AL113" s="39" t="s">
        <v>80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0.1042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4302.6</v>
      </c>
      <c r="AU113" cm="1">
        <f t="array" ref="AU113">$E$10*(1+$AS113)+VLOOKUP($R113,武学奇术!$A:$ZZ,4,FALSE)+SUM(_xlfn.XLOOKUP($S113:$AL113,增益!$A:$A,增益!$D:$D,0))-$I$2</f>
        <v>4302.6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0.1685</v>
      </c>
      <c r="AW113" s="31" cm="1">
        <f t="array" ref="AW113">$G$10+VLOOKUP($R113,武学奇术!$A:$ZZ,7,FALSE)+SUM(_xlfn.XLOOKUP($S113:$AL113,增益!$A:$A,增益!$G:$G,0))</f>
        <v>0.025</v>
      </c>
      <c r="AX113" s="24" cm="1">
        <f t="array" ref="AX113">VLOOKUP($R113,武学奇术!$A:$ZZ,8,FALSE)+SUM(_xlfn.XLOOKUP($S113:$AL113,增益!$A:$A,增益!$H:$H,0))</f>
        <v>0</v>
      </c>
      <c r="AY113">
        <f t="shared" si="15"/>
        <v>0</v>
      </c>
      <c r="AZ113">
        <f t="shared" si="16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17"/>
        <v>0</v>
      </c>
      <c r="BD113">
        <f t="shared" si="18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19"/>
        <v>0</v>
      </c>
      <c r="BH113">
        <f t="shared" si="20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21"/>
        <v>649.11</v>
      </c>
      <c r="BL113">
        <f t="shared" si="22"/>
        <v>1707.09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0.9771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0.8861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3"/>
        <v>0.86580831</v>
      </c>
      <c r="BU113" s="24">
        <f t="shared" si="24"/>
        <v>0.0220824599999999</v>
      </c>
      <c r="BV113" s="24">
        <f>IF(VLOOKUP($R113,武学奇术!$A:$ZZ,22,FALSE)=1,0,(1-$BO113))*(1-$BR113)</f>
        <v>0.02080923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1:76">
      <c r="K114" s="37">
        <f>$L114*VLOOKUP($R114,武学奇术!$A:$ZZ,31,FALSE)</f>
        <v>0</v>
      </c>
      <c r="L114" s="37">
        <f t="shared" si="26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8">
        <v>1</v>
      </c>
      <c r="R114" s="39" t="s">
        <v>80</v>
      </c>
      <c r="S114" s="39" t="s">
        <v>80</v>
      </c>
      <c r="T114" s="39" t="s">
        <v>80</v>
      </c>
      <c r="U114" s="39" t="s">
        <v>80</v>
      </c>
      <c r="V114" s="39" t="s">
        <v>80</v>
      </c>
      <c r="W114" s="39" t="s">
        <v>80</v>
      </c>
      <c r="X114" s="39" t="s">
        <v>80</v>
      </c>
      <c r="Y114" s="39" t="s">
        <v>80</v>
      </c>
      <c r="Z114" s="39" t="s">
        <v>80</v>
      </c>
      <c r="AA114" s="39" t="s">
        <v>80</v>
      </c>
      <c r="AB114" s="39" t="s">
        <v>80</v>
      </c>
      <c r="AC114" s="39" t="s">
        <v>80</v>
      </c>
      <c r="AD114" s="39" t="s">
        <v>80</v>
      </c>
      <c r="AE114" s="39" t="s">
        <v>80</v>
      </c>
      <c r="AF114" s="39" t="s">
        <v>84</v>
      </c>
      <c r="AG114" s="39" t="s">
        <v>80</v>
      </c>
      <c r="AH114" s="39" t="s">
        <v>80</v>
      </c>
      <c r="AI114" s="39" t="s">
        <v>80</v>
      </c>
      <c r="AJ114" s="39" t="s">
        <v>80</v>
      </c>
      <c r="AK114" s="39" t="s">
        <v>80</v>
      </c>
      <c r="AL114" s="39" t="s">
        <v>80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0.1042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4302.6</v>
      </c>
      <c r="AU114" cm="1">
        <f t="array" ref="AU114">$E$10*(1+$AS114)+VLOOKUP($R114,武学奇术!$A:$ZZ,4,FALSE)+SUM(_xlfn.XLOOKUP($S114:$AL114,增益!$A:$A,增益!$D:$D,0))-$I$2</f>
        <v>4302.6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0.1685</v>
      </c>
      <c r="AW114" s="31" cm="1">
        <f t="array" ref="AW114">$G$10+VLOOKUP($R114,武学奇术!$A:$ZZ,7,FALSE)+SUM(_xlfn.XLOOKUP($S114:$AL114,增益!$A:$A,增益!$G:$G,0))</f>
        <v>0.025</v>
      </c>
      <c r="AX114" s="24" cm="1">
        <f t="array" ref="AX114">VLOOKUP($R114,武学奇术!$A:$ZZ,8,FALSE)+SUM(_xlfn.XLOOKUP($S114:$AL114,增益!$A:$A,增益!$H:$H,0))</f>
        <v>0</v>
      </c>
      <c r="AY114">
        <f t="shared" si="15"/>
        <v>0</v>
      </c>
      <c r="AZ114">
        <f t="shared" si="16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17"/>
        <v>0</v>
      </c>
      <c r="BD114">
        <f t="shared" si="18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19"/>
        <v>0</v>
      </c>
      <c r="BH114">
        <f t="shared" si="20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21"/>
        <v>649.11</v>
      </c>
      <c r="BL114">
        <f t="shared" si="22"/>
        <v>1707.09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0.9771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0.8861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3"/>
        <v>0.86580831</v>
      </c>
      <c r="BU114" s="24">
        <f t="shared" si="24"/>
        <v>0.0220824599999999</v>
      </c>
      <c r="BV114" s="24">
        <f>IF(VLOOKUP($R114,武学奇术!$A:$ZZ,22,FALSE)=1,0,(1-$BO114))*(1-$BR114)</f>
        <v>0.02080923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1:76">
      <c r="K115" s="37">
        <f>$L115*VLOOKUP($R115,武学奇术!$A:$ZZ,31,FALSE)</f>
        <v>0</v>
      </c>
      <c r="L115" s="37">
        <f t="shared" si="26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8">
        <v>1</v>
      </c>
      <c r="R115" s="39" t="s">
        <v>80</v>
      </c>
      <c r="S115" s="39" t="s">
        <v>80</v>
      </c>
      <c r="T115" s="39" t="s">
        <v>80</v>
      </c>
      <c r="U115" s="39" t="s">
        <v>80</v>
      </c>
      <c r="V115" s="39" t="s">
        <v>80</v>
      </c>
      <c r="W115" s="39" t="s">
        <v>80</v>
      </c>
      <c r="X115" s="39" t="s">
        <v>80</v>
      </c>
      <c r="Y115" s="39" t="s">
        <v>80</v>
      </c>
      <c r="Z115" s="39" t="s">
        <v>80</v>
      </c>
      <c r="AA115" s="39" t="s">
        <v>80</v>
      </c>
      <c r="AB115" s="39" t="s">
        <v>80</v>
      </c>
      <c r="AC115" s="39" t="s">
        <v>80</v>
      </c>
      <c r="AD115" s="39" t="s">
        <v>80</v>
      </c>
      <c r="AE115" s="39" t="s">
        <v>80</v>
      </c>
      <c r="AF115" s="39" t="s">
        <v>84</v>
      </c>
      <c r="AG115" s="39" t="s">
        <v>80</v>
      </c>
      <c r="AH115" s="39" t="s">
        <v>80</v>
      </c>
      <c r="AI115" s="39" t="s">
        <v>80</v>
      </c>
      <c r="AJ115" s="39" t="s">
        <v>80</v>
      </c>
      <c r="AK115" s="39" t="s">
        <v>80</v>
      </c>
      <c r="AL115" s="39" t="s">
        <v>80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0.1042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4302.6</v>
      </c>
      <c r="AU115" cm="1">
        <f t="array" ref="AU115">$E$10*(1+$AS115)+VLOOKUP($R115,武学奇术!$A:$ZZ,4,FALSE)+SUM(_xlfn.XLOOKUP($S115:$AL115,增益!$A:$A,增益!$D:$D,0))-$I$2</f>
        <v>4302.6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0.1685</v>
      </c>
      <c r="AW115" s="31" cm="1">
        <f t="array" ref="AW115">$G$10+VLOOKUP($R115,武学奇术!$A:$ZZ,7,FALSE)+SUM(_xlfn.XLOOKUP($S115:$AL115,增益!$A:$A,增益!$G:$G,0))</f>
        <v>0.025</v>
      </c>
      <c r="AX115" s="24" cm="1">
        <f t="array" ref="AX115">VLOOKUP($R115,武学奇术!$A:$ZZ,8,FALSE)+SUM(_xlfn.XLOOKUP($S115:$AL115,增益!$A:$A,增益!$H:$H,0))</f>
        <v>0</v>
      </c>
      <c r="AY115">
        <f t="shared" si="15"/>
        <v>0</v>
      </c>
      <c r="AZ115">
        <f t="shared" si="16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17"/>
        <v>0</v>
      </c>
      <c r="BD115">
        <f t="shared" si="18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19"/>
        <v>0</v>
      </c>
      <c r="BH115">
        <f t="shared" si="20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21"/>
        <v>649.11</v>
      </c>
      <c r="BL115">
        <f t="shared" si="22"/>
        <v>1707.09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0.9771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0.8861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3"/>
        <v>0.86580831</v>
      </c>
      <c r="BU115" s="24">
        <f t="shared" si="24"/>
        <v>0.0220824599999999</v>
      </c>
      <c r="BV115" s="24">
        <f>IF(VLOOKUP($R115,武学奇术!$A:$ZZ,22,FALSE)=1,0,(1-$BO115))*(1-$BR115)</f>
        <v>0.02080923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1:76">
      <c r="K116" s="37">
        <f>$L116*VLOOKUP($R116,武学奇术!$A:$ZZ,31,FALSE)</f>
        <v>0</v>
      </c>
      <c r="L116" s="37">
        <f t="shared" si="26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8">
        <v>1</v>
      </c>
      <c r="R116" s="39" t="s">
        <v>80</v>
      </c>
      <c r="S116" s="39" t="s">
        <v>80</v>
      </c>
      <c r="T116" s="39" t="s">
        <v>80</v>
      </c>
      <c r="U116" s="39" t="s">
        <v>80</v>
      </c>
      <c r="V116" s="39" t="s">
        <v>80</v>
      </c>
      <c r="W116" s="39" t="s">
        <v>80</v>
      </c>
      <c r="X116" s="39" t="s">
        <v>80</v>
      </c>
      <c r="Y116" s="39" t="s">
        <v>80</v>
      </c>
      <c r="Z116" s="39" t="s">
        <v>80</v>
      </c>
      <c r="AA116" s="39" t="s">
        <v>80</v>
      </c>
      <c r="AB116" s="39" t="s">
        <v>80</v>
      </c>
      <c r="AC116" s="39" t="s">
        <v>80</v>
      </c>
      <c r="AD116" s="39" t="s">
        <v>80</v>
      </c>
      <c r="AE116" s="39" t="s">
        <v>80</v>
      </c>
      <c r="AF116" s="39" t="s">
        <v>84</v>
      </c>
      <c r="AG116" s="39" t="s">
        <v>80</v>
      </c>
      <c r="AH116" s="39" t="s">
        <v>80</v>
      </c>
      <c r="AI116" s="39" t="s">
        <v>80</v>
      </c>
      <c r="AJ116" s="39" t="s">
        <v>80</v>
      </c>
      <c r="AK116" s="39" t="s">
        <v>80</v>
      </c>
      <c r="AL116" s="39" t="s">
        <v>80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0.1042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4302.6</v>
      </c>
      <c r="AU116" cm="1">
        <f t="array" ref="AU116">$E$10*(1+$AS116)+VLOOKUP($R116,武学奇术!$A:$ZZ,4,FALSE)+SUM(_xlfn.XLOOKUP($S116:$AL116,增益!$A:$A,增益!$D:$D,0))-$I$2</f>
        <v>4302.6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0.1685</v>
      </c>
      <c r="AW116" s="31" cm="1">
        <f t="array" ref="AW116">$G$10+VLOOKUP($R116,武学奇术!$A:$ZZ,7,FALSE)+SUM(_xlfn.XLOOKUP($S116:$AL116,增益!$A:$A,增益!$G:$G,0))</f>
        <v>0.025</v>
      </c>
      <c r="AX116" s="24" cm="1">
        <f t="array" ref="AX116">VLOOKUP($R116,武学奇术!$A:$ZZ,8,FALSE)+SUM(_xlfn.XLOOKUP($S116:$AL116,增益!$A:$A,增益!$H:$H,0))</f>
        <v>0</v>
      </c>
      <c r="AY116">
        <f t="shared" si="15"/>
        <v>0</v>
      </c>
      <c r="AZ116">
        <f t="shared" si="16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17"/>
        <v>0</v>
      </c>
      <c r="BD116">
        <f t="shared" si="18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19"/>
        <v>0</v>
      </c>
      <c r="BH116">
        <f t="shared" si="20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21"/>
        <v>649.11</v>
      </c>
      <c r="BL116">
        <f t="shared" si="22"/>
        <v>1707.09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0.9771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0.8861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3"/>
        <v>0.86580831</v>
      </c>
      <c r="BU116" s="24">
        <f t="shared" si="24"/>
        <v>0.0220824599999999</v>
      </c>
      <c r="BV116" s="24">
        <f>IF(VLOOKUP($R116,武学奇术!$A:$ZZ,22,FALSE)=1,0,(1-$BO116))*(1-$BR116)</f>
        <v>0.02080923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1:76">
      <c r="K117" s="37">
        <f>$L117*VLOOKUP($R117,武学奇术!$A:$ZZ,31,FALSE)</f>
        <v>0</v>
      </c>
      <c r="L117" s="37">
        <f t="shared" si="26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8">
        <v>1</v>
      </c>
      <c r="R117" s="39" t="s">
        <v>80</v>
      </c>
      <c r="S117" s="39" t="s">
        <v>80</v>
      </c>
      <c r="T117" s="39" t="s">
        <v>80</v>
      </c>
      <c r="U117" s="39" t="s">
        <v>80</v>
      </c>
      <c r="V117" s="39" t="s">
        <v>80</v>
      </c>
      <c r="W117" s="39" t="s">
        <v>80</v>
      </c>
      <c r="X117" s="39" t="s">
        <v>80</v>
      </c>
      <c r="Y117" s="39" t="s">
        <v>80</v>
      </c>
      <c r="Z117" s="39" t="s">
        <v>80</v>
      </c>
      <c r="AA117" s="39" t="s">
        <v>80</v>
      </c>
      <c r="AB117" s="39" t="s">
        <v>80</v>
      </c>
      <c r="AC117" s="39" t="s">
        <v>80</v>
      </c>
      <c r="AD117" s="39" t="s">
        <v>80</v>
      </c>
      <c r="AE117" s="39" t="s">
        <v>80</v>
      </c>
      <c r="AF117" s="39" t="s">
        <v>84</v>
      </c>
      <c r="AG117" s="39" t="s">
        <v>80</v>
      </c>
      <c r="AH117" s="39" t="s">
        <v>80</v>
      </c>
      <c r="AI117" s="39" t="s">
        <v>80</v>
      </c>
      <c r="AJ117" s="39" t="s">
        <v>80</v>
      </c>
      <c r="AK117" s="39" t="s">
        <v>80</v>
      </c>
      <c r="AL117" s="39" t="s">
        <v>80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0.1042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4302.6</v>
      </c>
      <c r="AU117" cm="1">
        <f t="array" ref="AU117">$E$10*(1+$AS117)+VLOOKUP($R117,武学奇术!$A:$ZZ,4,FALSE)+SUM(_xlfn.XLOOKUP($S117:$AL117,增益!$A:$A,增益!$D:$D,0))-$I$2</f>
        <v>4302.6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0.1685</v>
      </c>
      <c r="AW117" s="31" cm="1">
        <f t="array" ref="AW117">$G$10+VLOOKUP($R117,武学奇术!$A:$ZZ,7,FALSE)+SUM(_xlfn.XLOOKUP($S117:$AL117,增益!$A:$A,增益!$G:$G,0))</f>
        <v>0.025</v>
      </c>
      <c r="AX117" s="24" cm="1">
        <f t="array" ref="AX117">VLOOKUP($R117,武学奇术!$A:$ZZ,8,FALSE)+SUM(_xlfn.XLOOKUP($S117:$AL117,增益!$A:$A,增益!$H:$H,0))</f>
        <v>0</v>
      </c>
      <c r="AY117">
        <f t="shared" si="15"/>
        <v>0</v>
      </c>
      <c r="AZ117">
        <f t="shared" si="16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17"/>
        <v>0</v>
      </c>
      <c r="BD117">
        <f t="shared" si="18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19"/>
        <v>0</v>
      </c>
      <c r="BH117">
        <f t="shared" si="20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21"/>
        <v>649.11</v>
      </c>
      <c r="BL117">
        <f t="shared" si="22"/>
        <v>1707.09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0.9771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0.8861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3"/>
        <v>0.86580831</v>
      </c>
      <c r="BU117" s="24">
        <f t="shared" si="24"/>
        <v>0.0220824599999999</v>
      </c>
      <c r="BV117" s="24">
        <f>IF(VLOOKUP($R117,武学奇术!$A:$ZZ,22,FALSE)=1,0,(1-$BO117))*(1-$BR117)</f>
        <v>0.02080923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1:76">
      <c r="K118" s="37">
        <f>$L118*VLOOKUP($R118,武学奇术!$A:$ZZ,31,FALSE)</f>
        <v>0</v>
      </c>
      <c r="L118" s="37">
        <f t="shared" si="26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8">
        <v>1</v>
      </c>
      <c r="R118" s="39" t="s">
        <v>80</v>
      </c>
      <c r="S118" s="39" t="s">
        <v>80</v>
      </c>
      <c r="T118" s="39" t="s">
        <v>80</v>
      </c>
      <c r="U118" s="39" t="s">
        <v>80</v>
      </c>
      <c r="V118" s="39" t="s">
        <v>80</v>
      </c>
      <c r="W118" s="39" t="s">
        <v>80</v>
      </c>
      <c r="X118" s="39" t="s">
        <v>80</v>
      </c>
      <c r="Y118" s="39" t="s">
        <v>80</v>
      </c>
      <c r="Z118" s="39" t="s">
        <v>80</v>
      </c>
      <c r="AA118" s="39" t="s">
        <v>80</v>
      </c>
      <c r="AB118" s="39" t="s">
        <v>80</v>
      </c>
      <c r="AC118" s="39" t="s">
        <v>80</v>
      </c>
      <c r="AD118" s="39" t="s">
        <v>80</v>
      </c>
      <c r="AE118" s="39" t="s">
        <v>80</v>
      </c>
      <c r="AF118" s="39" t="s">
        <v>84</v>
      </c>
      <c r="AG118" s="39" t="s">
        <v>80</v>
      </c>
      <c r="AH118" s="39" t="s">
        <v>80</v>
      </c>
      <c r="AI118" s="39" t="s">
        <v>80</v>
      </c>
      <c r="AJ118" s="39" t="s">
        <v>80</v>
      </c>
      <c r="AK118" s="39" t="s">
        <v>80</v>
      </c>
      <c r="AL118" s="39" t="s">
        <v>80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0.1042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4302.6</v>
      </c>
      <c r="AU118" cm="1">
        <f t="array" ref="AU118">$E$10*(1+$AS118)+VLOOKUP($R118,武学奇术!$A:$ZZ,4,FALSE)+SUM(_xlfn.XLOOKUP($S118:$AL118,增益!$A:$A,增益!$D:$D,0))-$I$2</f>
        <v>4302.6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0.1685</v>
      </c>
      <c r="AW118" s="31" cm="1">
        <f t="array" ref="AW118">$G$10+VLOOKUP($R118,武学奇术!$A:$ZZ,7,FALSE)+SUM(_xlfn.XLOOKUP($S118:$AL118,增益!$A:$A,增益!$G:$G,0))</f>
        <v>0.025</v>
      </c>
      <c r="AX118" s="24" cm="1">
        <f t="array" ref="AX118">VLOOKUP($R118,武学奇术!$A:$ZZ,8,FALSE)+SUM(_xlfn.XLOOKUP($S118:$AL118,增益!$A:$A,增益!$H:$H,0))</f>
        <v>0</v>
      </c>
      <c r="AY118">
        <f t="shared" si="15"/>
        <v>0</v>
      </c>
      <c r="AZ118">
        <f t="shared" si="16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17"/>
        <v>0</v>
      </c>
      <c r="BD118">
        <f t="shared" si="18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19"/>
        <v>0</v>
      </c>
      <c r="BH118">
        <f t="shared" si="20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21"/>
        <v>649.11</v>
      </c>
      <c r="BL118">
        <f t="shared" si="22"/>
        <v>1707.09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0.9771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0.8861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3"/>
        <v>0.86580831</v>
      </c>
      <c r="BU118" s="24">
        <f t="shared" si="24"/>
        <v>0.0220824599999999</v>
      </c>
      <c r="BV118" s="24">
        <f>IF(VLOOKUP($R118,武学奇术!$A:$ZZ,22,FALSE)=1,0,(1-$BO118))*(1-$BR118)</f>
        <v>0.02080923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1:76">
      <c r="K119" s="37">
        <f>$L119*VLOOKUP($R119,武学奇术!$A:$ZZ,31,FALSE)</f>
        <v>0</v>
      </c>
      <c r="L119" s="37">
        <f t="shared" si="26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8">
        <v>1</v>
      </c>
      <c r="R119" s="39" t="s">
        <v>80</v>
      </c>
      <c r="S119" s="39" t="s">
        <v>80</v>
      </c>
      <c r="T119" s="39" t="s">
        <v>80</v>
      </c>
      <c r="U119" s="39" t="s">
        <v>80</v>
      </c>
      <c r="V119" s="39" t="s">
        <v>80</v>
      </c>
      <c r="W119" s="39" t="s">
        <v>80</v>
      </c>
      <c r="X119" s="39" t="s">
        <v>80</v>
      </c>
      <c r="Y119" s="39" t="s">
        <v>80</v>
      </c>
      <c r="Z119" s="39" t="s">
        <v>80</v>
      </c>
      <c r="AA119" s="39" t="s">
        <v>80</v>
      </c>
      <c r="AB119" s="39" t="s">
        <v>80</v>
      </c>
      <c r="AC119" s="39" t="s">
        <v>80</v>
      </c>
      <c r="AD119" s="39" t="s">
        <v>80</v>
      </c>
      <c r="AE119" s="39" t="s">
        <v>80</v>
      </c>
      <c r="AF119" s="39" t="s">
        <v>84</v>
      </c>
      <c r="AG119" s="39" t="s">
        <v>80</v>
      </c>
      <c r="AH119" s="39" t="s">
        <v>80</v>
      </c>
      <c r="AI119" s="39" t="s">
        <v>80</v>
      </c>
      <c r="AJ119" s="39" t="s">
        <v>80</v>
      </c>
      <c r="AK119" s="39" t="s">
        <v>80</v>
      </c>
      <c r="AL119" s="39" t="s">
        <v>80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0.1042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4302.6</v>
      </c>
      <c r="AU119" cm="1">
        <f t="array" ref="AU119">$E$10*(1+$AS119)+VLOOKUP($R119,武学奇术!$A:$ZZ,4,FALSE)+SUM(_xlfn.XLOOKUP($S119:$AL119,增益!$A:$A,增益!$D:$D,0))-$I$2</f>
        <v>4302.6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0.1685</v>
      </c>
      <c r="AW119" s="31" cm="1">
        <f t="array" ref="AW119">$G$10+VLOOKUP($R119,武学奇术!$A:$ZZ,7,FALSE)+SUM(_xlfn.XLOOKUP($S119:$AL119,增益!$A:$A,增益!$G:$G,0))</f>
        <v>0.025</v>
      </c>
      <c r="AX119" s="24" cm="1">
        <f t="array" ref="AX119">VLOOKUP($R119,武学奇术!$A:$ZZ,8,FALSE)+SUM(_xlfn.XLOOKUP($S119:$AL119,增益!$A:$A,增益!$H:$H,0))</f>
        <v>0</v>
      </c>
      <c r="AY119">
        <f t="shared" si="15"/>
        <v>0</v>
      </c>
      <c r="AZ119">
        <f t="shared" si="16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17"/>
        <v>0</v>
      </c>
      <c r="BD119">
        <f t="shared" si="18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19"/>
        <v>0</v>
      </c>
      <c r="BH119">
        <f t="shared" si="20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21"/>
        <v>649.11</v>
      </c>
      <c r="BL119">
        <f t="shared" si="22"/>
        <v>1707.09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0.9771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0.8861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3"/>
        <v>0.86580831</v>
      </c>
      <c r="BU119" s="24">
        <f t="shared" si="24"/>
        <v>0.0220824599999999</v>
      </c>
      <c r="BV119" s="24">
        <f>IF(VLOOKUP($R119,武学奇术!$A:$ZZ,22,FALSE)=1,0,(1-$BO119))*(1-$BR119)</f>
        <v>0.02080923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1:76">
      <c r="K120" s="37">
        <f>$L120*VLOOKUP($R120,武学奇术!$A:$ZZ,31,FALSE)</f>
        <v>0</v>
      </c>
      <c r="L120" s="37">
        <f t="shared" si="26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8">
        <v>1</v>
      </c>
      <c r="R120" s="39" t="s">
        <v>80</v>
      </c>
      <c r="S120" s="39" t="s">
        <v>80</v>
      </c>
      <c r="T120" s="39" t="s">
        <v>80</v>
      </c>
      <c r="U120" s="39" t="s">
        <v>80</v>
      </c>
      <c r="V120" s="39" t="s">
        <v>80</v>
      </c>
      <c r="W120" s="39" t="s">
        <v>80</v>
      </c>
      <c r="X120" s="39" t="s">
        <v>80</v>
      </c>
      <c r="Y120" s="39" t="s">
        <v>80</v>
      </c>
      <c r="Z120" s="39" t="s">
        <v>80</v>
      </c>
      <c r="AA120" s="39" t="s">
        <v>80</v>
      </c>
      <c r="AB120" s="39" t="s">
        <v>80</v>
      </c>
      <c r="AC120" s="39" t="s">
        <v>80</v>
      </c>
      <c r="AD120" s="39" t="s">
        <v>80</v>
      </c>
      <c r="AE120" s="39" t="s">
        <v>80</v>
      </c>
      <c r="AF120" s="39" t="s">
        <v>84</v>
      </c>
      <c r="AG120" s="39" t="s">
        <v>80</v>
      </c>
      <c r="AH120" s="39" t="s">
        <v>80</v>
      </c>
      <c r="AI120" s="39" t="s">
        <v>80</v>
      </c>
      <c r="AJ120" s="39" t="s">
        <v>80</v>
      </c>
      <c r="AK120" s="39" t="s">
        <v>80</v>
      </c>
      <c r="AL120" s="39" t="s">
        <v>80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0.1042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4302.6</v>
      </c>
      <c r="AU120" cm="1">
        <f t="array" ref="AU120">$E$10*(1+$AS120)+VLOOKUP($R120,武学奇术!$A:$ZZ,4,FALSE)+SUM(_xlfn.XLOOKUP($S120:$AL120,增益!$A:$A,增益!$D:$D,0))-$I$2</f>
        <v>4302.6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0.1685</v>
      </c>
      <c r="AW120" s="31" cm="1">
        <f t="array" ref="AW120">$G$10+VLOOKUP($R120,武学奇术!$A:$ZZ,7,FALSE)+SUM(_xlfn.XLOOKUP($S120:$AL120,增益!$A:$A,增益!$G:$G,0))</f>
        <v>0.025</v>
      </c>
      <c r="AX120" s="24" cm="1">
        <f t="array" ref="AX120">VLOOKUP($R120,武学奇术!$A:$ZZ,8,FALSE)+SUM(_xlfn.XLOOKUP($S120:$AL120,增益!$A:$A,增益!$H:$H,0))</f>
        <v>0</v>
      </c>
      <c r="AY120">
        <f t="shared" si="15"/>
        <v>0</v>
      </c>
      <c r="AZ120">
        <f t="shared" si="16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17"/>
        <v>0</v>
      </c>
      <c r="BD120">
        <f t="shared" si="18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19"/>
        <v>0</v>
      </c>
      <c r="BH120">
        <f t="shared" si="20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21"/>
        <v>649.11</v>
      </c>
      <c r="BL120">
        <f t="shared" si="22"/>
        <v>1707.09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0.9771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0.8861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3"/>
        <v>0.86580831</v>
      </c>
      <c r="BU120" s="24">
        <f t="shared" si="24"/>
        <v>0.0220824599999999</v>
      </c>
      <c r="BV120" s="24">
        <f>IF(VLOOKUP($R120,武学奇术!$A:$ZZ,22,FALSE)=1,0,(1-$BO120))*(1-$BR120)</f>
        <v>0.02080923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1:76">
      <c r="K121" s="37">
        <f>$L121*VLOOKUP($R121,武学奇术!$A:$ZZ,31,FALSE)</f>
        <v>0</v>
      </c>
      <c r="L121" s="37">
        <f t="shared" si="26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8">
        <v>1</v>
      </c>
      <c r="R121" s="39" t="s">
        <v>80</v>
      </c>
      <c r="S121" s="39" t="s">
        <v>80</v>
      </c>
      <c r="T121" s="39" t="s">
        <v>80</v>
      </c>
      <c r="U121" s="39" t="s">
        <v>80</v>
      </c>
      <c r="V121" s="39" t="s">
        <v>80</v>
      </c>
      <c r="W121" s="39" t="s">
        <v>80</v>
      </c>
      <c r="X121" s="39" t="s">
        <v>80</v>
      </c>
      <c r="Y121" s="39" t="s">
        <v>80</v>
      </c>
      <c r="Z121" s="39" t="s">
        <v>80</v>
      </c>
      <c r="AA121" s="39" t="s">
        <v>80</v>
      </c>
      <c r="AB121" s="39" t="s">
        <v>80</v>
      </c>
      <c r="AC121" s="39" t="s">
        <v>80</v>
      </c>
      <c r="AD121" s="39" t="s">
        <v>80</v>
      </c>
      <c r="AE121" s="39" t="s">
        <v>80</v>
      </c>
      <c r="AF121" s="39" t="s">
        <v>84</v>
      </c>
      <c r="AG121" s="39" t="s">
        <v>80</v>
      </c>
      <c r="AH121" s="39" t="s">
        <v>80</v>
      </c>
      <c r="AI121" s="39" t="s">
        <v>80</v>
      </c>
      <c r="AJ121" s="39" t="s">
        <v>80</v>
      </c>
      <c r="AK121" s="39" t="s">
        <v>80</v>
      </c>
      <c r="AL121" s="39" t="s">
        <v>80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4302.6</v>
      </c>
      <c r="AU121" cm="1">
        <f t="array" ref="AU121">$E$10*(1+$AS121)+VLOOKUP($R121,武学奇术!$A:$ZZ,4,FALSE)+SUM(_xlfn.XLOOKUP($S121:$AL121,增益!$A:$A,增益!$D:$D,0))-$I$2</f>
        <v>4302.6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0.1685</v>
      </c>
      <c r="AW121" s="31" cm="1">
        <f t="array" ref="AW121">$G$10+VLOOKUP($R121,武学奇术!$A:$ZZ,7,FALSE)+SUM(_xlfn.XLOOKUP($S121:$AL121,增益!$A:$A,增益!$G:$G,0))</f>
        <v>0.025</v>
      </c>
      <c r="AX121" s="24" cm="1">
        <f t="array" ref="AX121">VLOOKUP($R121,武学奇术!$A:$ZZ,8,FALSE)+SUM(_xlfn.XLOOKUP($S121:$AL121,增益!$A:$A,增益!$H:$H,0))</f>
        <v>0</v>
      </c>
      <c r="AY121">
        <f t="shared" si="15"/>
        <v>0</v>
      </c>
      <c r="AZ121">
        <f t="shared" si="16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17"/>
        <v>0</v>
      </c>
      <c r="BD121">
        <f t="shared" si="18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19"/>
        <v>0</v>
      </c>
      <c r="BH121">
        <f t="shared" si="20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21"/>
        <v>649.11</v>
      </c>
      <c r="BL121">
        <f t="shared" si="22"/>
        <v>1707.09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0.9771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0.8861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3"/>
        <v>0.86580831</v>
      </c>
      <c r="BU121" s="24">
        <f t="shared" si="24"/>
        <v>0.0220824599999999</v>
      </c>
      <c r="BV121" s="24">
        <f>IF(VLOOKUP($R121,武学奇术!$A:$ZZ,22,FALSE)=1,0,(1-$BO121))*(1-$BR121)</f>
        <v>0.02080923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1:76">
      <c r="K122" s="37">
        <f>$L122*VLOOKUP($R122,武学奇术!$A:$ZZ,31,FALSE)</f>
        <v>0</v>
      </c>
      <c r="L122" s="37">
        <f t="shared" si="26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8">
        <v>1</v>
      </c>
      <c r="R122" s="39" t="s">
        <v>80</v>
      </c>
      <c r="S122" s="39" t="s">
        <v>80</v>
      </c>
      <c r="T122" s="39" t="s">
        <v>80</v>
      </c>
      <c r="U122" s="39" t="s">
        <v>80</v>
      </c>
      <c r="V122" s="39" t="s">
        <v>80</v>
      </c>
      <c r="W122" s="39" t="s">
        <v>80</v>
      </c>
      <c r="X122" s="39" t="s">
        <v>80</v>
      </c>
      <c r="Y122" s="39" t="s">
        <v>80</v>
      </c>
      <c r="Z122" s="39" t="s">
        <v>80</v>
      </c>
      <c r="AA122" s="39" t="s">
        <v>80</v>
      </c>
      <c r="AB122" s="39" t="s">
        <v>80</v>
      </c>
      <c r="AC122" s="39" t="s">
        <v>80</v>
      </c>
      <c r="AD122" s="39" t="s">
        <v>80</v>
      </c>
      <c r="AE122" s="39" t="s">
        <v>80</v>
      </c>
      <c r="AF122" s="39" t="s">
        <v>84</v>
      </c>
      <c r="AG122" s="39" t="s">
        <v>80</v>
      </c>
      <c r="AH122" s="39" t="s">
        <v>80</v>
      </c>
      <c r="AI122" s="39" t="s">
        <v>80</v>
      </c>
      <c r="AJ122" s="39" t="s">
        <v>80</v>
      </c>
      <c r="AK122" s="39" t="s">
        <v>80</v>
      </c>
      <c r="AL122" s="39" t="s">
        <v>80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4302.6</v>
      </c>
      <c r="AU122" cm="1">
        <f t="array" ref="AU122">$E$10*(1+$AS122)+VLOOKUP($R122,武学奇术!$A:$ZZ,4,FALSE)+SUM(_xlfn.XLOOKUP($S122:$AL122,增益!$A:$A,增益!$D:$D,0))-$I$2</f>
        <v>4302.6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0.1685</v>
      </c>
      <c r="AW122" s="31" cm="1">
        <f t="array" ref="AW122">$G$10+VLOOKUP($R122,武学奇术!$A:$ZZ,7,FALSE)+SUM(_xlfn.XLOOKUP($S122:$AL122,增益!$A:$A,增益!$G:$G,0))</f>
        <v>0.025</v>
      </c>
      <c r="AX122" s="24" cm="1">
        <f t="array" ref="AX122">VLOOKUP($R122,武学奇术!$A:$ZZ,8,FALSE)+SUM(_xlfn.XLOOKUP($S122:$AL122,增益!$A:$A,增益!$H:$H,0))</f>
        <v>0</v>
      </c>
      <c r="AY122">
        <f t="shared" si="15"/>
        <v>0</v>
      </c>
      <c r="AZ122">
        <f t="shared" si="16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17"/>
        <v>0</v>
      </c>
      <c r="BD122">
        <f t="shared" si="18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19"/>
        <v>0</v>
      </c>
      <c r="BH122">
        <f t="shared" si="20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21"/>
        <v>649.11</v>
      </c>
      <c r="BL122">
        <f t="shared" si="22"/>
        <v>1707.09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0.9771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0.8861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3"/>
        <v>0.86580831</v>
      </c>
      <c r="BU122" s="24">
        <f t="shared" si="24"/>
        <v>0.0220824599999999</v>
      </c>
      <c r="BV122" s="24">
        <f>IF(VLOOKUP($R122,武学奇术!$A:$ZZ,22,FALSE)=1,0,(1-$BO122))*(1-$BR122)</f>
        <v>0.02080923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1:76">
      <c r="K123" s="37">
        <f>$L123*VLOOKUP($R123,武学奇术!$A:$ZZ,31,FALSE)</f>
        <v>0</v>
      </c>
      <c r="L123" s="37">
        <f t="shared" si="26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8">
        <v>1</v>
      </c>
      <c r="R123" s="39" t="s">
        <v>80</v>
      </c>
      <c r="S123" s="39" t="s">
        <v>80</v>
      </c>
      <c r="T123" s="39" t="s">
        <v>80</v>
      </c>
      <c r="U123" s="39" t="s">
        <v>80</v>
      </c>
      <c r="V123" s="39" t="s">
        <v>80</v>
      </c>
      <c r="W123" s="39" t="s">
        <v>80</v>
      </c>
      <c r="X123" s="39" t="s">
        <v>80</v>
      </c>
      <c r="Y123" s="39" t="s">
        <v>80</v>
      </c>
      <c r="Z123" s="39" t="s">
        <v>80</v>
      </c>
      <c r="AA123" s="39" t="s">
        <v>80</v>
      </c>
      <c r="AB123" s="39" t="s">
        <v>80</v>
      </c>
      <c r="AC123" s="39" t="s">
        <v>80</v>
      </c>
      <c r="AD123" s="39" t="s">
        <v>80</v>
      </c>
      <c r="AE123" s="39" t="s">
        <v>80</v>
      </c>
      <c r="AF123" s="39" t="s">
        <v>84</v>
      </c>
      <c r="AG123" s="39" t="s">
        <v>80</v>
      </c>
      <c r="AH123" s="39" t="s">
        <v>80</v>
      </c>
      <c r="AI123" s="39" t="s">
        <v>80</v>
      </c>
      <c r="AJ123" s="39" t="s">
        <v>80</v>
      </c>
      <c r="AK123" s="39" t="s">
        <v>80</v>
      </c>
      <c r="AL123" s="39" t="s">
        <v>80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4302.6</v>
      </c>
      <c r="AU123" cm="1">
        <f t="array" ref="AU123">$E$10*(1+$AS123)+VLOOKUP($R123,武学奇术!$A:$ZZ,4,FALSE)+SUM(_xlfn.XLOOKUP($S123:$AL123,增益!$A:$A,增益!$D:$D,0))-$I$2</f>
        <v>4302.6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0.1685</v>
      </c>
      <c r="AW123" s="31" cm="1">
        <f t="array" ref="AW123">$G$10+VLOOKUP($R123,武学奇术!$A:$ZZ,7,FALSE)+SUM(_xlfn.XLOOKUP($S123:$AL123,增益!$A:$A,增益!$G:$G,0))</f>
        <v>0.025</v>
      </c>
      <c r="AX123" s="24" cm="1">
        <f t="array" ref="AX123">VLOOKUP($R123,武学奇术!$A:$ZZ,8,FALSE)+SUM(_xlfn.XLOOKUP($S123:$AL123,增益!$A:$A,增益!$H:$H,0))</f>
        <v>0</v>
      </c>
      <c r="AY123">
        <f t="shared" si="15"/>
        <v>0</v>
      </c>
      <c r="AZ123">
        <f t="shared" si="16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17"/>
        <v>0</v>
      </c>
      <c r="BD123">
        <f t="shared" si="18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19"/>
        <v>0</v>
      </c>
      <c r="BH123">
        <f t="shared" si="20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21"/>
        <v>649.11</v>
      </c>
      <c r="BL123">
        <f t="shared" si="22"/>
        <v>1707.09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0.9771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0.8861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3"/>
        <v>0.86580831</v>
      </c>
      <c r="BU123" s="24">
        <f t="shared" si="24"/>
        <v>0.0220824599999999</v>
      </c>
      <c r="BV123" s="24">
        <f>IF(VLOOKUP($R123,武学奇术!$A:$ZZ,22,FALSE)=1,0,(1-$BO123))*(1-$BR123)</f>
        <v>0.02080923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1:76">
      <c r="K124" s="37">
        <f>$L124*VLOOKUP($R124,武学奇术!$A:$ZZ,31,FALSE)</f>
        <v>0</v>
      </c>
      <c r="L124" s="37">
        <f t="shared" si="26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8">
        <v>1</v>
      </c>
      <c r="R124" s="39" t="s">
        <v>80</v>
      </c>
      <c r="S124" s="39" t="s">
        <v>80</v>
      </c>
      <c r="T124" s="39" t="s">
        <v>80</v>
      </c>
      <c r="U124" s="39" t="s">
        <v>80</v>
      </c>
      <c r="V124" s="39" t="s">
        <v>80</v>
      </c>
      <c r="W124" s="39" t="s">
        <v>80</v>
      </c>
      <c r="X124" s="39" t="s">
        <v>80</v>
      </c>
      <c r="Y124" s="39" t="s">
        <v>80</v>
      </c>
      <c r="Z124" s="39" t="s">
        <v>80</v>
      </c>
      <c r="AA124" s="39" t="s">
        <v>80</v>
      </c>
      <c r="AB124" s="39" t="s">
        <v>80</v>
      </c>
      <c r="AC124" s="39" t="s">
        <v>80</v>
      </c>
      <c r="AD124" s="39" t="s">
        <v>80</v>
      </c>
      <c r="AE124" s="39" t="s">
        <v>80</v>
      </c>
      <c r="AF124" s="39" t="s">
        <v>84</v>
      </c>
      <c r="AG124" s="39" t="s">
        <v>80</v>
      </c>
      <c r="AH124" s="39" t="s">
        <v>80</v>
      </c>
      <c r="AI124" s="39" t="s">
        <v>80</v>
      </c>
      <c r="AJ124" s="39" t="s">
        <v>80</v>
      </c>
      <c r="AK124" s="39" t="s">
        <v>80</v>
      </c>
      <c r="AL124" s="39" t="s">
        <v>80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4302.6</v>
      </c>
      <c r="AU124" cm="1">
        <f t="array" ref="AU124">$E$10*(1+$AS124)+VLOOKUP($R124,武学奇术!$A:$ZZ,4,FALSE)+SUM(_xlfn.XLOOKUP($S124:$AL124,增益!$A:$A,增益!$D:$D,0))-$I$2</f>
        <v>4302.6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0.1685</v>
      </c>
      <c r="AW124" s="31" cm="1">
        <f t="array" ref="AW124">$G$10+VLOOKUP($R124,武学奇术!$A:$ZZ,7,FALSE)+SUM(_xlfn.XLOOKUP($S124:$AL124,增益!$A:$A,增益!$G:$G,0))</f>
        <v>0.025</v>
      </c>
      <c r="AX124" s="24" cm="1">
        <f t="array" ref="AX124">VLOOKUP($R124,武学奇术!$A:$ZZ,8,FALSE)+SUM(_xlfn.XLOOKUP($S124:$AL124,增益!$A:$A,增益!$H:$H,0))</f>
        <v>0</v>
      </c>
      <c r="AY124">
        <f t="shared" si="15"/>
        <v>0</v>
      </c>
      <c r="AZ124">
        <f t="shared" si="16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17"/>
        <v>0</v>
      </c>
      <c r="BD124">
        <f t="shared" si="18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19"/>
        <v>0</v>
      </c>
      <c r="BH124">
        <f t="shared" si="20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21"/>
        <v>649.11</v>
      </c>
      <c r="BL124">
        <f t="shared" si="22"/>
        <v>1707.09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0.9771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0.8861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3"/>
        <v>0.86580831</v>
      </c>
      <c r="BU124" s="24">
        <f t="shared" si="24"/>
        <v>0.0220824599999999</v>
      </c>
      <c r="BV124" s="24">
        <f>IF(VLOOKUP($R124,武学奇术!$A:$ZZ,22,FALSE)=1,0,(1-$BO124))*(1-$BR124)</f>
        <v>0.02080923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1:76">
      <c r="K125" s="37">
        <f>$L125*VLOOKUP($R125,武学奇术!$A:$ZZ,31,FALSE)</f>
        <v>0</v>
      </c>
      <c r="L125" s="37">
        <f t="shared" si="26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8">
        <v>1</v>
      </c>
      <c r="R125" s="39" t="s">
        <v>80</v>
      </c>
      <c r="S125" s="39" t="s">
        <v>80</v>
      </c>
      <c r="T125" s="39" t="s">
        <v>80</v>
      </c>
      <c r="U125" s="39" t="s">
        <v>80</v>
      </c>
      <c r="V125" s="39" t="s">
        <v>80</v>
      </c>
      <c r="W125" s="39" t="s">
        <v>80</v>
      </c>
      <c r="X125" s="39" t="s">
        <v>80</v>
      </c>
      <c r="Y125" s="39" t="s">
        <v>80</v>
      </c>
      <c r="Z125" s="39" t="s">
        <v>80</v>
      </c>
      <c r="AA125" s="39" t="s">
        <v>80</v>
      </c>
      <c r="AB125" s="39" t="s">
        <v>80</v>
      </c>
      <c r="AC125" s="39" t="s">
        <v>80</v>
      </c>
      <c r="AD125" s="39" t="s">
        <v>80</v>
      </c>
      <c r="AE125" s="39" t="s">
        <v>80</v>
      </c>
      <c r="AF125" s="39" t="s">
        <v>84</v>
      </c>
      <c r="AG125" s="39" t="s">
        <v>80</v>
      </c>
      <c r="AH125" s="39" t="s">
        <v>80</v>
      </c>
      <c r="AI125" s="39" t="s">
        <v>80</v>
      </c>
      <c r="AJ125" s="39" t="s">
        <v>80</v>
      </c>
      <c r="AK125" s="39" t="s">
        <v>80</v>
      </c>
      <c r="AL125" s="39" t="s">
        <v>80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4302.6</v>
      </c>
      <c r="AU125" cm="1">
        <f t="array" ref="AU125">$E$10*(1+$AS125)+VLOOKUP($R125,武学奇术!$A:$ZZ,4,FALSE)+SUM(_xlfn.XLOOKUP($S125:$AL125,增益!$A:$A,增益!$D:$D,0))-$I$2</f>
        <v>4302.6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0.1685</v>
      </c>
      <c r="AW125" s="31" cm="1">
        <f t="array" ref="AW125">$G$10+VLOOKUP($R125,武学奇术!$A:$ZZ,7,FALSE)+SUM(_xlfn.XLOOKUP($S125:$AL125,增益!$A:$A,增益!$G:$G,0))</f>
        <v>0.025</v>
      </c>
      <c r="AX125" s="24" cm="1">
        <f t="array" ref="AX125">VLOOKUP($R125,武学奇术!$A:$ZZ,8,FALSE)+SUM(_xlfn.XLOOKUP($S125:$AL125,增益!$A:$A,增益!$H:$H,0))</f>
        <v>0</v>
      </c>
      <c r="AY125">
        <f t="shared" si="15"/>
        <v>0</v>
      </c>
      <c r="AZ125">
        <f t="shared" si="16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17"/>
        <v>0</v>
      </c>
      <c r="BD125">
        <f t="shared" si="18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19"/>
        <v>0</v>
      </c>
      <c r="BH125">
        <f t="shared" si="20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21"/>
        <v>649.11</v>
      </c>
      <c r="BL125">
        <f t="shared" si="22"/>
        <v>1707.09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0.9771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0.8861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3"/>
        <v>0.86580831</v>
      </c>
      <c r="BU125" s="24">
        <f t="shared" si="24"/>
        <v>0.0220824599999999</v>
      </c>
      <c r="BV125" s="24">
        <f>IF(VLOOKUP($R125,武学奇术!$A:$ZZ,22,FALSE)=1,0,(1-$BO125))*(1-$BR125)</f>
        <v>0.02080923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1:76">
      <c r="K126" s="37">
        <f>$L126*VLOOKUP($R126,武学奇术!$A:$ZZ,31,FALSE)</f>
        <v>0</v>
      </c>
      <c r="L126" s="37">
        <f t="shared" si="26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8">
        <v>1</v>
      </c>
      <c r="R126" s="39" t="s">
        <v>80</v>
      </c>
      <c r="S126" s="39" t="s">
        <v>80</v>
      </c>
      <c r="T126" s="39" t="s">
        <v>80</v>
      </c>
      <c r="U126" s="39" t="s">
        <v>80</v>
      </c>
      <c r="V126" s="39" t="s">
        <v>80</v>
      </c>
      <c r="W126" s="39" t="s">
        <v>80</v>
      </c>
      <c r="X126" s="39" t="s">
        <v>80</v>
      </c>
      <c r="Y126" s="39" t="s">
        <v>80</v>
      </c>
      <c r="Z126" s="39" t="s">
        <v>80</v>
      </c>
      <c r="AA126" s="39" t="s">
        <v>80</v>
      </c>
      <c r="AB126" s="39" t="s">
        <v>80</v>
      </c>
      <c r="AC126" s="39" t="s">
        <v>80</v>
      </c>
      <c r="AD126" s="39" t="s">
        <v>80</v>
      </c>
      <c r="AE126" s="39" t="s">
        <v>80</v>
      </c>
      <c r="AF126" s="39" t="s">
        <v>84</v>
      </c>
      <c r="AG126" s="39" t="s">
        <v>80</v>
      </c>
      <c r="AH126" s="39" t="s">
        <v>80</v>
      </c>
      <c r="AI126" s="39" t="s">
        <v>80</v>
      </c>
      <c r="AJ126" s="39" t="s">
        <v>80</v>
      </c>
      <c r="AK126" s="39" t="s">
        <v>80</v>
      </c>
      <c r="AL126" s="39" t="s">
        <v>80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0.1042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4302.6</v>
      </c>
      <c r="AU126" cm="1">
        <f t="array" ref="AU126">$E$10*(1+$AS126)+VLOOKUP($R126,武学奇术!$A:$ZZ,4,FALSE)+SUM(_xlfn.XLOOKUP($S126:$AL126,增益!$A:$A,增益!$D:$D,0))-$I$2</f>
        <v>4302.6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0.1685</v>
      </c>
      <c r="AW126" s="31" cm="1">
        <f t="array" ref="AW126">$G$10+VLOOKUP($R126,武学奇术!$A:$ZZ,7,FALSE)+SUM(_xlfn.XLOOKUP($S126:$AL126,增益!$A:$A,增益!$G:$G,0))</f>
        <v>0.025</v>
      </c>
      <c r="AX126" s="24" cm="1">
        <f t="array" ref="AX126">VLOOKUP($R126,武学奇术!$A:$ZZ,8,FALSE)+SUM(_xlfn.XLOOKUP($S126:$AL126,增益!$A:$A,增益!$H:$H,0))</f>
        <v>0</v>
      </c>
      <c r="AY126">
        <f t="shared" si="15"/>
        <v>0</v>
      </c>
      <c r="AZ126">
        <f t="shared" si="16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17"/>
        <v>0</v>
      </c>
      <c r="BD126">
        <f t="shared" si="18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19"/>
        <v>0</v>
      </c>
      <c r="BH126">
        <f t="shared" si="20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21"/>
        <v>649.11</v>
      </c>
      <c r="BL126">
        <f t="shared" si="22"/>
        <v>1707.09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0.9771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0.8861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3"/>
        <v>0.86580831</v>
      </c>
      <c r="BU126" s="24">
        <f t="shared" si="24"/>
        <v>0.0220824599999999</v>
      </c>
      <c r="BV126" s="24">
        <f>IF(VLOOKUP($R126,武学奇术!$A:$ZZ,22,FALSE)=1,0,(1-$BO126))*(1-$BR126)</f>
        <v>0.02080923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1:76">
      <c r="K127" s="37">
        <f>$L127*VLOOKUP($R127,武学奇术!$A:$ZZ,31,FALSE)</f>
        <v>16518.4025526167</v>
      </c>
      <c r="L127" s="37">
        <f t="shared" si="26"/>
        <v>16518.4025526167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17014.5141566883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14997.3955711806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10188.3318303523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9267.48175612636</v>
      </c>
      <c r="Q127" s="38">
        <f t="shared" ref="Q127:Q136" si="27">IF($E$24="易水歌",1,0)</f>
        <v>1</v>
      </c>
      <c r="R127" s="39" t="s">
        <v>217</v>
      </c>
      <c r="S127" s="39" t="s">
        <v>106</v>
      </c>
      <c r="T127" s="39" t="s">
        <v>98</v>
      </c>
      <c r="U127" s="39" t="s">
        <v>89</v>
      </c>
      <c r="V127" s="39" t="s">
        <v>129</v>
      </c>
      <c r="W127" s="39" t="s">
        <v>91</v>
      </c>
      <c r="X127" s="39" t="s">
        <v>81</v>
      </c>
      <c r="Y127" s="39" t="s">
        <v>80</v>
      </c>
      <c r="Z127" s="39" t="s">
        <v>80</v>
      </c>
      <c r="AA127" s="39" t="s">
        <v>80</v>
      </c>
      <c r="AB127" s="39" t="s">
        <v>82</v>
      </c>
      <c r="AC127" s="39" t="s">
        <v>80</v>
      </c>
      <c r="AD127" s="39" t="s">
        <v>80</v>
      </c>
      <c r="AE127" s="39" t="s">
        <v>80</v>
      </c>
      <c r="AF127" s="39" t="s">
        <v>84</v>
      </c>
      <c r="AG127" s="39" t="s">
        <v>80</v>
      </c>
      <c r="AH127" s="39" t="s">
        <v>80</v>
      </c>
      <c r="AI127" s="39" t="s">
        <v>80</v>
      </c>
      <c r="AJ127" s="39" t="s">
        <v>80</v>
      </c>
      <c r="AK127" s="39" t="s">
        <v>80</v>
      </c>
      <c r="AL127" s="39" t="s">
        <v>80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0.1742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4302.6</v>
      </c>
      <c r="AU127" cm="1">
        <f t="array" ref="AU127">$E$10*(1+$AS127)+VLOOKUP($R127,武学奇术!$A:$ZZ,4,FALSE)+SUM(_xlfn.XLOOKUP($S127:$AL127,增益!$A:$A,增益!$D:$D,0))-$I$2</f>
        <v>4302.6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0.2785</v>
      </c>
      <c r="AW127" s="31" cm="1">
        <f t="array" ref="AW127">$G$10+VLOOKUP($R127,武学奇术!$A:$ZZ,7,FALSE)+SUM(_xlfn.XLOOKUP($S127:$AL127,增益!$A:$A,增益!$G:$G,0))</f>
        <v>0.135</v>
      </c>
      <c r="AX127" s="24" cm="1">
        <f t="array" ref="AX127">VLOOKUP($R127,武学奇术!$A:$ZZ,8,FALSE)+SUM(_xlfn.XLOOKUP($S127:$AL127,增益!$A:$A,增益!$H:$H,0))</f>
        <v>0</v>
      </c>
      <c r="AY127">
        <f t="shared" si="15"/>
        <v>0</v>
      </c>
      <c r="AZ127">
        <f t="shared" si="16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-0.18</v>
      </c>
      <c r="BB127" s="31" cm="1">
        <f t="array" ref="BB127">$G$11+VLOOKUP($R127,武学奇术!$A:$ZZ,10,FALSE)+SUM(_xlfn.XLOOKUP($S127:$AL127,增益!$A:$A,增益!$J:$J,0))</f>
        <v>0.02</v>
      </c>
      <c r="BC127">
        <f t="shared" si="17"/>
        <v>0</v>
      </c>
      <c r="BD127">
        <f t="shared" si="18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-0.18</v>
      </c>
      <c r="BF127" s="31" cm="1">
        <f t="array" ref="BF127">$G$12+VLOOKUP($R127,武学奇术!$A:$ZZ,12,FALSE)+SUM(_xlfn.XLOOKUP($S127:$AL127,增益!$A:$A,增益!$L:$L,0))</f>
        <v>0.02</v>
      </c>
      <c r="BG127">
        <f t="shared" si="19"/>
        <v>0</v>
      </c>
      <c r="BH127">
        <f t="shared" si="20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-0.18</v>
      </c>
      <c r="BJ127" s="31" cm="1">
        <f t="array" ref="BJ127">$G$13+VLOOKUP($R127,武学奇术!$A:$ZZ,14,FALSE)+SUM(_xlfn.XLOOKUP($S127:$AL127,增益!$A:$A,增益!$N:$N,0))</f>
        <v>0.02</v>
      </c>
      <c r="BK127">
        <f t="shared" si="21"/>
        <v>649.11</v>
      </c>
      <c r="BL127">
        <f t="shared" si="22"/>
        <v>1707.09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0.06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0.9771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0.8861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3"/>
        <v>0.86580831</v>
      </c>
      <c r="BU127" s="24">
        <f t="shared" si="24"/>
        <v>0.0220824599999999</v>
      </c>
      <c r="BV127" s="24">
        <f>IF(VLOOKUP($R127,武学奇术!$A:$ZZ,22,FALSE)=1,0,(1-$BO127))*(1-$BR127)</f>
        <v>0.02080923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1:76">
      <c r="K128" s="37">
        <f>$L128*VLOOKUP($R128,武学奇术!$A:$ZZ,31,FALSE)</f>
        <v>16282.0211213394</v>
      </c>
      <c r="L128" s="37">
        <f t="shared" si="26"/>
        <v>16282.0211213394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16759.9871940831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14863.6113412209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10096.3778277609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9182.67318054341</v>
      </c>
      <c r="Q128" s="38">
        <f t="shared" si="27"/>
        <v>1</v>
      </c>
      <c r="R128" s="39" t="s">
        <v>217</v>
      </c>
      <c r="S128" s="39" t="s">
        <v>106</v>
      </c>
      <c r="T128" s="39" t="s">
        <v>176</v>
      </c>
      <c r="U128" s="39" t="s">
        <v>89</v>
      </c>
      <c r="V128" s="39" t="s">
        <v>90</v>
      </c>
      <c r="W128" s="39" t="s">
        <v>91</v>
      </c>
      <c r="X128" s="39" t="s">
        <v>80</v>
      </c>
      <c r="Y128" s="39" t="s">
        <v>80</v>
      </c>
      <c r="Z128" s="39" t="s">
        <v>80</v>
      </c>
      <c r="AA128" s="39" t="s">
        <v>80</v>
      </c>
      <c r="AB128" s="39" t="s">
        <v>107</v>
      </c>
      <c r="AC128" s="39" t="s">
        <v>80</v>
      </c>
      <c r="AD128" s="39" t="s">
        <v>80</v>
      </c>
      <c r="AE128" s="39" t="s">
        <v>80</v>
      </c>
      <c r="AF128" s="39" t="s">
        <v>84</v>
      </c>
      <c r="AG128" s="39" t="s">
        <v>80</v>
      </c>
      <c r="AH128" s="39" t="s">
        <v>80</v>
      </c>
      <c r="AI128" s="39" t="s">
        <v>80</v>
      </c>
      <c r="AJ128" s="39" t="s">
        <v>80</v>
      </c>
      <c r="AK128" s="39" t="s">
        <v>80</v>
      </c>
      <c r="AL128" s="39" t="s">
        <v>80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0.1542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4302.6</v>
      </c>
      <c r="AU128" cm="1">
        <f t="array" ref="AU128">$E$10*(1+$AS128)+VLOOKUP($R128,武学奇术!$A:$ZZ,4,FALSE)+SUM(_xlfn.XLOOKUP($S128:$AL128,增益!$A:$A,增益!$D:$D,0))-$I$2</f>
        <v>4302.6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0.2885</v>
      </c>
      <c r="AW128" s="31" cm="1">
        <f t="array" ref="AW128">$G$10+VLOOKUP($R128,武学奇术!$A:$ZZ,7,FALSE)+SUM(_xlfn.XLOOKUP($S128:$AL128,增益!$A:$A,增益!$G:$G,0))</f>
        <v>0.135</v>
      </c>
      <c r="AX128" s="24" cm="1">
        <f t="array" ref="AX128">VLOOKUP($R128,武学奇术!$A:$ZZ,8,FALSE)+SUM(_xlfn.XLOOKUP($S128:$AL128,增益!$A:$A,增益!$H:$H,0))</f>
        <v>0</v>
      </c>
      <c r="AY128">
        <f t="shared" si="15"/>
        <v>0</v>
      </c>
      <c r="AZ128">
        <f t="shared" si="16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31" cm="1">
        <f t="array" ref="BB128">$G$11+VLOOKUP($R128,武学奇术!$A:$ZZ,10,FALSE)+SUM(_xlfn.XLOOKUP($S128:$AL128,增益!$A:$A,增益!$J:$J,0))</f>
        <v>0.02</v>
      </c>
      <c r="BC128">
        <f t="shared" si="17"/>
        <v>0</v>
      </c>
      <c r="BD128">
        <f t="shared" si="18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31" cm="1">
        <f t="array" ref="BF128">$G$12+VLOOKUP($R128,武学奇术!$A:$ZZ,12,FALSE)+SUM(_xlfn.XLOOKUP($S128:$AL128,增益!$A:$A,增益!$L:$L,0))</f>
        <v>0.02</v>
      </c>
      <c r="BG128">
        <f t="shared" si="19"/>
        <v>0</v>
      </c>
      <c r="BH128">
        <f t="shared" si="20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31" cm="1">
        <f t="array" ref="BJ128">$G$13+VLOOKUP($R128,武学奇术!$A:$ZZ,14,FALSE)+SUM(_xlfn.XLOOKUP($S128:$AL128,增益!$A:$A,增益!$N:$N,0))</f>
        <v>0.02</v>
      </c>
      <c r="BK128">
        <f t="shared" si="21"/>
        <v>649.11</v>
      </c>
      <c r="BL128">
        <f t="shared" si="22"/>
        <v>1707.09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31" cm="1">
        <f t="array" ref="BN128">$G$14+VLOOKUP($R128,武学奇术!$A:$ZZ,16,FALSE)+SUM(_xlfn.XLOOKUP($S128:$AL128,增益!$A:$A,增益!$P:$P,0))</f>
        <v>0.26</v>
      </c>
      <c r="BO128" s="24">
        <f>MIN(IF(VLOOKUP($R128,武学奇术!$A:$ZZ,23,FALSE)=1,100%,$B$8),100%)</f>
        <v>0.9771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0.8861</v>
      </c>
      <c r="BQ128" s="24" cm="1">
        <f t="array" ref="BQ128">1+$B$13+VLOOKUP($R128,武学奇术!$A:$ZZ,18,FALSE)+SUM(_xlfn.XLOOKUP($S128:$AL128,增益!$A:$A,增益!$R:$R,0))</f>
        <v>1.66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3"/>
        <v>0.86580831</v>
      </c>
      <c r="BU128" s="24">
        <f t="shared" si="24"/>
        <v>0.0220824599999999</v>
      </c>
      <c r="BV128" s="24">
        <f>IF(VLOOKUP($R128,武学奇术!$A:$ZZ,22,FALSE)=1,0,(1-$BO128))*(1-$BR128)</f>
        <v>0.02080923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1:76">
      <c r="K129" s="37">
        <f>$L129*VLOOKUP($R129,武学奇术!$A:$ZZ,31,FALSE)</f>
        <v>17118.6774947789</v>
      </c>
      <c r="L129" s="37">
        <f t="shared" si="26"/>
        <v>17118.6774947789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17709.6510818351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14985.275852041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10177.9603918593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9255.71644887337</v>
      </c>
      <c r="Q129" s="38">
        <f t="shared" si="27"/>
        <v>1</v>
      </c>
      <c r="R129" s="39" t="s">
        <v>217</v>
      </c>
      <c r="S129" s="39" t="s">
        <v>106</v>
      </c>
      <c r="T129" s="39" t="s">
        <v>189</v>
      </c>
      <c r="U129" s="39" t="s">
        <v>89</v>
      </c>
      <c r="V129" s="39" t="s">
        <v>129</v>
      </c>
      <c r="W129" s="39" t="s">
        <v>91</v>
      </c>
      <c r="X129" s="39" t="s">
        <v>80</v>
      </c>
      <c r="Y129" s="39" t="s">
        <v>80</v>
      </c>
      <c r="Z129" s="39" t="s">
        <v>80</v>
      </c>
      <c r="AA129" s="39" t="s">
        <v>80</v>
      </c>
      <c r="AB129" s="39" t="s">
        <v>186</v>
      </c>
      <c r="AC129" s="39" t="s">
        <v>80</v>
      </c>
      <c r="AD129" s="39" t="s">
        <v>80</v>
      </c>
      <c r="AE129" s="39" t="s">
        <v>80</v>
      </c>
      <c r="AF129" s="39" t="s">
        <v>84</v>
      </c>
      <c r="AG129" s="39" t="s">
        <v>80</v>
      </c>
      <c r="AH129" s="39" t="s">
        <v>80</v>
      </c>
      <c r="AI129" s="39" t="s">
        <v>80</v>
      </c>
      <c r="AJ129" s="39" t="s">
        <v>80</v>
      </c>
      <c r="AK129" s="39" t="s">
        <v>80</v>
      </c>
      <c r="AL129" s="39" t="s">
        <v>80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0.1542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4302.6</v>
      </c>
      <c r="AU129" cm="1">
        <f t="array" ref="AU129">$E$10*(1+$AS129)+VLOOKUP($R129,武学奇术!$A:$ZZ,4,FALSE)+SUM(_xlfn.XLOOKUP($S129:$AL129,增益!$A:$A,增益!$D:$D,0))-$I$2</f>
        <v>4302.6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0.2985</v>
      </c>
      <c r="AW129" s="31" cm="1">
        <f t="array" ref="AW129">$G$10+VLOOKUP($R129,武学奇术!$A:$ZZ,7,FALSE)+SUM(_xlfn.XLOOKUP($S129:$AL129,增益!$A:$A,增益!$G:$G,0))</f>
        <v>0.135</v>
      </c>
      <c r="AX129" s="24" cm="1">
        <f t="array" ref="AX129">VLOOKUP($R129,武学奇术!$A:$ZZ,8,FALSE)+SUM(_xlfn.XLOOKUP($S129:$AL129,增益!$A:$A,增益!$H:$H,0))</f>
        <v>0</v>
      </c>
      <c r="AY129">
        <f t="shared" si="15"/>
        <v>0</v>
      </c>
      <c r="AZ129">
        <f t="shared" si="16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1" cm="1">
        <f t="array" ref="BB129">$G$11+VLOOKUP($R129,武学奇术!$A:$ZZ,10,FALSE)+SUM(_xlfn.XLOOKUP($S129:$AL129,增益!$A:$A,增益!$J:$J,0))</f>
        <v>0.02</v>
      </c>
      <c r="BC129">
        <f t="shared" si="17"/>
        <v>0</v>
      </c>
      <c r="BD129">
        <f t="shared" si="18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1" cm="1">
        <f t="array" ref="BF129">$G$12+VLOOKUP($R129,武学奇术!$A:$ZZ,12,FALSE)+SUM(_xlfn.XLOOKUP($S129:$AL129,增益!$A:$A,增益!$L:$L,0))</f>
        <v>0.02</v>
      </c>
      <c r="BG129">
        <f t="shared" si="19"/>
        <v>0</v>
      </c>
      <c r="BH129">
        <f t="shared" si="20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1" cm="1">
        <f t="array" ref="BJ129">$G$13+VLOOKUP($R129,武学奇术!$A:$ZZ,14,FALSE)+SUM(_xlfn.XLOOKUP($S129:$AL129,增益!$A:$A,增益!$N:$N,0))</f>
        <v>0.02</v>
      </c>
      <c r="BK129">
        <f t="shared" si="21"/>
        <v>649.11</v>
      </c>
      <c r="BL129">
        <f t="shared" si="22"/>
        <v>1707.09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0.9771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0.8861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3"/>
        <v>0.86580831</v>
      </c>
      <c r="BU129" s="24">
        <f t="shared" si="24"/>
        <v>0.0220824599999999</v>
      </c>
      <c r="BV129" s="24">
        <f>IF(VLOOKUP($R129,武学奇术!$A:$ZZ,22,FALSE)=1,0,(1-$BO129))*(1-$BR129)</f>
        <v>0.02080923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1:76">
      <c r="K130" s="37">
        <f>$L130*VLOOKUP($R130,武学奇术!$A:$ZZ,31,FALSE)</f>
        <v>16811.8717648809</v>
      </c>
      <c r="L130" s="37">
        <f t="shared" si="26"/>
        <v>16811.8717648809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17338.6275955684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15106.9403628611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10259.5429559576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9328.75971720331</v>
      </c>
      <c r="Q130" s="38">
        <f t="shared" si="27"/>
        <v>1</v>
      </c>
      <c r="R130" s="39" t="s">
        <v>217</v>
      </c>
      <c r="S130" s="39" t="s">
        <v>106</v>
      </c>
      <c r="T130" s="39" t="s">
        <v>189</v>
      </c>
      <c r="U130" s="39" t="s">
        <v>89</v>
      </c>
      <c r="V130" s="39" t="s">
        <v>90</v>
      </c>
      <c r="W130" s="39" t="s">
        <v>91</v>
      </c>
      <c r="X130" s="39" t="s">
        <v>80</v>
      </c>
      <c r="Y130" s="39" t="s">
        <v>80</v>
      </c>
      <c r="Z130" s="39" t="s">
        <v>80</v>
      </c>
      <c r="AA130" s="39" t="s">
        <v>80</v>
      </c>
      <c r="AB130" s="39" t="s">
        <v>198</v>
      </c>
      <c r="AC130" s="39" t="s">
        <v>80</v>
      </c>
      <c r="AD130" s="39" t="s">
        <v>80</v>
      </c>
      <c r="AE130" s="39" t="s">
        <v>80</v>
      </c>
      <c r="AF130" s="39" t="s">
        <v>84</v>
      </c>
      <c r="AG130" s="39" t="s">
        <v>80</v>
      </c>
      <c r="AH130" s="39" t="s">
        <v>80</v>
      </c>
      <c r="AI130" s="39" t="s">
        <v>80</v>
      </c>
      <c r="AJ130" s="39" t="s">
        <v>80</v>
      </c>
      <c r="AK130" s="39" t="s">
        <v>80</v>
      </c>
      <c r="AL130" s="39" t="s">
        <v>80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0.1542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4302.6</v>
      </c>
      <c r="AU130" cm="1">
        <f t="array" ref="AU130">$E$10*(1+$AS130)+VLOOKUP($R130,武学奇术!$A:$ZZ,4,FALSE)+SUM(_xlfn.XLOOKUP($S130:$AL130,增益!$A:$A,增益!$D:$D,0))-$I$2</f>
        <v>4302.6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0.3085</v>
      </c>
      <c r="AW130" s="31" cm="1">
        <f t="array" ref="AW130">$G$10+VLOOKUP($R130,武学奇术!$A:$ZZ,7,FALSE)+SUM(_xlfn.XLOOKUP($S130:$AL130,增益!$A:$A,增益!$G:$G,0))</f>
        <v>0.135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31" cm="1">
        <f t="array" ref="BB130">$G$11+VLOOKUP($R130,武学奇术!$A:$ZZ,10,FALSE)+SUM(_xlfn.XLOOKUP($S130:$AL130,增益!$A:$A,增益!$J:$J,0))</f>
        <v>0.02</v>
      </c>
      <c r="BC130">
        <f t="shared" ref="BC130:BC136" si="30">$D$12*(1+$AX130)</f>
        <v>0</v>
      </c>
      <c r="BD130">
        <f t="shared" ref="BD130:BD136" si="31">$E$12*(1+$AX130)</f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31" cm="1">
        <f t="array" ref="BF130">$G$12+VLOOKUP($R130,武学奇术!$A:$ZZ,12,FALSE)+SUM(_xlfn.XLOOKUP($S130:$AL130,增益!$A:$A,增益!$L:$L,0))</f>
        <v>0.02</v>
      </c>
      <c r="BG130">
        <f t="shared" ref="BG130:BG136" si="32">$D$13*(1+$AX130)</f>
        <v>0</v>
      </c>
      <c r="BH130">
        <f t="shared" ref="BH130:BH136" si="33">$E$13*(1+$AX130)</f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31" cm="1">
        <f t="array" ref="BJ130">$G$13+VLOOKUP($R130,武学奇术!$A:$ZZ,14,FALSE)+SUM(_xlfn.XLOOKUP($S130:$AL130,增益!$A:$A,增益!$N:$N,0))</f>
        <v>0.02</v>
      </c>
      <c r="BK130">
        <f t="shared" ref="BK130:BK136" si="34">$D$14*(1+$AX130)</f>
        <v>649.11</v>
      </c>
      <c r="BL130">
        <f t="shared" ref="BL130:BL136" si="35">$E$14*(1+$AX130)</f>
        <v>1707.09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0.9771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0.8861</v>
      </c>
      <c r="BQ130" s="24" cm="1">
        <f t="array" ref="BQ130">1+$B$13+VLOOKUP($R130,武学奇术!$A:$ZZ,18,FALSE)+SUM(_xlfn.XLOOKUP($S130:$AL130,增益!$A:$A,增益!$R:$R,0))</f>
        <v>1.69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6">MIN((1-BR130)*BO130,BO130*BP130)</f>
        <v>0.86580831</v>
      </c>
      <c r="BU130" s="24">
        <f t="shared" ref="BU130:BU136" si="37">1-BR130-BT130-BV130</f>
        <v>0.0220824599999999</v>
      </c>
      <c r="BV130" s="24">
        <f>IF(VLOOKUP($R130,武学奇术!$A:$ZZ,22,FALSE)=1,0,(1-$BO130))*(1-$BR130)</f>
        <v>0.02080923</v>
      </c>
      <c r="BW130" s="24" cm="1">
        <f t="array" ref="BW130">SUM(_xlfn.XLOOKUP($S130:$AL130,增益!$A:$A,增益!$W:$W,0))+$I$5</f>
        <v>0.11</v>
      </c>
      <c r="BX130" s="24" cm="1">
        <f t="array" ref="BX130">SUM(_xlfn.XLOOKUP($S130:$AL130,增益!$A:$A,增益!$X:$X,0))</f>
        <v>0</v>
      </c>
    </row>
    <row r="131" spans="11:76">
      <c r="K131" s="37">
        <f>$L131*VLOOKUP($R131,武学奇术!$A:$ZZ,31,FALSE)</f>
        <v>18960.3138789601</v>
      </c>
      <c r="L131" s="37">
        <f t="shared" si="26"/>
        <v>18960.3138789601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19614.5997026358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16600.5512586975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11272.7584497907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10248.8122635092</v>
      </c>
      <c r="Q131" s="38">
        <f t="shared" si="27"/>
        <v>1</v>
      </c>
      <c r="R131" s="39" t="s">
        <v>217</v>
      </c>
      <c r="S131" s="39" t="s">
        <v>106</v>
      </c>
      <c r="T131" s="39" t="s">
        <v>189</v>
      </c>
      <c r="U131" s="39" t="s">
        <v>89</v>
      </c>
      <c r="V131" s="39" t="s">
        <v>129</v>
      </c>
      <c r="W131" s="39" t="s">
        <v>91</v>
      </c>
      <c r="X131" s="39" t="s">
        <v>80</v>
      </c>
      <c r="Y131" s="39" t="s">
        <v>80</v>
      </c>
      <c r="Z131" s="39" t="s">
        <v>193</v>
      </c>
      <c r="AA131" s="39" t="s">
        <v>80</v>
      </c>
      <c r="AB131" s="39" t="s">
        <v>203</v>
      </c>
      <c r="AC131" s="39" t="s">
        <v>80</v>
      </c>
      <c r="AD131" s="39" t="s">
        <v>121</v>
      </c>
      <c r="AE131" s="39" t="s">
        <v>80</v>
      </c>
      <c r="AF131" s="39" t="s">
        <v>84</v>
      </c>
      <c r="AG131" s="39" t="s">
        <v>80</v>
      </c>
      <c r="AH131" s="39" t="s">
        <v>80</v>
      </c>
      <c r="AI131" s="39" t="s">
        <v>80</v>
      </c>
      <c r="AJ131" s="39" t="s">
        <v>80</v>
      </c>
      <c r="AK131" s="39" t="s">
        <v>80</v>
      </c>
      <c r="AL131" s="39" t="s">
        <v>80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0.1542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4302.6</v>
      </c>
      <c r="AU131" cm="1">
        <f t="array" ref="AU131">$E$10*(1+$AS131)+VLOOKUP($R131,武学奇术!$A:$ZZ,4,FALSE)+SUM(_xlfn.XLOOKUP($S131:$AL131,增益!$A:$A,增益!$D:$D,0))-$I$2</f>
        <v>4302.6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0.3185</v>
      </c>
      <c r="AW131" s="31" cm="1">
        <f t="array" ref="AW131">$G$10+VLOOKUP($R131,武学奇术!$A:$ZZ,7,FALSE)+SUM(_xlfn.XLOOKUP($S131:$AL131,增益!$A:$A,增益!$G:$G,0))</f>
        <v>0.135</v>
      </c>
      <c r="AX131" s="24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</v>
      </c>
      <c r="BB131" s="31" cm="1">
        <f t="array" ref="BB131">$G$11+VLOOKUP($R131,武学奇术!$A:$ZZ,10,FALSE)+SUM(_xlfn.XLOOKUP($S131:$AL131,增益!$A:$A,增益!$J:$J,0))</f>
        <v>0.02</v>
      </c>
      <c r="BC131">
        <f t="shared" si="30"/>
        <v>0</v>
      </c>
      <c r="BD131">
        <f t="shared" si="31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</v>
      </c>
      <c r="BF131" s="31" cm="1">
        <f t="array" ref="BF131">$G$12+VLOOKUP($R131,武学奇术!$A:$ZZ,12,FALSE)+SUM(_xlfn.XLOOKUP($S131:$AL131,增益!$A:$A,增益!$L:$L,0))</f>
        <v>0.02</v>
      </c>
      <c r="BG131">
        <f t="shared" si="32"/>
        <v>0</v>
      </c>
      <c r="BH131">
        <f t="shared" si="33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</v>
      </c>
      <c r="BJ131" s="31" cm="1">
        <f t="array" ref="BJ131">$G$13+VLOOKUP($R131,武学奇术!$A:$ZZ,14,FALSE)+SUM(_xlfn.XLOOKUP($S131:$AL131,增益!$A:$A,增益!$N:$N,0))</f>
        <v>0.02</v>
      </c>
      <c r="BK131">
        <f t="shared" si="34"/>
        <v>649.11</v>
      </c>
      <c r="BL131">
        <f t="shared" si="35"/>
        <v>1707.09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0.9771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0.8861</v>
      </c>
      <c r="BQ131" s="24" cm="1">
        <f t="array" ref="BQ131">1+$B$13+VLOOKUP($R131,武学奇术!$A:$ZZ,18,FALSE)+SUM(_xlfn.XLOOKUP($S131:$AL131,增益!$A:$A,增益!$R:$R,0))</f>
        <v>1.74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6"/>
        <v>0.86580831</v>
      </c>
      <c r="BU131" s="24">
        <f t="shared" si="37"/>
        <v>0.0220824599999999</v>
      </c>
      <c r="BV131" s="24">
        <f>IF(VLOOKUP($R131,武学奇术!$A:$ZZ,22,FALSE)=1,0,(1-$BO131))*(1-$BR131)</f>
        <v>0.02080923</v>
      </c>
      <c r="BW131" s="24" cm="1">
        <f t="array" ref="BW131">SUM(_xlfn.XLOOKUP($S131:$AL131,增益!$A:$A,增益!$W:$W,0))+$I$5</f>
        <v>0.21</v>
      </c>
      <c r="BX131" s="24" cm="1">
        <f t="array" ref="BX131">SUM(_xlfn.XLOOKUP($S131:$AL131,增益!$A:$A,增益!$X:$X,0))</f>
        <v>0</v>
      </c>
    </row>
    <row r="132" spans="11:76">
      <c r="K132" s="37">
        <f>$L132*VLOOKUP($R132,武学奇术!$A:$ZZ,31,FALSE)</f>
        <v>16945.6741692889</v>
      </c>
      <c r="L132" s="37">
        <f t="shared" si="26"/>
        <v>16945.6741692889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17476.5021288945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15228.6048736811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10341.1255200559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9401.80298553327</v>
      </c>
      <c r="Q132" s="38">
        <f t="shared" si="27"/>
        <v>1</v>
      </c>
      <c r="R132" s="39" t="s">
        <v>217</v>
      </c>
      <c r="S132" s="39" t="s">
        <v>106</v>
      </c>
      <c r="T132" s="39" t="s">
        <v>189</v>
      </c>
      <c r="U132" s="39" t="s">
        <v>89</v>
      </c>
      <c r="V132" s="39" t="s">
        <v>90</v>
      </c>
      <c r="W132" s="39" t="s">
        <v>91</v>
      </c>
      <c r="X132" s="39" t="s">
        <v>80</v>
      </c>
      <c r="Y132" s="39" t="s">
        <v>80</v>
      </c>
      <c r="Z132" s="39" t="s">
        <v>80</v>
      </c>
      <c r="AA132" s="39" t="s">
        <v>80</v>
      </c>
      <c r="AB132" s="39" t="s">
        <v>203</v>
      </c>
      <c r="AC132" s="39" t="s">
        <v>80</v>
      </c>
      <c r="AD132" s="39" t="s">
        <v>80</v>
      </c>
      <c r="AE132" s="39" t="s">
        <v>80</v>
      </c>
      <c r="AF132" s="39" t="s">
        <v>84</v>
      </c>
      <c r="AG132" s="39" t="s">
        <v>80</v>
      </c>
      <c r="AH132" s="39" t="s">
        <v>80</v>
      </c>
      <c r="AI132" s="39" t="s">
        <v>80</v>
      </c>
      <c r="AJ132" s="39" t="s">
        <v>80</v>
      </c>
      <c r="AK132" s="39" t="s">
        <v>80</v>
      </c>
      <c r="AL132" s="39" t="s">
        <v>80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0.1542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4302.6</v>
      </c>
      <c r="AU132" cm="1">
        <f t="array" ref="AU132">$E$10*(1+$AS132)+VLOOKUP($R132,武学奇术!$A:$ZZ,4,FALSE)+SUM(_xlfn.XLOOKUP($S132:$AL132,增益!$A:$A,增益!$D:$D,0))-$I$2</f>
        <v>4302.6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0.3185</v>
      </c>
      <c r="AW132" s="31" cm="1">
        <f t="array" ref="AW132">$G$10+VLOOKUP($R132,武学奇术!$A:$ZZ,7,FALSE)+SUM(_xlfn.XLOOKUP($S132:$AL132,增益!$A:$A,增益!$G:$G,0))</f>
        <v>0.135</v>
      </c>
      <c r="AX132" s="24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</v>
      </c>
      <c r="BB132" s="31" cm="1">
        <f t="array" ref="BB132">$G$11+VLOOKUP($R132,武学奇术!$A:$ZZ,10,FALSE)+SUM(_xlfn.XLOOKUP($S132:$AL132,增益!$A:$A,增益!$J:$J,0))</f>
        <v>0.02</v>
      </c>
      <c r="BC132">
        <f t="shared" si="30"/>
        <v>0</v>
      </c>
      <c r="BD132">
        <f t="shared" si="31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</v>
      </c>
      <c r="BF132" s="31" cm="1">
        <f t="array" ref="BF132">$G$12+VLOOKUP($R132,武学奇术!$A:$ZZ,12,FALSE)+SUM(_xlfn.XLOOKUP($S132:$AL132,增益!$A:$A,增益!$L:$L,0))</f>
        <v>0.02</v>
      </c>
      <c r="BG132">
        <f t="shared" si="32"/>
        <v>0</v>
      </c>
      <c r="BH132">
        <f t="shared" si="33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</v>
      </c>
      <c r="BJ132" s="31" cm="1">
        <f t="array" ref="BJ132">$G$13+VLOOKUP($R132,武学奇术!$A:$ZZ,14,FALSE)+SUM(_xlfn.XLOOKUP($S132:$AL132,增益!$A:$A,增益!$N:$N,0))</f>
        <v>0.02</v>
      </c>
      <c r="BK132">
        <f t="shared" si="34"/>
        <v>649.11</v>
      </c>
      <c r="BL132">
        <f t="shared" si="35"/>
        <v>1707.09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0.9771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0.8861</v>
      </c>
      <c r="BQ132" s="24" cm="1">
        <f t="array" ref="BQ132">1+$B$13+VLOOKUP($R132,武学奇术!$A:$ZZ,18,FALSE)+SUM(_xlfn.XLOOKUP($S132:$AL132,增益!$A:$A,增益!$R:$R,0))</f>
        <v>1.69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6"/>
        <v>0.86580831</v>
      </c>
      <c r="BU132" s="24">
        <f t="shared" si="37"/>
        <v>0.0220824599999999</v>
      </c>
      <c r="BV132" s="24">
        <f>IF(VLOOKUP($R132,武学奇术!$A:$ZZ,22,FALSE)=1,0,(1-$BO132))*(1-$BR132)</f>
        <v>0.02080923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1:76">
      <c r="K133" s="37">
        <f>$L133*VLOOKUP($R133,武学奇术!$A:$ZZ,31,FALSE)</f>
        <v>17393.3457897898</v>
      </c>
      <c r="L133" s="37">
        <f t="shared" si="26"/>
        <v>17393.3457897898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17993.5584048974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15228.6048736811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10341.1255200559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9401.80298553327</v>
      </c>
      <c r="Q133" s="38">
        <f t="shared" si="27"/>
        <v>1</v>
      </c>
      <c r="R133" s="39" t="s">
        <v>217</v>
      </c>
      <c r="S133" s="39" t="s">
        <v>106</v>
      </c>
      <c r="T133" s="39" t="s">
        <v>189</v>
      </c>
      <c r="U133" s="39" t="s">
        <v>89</v>
      </c>
      <c r="V133" s="39" t="s">
        <v>129</v>
      </c>
      <c r="W133" s="39" t="s">
        <v>91</v>
      </c>
      <c r="X133" s="39" t="s">
        <v>80</v>
      </c>
      <c r="Y133" s="39" t="s">
        <v>80</v>
      </c>
      <c r="Z133" s="39" t="s">
        <v>80</v>
      </c>
      <c r="AA133" s="39" t="s">
        <v>80</v>
      </c>
      <c r="AB133" s="39" t="s">
        <v>203</v>
      </c>
      <c r="AC133" s="39" t="s">
        <v>80</v>
      </c>
      <c r="AD133" s="39" t="s">
        <v>80</v>
      </c>
      <c r="AE133" s="39" t="s">
        <v>80</v>
      </c>
      <c r="AF133" s="39" t="s">
        <v>84</v>
      </c>
      <c r="AG133" s="39" t="s">
        <v>80</v>
      </c>
      <c r="AH133" s="39" t="s">
        <v>80</v>
      </c>
      <c r="AI133" s="39" t="s">
        <v>80</v>
      </c>
      <c r="AJ133" s="39" t="s">
        <v>80</v>
      </c>
      <c r="AK133" s="39" t="s">
        <v>80</v>
      </c>
      <c r="AL133" s="39" t="s">
        <v>80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0.1542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4302.6</v>
      </c>
      <c r="AU133" cm="1">
        <f t="array" ref="AU133">$E$10*(1+$AS133)+VLOOKUP($R133,武学奇术!$A:$ZZ,4,FALSE)+SUM(_xlfn.XLOOKUP($S133:$AL133,增益!$A:$A,增益!$D:$D,0))-$I$2</f>
        <v>4302.6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0.3185</v>
      </c>
      <c r="AW133" s="31" cm="1">
        <f t="array" ref="AW133">$G$10+VLOOKUP($R133,武学奇术!$A:$ZZ,7,FALSE)+SUM(_xlfn.XLOOKUP($S133:$AL133,增益!$A:$A,增益!$G:$G,0))</f>
        <v>0.135</v>
      </c>
      <c r="AX133" s="24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</v>
      </c>
      <c r="BB133" s="31" cm="1">
        <f t="array" ref="BB133">$G$11+VLOOKUP($R133,武学奇术!$A:$ZZ,10,FALSE)+SUM(_xlfn.XLOOKUP($S133:$AL133,增益!$A:$A,增益!$J:$J,0))</f>
        <v>0.02</v>
      </c>
      <c r="BC133">
        <f t="shared" si="30"/>
        <v>0</v>
      </c>
      <c r="BD133">
        <f t="shared" si="31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</v>
      </c>
      <c r="BF133" s="31" cm="1">
        <f t="array" ref="BF133">$G$12+VLOOKUP($R133,武学奇术!$A:$ZZ,12,FALSE)+SUM(_xlfn.XLOOKUP($S133:$AL133,增益!$A:$A,增益!$L:$L,0))</f>
        <v>0.02</v>
      </c>
      <c r="BG133">
        <f t="shared" si="32"/>
        <v>0</v>
      </c>
      <c r="BH133">
        <f t="shared" si="33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</v>
      </c>
      <c r="BJ133" s="31" cm="1">
        <f t="array" ref="BJ133">$G$13+VLOOKUP($R133,武学奇术!$A:$ZZ,14,FALSE)+SUM(_xlfn.XLOOKUP($S133:$AL133,增益!$A:$A,增益!$N:$N,0))</f>
        <v>0.02</v>
      </c>
      <c r="BK133">
        <f t="shared" si="34"/>
        <v>649.11</v>
      </c>
      <c r="BL133">
        <f t="shared" si="35"/>
        <v>1707.09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0.9771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0.8861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6"/>
        <v>0.86580831</v>
      </c>
      <c r="BU133" s="24">
        <f t="shared" si="37"/>
        <v>0.0220824599999999</v>
      </c>
      <c r="BV133" s="24">
        <f>IF(VLOOKUP($R133,武学奇术!$A:$ZZ,22,FALSE)=1,0,(1-$BO133))*(1-$BR133)</f>
        <v>0.02080923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1:76">
      <c r="K134" s="37">
        <f>$L134*VLOOKUP($R134,武学奇术!$A:$ZZ,31,FALSE)</f>
        <v>17393.3457897898</v>
      </c>
      <c r="L134" s="37">
        <f t="shared" si="26"/>
        <v>17393.3457897898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17993.5584048974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15228.6048736811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10341.1255200559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9401.80298553327</v>
      </c>
      <c r="Q134" s="38">
        <f t="shared" si="27"/>
        <v>1</v>
      </c>
      <c r="R134" s="39" t="s">
        <v>217</v>
      </c>
      <c r="S134" s="39" t="s">
        <v>106</v>
      </c>
      <c r="T134" s="39" t="s">
        <v>189</v>
      </c>
      <c r="U134" s="39" t="s">
        <v>89</v>
      </c>
      <c r="V134" s="39" t="s">
        <v>129</v>
      </c>
      <c r="W134" s="39" t="s">
        <v>91</v>
      </c>
      <c r="X134" s="39" t="s">
        <v>80</v>
      </c>
      <c r="Y134" s="39" t="s">
        <v>80</v>
      </c>
      <c r="Z134" s="39" t="s">
        <v>80</v>
      </c>
      <c r="AA134" s="39" t="s">
        <v>80</v>
      </c>
      <c r="AB134" s="39" t="s">
        <v>203</v>
      </c>
      <c r="AC134" s="39" t="s">
        <v>80</v>
      </c>
      <c r="AD134" s="39" t="s">
        <v>80</v>
      </c>
      <c r="AE134" s="39" t="s">
        <v>80</v>
      </c>
      <c r="AF134" s="39" t="s">
        <v>84</v>
      </c>
      <c r="AG134" s="39" t="s">
        <v>80</v>
      </c>
      <c r="AH134" s="39" t="s">
        <v>80</v>
      </c>
      <c r="AI134" s="39" t="s">
        <v>80</v>
      </c>
      <c r="AJ134" s="39" t="s">
        <v>80</v>
      </c>
      <c r="AK134" s="39" t="s">
        <v>80</v>
      </c>
      <c r="AL134" s="39" t="s">
        <v>80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0.1542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4302.6</v>
      </c>
      <c r="AU134" cm="1">
        <f t="array" ref="AU134">$E$10*(1+$AS134)+VLOOKUP($R134,武学奇术!$A:$ZZ,4,FALSE)+SUM(_xlfn.XLOOKUP($S134:$AL134,增益!$A:$A,增益!$D:$D,0))-$I$2</f>
        <v>4302.6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0.3185</v>
      </c>
      <c r="AW134" s="31" cm="1">
        <f t="array" ref="AW134">$G$10+VLOOKUP($R134,武学奇术!$A:$ZZ,7,FALSE)+SUM(_xlfn.XLOOKUP($S134:$AL134,增益!$A:$A,增益!$G:$G,0))</f>
        <v>0.135</v>
      </c>
      <c r="AX134" s="24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</v>
      </c>
      <c r="BB134" s="31" cm="1">
        <f t="array" ref="BB134">$G$11+VLOOKUP($R134,武学奇术!$A:$ZZ,10,FALSE)+SUM(_xlfn.XLOOKUP($S134:$AL134,增益!$A:$A,增益!$J:$J,0))</f>
        <v>0.02</v>
      </c>
      <c r="BC134">
        <f t="shared" si="30"/>
        <v>0</v>
      </c>
      <c r="BD134">
        <f t="shared" si="31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</v>
      </c>
      <c r="BF134" s="31" cm="1">
        <f t="array" ref="BF134">$G$12+VLOOKUP($R134,武学奇术!$A:$ZZ,12,FALSE)+SUM(_xlfn.XLOOKUP($S134:$AL134,增益!$A:$A,增益!$L:$L,0))</f>
        <v>0.02</v>
      </c>
      <c r="BG134">
        <f t="shared" si="32"/>
        <v>0</v>
      </c>
      <c r="BH134">
        <f t="shared" si="33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</v>
      </c>
      <c r="BJ134" s="31" cm="1">
        <f t="array" ref="BJ134">$G$13+VLOOKUP($R134,武学奇术!$A:$ZZ,14,FALSE)+SUM(_xlfn.XLOOKUP($S134:$AL134,增益!$A:$A,增益!$N:$N,0))</f>
        <v>0.02</v>
      </c>
      <c r="BK134">
        <f t="shared" si="34"/>
        <v>649.11</v>
      </c>
      <c r="BL134">
        <f t="shared" si="35"/>
        <v>1707.09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0.9771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0.8861</v>
      </c>
      <c r="BQ134" s="24" cm="1">
        <f t="array" ref="BQ134">1+$B$13+VLOOKUP($R134,武学奇术!$A:$ZZ,18,FALSE)+SUM(_xlfn.XLOOKUP($S134:$AL134,增益!$A:$A,增益!$R:$R,0))</f>
        <v>1.74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6"/>
        <v>0.86580831</v>
      </c>
      <c r="BU134" s="24">
        <f t="shared" si="37"/>
        <v>0.0220824599999999</v>
      </c>
      <c r="BV134" s="24">
        <f>IF(VLOOKUP($R134,武学奇术!$A:$ZZ,22,FALSE)=1,0,(1-$BO134))*(1-$BR134)</f>
        <v>0.02080923</v>
      </c>
      <c r="BW134" s="24" cm="1">
        <f t="array" ref="BW134">SUM(_xlfn.XLOOKUP($S134:$AL134,增益!$A:$A,增益!$W:$W,0))+$I$5</f>
        <v>0.11</v>
      </c>
      <c r="BX134" s="24" cm="1">
        <f t="array" ref="BX134">SUM(_xlfn.XLOOKUP($S134:$AL134,增益!$A:$A,增益!$X:$X,0))</f>
        <v>0</v>
      </c>
    </row>
    <row r="135" spans="11:76">
      <c r="K135" s="37">
        <f>$L135*VLOOKUP($R135,武学奇术!$A:$ZZ,31,FALSE)</f>
        <v>16945.6741692889</v>
      </c>
      <c r="L135" s="37">
        <f t="shared" si="26"/>
        <v>16945.6741692889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17476.5021288945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15228.6048736811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10341.1255200559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9401.80298553327</v>
      </c>
      <c r="Q135" s="38">
        <f t="shared" si="27"/>
        <v>1</v>
      </c>
      <c r="R135" s="39" t="s">
        <v>217</v>
      </c>
      <c r="S135" s="39" t="s">
        <v>106</v>
      </c>
      <c r="T135" s="39" t="s">
        <v>189</v>
      </c>
      <c r="U135" s="39" t="s">
        <v>89</v>
      </c>
      <c r="V135" s="39" t="s">
        <v>90</v>
      </c>
      <c r="W135" s="39" t="s">
        <v>91</v>
      </c>
      <c r="X135" s="39" t="s">
        <v>80</v>
      </c>
      <c r="Y135" s="39" t="s">
        <v>80</v>
      </c>
      <c r="Z135" s="39" t="s">
        <v>80</v>
      </c>
      <c r="AA135" s="39" t="s">
        <v>80</v>
      </c>
      <c r="AB135" s="39" t="s">
        <v>203</v>
      </c>
      <c r="AC135" s="39" t="s">
        <v>80</v>
      </c>
      <c r="AD135" s="39" t="s">
        <v>80</v>
      </c>
      <c r="AE135" s="39" t="s">
        <v>80</v>
      </c>
      <c r="AF135" s="39" t="s">
        <v>84</v>
      </c>
      <c r="AG135" s="39" t="s">
        <v>80</v>
      </c>
      <c r="AH135" s="39" t="s">
        <v>80</v>
      </c>
      <c r="AI135" s="39" t="s">
        <v>80</v>
      </c>
      <c r="AJ135" s="39" t="s">
        <v>80</v>
      </c>
      <c r="AK135" s="39" t="s">
        <v>80</v>
      </c>
      <c r="AL135" s="39" t="s">
        <v>80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0.1542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4302.6</v>
      </c>
      <c r="AU135" cm="1">
        <f t="array" ref="AU135">$E$10*(1+$AS135)+VLOOKUP($R135,武学奇术!$A:$ZZ,4,FALSE)+SUM(_xlfn.XLOOKUP($S135:$AL135,增益!$A:$A,增益!$D:$D,0))-$I$2</f>
        <v>4302.6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0.3185</v>
      </c>
      <c r="AW135" s="31" cm="1">
        <f t="array" ref="AW135">$G$10+VLOOKUP($R135,武学奇术!$A:$ZZ,7,FALSE)+SUM(_xlfn.XLOOKUP($S135:$AL135,增益!$A:$A,增益!$G:$G,0))</f>
        <v>0.135</v>
      </c>
      <c r="AX135" s="24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31" cm="1">
        <f t="array" ref="BB135">$G$11+VLOOKUP($R135,武学奇术!$A:$ZZ,10,FALSE)+SUM(_xlfn.XLOOKUP($S135:$AL135,增益!$A:$A,增益!$J:$J,0))</f>
        <v>0.02</v>
      </c>
      <c r="BC135">
        <f t="shared" si="30"/>
        <v>0</v>
      </c>
      <c r="BD135">
        <f t="shared" si="31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31" cm="1">
        <f t="array" ref="BF135">$G$12+VLOOKUP($R135,武学奇术!$A:$ZZ,12,FALSE)+SUM(_xlfn.XLOOKUP($S135:$AL135,增益!$A:$A,增益!$L:$L,0))</f>
        <v>0.02</v>
      </c>
      <c r="BG135">
        <f t="shared" si="32"/>
        <v>0</v>
      </c>
      <c r="BH135">
        <f t="shared" si="33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31" cm="1">
        <f t="array" ref="BJ135">$G$13+VLOOKUP($R135,武学奇术!$A:$ZZ,14,FALSE)+SUM(_xlfn.XLOOKUP($S135:$AL135,增益!$A:$A,增益!$N:$N,0))</f>
        <v>0.02</v>
      </c>
      <c r="BK135">
        <f t="shared" si="34"/>
        <v>649.11</v>
      </c>
      <c r="BL135">
        <f t="shared" si="35"/>
        <v>1707.09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0.9771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0.8861</v>
      </c>
      <c r="BQ135" s="24" cm="1">
        <f t="array" ref="BQ135">1+$B$13+VLOOKUP($R135,武学奇术!$A:$ZZ,18,FALSE)+SUM(_xlfn.XLOOKUP($S135:$AL135,增益!$A:$A,增益!$R:$R,0))</f>
        <v>1.69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6"/>
        <v>0.86580831</v>
      </c>
      <c r="BU135" s="24">
        <f t="shared" si="37"/>
        <v>0.0220824599999999</v>
      </c>
      <c r="BV135" s="24">
        <f>IF(VLOOKUP($R135,武学奇术!$A:$ZZ,22,FALSE)=1,0,(1-$BO135))*(1-$BR135)</f>
        <v>0.02080923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1:76">
      <c r="K136" s="37">
        <f>$L136*VLOOKUP($R136,武学奇术!$A:$ZZ,31,FALSE)</f>
        <v>18960.3138789601</v>
      </c>
      <c r="L136" s="37">
        <f t="shared" si="26"/>
        <v>18960.3138789601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19614.5997026358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16600.5512586975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11272.7584497907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10248.8122635092</v>
      </c>
      <c r="Q136" s="38">
        <f t="shared" si="27"/>
        <v>1</v>
      </c>
      <c r="R136" s="39" t="s">
        <v>217</v>
      </c>
      <c r="S136" s="39" t="s">
        <v>106</v>
      </c>
      <c r="T136" s="39" t="s">
        <v>189</v>
      </c>
      <c r="U136" s="39" t="s">
        <v>89</v>
      </c>
      <c r="V136" s="39" t="s">
        <v>129</v>
      </c>
      <c r="W136" s="39" t="s">
        <v>91</v>
      </c>
      <c r="X136" s="39" t="s">
        <v>80</v>
      </c>
      <c r="Y136" s="39" t="s">
        <v>80</v>
      </c>
      <c r="Z136" s="39" t="s">
        <v>193</v>
      </c>
      <c r="AA136" s="39" t="s">
        <v>80</v>
      </c>
      <c r="AB136" s="39" t="s">
        <v>203</v>
      </c>
      <c r="AC136" s="39" t="s">
        <v>80</v>
      </c>
      <c r="AD136" s="39" t="s">
        <v>121</v>
      </c>
      <c r="AE136" s="39" t="s">
        <v>80</v>
      </c>
      <c r="AF136" s="39" t="s">
        <v>84</v>
      </c>
      <c r="AG136" s="39" t="s">
        <v>80</v>
      </c>
      <c r="AH136" s="39" t="s">
        <v>80</v>
      </c>
      <c r="AI136" s="39" t="s">
        <v>80</v>
      </c>
      <c r="AJ136" s="39" t="s">
        <v>80</v>
      </c>
      <c r="AK136" s="39" t="s">
        <v>80</v>
      </c>
      <c r="AL136" s="39" t="s">
        <v>80</v>
      </c>
      <c r="AM136" t="str">
        <f>VLOOKUP($R136,武学奇术!$A:$ZZ,25,FALSE)</f>
        <v>心法</v>
      </c>
      <c r="AN136" s="24">
        <f>VLOOKUP($R136,武学奇术!$A:$ZZ,26,FALSE)</f>
        <v>1</v>
      </c>
      <c r="AO136" s="25">
        <f>VLOOKUP($R136,武学奇术!$A:$ZZ,27,FALSE)*(1+IF(OR($AM136=$F$4,$AM136=$F$5),$B$22,0))</f>
        <v>0</v>
      </c>
      <c r="AP136" s="24">
        <f>VLOOKUP($R136,武学奇术!$A:$ZZ,28,FALSE)</f>
        <v>1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0.1542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4302.6</v>
      </c>
      <c r="AU136" cm="1">
        <f t="array" ref="AU136">$E$10*(1+$AS136)+VLOOKUP($R136,武学奇术!$A:$ZZ,4,FALSE)+SUM(_xlfn.XLOOKUP($S136:$AL136,增益!$A:$A,增益!$D:$D,0))-$I$2</f>
        <v>4302.6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0.3185</v>
      </c>
      <c r="AW136" s="31" cm="1">
        <f t="array" ref="AW136">$G$10+VLOOKUP($R136,武学奇术!$A:$ZZ,7,FALSE)+SUM(_xlfn.XLOOKUP($S136:$AL136,增益!$A:$A,增益!$G:$G,0))</f>
        <v>0.135</v>
      </c>
      <c r="AX136" s="24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</v>
      </c>
      <c r="BB136" s="31" cm="1">
        <f t="array" ref="BB136">$G$11+VLOOKUP($R136,武学奇术!$A:$ZZ,10,FALSE)+SUM(_xlfn.XLOOKUP($S136:$AL136,增益!$A:$A,增益!$J:$J,0))</f>
        <v>0.02</v>
      </c>
      <c r="BC136">
        <f t="shared" si="30"/>
        <v>0</v>
      </c>
      <c r="BD136">
        <f t="shared" si="31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</v>
      </c>
      <c r="BF136" s="31" cm="1">
        <f t="array" ref="BF136">$G$12+VLOOKUP($R136,武学奇术!$A:$ZZ,12,FALSE)+SUM(_xlfn.XLOOKUP($S136:$AL136,增益!$A:$A,增益!$L:$L,0))</f>
        <v>0.02</v>
      </c>
      <c r="BG136">
        <f t="shared" si="32"/>
        <v>0</v>
      </c>
      <c r="BH136">
        <f t="shared" si="33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</v>
      </c>
      <c r="BJ136" s="31" cm="1">
        <f t="array" ref="BJ136">$G$13+VLOOKUP($R136,武学奇术!$A:$ZZ,14,FALSE)+SUM(_xlfn.XLOOKUP($S136:$AL136,增益!$A:$A,增益!$N:$N,0))</f>
        <v>0.02</v>
      </c>
      <c r="BK136">
        <f t="shared" si="34"/>
        <v>649.11</v>
      </c>
      <c r="BL136">
        <f t="shared" si="35"/>
        <v>1707.09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</v>
      </c>
      <c r="BN136" s="31" cm="1">
        <f t="array" ref="BN136">$G$14+VLOOKUP($R136,武学奇术!$A:$ZZ,16,FALSE)+SUM(_xlfn.XLOOKUP($S136:$AL136,增益!$A:$A,增益!$P:$P,0))</f>
        <v>0.26</v>
      </c>
      <c r="BO136" s="24">
        <f>MIN(IF(VLOOKUP($R136,武学奇术!$A:$ZZ,23,FALSE)=1,100%,$B$8),100%)</f>
        <v>0.9771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0.8861</v>
      </c>
      <c r="BQ136" s="24" cm="1">
        <f t="array" ref="BQ136">1+$B$13+VLOOKUP($R136,武学奇术!$A:$ZZ,18,FALSE)+SUM(_xlfn.XLOOKUP($S136:$AL136,增益!$A:$A,增益!$R:$R,0))</f>
        <v>1.74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6"/>
        <v>0.86580831</v>
      </c>
      <c r="BU136" s="24">
        <f t="shared" si="37"/>
        <v>0.0220824599999999</v>
      </c>
      <c r="BV136" s="24">
        <f>IF(VLOOKUP($R136,武学奇术!$A:$ZZ,22,FALSE)=1,0,(1-$BO136))*(1-$BR136)</f>
        <v>0.02080923</v>
      </c>
      <c r="BW136" s="24" cm="1">
        <f t="array" ref="BW136">SUM(_xlfn.XLOOKUP($S136:$AL136,增益!$A:$A,增益!$W:$W,0))+$I$5</f>
        <v>0.21</v>
      </c>
      <c r="BX136" s="24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opLeftCell="I1" workbookViewId="0">
      <selection activeCell="R25" sqref="R25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231</v>
      </c>
      <c r="AF1" t="s">
        <v>232</v>
      </c>
    </row>
    <row r="2" spans="1:32">
      <c r="A2" t="s">
        <v>120</v>
      </c>
      <c r="B2" s="27"/>
      <c r="R2" s="27"/>
      <c r="Y2" s="28" t="s">
        <v>95</v>
      </c>
      <c r="Z2" s="28">
        <f>132%*1.12*1.2*(1+5%)</f>
        <v>1.862784</v>
      </c>
      <c r="AA2" s="4"/>
      <c r="AB2" s="28">
        <f>Z2*1.5</f>
        <v>2.794176</v>
      </c>
      <c r="AE2">
        <v>1.6</v>
      </c>
    </row>
    <row r="3" customFormat="1" spans="1:32">
      <c r="A3" t="s">
        <v>128</v>
      </c>
      <c r="B3" s="27"/>
      <c r="R3" s="27"/>
      <c r="Y3" s="28" t="s">
        <v>95</v>
      </c>
      <c r="Z3" s="28">
        <f>132%*1.12*1.4*(1+5%)</f>
        <v>2.173248</v>
      </c>
      <c r="AA3" s="4"/>
      <c r="AB3" s="28">
        <f>Z3*1.5</f>
        <v>3.259872</v>
      </c>
      <c r="AC3" s="25"/>
      <c r="AE3">
        <v>1.6</v>
      </c>
    </row>
    <row r="4" spans="1:32">
      <c r="A4" t="s">
        <v>123</v>
      </c>
      <c r="B4" s="27">
        <v>0.05</v>
      </c>
      <c r="R4" s="27">
        <v>0.3</v>
      </c>
      <c r="Y4" s="28" t="s">
        <v>95</v>
      </c>
      <c r="Z4" s="24">
        <f>113.33%*1.4</f>
        <v>1.58662</v>
      </c>
      <c r="AA4" s="25">
        <f>314*1.4</f>
        <v>439.6</v>
      </c>
      <c r="AB4" s="24">
        <f>169.99%*1.4</f>
        <v>2.37986</v>
      </c>
      <c r="AC4" s="25">
        <f>171*1.4</f>
        <v>239.4</v>
      </c>
      <c r="AE4">
        <v>1</v>
      </c>
    </row>
    <row r="5" spans="1:32">
      <c r="A5" t="s">
        <v>126</v>
      </c>
      <c r="B5" s="27">
        <v>0.05</v>
      </c>
      <c r="R5" s="27">
        <v>0.3</v>
      </c>
      <c r="Y5" s="28" t="s">
        <v>95</v>
      </c>
      <c r="Z5" s="24">
        <f>77.48%*1.4</f>
        <v>1.08472</v>
      </c>
      <c r="AA5" s="25">
        <f>216*1.4</f>
        <v>302.4</v>
      </c>
      <c r="AB5" s="24">
        <f>116.22%*1.4</f>
        <v>1.62708</v>
      </c>
      <c r="AC5" s="25">
        <f>117*1.4</f>
        <v>163.8</v>
      </c>
      <c r="AE5">
        <v>1</v>
      </c>
    </row>
    <row r="6" spans="1:32">
      <c r="A6" t="s">
        <v>174</v>
      </c>
      <c r="B6" s="27">
        <v>0.05</v>
      </c>
      <c r="R6" s="27">
        <v>0.3</v>
      </c>
      <c r="Y6" s="28" t="s">
        <v>95</v>
      </c>
      <c r="Z6" s="24">
        <f>189.08%*1.4</f>
        <v>2.64712</v>
      </c>
      <c r="AA6" s="25">
        <f>524*1.4</f>
        <v>733.6</v>
      </c>
      <c r="AB6" s="24">
        <f>283.62%*1.4</f>
        <v>3.97068</v>
      </c>
      <c r="AC6" s="25">
        <f>285*1.4*2</f>
        <v>798</v>
      </c>
      <c r="AE6">
        <v>1</v>
      </c>
    </row>
    <row r="7" spans="1:32">
      <c r="A7" t="s">
        <v>117</v>
      </c>
      <c r="B7" s="27">
        <v>0.05</v>
      </c>
      <c r="R7" s="27">
        <v>0.3</v>
      </c>
      <c r="Y7" s="28" t="s">
        <v>95</v>
      </c>
      <c r="Z7" s="24">
        <f>76.24%*4*1.4</f>
        <v>4.26944</v>
      </c>
      <c r="AA7" s="25">
        <f>211*4*1.4</f>
        <v>1181.6</v>
      </c>
      <c r="AB7" s="24">
        <f>114.36%*4*1.4</f>
        <v>6.40416</v>
      </c>
      <c r="AC7" s="25">
        <f>114*4*1.4</f>
        <v>638.4</v>
      </c>
      <c r="AE7">
        <v>1</v>
      </c>
    </row>
    <row r="8" spans="1:32">
      <c r="A8" t="s">
        <v>197</v>
      </c>
      <c r="B8" s="27"/>
      <c r="R8" s="27"/>
      <c r="Y8" s="28" t="s">
        <v>95</v>
      </c>
      <c r="Z8" s="24">
        <f>91.93%*1.4</f>
        <v>1.28702</v>
      </c>
      <c r="AA8" s="25">
        <f>255*1.4</f>
        <v>357</v>
      </c>
      <c r="AB8" s="24">
        <f>137.9%*1.4</f>
        <v>1.9306</v>
      </c>
      <c r="AC8" s="25">
        <f>139*1.4*2</f>
        <v>389.2</v>
      </c>
      <c r="AE8">
        <v>1</v>
      </c>
    </row>
    <row r="9" spans="1:32">
      <c r="A9" t="s">
        <v>213</v>
      </c>
      <c r="B9" s="27"/>
      <c r="R9" s="27"/>
      <c r="Y9" s="28" t="s">
        <v>95</v>
      </c>
      <c r="Z9" s="24">
        <f>61.62%*2*1.4</f>
        <v>1.72536</v>
      </c>
      <c r="AA9" s="25">
        <f>171*2*1.4</f>
        <v>478.8</v>
      </c>
      <c r="AB9" s="24">
        <f>92.42%*2*1.4</f>
        <v>2.58776</v>
      </c>
      <c r="AC9" s="25">
        <f>93*2*1.4</f>
        <v>260.4</v>
      </c>
      <c r="AE9">
        <v>1</v>
      </c>
    </row>
    <row r="10" spans="1:32">
      <c r="A10" t="s">
        <v>132</v>
      </c>
      <c r="B10" s="27">
        <v>0.05</v>
      </c>
      <c r="R10" s="27">
        <v>0.3</v>
      </c>
      <c r="V10">
        <v>1</v>
      </c>
      <c r="Y10" s="28" t="s">
        <v>95</v>
      </c>
      <c r="Z10" s="24">
        <f>(96.34%+92.6%+112.98%+254.99%)*1.4</f>
        <v>7.79674</v>
      </c>
      <c r="AA10" s="25">
        <f>(267+257+313+707)*1.4</f>
        <v>2161.6</v>
      </c>
      <c r="AB10" s="24">
        <f>(144.51%+138.9%+169.47%+382.49%)*1.4</f>
        <v>11.69518</v>
      </c>
      <c r="AC10" s="25">
        <f>(145+140+170+385)*1.4</f>
        <v>1176</v>
      </c>
      <c r="AD10" t="s">
        <v>233</v>
      </c>
      <c r="AE10">
        <v>1</v>
      </c>
    </row>
    <row r="11" customFormat="1" spans="1:32">
      <c r="A11" t="s">
        <v>135</v>
      </c>
      <c r="B11" s="27">
        <v>0.05</v>
      </c>
      <c r="R11" s="27">
        <v>0.3</v>
      </c>
      <c r="V11">
        <v>1</v>
      </c>
      <c r="Y11" s="28" t="s">
        <v>95</v>
      </c>
      <c r="Z11" s="24">
        <f>96.34%*1.4</f>
        <v>1.34876</v>
      </c>
      <c r="AA11" s="25">
        <f>267*1.4</f>
        <v>373.8</v>
      </c>
      <c r="AB11" s="24">
        <f>144.51%*1.4</f>
        <v>2.02314</v>
      </c>
      <c r="AC11" s="25">
        <f>145*1.4</f>
        <v>203</v>
      </c>
      <c r="AD11" t="s">
        <v>233</v>
      </c>
      <c r="AE11">
        <v>1</v>
      </c>
    </row>
    <row r="12" customFormat="1" spans="1:32">
      <c r="A12" t="s">
        <v>141</v>
      </c>
      <c r="B12" s="27">
        <v>0.05</v>
      </c>
      <c r="R12" s="27">
        <v>0.3</v>
      </c>
      <c r="V12">
        <v>1</v>
      </c>
      <c r="Y12" s="28" t="s">
        <v>95</v>
      </c>
      <c r="Z12" s="24">
        <f>92.6%*1.4</f>
        <v>1.2964</v>
      </c>
      <c r="AA12" s="25">
        <f>257*1.4</f>
        <v>359.8</v>
      </c>
      <c r="AB12" s="24">
        <f>138.9%*1.4</f>
        <v>1.9446</v>
      </c>
      <c r="AC12" s="25">
        <f>140*1.4</f>
        <v>196</v>
      </c>
      <c r="AD12" t="s">
        <v>233</v>
      </c>
      <c r="AE12">
        <v>1</v>
      </c>
    </row>
    <row r="13" customFormat="1" spans="1:32">
      <c r="A13" t="s">
        <v>145</v>
      </c>
      <c r="B13" s="27">
        <v>0.05</v>
      </c>
      <c r="R13" s="27">
        <v>0.3</v>
      </c>
      <c r="V13">
        <v>1</v>
      </c>
      <c r="Y13" s="28" t="s">
        <v>95</v>
      </c>
      <c r="Z13" s="24">
        <f>112.98%*1.4</f>
        <v>1.58172</v>
      </c>
      <c r="AA13" s="25">
        <f>313*1.4</f>
        <v>438.2</v>
      </c>
      <c r="AB13" s="24">
        <f>169.47%*1.4</f>
        <v>2.37258</v>
      </c>
      <c r="AC13" s="25">
        <f>170*1.4</f>
        <v>238</v>
      </c>
      <c r="AD13" t="s">
        <v>233</v>
      </c>
      <c r="AE13">
        <v>1</v>
      </c>
    </row>
    <row r="14" customFormat="1" spans="1:32">
      <c r="A14" t="s">
        <v>150</v>
      </c>
      <c r="B14" s="27">
        <v>0.05</v>
      </c>
      <c r="R14" s="27">
        <v>0.3</v>
      </c>
      <c r="V14">
        <v>1</v>
      </c>
      <c r="Y14" s="28" t="s">
        <v>95</v>
      </c>
      <c r="Z14" s="24">
        <f>254.99%*1.4</f>
        <v>3.56986</v>
      </c>
      <c r="AA14" s="25">
        <f>707*1.4</f>
        <v>989.8</v>
      </c>
      <c r="AB14" s="24">
        <f>382.49%*1.4</f>
        <v>5.35486</v>
      </c>
      <c r="AC14" s="25">
        <f>385*1.4</f>
        <v>539</v>
      </c>
      <c r="AD14" t="s">
        <v>233</v>
      </c>
      <c r="AE14">
        <v>1</v>
      </c>
    </row>
    <row r="15" customFormat="1" spans="1:32">
      <c r="A15" t="s">
        <v>110</v>
      </c>
      <c r="B15" s="27"/>
      <c r="R15" s="27"/>
      <c r="Y15" s="28" t="s">
        <v>101</v>
      </c>
      <c r="Z15" s="24">
        <v>0.6587</v>
      </c>
      <c r="AA15" s="25">
        <v>183</v>
      </c>
      <c r="AB15" s="24">
        <v>0.9881</v>
      </c>
      <c r="AC15" s="25">
        <v>100</v>
      </c>
      <c r="AD15"/>
      <c r="AE15">
        <v>1</v>
      </c>
    </row>
    <row r="16" customFormat="1" spans="1:32">
      <c r="A16" t="s">
        <v>234</v>
      </c>
      <c r="B16" s="27"/>
      <c r="R16" s="27"/>
      <c r="Y16" s="28" t="s">
        <v>101</v>
      </c>
      <c r="Z16" s="24">
        <f>65.87%*1.2</f>
        <v>0.79044</v>
      </c>
      <c r="AA16" s="25">
        <f>183*1.2</f>
        <v>219.6</v>
      </c>
      <c r="AB16" s="24">
        <f>98.81%*1.2</f>
        <v>1.18572</v>
      </c>
      <c r="AC16" s="25">
        <f>100*1.2</f>
        <v>120</v>
      </c>
      <c r="AE16">
        <v>1</v>
      </c>
    </row>
    <row r="17" customFormat="1" spans="1:31">
      <c r="A17" t="s">
        <v>156</v>
      </c>
      <c r="B17" s="27">
        <v>0.05</v>
      </c>
      <c r="R17" s="27">
        <v>0.3</v>
      </c>
      <c r="V17">
        <v>1</v>
      </c>
      <c r="Y17" s="28" t="s">
        <v>101</v>
      </c>
      <c r="Z17" s="24">
        <f>(203.94%)*2.1</f>
        <v>4.28274</v>
      </c>
      <c r="AA17" s="25">
        <f>(564)*2.1</f>
        <v>1184.4</v>
      </c>
      <c r="AB17" s="24">
        <f>(305.91%)*2.1</f>
        <v>6.42411</v>
      </c>
      <c r="AC17" s="25">
        <f>(307)*2.1</f>
        <v>644.7</v>
      </c>
      <c r="AD17" t="s">
        <v>233</v>
      </c>
      <c r="AE17">
        <v>1</v>
      </c>
    </row>
    <row r="18" customFormat="1" spans="1:31">
      <c r="A18" t="s">
        <v>162</v>
      </c>
      <c r="B18" s="27">
        <v>0.05</v>
      </c>
      <c r="R18" s="27">
        <v>0.3</v>
      </c>
      <c r="V18">
        <v>1</v>
      </c>
      <c r="Y18" s="28" t="s">
        <v>101</v>
      </c>
      <c r="Z18" s="24">
        <f>33.99%*8*2.1</f>
        <v>5.71032</v>
      </c>
      <c r="AA18" s="25">
        <f>94*8*2.1</f>
        <v>1579.2</v>
      </c>
      <c r="AB18" s="24">
        <f>50.98%*8*2.1</f>
        <v>8.56464</v>
      </c>
      <c r="AC18" s="25">
        <f>51*8*2.1</f>
        <v>856.8</v>
      </c>
      <c r="AD18" t="s">
        <v>233</v>
      </c>
      <c r="AE18">
        <v>1</v>
      </c>
    </row>
    <row r="19" customFormat="1" spans="1:31">
      <c r="A19" t="s">
        <v>165</v>
      </c>
      <c r="B19" s="27">
        <v>0.05</v>
      </c>
      <c r="R19" s="27">
        <v>0.3</v>
      </c>
      <c r="V19">
        <v>1</v>
      </c>
      <c r="Y19" s="28" t="s">
        <v>101</v>
      </c>
      <c r="Z19" s="24">
        <f>(203.94%)*2.1</f>
        <v>4.28274</v>
      </c>
      <c r="AA19" s="25">
        <f>(564)*2.1</f>
        <v>1184.4</v>
      </c>
      <c r="AB19" s="24">
        <f>(305.91%)*2.1</f>
        <v>6.42411</v>
      </c>
      <c r="AC19" s="25">
        <f>(307)*2.1</f>
        <v>644.7</v>
      </c>
      <c r="AD19" t="s">
        <v>233</v>
      </c>
      <c r="AE19">
        <v>1</v>
      </c>
    </row>
    <row r="20" customFormat="1" spans="1:31">
      <c r="A20" t="s">
        <v>235</v>
      </c>
      <c r="B20" s="27">
        <v>0.05</v>
      </c>
      <c r="R20" s="27">
        <v>0.3</v>
      </c>
      <c r="V20">
        <v>1</v>
      </c>
      <c r="Y20" s="28" t="s">
        <v>101</v>
      </c>
      <c r="Z20" s="24">
        <f>(203.94%*2+33.99%*8)*2.1</f>
        <v>14.2758</v>
      </c>
      <c r="AA20" s="25">
        <f>(564*2+94*8)*2.1</f>
        <v>3948</v>
      </c>
      <c r="AB20" s="24">
        <f>(305.91%*2+50.98%*8)*2.1</f>
        <v>21.41286</v>
      </c>
      <c r="AC20" s="25">
        <f>(307*2+51*8)*2.1</f>
        <v>2146.2</v>
      </c>
      <c r="AD20" t="s">
        <v>233</v>
      </c>
      <c r="AE20">
        <v>1</v>
      </c>
    </row>
    <row r="21" spans="1:31">
      <c r="A21" t="s">
        <v>115</v>
      </c>
      <c r="R21" s="27"/>
      <c r="Y21" s="28" t="s">
        <v>101</v>
      </c>
      <c r="Z21" s="28">
        <f>105.6%*1.2</f>
        <v>1.2672</v>
      </c>
      <c r="AA21" s="29">
        <f>293*1.2</f>
        <v>351.6</v>
      </c>
      <c r="AB21" s="28">
        <f>158.41%*1.2</f>
        <v>1.90092</v>
      </c>
      <c r="AC21" s="25">
        <f>160*1.2</f>
        <v>192</v>
      </c>
      <c r="AE21">
        <v>1</v>
      </c>
    </row>
    <row r="22" customFormat="1" spans="1:31">
      <c r="A22" t="s">
        <v>168</v>
      </c>
      <c r="Q22" s="24"/>
      <c r="R22" s="27"/>
      <c r="Y22" t="s">
        <v>236</v>
      </c>
      <c r="Z22" s="24">
        <v>0</v>
      </c>
      <c r="AA22" s="25">
        <v>0</v>
      </c>
      <c r="AB22" s="24">
        <v>0</v>
      </c>
      <c r="AC22" s="25">
        <v>0</v>
      </c>
      <c r="AE22">
        <v>0.5</v>
      </c>
    </row>
    <row r="23" customFormat="1" spans="1:31">
      <c r="A23" t="s">
        <v>237</v>
      </c>
      <c r="Q23" s="24"/>
      <c r="R23" s="27"/>
      <c r="Y23" t="s">
        <v>109</v>
      </c>
      <c r="Z23" s="24">
        <f>198.73%*2</f>
        <v>3.9746</v>
      </c>
      <c r="AA23" s="25">
        <f>504*2</f>
        <v>1008</v>
      </c>
      <c r="AB23" s="24">
        <f>Z23*1.5</f>
        <v>5.9619</v>
      </c>
      <c r="AC23" s="25"/>
      <c r="AE23">
        <v>1</v>
      </c>
    </row>
    <row r="24" customFormat="1" spans="1:31">
      <c r="A24" t="s">
        <v>77</v>
      </c>
      <c r="Q24" s="24"/>
      <c r="R24" s="27"/>
      <c r="Y24" t="s">
        <v>109</v>
      </c>
      <c r="Z24" s="24">
        <f>74.52%*2</f>
        <v>1.4904</v>
      </c>
      <c r="AA24" s="25">
        <f>189*2</f>
        <v>378</v>
      </c>
      <c r="AB24" s="24">
        <f>Z24*1.5</f>
        <v>2.2356</v>
      </c>
      <c r="AC24" s="25"/>
      <c r="AE24">
        <v>1</v>
      </c>
    </row>
    <row r="25" customFormat="1" spans="1:31">
      <c r="A25" t="s">
        <v>210</v>
      </c>
      <c r="B25" s="27"/>
      <c r="E25" s="27"/>
      <c r="G25" s="27"/>
      <c r="N25" s="27"/>
      <c r="R25" s="27"/>
      <c r="Y25" t="s">
        <v>109</v>
      </c>
      <c r="Z25" s="24">
        <f>254.71%*2.7*1.5</f>
        <v>10.315755</v>
      </c>
      <c r="AA25" s="25">
        <f>492*2.7*1.5</f>
        <v>1992.6</v>
      </c>
      <c r="AB25" s="24">
        <f t="shared" ref="AB25:AB40" si="0">Z25*1.5</f>
        <v>15.4736325</v>
      </c>
      <c r="AC25" s="25"/>
      <c r="AE25">
        <v>1</v>
      </c>
    </row>
    <row r="26" customFormat="1" spans="1:31">
      <c r="A26" t="s">
        <v>238</v>
      </c>
      <c r="B26" s="27"/>
      <c r="Q26" s="24"/>
      <c r="R26" s="27"/>
      <c r="Y26" t="s">
        <v>105</v>
      </c>
      <c r="Z26" s="24">
        <f>319.88%+390.96%</f>
        <v>7.1084</v>
      </c>
      <c r="AA26" s="25">
        <f>616+753</f>
        <v>1369</v>
      </c>
      <c r="AB26" s="24">
        <f t="shared" si="0"/>
        <v>10.6626</v>
      </c>
      <c r="AC26" s="25"/>
      <c r="AE26">
        <v>1</v>
      </c>
    </row>
    <row r="27" customFormat="1" spans="1:31">
      <c r="A27" t="s">
        <v>192</v>
      </c>
      <c r="B27" s="27">
        <v>0.47</v>
      </c>
      <c r="Q27" s="24"/>
      <c r="R27" s="27"/>
      <c r="V27">
        <v>1</v>
      </c>
      <c r="Y27" t="s">
        <v>105</v>
      </c>
      <c r="Z27" s="24">
        <f>1636.48%*2.2*0.7</f>
        <v>25.201792</v>
      </c>
      <c r="AA27" s="25">
        <f>3162*2.2*0.7</f>
        <v>4869.48</v>
      </c>
      <c r="AB27" s="24">
        <f t="shared" si="0"/>
        <v>37.802688</v>
      </c>
      <c r="AC27" s="25"/>
      <c r="AE27">
        <v>1</v>
      </c>
    </row>
    <row r="28" customFormat="1" spans="1:31">
      <c r="A28" t="s">
        <v>239</v>
      </c>
      <c r="Q28" s="24"/>
      <c r="R28" s="27"/>
      <c r="Y28" t="s">
        <v>109</v>
      </c>
      <c r="Z28" s="24">
        <f>(416.02%+772.61%)*2</f>
        <v>23.7726</v>
      </c>
      <c r="AA28" s="25">
        <f>(803+1493)*2</f>
        <v>4592</v>
      </c>
      <c r="AB28" s="24">
        <f t="shared" si="0"/>
        <v>35.6589</v>
      </c>
      <c r="AC28" s="25"/>
      <c r="AE28">
        <v>1</v>
      </c>
    </row>
    <row r="29" customFormat="1" spans="1:31">
      <c r="A29" t="s">
        <v>240</v>
      </c>
      <c r="B29" s="27"/>
      <c r="Q29" s="24"/>
      <c r="R29" s="27"/>
      <c r="Y29" t="s">
        <v>105</v>
      </c>
      <c r="Z29" s="24">
        <f>257.01%/2</f>
        <v>1.28505</v>
      </c>
      <c r="AA29" s="25">
        <f>502/2</f>
        <v>251</v>
      </c>
      <c r="AB29" s="24">
        <f t="shared" si="0"/>
        <v>1.927575</v>
      </c>
      <c r="AC29" s="25"/>
      <c r="AE29">
        <v>1</v>
      </c>
    </row>
    <row r="30" customFormat="1" spans="1:31">
      <c r="A30" t="s">
        <v>241</v>
      </c>
      <c r="Q30" s="24"/>
      <c r="R30" s="27"/>
      <c r="Y30" t="s">
        <v>105</v>
      </c>
      <c r="Z30" s="24">
        <f>257.01%+141.62%</f>
        <v>3.9863</v>
      </c>
      <c r="AA30" s="25">
        <f>502+276</f>
        <v>778</v>
      </c>
      <c r="AB30" s="24">
        <f t="shared" si="0"/>
        <v>5.97945</v>
      </c>
      <c r="AC30" s="25"/>
      <c r="AE30">
        <v>1</v>
      </c>
    </row>
    <row r="31" customFormat="1" spans="1:31">
      <c r="A31" t="s">
        <v>242</v>
      </c>
      <c r="B31" s="27"/>
      <c r="Q31" s="24"/>
      <c r="R31" s="27"/>
      <c r="T31" s="27"/>
      <c r="Y31" t="s">
        <v>105</v>
      </c>
      <c r="Z31" s="24">
        <v>0.236</v>
      </c>
      <c r="AA31" s="25">
        <v>46</v>
      </c>
      <c r="AB31" s="24">
        <f t="shared" si="0"/>
        <v>0.354</v>
      </c>
      <c r="AC31" s="25"/>
      <c r="AE31">
        <v>0.6</v>
      </c>
    </row>
    <row r="32" customFormat="1" spans="1:31">
      <c r="A32" t="s">
        <v>243</v>
      </c>
      <c r="B32" s="27"/>
      <c r="Q32" s="24"/>
      <c r="R32" s="27"/>
      <c r="Y32" t="s">
        <v>105</v>
      </c>
      <c r="Z32" s="24">
        <f>272.42%/2</f>
        <v>1.3621</v>
      </c>
      <c r="AA32" s="25">
        <f>528/2</f>
        <v>264</v>
      </c>
      <c r="AB32" s="24">
        <f t="shared" si="0"/>
        <v>2.04315</v>
      </c>
      <c r="AC32" s="25"/>
      <c r="AE32">
        <v>1</v>
      </c>
    </row>
    <row r="33" customFormat="1" spans="1:31">
      <c r="A33" t="s">
        <v>244</v>
      </c>
      <c r="Q33" s="24"/>
      <c r="R33" s="27"/>
      <c r="Y33" t="s">
        <v>105</v>
      </c>
      <c r="Z33" s="24">
        <f>272.42%+150.11%</f>
        <v>4.2253</v>
      </c>
      <c r="AA33" s="25">
        <f>528+291</f>
        <v>819</v>
      </c>
      <c r="AB33" s="24">
        <f t="shared" si="0"/>
        <v>6.33795</v>
      </c>
      <c r="AC33" s="25"/>
      <c r="AE33">
        <v>1</v>
      </c>
    </row>
    <row r="34" customFormat="1" spans="1:31">
      <c r="A34" t="s">
        <v>245</v>
      </c>
      <c r="B34" s="27"/>
      <c r="Q34" s="24"/>
      <c r="R34" s="27"/>
      <c r="T34" s="27"/>
      <c r="Y34" t="s">
        <v>105</v>
      </c>
      <c r="Z34" s="24">
        <v>0.2958</v>
      </c>
      <c r="AA34" s="25">
        <v>57</v>
      </c>
      <c r="AB34" s="24">
        <f t="shared" si="0"/>
        <v>0.4437</v>
      </c>
      <c r="AC34" s="25"/>
      <c r="AE34">
        <v>0.6</v>
      </c>
    </row>
    <row r="35" customFormat="1" spans="1:31">
      <c r="A35" t="s">
        <v>246</v>
      </c>
      <c r="Q35" s="24"/>
      <c r="R35" s="27"/>
      <c r="Y35" t="s">
        <v>105</v>
      </c>
      <c r="Z35" s="24">
        <v>1.0239</v>
      </c>
      <c r="AA35" s="25">
        <v>196</v>
      </c>
      <c r="AB35" s="24">
        <f t="shared" si="0"/>
        <v>1.53585</v>
      </c>
      <c r="AC35" s="25"/>
      <c r="AE35">
        <v>1</v>
      </c>
    </row>
    <row r="36" customFormat="1" spans="1:31">
      <c r="A36" t="s">
        <v>247</v>
      </c>
      <c r="B36" s="27">
        <v>0.8</v>
      </c>
      <c r="Q36" s="24"/>
      <c r="R36" s="27"/>
      <c r="Y36" t="s">
        <v>105</v>
      </c>
      <c r="Z36" s="24">
        <v>1.7065</v>
      </c>
      <c r="AA36" s="25">
        <v>327</v>
      </c>
      <c r="AB36" s="24">
        <f t="shared" si="0"/>
        <v>2.55975</v>
      </c>
      <c r="AC36" s="25"/>
      <c r="AE36">
        <v>1</v>
      </c>
    </row>
    <row r="37" customFormat="1" spans="1:31">
      <c r="A37" t="s">
        <v>248</v>
      </c>
      <c r="Q37" s="24"/>
      <c r="R37" s="27"/>
      <c r="Y37" t="s">
        <v>105</v>
      </c>
      <c r="Z37" s="24">
        <v>0.7021</v>
      </c>
      <c r="AA37" s="25">
        <v>134</v>
      </c>
      <c r="AB37" s="24">
        <f t="shared" si="0"/>
        <v>1.05315</v>
      </c>
      <c r="AC37" s="25"/>
      <c r="AE37">
        <v>1</v>
      </c>
    </row>
    <row r="38" customFormat="1" spans="1:31">
      <c r="A38" t="s">
        <v>249</v>
      </c>
      <c r="Q38" s="24"/>
      <c r="R38" s="27"/>
      <c r="Y38" t="s">
        <v>105</v>
      </c>
      <c r="Z38" s="24">
        <v>1.609</v>
      </c>
      <c r="AA38" s="25">
        <v>308</v>
      </c>
      <c r="AB38" s="24">
        <f t="shared" si="0"/>
        <v>2.4135</v>
      </c>
      <c r="AC38" s="25"/>
      <c r="AE38">
        <v>1</v>
      </c>
    </row>
    <row r="39" customFormat="1" spans="1:31">
      <c r="A39" t="s">
        <v>217</v>
      </c>
      <c r="Q39" s="24"/>
      <c r="R39" s="27"/>
      <c r="Y39" t="s">
        <v>236</v>
      </c>
      <c r="Z39" s="24">
        <v>1</v>
      </c>
      <c r="AA39" s="25"/>
      <c r="AB39" s="24">
        <v>1</v>
      </c>
      <c r="AC39" s="25"/>
      <c r="AE39">
        <v>1</v>
      </c>
    </row>
    <row r="40" customFormat="1" spans="1:31">
      <c r="A40" t="s">
        <v>250</v>
      </c>
      <c r="B40" s="27"/>
      <c r="E40" s="27"/>
      <c r="G40" s="27"/>
      <c r="N40" s="27"/>
      <c r="R40" s="27"/>
      <c r="Y40" t="s">
        <v>109</v>
      </c>
      <c r="Z40" s="24">
        <f>254.71%*2.7</f>
        <v>6.87717</v>
      </c>
      <c r="AA40" s="25">
        <f>492*2.7</f>
        <v>1328.4</v>
      </c>
      <c r="AB40" s="24">
        <f t="shared" si="0"/>
        <v>10.315755</v>
      </c>
      <c r="AC40" s="25"/>
      <c r="AE40">
        <v>1</v>
      </c>
    </row>
    <row r="41" customFormat="1" spans="1:31">
      <c r="A41" t="s">
        <v>80</v>
      </c>
      <c r="Q41" s="24"/>
      <c r="Y41" t="s">
        <v>236</v>
      </c>
      <c r="Z41" s="24">
        <v>0</v>
      </c>
      <c r="AA41" s="25"/>
      <c r="AB41" s="24">
        <v>0</v>
      </c>
      <c r="AC41" s="25"/>
      <c r="AE4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workbookViewId="0">
      <selection activeCell="H38" sqref="H3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251</v>
      </c>
      <c r="V1" t="s">
        <v>252</v>
      </c>
      <c r="W1" s="24" t="s">
        <v>71</v>
      </c>
      <c r="X1" s="26" t="s">
        <v>72</v>
      </c>
    </row>
    <row r="2" spans="1:27">
      <c r="A2" t="s">
        <v>92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9"/>
      <c r="Z2" s="28"/>
    </row>
    <row r="3" spans="1:27">
      <c r="A3" t="s">
        <v>253</v>
      </c>
      <c r="B3" s="27">
        <f>IF(期望!$D$20="√",25%,0)</f>
        <v>0.25</v>
      </c>
      <c r="W3" s="28"/>
      <c r="X3" s="28"/>
      <c r="Y3" s="29"/>
      <c r="Z3" s="28"/>
    </row>
    <row r="4" spans="1:27">
      <c r="A4" t="s">
        <v>99</v>
      </c>
      <c r="B4" s="27"/>
      <c r="E4" s="27">
        <f>IF(期望!$D$21="√",12%,0)</f>
        <v>0</v>
      </c>
      <c r="H4" s="27">
        <f>IF(期望!$D$21="√",12%,0)</f>
        <v>0</v>
      </c>
      <c r="I4" s="27"/>
      <c r="W4" s="28"/>
      <c r="X4" s="28"/>
      <c r="Y4" s="29"/>
      <c r="Z4" s="28"/>
    </row>
    <row r="5" spans="1:27">
      <c r="A5" t="s">
        <v>93</v>
      </c>
      <c r="B5" s="27"/>
      <c r="H5" s="27">
        <f>IF(期望!$D$21="√",6%,0)</f>
        <v>0</v>
      </c>
      <c r="W5" s="28"/>
      <c r="X5" s="28"/>
      <c r="Y5" s="29"/>
      <c r="Z5" s="28"/>
    </row>
    <row r="6" spans="1:27">
      <c r="A6" t="s">
        <v>83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8"/>
      <c r="X6" s="28"/>
      <c r="Y6" s="29"/>
      <c r="Z6" s="28"/>
    </row>
    <row r="7" spans="1:27">
      <c r="A7" t="s">
        <v>89</v>
      </c>
      <c r="B7" s="27"/>
      <c r="G7" s="27">
        <v>0.02</v>
      </c>
      <c r="J7" s="27">
        <v>0.02</v>
      </c>
      <c r="L7" s="27">
        <v>0.02</v>
      </c>
      <c r="N7" s="27">
        <v>0.02</v>
      </c>
      <c r="P7" s="27">
        <v>0.02</v>
      </c>
      <c r="W7" s="28"/>
      <c r="X7" s="28"/>
      <c r="Y7" s="29"/>
      <c r="Z7" s="28"/>
    </row>
    <row r="8" spans="1:27">
      <c r="A8" t="s">
        <v>169</v>
      </c>
      <c r="B8" s="27"/>
      <c r="W8" s="28"/>
      <c r="X8" s="28">
        <v>0.2</v>
      </c>
      <c r="Y8" s="29"/>
      <c r="Z8" s="28"/>
    </row>
    <row r="9" spans="1:27">
      <c r="A9" t="s">
        <v>84</v>
      </c>
      <c r="B9" s="27"/>
      <c r="W9" s="28">
        <v>0.05</v>
      </c>
      <c r="X9" s="28"/>
      <c r="Y9" s="29"/>
      <c r="Z9" s="28"/>
    </row>
    <row r="10" customFormat="1" spans="1:27">
      <c r="A10" t="s">
        <v>111</v>
      </c>
      <c r="B10" s="27"/>
      <c r="F10">
        <f>IF(期望!$E$22="燕别云岫",6,0)</f>
        <v>6</v>
      </c>
      <c r="I10">
        <f>IF(期望!$E$22="燕别云岫",6,0)</f>
        <v>6</v>
      </c>
      <c r="K10">
        <f>IF(期望!$E$22="燕别云岫",6,0)</f>
        <v>6</v>
      </c>
      <c r="M10">
        <f>IF(期望!$E$22="燕别云岫",6,0)</f>
        <v>6</v>
      </c>
      <c r="O10">
        <f>IF(期望!$E$22="燕别云岫",6,0)</f>
        <v>6</v>
      </c>
      <c r="W10" s="28"/>
      <c r="X10" s="28"/>
      <c r="Y10" s="29"/>
      <c r="Z10" s="28"/>
      <c r="AA10" s="25"/>
    </row>
    <row r="11" customFormat="1" spans="1:27">
      <c r="A11" t="s">
        <v>172</v>
      </c>
      <c r="B11" s="27"/>
      <c r="F11">
        <f>IF(期望!$E$22="燕别云岫",7,0)</f>
        <v>7</v>
      </c>
      <c r="I11">
        <f>IF(期望!$E$22="燕别云岫",7,0)</f>
        <v>7</v>
      </c>
      <c r="K11">
        <f>IF(期望!$E$22="燕别云岫",7,0)</f>
        <v>7</v>
      </c>
      <c r="M11">
        <f>IF(期望!$E$22="燕别云岫",7,0)</f>
        <v>7</v>
      </c>
      <c r="O11">
        <f>IF(期望!$E$22="燕别云岫",7,0)</f>
        <v>7</v>
      </c>
      <c r="W11" s="28"/>
      <c r="X11" s="28"/>
      <c r="Y11" s="29"/>
      <c r="Z11" s="28"/>
      <c r="AA11" s="25"/>
    </row>
    <row r="12" customFormat="1" spans="1:27">
      <c r="A12" t="s">
        <v>254</v>
      </c>
      <c r="B12" s="27"/>
      <c r="F12">
        <f>IF(期望!$E$22="燕别云岫",8,0)</f>
        <v>8</v>
      </c>
      <c r="I12">
        <f>IF(期望!$E$22="燕别云岫",8,0)</f>
        <v>8</v>
      </c>
      <c r="K12">
        <f>IF(期望!$E$22="燕别云岫",8,0)</f>
        <v>8</v>
      </c>
      <c r="M12">
        <f>IF(期望!$E$22="燕别云岫",8,0)</f>
        <v>8</v>
      </c>
      <c r="O12">
        <f>IF(期望!$E$22="燕别云岫",8,0)</f>
        <v>8</v>
      </c>
      <c r="W12" s="28"/>
      <c r="X12" s="28"/>
      <c r="Y12" s="29"/>
      <c r="Z12" s="28"/>
      <c r="AA12" s="25"/>
    </row>
    <row r="13" customFormat="1" spans="1:27">
      <c r="A13" t="s">
        <v>195</v>
      </c>
      <c r="B13" s="27"/>
      <c r="F13">
        <f>IF(期望!$E$22="燕别云岫",9,0)</f>
        <v>9</v>
      </c>
      <c r="I13">
        <f>IF(期望!$E$22="燕别云岫",9,0)</f>
        <v>9</v>
      </c>
      <c r="K13">
        <f>IF(期望!$E$22="燕别云岫",9,0)</f>
        <v>9</v>
      </c>
      <c r="M13">
        <f>IF(期望!$E$22="燕别云岫",9,0)</f>
        <v>9</v>
      </c>
      <c r="O13">
        <f>IF(期望!$E$22="燕别云岫",9,0)</f>
        <v>9</v>
      </c>
      <c r="W13" s="28"/>
      <c r="X13" s="28"/>
      <c r="Y13" s="29"/>
      <c r="Z13" s="28"/>
      <c r="AA13" s="25"/>
    </row>
    <row r="14" customFormat="1" spans="1:27">
      <c r="A14" t="s">
        <v>209</v>
      </c>
      <c r="B14" s="27"/>
      <c r="F14">
        <f>IF(期望!$E$22="燕别云岫",10,0)</f>
        <v>10</v>
      </c>
      <c r="I14">
        <f>IF(期望!$E$22="燕别云岫",10,0)</f>
        <v>10</v>
      </c>
      <c r="K14">
        <f>IF(期望!$E$22="燕别云岫",10,0)</f>
        <v>10</v>
      </c>
      <c r="M14">
        <f>IF(期望!$E$22="燕别云岫",10,0)</f>
        <v>10</v>
      </c>
      <c r="O14">
        <f>IF(期望!$E$22="燕别云岫",10,0)</f>
        <v>10</v>
      </c>
      <c r="W14" s="28"/>
      <c r="X14" s="28"/>
      <c r="Y14" s="29"/>
      <c r="Z14" s="28"/>
      <c r="AA14" s="25"/>
    </row>
    <row r="15" spans="1:27">
      <c r="A15" t="s">
        <v>82</v>
      </c>
      <c r="B15" s="27"/>
      <c r="F15">
        <f>IF(期望!$E$22="燕别云岫",12,0)</f>
        <v>12</v>
      </c>
      <c r="I15">
        <f>IF(期望!$E$22="燕别云岫",12,0)</f>
        <v>12</v>
      </c>
      <c r="K15">
        <f>IF(期望!$E$22="燕别云岫",12,0)</f>
        <v>12</v>
      </c>
      <c r="M15">
        <f>IF(期望!$E$22="燕别云岫",12,0)</f>
        <v>12</v>
      </c>
      <c r="O15">
        <f>IF(期望!$E$22="燕别云岫",12,0)</f>
        <v>12</v>
      </c>
      <c r="W15" s="28"/>
      <c r="X15" s="28"/>
      <c r="Y15" s="29"/>
      <c r="Z15" s="28"/>
    </row>
    <row r="16" customFormat="1" spans="1:27">
      <c r="A16" t="s">
        <v>107</v>
      </c>
      <c r="B16" s="27"/>
      <c r="F16">
        <f>IF(期望!$E$22="燕别云岫",14,0)</f>
        <v>14</v>
      </c>
      <c r="I16">
        <f>IF(期望!$E$22="燕别云岫",14,0)</f>
        <v>14</v>
      </c>
      <c r="K16">
        <f>IF(期望!$E$22="燕别云岫",14,0)</f>
        <v>14</v>
      </c>
      <c r="M16">
        <f>IF(期望!$E$22="燕别云岫",14,0)</f>
        <v>14</v>
      </c>
      <c r="O16">
        <f>IF(期望!$E$22="燕别云岫",14,0)</f>
        <v>14</v>
      </c>
      <c r="W16" s="28"/>
      <c r="X16" s="28"/>
      <c r="Y16" s="29"/>
      <c r="Z16" s="28"/>
      <c r="AA16" s="25"/>
    </row>
    <row r="17" customFormat="1" spans="1:27">
      <c r="A17" t="s">
        <v>186</v>
      </c>
      <c r="B17" s="27"/>
      <c r="F17">
        <f>IF(期望!$E$22="燕别云岫",16,0)</f>
        <v>16</v>
      </c>
      <c r="I17">
        <f>IF(期望!$E$22="燕别云岫",16,0)</f>
        <v>16</v>
      </c>
      <c r="K17">
        <f>IF(期望!$E$22="燕别云岫",16,0)</f>
        <v>16</v>
      </c>
      <c r="M17">
        <f>IF(期望!$E$22="燕别云岫",16,0)</f>
        <v>16</v>
      </c>
      <c r="O17">
        <f>IF(期望!$E$22="燕别云岫",16,0)</f>
        <v>16</v>
      </c>
      <c r="W17" s="28"/>
      <c r="X17" s="28"/>
      <c r="Y17" s="29"/>
      <c r="Z17" s="28"/>
      <c r="AA17" s="25"/>
    </row>
    <row r="18" customFormat="1" spans="1:27">
      <c r="A18" t="s">
        <v>198</v>
      </c>
      <c r="B18" s="27"/>
      <c r="F18">
        <f>IF(期望!$E$22="燕别云岫",18,0)</f>
        <v>18</v>
      </c>
      <c r="I18">
        <f>IF(期望!$E$22="燕别云岫",18,0)</f>
        <v>18</v>
      </c>
      <c r="K18">
        <f>IF(期望!$E$22="燕别云岫",18,0)</f>
        <v>18</v>
      </c>
      <c r="M18">
        <f>IF(期望!$E$22="燕别云岫",18,0)</f>
        <v>18</v>
      </c>
      <c r="O18">
        <f>IF(期望!$E$22="燕别云岫",18,0)</f>
        <v>18</v>
      </c>
      <c r="W18" s="28"/>
      <c r="X18" s="28"/>
      <c r="Y18" s="29"/>
      <c r="Z18" s="28"/>
      <c r="AA18" s="25"/>
    </row>
    <row r="19" customFormat="1" spans="1:27">
      <c r="A19" t="s">
        <v>203</v>
      </c>
      <c r="B19" s="27"/>
      <c r="F19">
        <f>IF(期望!$E$22="燕别云岫",20,0)</f>
        <v>20</v>
      </c>
      <c r="I19">
        <f>IF(期望!$E$22="燕别云岫",20,0)</f>
        <v>20</v>
      </c>
      <c r="K19">
        <f>IF(期望!$E$22="燕别云岫",20,0)</f>
        <v>20</v>
      </c>
      <c r="M19">
        <f>IF(期望!$E$22="燕别云岫",20,0)</f>
        <v>20</v>
      </c>
      <c r="O19">
        <f>IF(期望!$E$22="燕别云岫",20,0)</f>
        <v>20</v>
      </c>
      <c r="W19" s="28"/>
      <c r="X19" s="28"/>
      <c r="Y19" s="29"/>
      <c r="Z19" s="28"/>
      <c r="AA19" s="25"/>
    </row>
    <row r="20" spans="1:27">
      <c r="A20" t="s">
        <v>193</v>
      </c>
      <c r="B20" s="27"/>
      <c r="W20" s="28">
        <v>0.1</v>
      </c>
    </row>
    <row r="21" spans="1:27">
      <c r="A21" t="s">
        <v>81</v>
      </c>
      <c r="B21" s="27">
        <v>0.02</v>
      </c>
      <c r="W21" s="28"/>
    </row>
    <row r="22" spans="1:27">
      <c r="A22" t="s">
        <v>212</v>
      </c>
      <c r="B22" s="27">
        <v>0.15</v>
      </c>
      <c r="W22" s="28"/>
    </row>
    <row r="23" spans="1:27">
      <c r="A23" t="s">
        <v>255</v>
      </c>
      <c r="B23" s="27"/>
      <c r="F23">
        <f>IF(期望!$E$22="断石之构",12,0)</f>
        <v>0</v>
      </c>
      <c r="J23" s="27"/>
      <c r="R23" s="27">
        <f>IF(期望!$E$22="断石之构",12%,0)</f>
        <v>0</v>
      </c>
      <c r="X23" s="28"/>
      <c r="Y23" s="29"/>
      <c r="Z23" s="28"/>
    </row>
    <row r="24" customFormat="1" spans="1:27">
      <c r="A24" t="s">
        <v>199</v>
      </c>
      <c r="B24" s="27"/>
      <c r="F24">
        <f>IF(期望!$E$22="断石之构",5,0)</f>
        <v>0</v>
      </c>
      <c r="J24" s="27"/>
      <c r="R24" s="27">
        <f>IF(期望!$E$22="断石之构",5%,0)</f>
        <v>0</v>
      </c>
      <c r="W24" s="24"/>
      <c r="X24" s="28"/>
      <c r="Y24" s="29"/>
      <c r="Z24" s="28"/>
      <c r="AA24" s="25"/>
    </row>
    <row r="25" customFormat="1" spans="1:27">
      <c r="A25" t="s">
        <v>200</v>
      </c>
      <c r="B25" s="27"/>
      <c r="F25">
        <f>IF(期望!$E$22="断石之构",10,0)</f>
        <v>0</v>
      </c>
      <c r="J25" s="27"/>
      <c r="R25" s="27">
        <f>IF(期望!$E$22="断石之构",10%,0)</f>
        <v>0</v>
      </c>
      <c r="W25" s="24"/>
      <c r="X25" s="28"/>
      <c r="Y25" s="29"/>
      <c r="Z25" s="28"/>
      <c r="AA25" s="25"/>
    </row>
    <row r="26" customFormat="1" spans="1:27">
      <c r="A26" t="s">
        <v>201</v>
      </c>
      <c r="B26" s="27"/>
      <c r="F26">
        <f>IF(期望!$E$22="断石之构",15,0)</f>
        <v>0</v>
      </c>
      <c r="J26" s="27"/>
      <c r="R26" s="27">
        <f>IF(期望!$E$22="断石之构",15%,0)</f>
        <v>0</v>
      </c>
      <c r="W26" s="24"/>
      <c r="X26" s="28"/>
      <c r="Y26" s="29"/>
      <c r="Z26" s="28"/>
      <c r="AA26" s="25"/>
    </row>
    <row r="27" customFormat="1" spans="1:27">
      <c r="A27" t="s">
        <v>256</v>
      </c>
      <c r="B27" s="27"/>
      <c r="F27">
        <f>IF(期望!$E$22="断石之构",20,0)</f>
        <v>0</v>
      </c>
      <c r="J27" s="27"/>
      <c r="R27" s="27">
        <f>IF(期望!$E$22="断石之构",20%,0)</f>
        <v>0</v>
      </c>
      <c r="W27" s="24"/>
      <c r="X27" s="28"/>
      <c r="Y27" s="29"/>
      <c r="Z27" s="28"/>
      <c r="AA27" s="25"/>
    </row>
    <row r="28" spans="1:27">
      <c r="A28" t="s">
        <v>121</v>
      </c>
      <c r="B28" s="27"/>
      <c r="F28">
        <f>IF(期望!$E$22="断石之构",25,0)</f>
        <v>0</v>
      </c>
      <c r="J28" s="27"/>
      <c r="R28" s="27">
        <f>IF(期望!$E$22="断石之构",25%,0)</f>
        <v>0</v>
      </c>
      <c r="X28" s="28"/>
      <c r="Y28" s="29"/>
      <c r="Z28" s="28"/>
    </row>
    <row r="29" spans="1:27">
      <c r="A29" t="s">
        <v>194</v>
      </c>
      <c r="B29" s="27"/>
      <c r="J29" s="27">
        <f>IF(期望!$D$18="√",10%,0)</f>
        <v>0.1</v>
      </c>
      <c r="W29" s="24">
        <f>IF(期望!$D$18="√",10%,0)</f>
        <v>0.1</v>
      </c>
      <c r="X29" s="28"/>
      <c r="Y29" s="29"/>
      <c r="Z29" s="28"/>
    </row>
    <row r="30" spans="1:27">
      <c r="A30" t="s">
        <v>91</v>
      </c>
      <c r="B30" s="27"/>
      <c r="G30" s="27">
        <v>0.09</v>
      </c>
      <c r="P30" s="27">
        <v>0.09</v>
      </c>
      <c r="X30" s="28"/>
      <c r="Y30" s="29"/>
      <c r="Z30" s="28"/>
    </row>
    <row r="31" spans="1:27">
      <c r="A31" t="s">
        <v>90</v>
      </c>
      <c r="R31" s="27">
        <v>0.05</v>
      </c>
      <c r="X31" s="28"/>
      <c r="Y31" s="29"/>
      <c r="Z31" s="28"/>
    </row>
    <row r="32" spans="1:27">
      <c r="A32" t="s">
        <v>129</v>
      </c>
      <c r="R32" s="27">
        <v>0.1</v>
      </c>
      <c r="X32" s="28"/>
      <c r="Y32" s="29"/>
      <c r="Z32" s="28"/>
    </row>
    <row r="33" spans="1:26">
      <c r="A33" t="s">
        <v>79</v>
      </c>
      <c r="R33" s="27">
        <f>IF(期望!$F$16="√",1%,0)</f>
        <v>0.01</v>
      </c>
      <c r="X33" s="28"/>
      <c r="Y33" s="29"/>
      <c r="Z33" s="28"/>
    </row>
    <row r="34" spans="1:26">
      <c r="A34" t="s">
        <v>88</v>
      </c>
      <c r="R34" s="27">
        <f>IF(期望!$F$16="√",2%,0)</f>
        <v>0.02</v>
      </c>
      <c r="X34" s="28"/>
      <c r="Y34" s="29"/>
      <c r="Z34" s="28"/>
    </row>
    <row r="35" spans="1:26">
      <c r="A35" t="s">
        <v>98</v>
      </c>
      <c r="R35" s="27">
        <f>IF(期望!$F$16="√",3%,0)</f>
        <v>0.03</v>
      </c>
      <c r="X35" s="28"/>
      <c r="Y35" s="29"/>
      <c r="Z35" s="28"/>
    </row>
    <row r="36" spans="1:26">
      <c r="A36" t="s">
        <v>104</v>
      </c>
      <c r="R36" s="27">
        <f>IF(期望!$F$16="√",4%,0)</f>
        <v>0.04</v>
      </c>
      <c r="X36" s="28"/>
      <c r="Y36" s="29"/>
      <c r="Z36" s="28"/>
    </row>
    <row r="37" spans="1:26">
      <c r="A37" t="s">
        <v>157</v>
      </c>
      <c r="R37" s="27">
        <f>IF(期望!$F$16="√",5%,0)</f>
        <v>0.05</v>
      </c>
      <c r="X37" s="28"/>
      <c r="Y37" s="29"/>
      <c r="Z37" s="28"/>
    </row>
    <row r="38" spans="1:26">
      <c r="A38" t="s">
        <v>171</v>
      </c>
      <c r="R38" s="27">
        <f>IF(期望!$F$16="√",6%,0)</f>
        <v>0.06</v>
      </c>
      <c r="X38" s="28"/>
      <c r="Y38" s="29"/>
      <c r="Z38" s="28"/>
    </row>
    <row r="39" spans="1:26">
      <c r="A39" t="s">
        <v>176</v>
      </c>
      <c r="R39" s="27">
        <f>IF(期望!$F$16="√",7%,0)</f>
        <v>0.07</v>
      </c>
      <c r="X39" s="28"/>
      <c r="Y39" s="29"/>
      <c r="Z39" s="28"/>
    </row>
    <row r="40" spans="1:26">
      <c r="A40" t="s">
        <v>180</v>
      </c>
      <c r="R40" s="27">
        <f>IF(期望!$F$16="√",8%,0)</f>
        <v>0.08</v>
      </c>
      <c r="X40" s="28"/>
      <c r="Y40" s="29"/>
      <c r="Z40" s="28"/>
    </row>
    <row r="41" spans="1:26">
      <c r="A41" t="s">
        <v>185</v>
      </c>
      <c r="R41" s="27">
        <f>IF(期望!$F$16="√",9%,0)</f>
        <v>0.09</v>
      </c>
      <c r="X41" s="28"/>
      <c r="Y41" s="29"/>
      <c r="Z41" s="28"/>
    </row>
    <row r="42" spans="1:26">
      <c r="A42" t="s">
        <v>189</v>
      </c>
      <c r="R42" s="27">
        <f>IF(期望!$F$16="√",10%,0)</f>
        <v>0.1</v>
      </c>
      <c r="X42" s="28"/>
      <c r="Y42" s="29"/>
      <c r="Z42" s="28"/>
    </row>
    <row r="43" spans="1:26">
      <c r="A43" t="s">
        <v>257</v>
      </c>
      <c r="R43" s="27">
        <f>IF(期望!$F$16="√",10%,0)</f>
        <v>0.1</v>
      </c>
      <c r="X43" s="28"/>
      <c r="Y43" s="29"/>
      <c r="Z43" s="28"/>
    </row>
    <row r="44" spans="1:26">
      <c r="A44" t="s">
        <v>78</v>
      </c>
      <c r="B44" s="27">
        <f>1%*IF(期望!$E$24="易水歌",1,0)</f>
        <v>0.01</v>
      </c>
      <c r="F44">
        <f>2*IF(期望!$E$24="易水歌",1,0)</f>
        <v>2</v>
      </c>
      <c r="X44" s="28"/>
      <c r="Y44" s="29"/>
      <c r="Z44" s="28"/>
    </row>
    <row r="45" spans="1:26">
      <c r="A45" t="s">
        <v>87</v>
      </c>
      <c r="B45" s="27">
        <f>2%*IF(期望!$E$24="易水歌",1,0)</f>
        <v>0.02</v>
      </c>
      <c r="F45">
        <f>4*IF(期望!$E$24="易水歌",1,0)</f>
        <v>4</v>
      </c>
      <c r="X45" s="28"/>
      <c r="Y45" s="29"/>
      <c r="Z45" s="28"/>
    </row>
    <row r="46" spans="1:26">
      <c r="A46" t="s">
        <v>97</v>
      </c>
      <c r="B46" s="27">
        <f>3%*IF(期望!$E$24="易水歌",1,0)</f>
        <v>0.03</v>
      </c>
      <c r="F46">
        <f>6*IF(期望!$E$24="易水歌",1,0)</f>
        <v>6</v>
      </c>
      <c r="X46" s="28"/>
      <c r="Y46" s="29"/>
      <c r="Z46" s="28"/>
    </row>
    <row r="47" spans="1:26">
      <c r="A47" t="s">
        <v>103</v>
      </c>
      <c r="B47" s="27">
        <f>4%*IF(期望!$E$24="易水歌",1,0)</f>
        <v>0.04</v>
      </c>
      <c r="F47">
        <f>8*IF(期望!$E$24="易水歌",1,0)</f>
        <v>8</v>
      </c>
      <c r="X47" s="28"/>
      <c r="Y47" s="29"/>
      <c r="Z47" s="28"/>
    </row>
    <row r="48" spans="1:26">
      <c r="A48" t="s">
        <v>106</v>
      </c>
      <c r="B48" s="27">
        <f>5%*IF(期望!$E$24="易水歌",1,0)</f>
        <v>0.05</v>
      </c>
      <c r="F48">
        <f>10*IF(期望!$E$24="易水歌",1,0)</f>
        <v>10</v>
      </c>
      <c r="X48" s="28"/>
      <c r="Y48" s="29"/>
      <c r="Z48" s="28"/>
    </row>
    <row r="49" spans="1:26">
      <c r="A49" t="s">
        <v>80</v>
      </c>
      <c r="X49" s="28"/>
      <c r="Y49" s="29"/>
      <c r="Z49" s="28"/>
    </row>
    <row r="50" spans="1:26">
      <c r="X50" s="28"/>
      <c r="Y50" s="29"/>
      <c r="Z5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C37" sqref="C3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258</v>
      </c>
      <c r="B1" s="3" t="s">
        <v>259</v>
      </c>
      <c r="C1" s="4" t="s">
        <v>260</v>
      </c>
      <c r="D1" s="5" t="s">
        <v>261</v>
      </c>
    </row>
    <row r="2" ht="14.25" spans="1:4">
      <c r="A2" s="6">
        <v>0.1</v>
      </c>
      <c r="B2" s="7">
        <v>1</v>
      </c>
      <c r="C2" s="8" t="s">
        <v>262</v>
      </c>
      <c r="D2" s="4" t="s">
        <v>263</v>
      </c>
    </row>
    <row r="3" spans="1:4">
      <c r="A3" s="9">
        <v>0.2</v>
      </c>
      <c r="B3" s="10">
        <v>1</v>
      </c>
      <c r="C3" s="11" t="s">
        <v>264</v>
      </c>
    </row>
    <row r="4" ht="14.25" spans="1:4">
      <c r="A4" s="12"/>
      <c r="B4" s="13">
        <v>2</v>
      </c>
      <c r="C4" s="14" t="s">
        <v>265</v>
      </c>
    </row>
    <row r="5" spans="1:4">
      <c r="A5" s="9">
        <v>0.3</v>
      </c>
      <c r="B5" s="15">
        <v>1</v>
      </c>
      <c r="C5" s="11" t="s">
        <v>266</v>
      </c>
    </row>
    <row r="6" ht="14.25" spans="1:4">
      <c r="A6" s="12"/>
      <c r="B6" s="13">
        <v>2</v>
      </c>
      <c r="C6" s="14" t="s">
        <v>267</v>
      </c>
    </row>
    <row r="7" ht="14.25" spans="1:4">
      <c r="A7" s="16">
        <v>0.4</v>
      </c>
      <c r="B7" s="17">
        <v>1</v>
      </c>
      <c r="C7" s="8" t="s">
        <v>268</v>
      </c>
    </row>
    <row r="8" ht="14.25" spans="1:4">
      <c r="A8" s="16">
        <v>0.5</v>
      </c>
      <c r="B8" s="17">
        <v>1</v>
      </c>
      <c r="C8" s="8" t="s">
        <v>269</v>
      </c>
    </row>
    <row r="9" spans="1:4">
      <c r="A9" s="18">
        <v>1</v>
      </c>
      <c r="B9" s="15">
        <v>1</v>
      </c>
      <c r="C9" s="11" t="s">
        <v>270</v>
      </c>
    </row>
    <row r="10" ht="14.25" spans="1:4">
      <c r="A10" s="19"/>
      <c r="B10" s="20">
        <v>2</v>
      </c>
      <c r="C10" s="21" t="s">
        <v>271</v>
      </c>
    </row>
    <row r="11" spans="1:4">
      <c r="A11" s="18">
        <v>2</v>
      </c>
      <c r="B11" s="15">
        <v>1</v>
      </c>
      <c r="C11" s="11" t="s">
        <v>272</v>
      </c>
    </row>
    <row r="12" ht="14.25" spans="1:4">
      <c r="A12" s="22"/>
      <c r="B12" s="13">
        <v>2</v>
      </c>
      <c r="C12" s="14" t="s">
        <v>273</v>
      </c>
    </row>
    <row r="13" ht="14.25" spans="1:4">
      <c r="A13" s="9">
        <v>2.1</v>
      </c>
      <c r="B13" s="15">
        <v>1</v>
      </c>
      <c r="C13" s="11" t="s">
        <v>274</v>
      </c>
    </row>
    <row r="14" spans="1:4">
      <c r="A14" s="18">
        <v>3</v>
      </c>
      <c r="B14" s="15">
        <v>1</v>
      </c>
      <c r="C14" s="11" t="s">
        <v>275</v>
      </c>
    </row>
    <row r="15" ht="14.25" spans="1:4">
      <c r="A15" s="22"/>
      <c r="B15" s="13">
        <v>2</v>
      </c>
      <c r="C15" s="14" t="s">
        <v>276</v>
      </c>
    </row>
    <row r="16" ht="14.25" spans="1:4">
      <c r="A16" s="16">
        <v>3.1</v>
      </c>
      <c r="B16" s="17">
        <v>1</v>
      </c>
      <c r="C16" s="8" t="s">
        <v>277</v>
      </c>
    </row>
    <row r="17" ht="14.25" spans="1:3">
      <c r="A17" s="16">
        <v>3.2</v>
      </c>
      <c r="B17" s="17">
        <v>1</v>
      </c>
      <c r="C17" s="8" t="s">
        <v>278</v>
      </c>
    </row>
    <row r="18" spans="1:3">
      <c r="A18" s="23"/>
      <c r="B18" s="20"/>
      <c r="C18" s="20"/>
    </row>
    <row r="19" spans="1:3">
      <c r="A19" s="23"/>
      <c r="B19" s="20"/>
      <c r="C19" s="20"/>
    </row>
    <row r="20" spans="1:3">
      <c r="A20" s="23"/>
      <c r="B20" s="20"/>
      <c r="C20" s="20"/>
    </row>
    <row r="21" spans="1:3">
      <c r="A21" s="23"/>
      <c r="B21" s="20"/>
      <c r="C21" s="20"/>
    </row>
    <row r="22" spans="1:3">
      <c r="A22" s="23"/>
      <c r="B22" s="20"/>
      <c r="C22" s="20"/>
    </row>
    <row r="23" spans="1:3">
      <c r="A23" s="23"/>
      <c r="B23" s="20"/>
      <c r="C23" s="20"/>
    </row>
    <row r="24" spans="1:3">
      <c r="A24" s="23"/>
      <c r="B24" s="20"/>
      <c r="C24" s="20"/>
    </row>
    <row r="25" spans="1:3">
      <c r="A25" s="23"/>
      <c r="B25" s="20"/>
      <c r="C25" s="20"/>
    </row>
    <row r="26" spans="1:3">
      <c r="A26" s="23"/>
      <c r="B26" s="20"/>
      <c r="C26" s="20"/>
    </row>
    <row r="27" spans="1:3">
      <c r="A27" s="23"/>
      <c r="B27" s="20"/>
      <c r="C27" s="20"/>
    </row>
    <row r="28" spans="1:3">
      <c r="A28" s="23"/>
      <c r="B28" s="20"/>
      <c r="C28" s="20"/>
    </row>
    <row r="29" spans="1:3">
      <c r="A29" s="23"/>
      <c r="B29" s="20"/>
      <c r="C29" s="20"/>
    </row>
    <row r="30" spans="1:3">
      <c r="A30" s="23"/>
      <c r="B30" s="20"/>
      <c r="C30" s="20"/>
    </row>
    <row r="31" spans="1:3">
      <c r="A31" s="23"/>
      <c r="B31" s="20"/>
      <c r="C31" s="20"/>
    </row>
    <row r="32" spans="1:3">
      <c r="A32" s="23"/>
      <c r="B32" s="20"/>
      <c r="C32" s="20"/>
    </row>
    <row r="33" spans="1:3">
      <c r="A33" s="23"/>
      <c r="B33" s="20"/>
      <c r="C33" s="20"/>
    </row>
    <row r="34" spans="1:3">
      <c r="A34" s="23"/>
      <c r="B34" s="20"/>
      <c r="C34" s="20"/>
    </row>
    <row r="35" spans="1:3">
      <c r="A35" s="23"/>
      <c r="B35" s="20"/>
      <c r="C35" s="20"/>
    </row>
    <row r="36" spans="1:3">
      <c r="A36" s="23"/>
      <c r="B36" s="20"/>
      <c r="C36" s="20"/>
    </row>
    <row r="37" spans="1:3">
      <c r="A37" s="23"/>
      <c r="B37" s="20"/>
      <c r="C37" s="20"/>
    </row>
    <row r="38" spans="1:3">
      <c r="A38" s="23"/>
      <c r="B38" s="20"/>
      <c r="C38" s="20"/>
    </row>
    <row r="39" spans="1:3">
      <c r="A39" s="23"/>
      <c r="B39" s="20"/>
      <c r="C39" s="20"/>
    </row>
    <row r="40" spans="1:3">
      <c r="A40" s="23"/>
      <c r="B40" s="20"/>
      <c r="C40" s="20"/>
    </row>
    <row r="41" spans="1:3">
      <c r="A41" s="23"/>
      <c r="B41" s="20"/>
      <c r="C41" s="20"/>
    </row>
    <row r="42" spans="1:3">
      <c r="A42" s="23"/>
      <c r="B42" s="20"/>
      <c r="C42" s="20"/>
    </row>
    <row r="43" spans="1:3">
      <c r="A43" s="23"/>
      <c r="B43" s="20"/>
      <c r="C43" s="20"/>
    </row>
    <row r="44" spans="1:3">
      <c r="A44" s="23"/>
      <c r="B44" s="20"/>
      <c r="C44" s="20"/>
    </row>
    <row r="45" spans="1:3">
      <c r="A45" s="23"/>
      <c r="B45" s="20"/>
      <c r="C45" s="20"/>
    </row>
  </sheetData>
  <mergeCells count="5">
    <mergeCell ref="A3:A4"/>
    <mergeCell ref="A5:A6"/>
    <mergeCell ref="A9:A10"/>
    <mergeCell ref="A11:A12"/>
    <mergeCell ref="A14:A1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2026-09-25T07:25:12Z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