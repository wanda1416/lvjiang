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<sst xmlns="http://schemas.openxmlformats.org/spreadsheetml/2006/main" count="5551" uniqueCount="236">
  <si>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</si>
  <si>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</si>
  <si>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</si>
  <si>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</si>
  <si>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</si>
  <si>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</si>
  <si>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</si>
  <si>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</si>
  <si>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</si>
  <si>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</si>
  <si>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</si>
  <si>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</si>
  <si>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</si>
  <si>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</si>
  <si>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</si>
  <si>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</si>
  <si>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</si>
  <si>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</si>
  <si>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</si>
  <si>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</si>
  <si>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</si>
  <si>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</si>
  <si>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</si>
  <si>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</si>
  <si>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</si>
  <si>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</si>
  <si>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</si>
  <si>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</si>
  <si>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</si>
  <si>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</si>
  <si>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</si>
  <si>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</si>
  <si>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</si>
  <si>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</si>
  <si>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</si>
  <si>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</si>
  <si>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</si>
  <si>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</si>
  <si>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</si>
  <si>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</si>
  <si>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</si>
  <si>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</si>
  <si>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</si>
  <si>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</si>
  <si>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</si>
  <si>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</si>
  <si>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</si>
  <si>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</si>
  <si>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</si>
  <si>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</si>
  <si>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</si>
  <si>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</si>
  <si>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</si>
  <si>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</si>
  <si>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</si>
  <si>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</si>
  <si>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</si>
  <si>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</si>
  <si>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</si>
  <si>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</si>
  <si>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</si>
  <si>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</si>
  <si>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</si>
  <si>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</si>
  <si>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</si>
  <si>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</si>
  <si>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</si>
  <si>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</si>
  <si>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</si>
  <si>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</si>
  <si>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</si>
  <si>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</si>
  <si>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</si>
  <si>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</si>
  <si>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</si>
  <si>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</si>
  <si>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</si>
  <si>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</si>
  <si>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</si>
  <si>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</si>
  <si>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</si>
  <si>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</si>
  <si>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</si>
  <si>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</si>
  <si>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</si>
  <si>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</si>
  <si>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</si>
  <si>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</si>
  <si>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</si>
  <si>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</si>
  <si>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</si>
  <si>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</si>
  <si>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</si>
  <si>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</si>
  <si>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</si>
  <si>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</si>
  <si>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</si>
  <si>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</si>
  <si>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</si>
  <si>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</si>
  <si>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</si>
  <si>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</si>
  <si>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</si>
  <si>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</si>
  <si>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扇～</t>
  </si>
  <si>
    <t>精准率</t>
  </si>
  <si>
    <t>实际属性</t>
  </si>
  <si>
    <t>战斗时间</t>
  </si>
  <si>
    <t>扇Q</t>
  </si>
  <si>
    <t>会心率</t>
  </si>
  <si>
    <t>扇重击派生斩击</t>
  </si>
  <si>
    <t>近战笛</t>
  </si>
  <si>
    <t>会意率</t>
  </si>
  <si>
    <t>总伤</t>
  </si>
  <si>
    <t>扇重击派生终结</t>
  </si>
  <si>
    <t>墨韵</t>
  </si>
  <si>
    <t>直接会心率</t>
  </si>
  <si>
    <t>旋律一123</t>
  </si>
  <si>
    <t>直接会意率</t>
  </si>
  <si>
    <t>DPS</t>
  </si>
  <si>
    <t>会心伤害加成</t>
  </si>
  <si>
    <t>旋律一4</t>
  </si>
  <si>
    <t>会意伤害加成</t>
  </si>
  <si>
    <t>RDPS</t>
  </si>
  <si>
    <t>鼓Q一段</t>
  </si>
  <si>
    <t>全武增</t>
  </si>
  <si>
    <t>团队增益</t>
  </si>
  <si>
    <t>鼓Q二段</t>
  </si>
  <si>
    <t>首领增</t>
  </si>
  <si>
    <t>威</t>
  </si>
  <si>
    <t>√</t>
  </si>
  <si>
    <t>沧海帖</t>
  </si>
  <si>
    <t>毕业率</t>
  </si>
  <si>
    <t>鼓R12</t>
  </si>
  <si>
    <t>鼓增</t>
  </si>
  <si>
    <t>尘</t>
  </si>
  <si>
    <t>所恨年年</t>
  </si>
  <si>
    <t>鼓R3</t>
  </si>
  <si>
    <t>扇增</t>
  </si>
  <si>
    <t>虹</t>
  </si>
  <si>
    <t>鼓轻击派生</t>
  </si>
  <si>
    <t>沧海帖6层</t>
  </si>
  <si>
    <t>单体奇术增</t>
  </si>
  <si>
    <t>钧</t>
  </si>
  <si>
    <t>群体奇术增</t>
  </si>
  <si>
    <t>影</t>
  </si>
  <si>
    <t>特殊技定音</t>
  </si>
  <si>
    <t>第三心法</t>
  </si>
  <si>
    <t>沧海帖7层</t>
  </si>
  <si>
    <t>固伤加成</t>
  </si>
  <si>
    <t>樽</t>
  </si>
  <si>
    <t>×</t>
  </si>
  <si>
    <t>易水歌</t>
  </si>
  <si>
    <t>食物加成</t>
  </si>
  <si>
    <t>第四心法</t>
  </si>
  <si>
    <t>弦墨篇</t>
  </si>
  <si>
    <t>沧海帖8层</t>
  </si>
  <si>
    <t>沧海帖9层</t>
  </si>
  <si>
    <t>沧海帖10层</t>
  </si>
  <si>
    <t>笛</t>
  </si>
  <si>
    <t>惧</t>
  </si>
  <si>
    <t>扇R派生单目标</t>
  </si>
  <si>
    <t>切武器</t>
  </si>
  <si>
    <t>旋律</t>
  </si>
  <si>
    <t>鼓Q</t>
  </si>
  <si>
    <t>RRR</t>
  </si>
  <si>
    <t>卸2</t>
  </si>
  <si>
    <t>轻击派生卸</t>
  </si>
  <si>
    <t>衍九矢9hit</t>
  </si>
  <si>
    <t>气竭</t>
  </si>
  <si>
    <t>真气失衡</t>
  </si>
  <si>
    <t>断石5</t>
  </si>
  <si>
    <t>扇～卸Q连</t>
  </si>
  <si>
    <t>移动药叉卸</t>
  </si>
  <si>
    <t>笛子</t>
  </si>
  <si>
    <t>射箭</t>
  </si>
  <si>
    <t>气</t>
  </si>
  <si>
    <t>机制</t>
  </si>
  <si>
    <t>扇～卸</t>
  </si>
  <si>
    <t>旋律1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</si>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</sst>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AI124" sqref="AI124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.375" style="26"/>
    <col min="40" max="40" width="9" style="27"/>
    <col min="41" max="41" width="9.375" style="26"/>
    <col min="42" max="42" width="9" style="27"/>
    <col min="43" max="44" width="9" style="26"/>
    <col min="45" max="46" width="9.375"/>
    <col min="47" max="49" width="9" style="32"/>
    <col min="52" max="53" width="9" style="32"/>
    <col min="59" max="59" width="9.375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>
        <v>4031.1</v>
      </c>
      <c r="C2" s="31">
        <v>3144.7</v>
      </c>
      <c r="D2" s="31">
        <v>58.4</v>
      </c>
      <c r="E2" s="42">
        <v>0.025</v>
      </c>
      <c r="F2" s="43" t="s">
        <v>72</v>
      </c>
      <c r="G2" s="44" t="s">
        <v>73</v>
      </c>
      <c r="H2" s="45" t="s">
        <v>74</v>
      </c>
      <c r="I2" s="11">
        <f>620*(1-IF(F17="√",0.06,0)-IF(D20="√",0.04,0))</f>
        <v>558</v>
      </c>
      <c r="K2" s="38">
        <f>($L2*$BS2+$M2*$BQ2+$N2*$BT2+$O2*$BU2)</f>
        <v>33822.4718504266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34261.4418557055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33649.9042978391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22104.156035939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19282.4570364417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82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0.3187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4434.698</v>
      </c>
      <c r="AT2" cm="1">
        <f t="array" ref="AT2">$E$10*(1+$AR2)+VLOOKUP($Q2,武学奇术!$A:$ZZ,4,FALSE)+SUM(_xlfn.XLOOKUP($R2:$AK2,增益!$A:$A,增益!$D:$D,0))-$I$2</f>
        <v>4434.698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>$D$12*(1+$AW2)</f>
        <v>0</v>
      </c>
      <c r="BC2">
        <f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>$D$13*(1+$AW2)</f>
        <v>674.016</v>
      </c>
      <c r="BG2">
        <f>$E$13*(1+$AW2)</f>
        <v>1920.804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>$D$14*(1+$AW2)</f>
        <v>0</v>
      </c>
      <c r="BK2">
        <f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>MIN((1-BQ2)*BN2,BN2*BO2)</f>
        <v>0.87863408</v>
      </c>
      <c r="BT2" s="26">
        <f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0.1837</v>
      </c>
      <c r="H3" s="45" t="s">
        <v>84</v>
      </c>
      <c r="I3" s="11">
        <f>25-IF(D17="√",10,0)-IF(F17="√",10,0)</f>
        <v>5</v>
      </c>
      <c r="K3" s="38">
        <f t="shared" ref="K3:K34" si="0">($L3*$BS3+$M3*$BQ3+$N3*$BT3+$O3*$BU3)</f>
        <v>35182.5070704676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35647.7427624015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34982.4331882629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22851.1171553856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19789.3208379838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82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0.3287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4434.698</v>
      </c>
      <c r="AT3" cm="1">
        <f t="array" ref="AT3">$E$10*(1+$AR3)+VLOOKUP($Q3,武学奇术!$A:$ZZ,4,FALSE)+SUM(_xlfn.XLOOKUP($R3:$AK3,增益!$A:$A,增益!$D:$D,0))-$I$2</f>
        <v>4434.698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ref="BB3:BB34" si="3">$D$12*(1+$AW3)</f>
        <v>0</v>
      </c>
      <c r="BC3">
        <f t="shared" ref="BC3:BC34" si="4">$E$12*(1+$AW3)</f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ref="BF3:BF34" si="5">$D$13*(1+$AW3)</f>
        <v>674.016</v>
      </c>
      <c r="BG3">
        <f t="shared" ref="BG3:BG34" si="6">$E$13*(1+$AW3)</f>
        <v>1920.804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ref="BJ3:BJ34" si="7">$D$14*(1+$AW3)</f>
        <v>0</v>
      </c>
      <c r="BK3">
        <f t="shared" ref="BK3:BK34" si="8">$E$14*(1+$AW3)</f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ref="BS3:BS34" si="9">MIN((1-BQ3)*BN3,BN3*BO3)</f>
        <v>0.87863408</v>
      </c>
      <c r="BT3" s="26">
        <f t="shared" ref="BT3:BT34" si="10">1-BQ3-BS3-BU3</f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ht="14.25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35841.4300031743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36342.696531685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35414.6231936328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23148.2143513917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20063.3744852777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82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0.3387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4434.698</v>
      </c>
      <c r="AT4" cm="1">
        <f t="array" ref="AT4">$E$10*(1+$AR4)+VLOOKUP($Q4,武学奇术!$A:$ZZ,4,FALSE)+SUM(_xlfn.XLOOKUP($R4:$AK4,增益!$A:$A,增益!$D:$D,0))-$I$2</f>
        <v>4434.698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1920.804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>
        <v>492</v>
      </c>
      <c r="C5" s="55">
        <v>1397.8</v>
      </c>
      <c r="D5" s="55">
        <v>30</v>
      </c>
      <c r="E5" s="56">
        <v>0.15</v>
      </c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31730.0296072224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32168.9874316428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31468.464997474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20360.118627622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17410.2631830411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82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0.3487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3673.1</v>
      </c>
      <c r="AT5" cm="1">
        <f t="array" ref="AT5">$E$10*(1+$AR5)+VLOOKUP($Q5,武学奇术!$A:$ZZ,4,FALSE)+SUM(_xlfn.XLOOKUP($R5:$AK5,增益!$A:$A,增益!$D:$D,0))-$I$2</f>
        <v>3673.1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1823.136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32310.4610375386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32781.7245924189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31845.371586306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20617.4368505779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17645.7095631514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82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0.3587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3673.1</v>
      </c>
      <c r="AT6" cm="1">
        <f t="array" ref="AT6">$E$10*(1+$AR6)+VLOOKUP($Q6,武学奇术!$A:$ZZ,4,FALSE)+SUM(_xlfn.XLOOKUP($R6:$AK6,增益!$A:$A,增益!$D:$D,0))-$I$2</f>
        <v>3673.1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1823.136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ht="14.25" spans="1:74">
      <c r="A7" s="85" t="s">
        <v>102</v>
      </c>
      <c r="B7" s="61">
        <v>79.2</v>
      </c>
      <c r="C7" s="61">
        <f>92.4+68.8*2</f>
        <v>230</v>
      </c>
      <c r="D7" s="62"/>
      <c r="E7" s="63"/>
      <c r="F7" s="53" t="s">
        <v>103</v>
      </c>
      <c r="G7" s="64">
        <f>B20</f>
        <v>0</v>
      </c>
      <c r="K7" s="38">
        <f t="shared" si="0"/>
        <v>19161.492232447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19408.2041415348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19085.1946410615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12521.4220267966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10905.6628379922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82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0.2789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3673.1</v>
      </c>
      <c r="AT7" cm="1">
        <f t="array" ref="AT7">$E$10*(1+$AR7)+VLOOKUP($Q7,武学奇术!$A:$ZZ,4,FALSE)+SUM(_xlfn.XLOOKUP($R7:$AK7,增益!$A:$A,增益!$D:$D,0))-$I$2</f>
        <v>3673.1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1823.136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v>0.9859</v>
      </c>
      <c r="C8" s="36" t="s">
        <v>106</v>
      </c>
      <c r="D8" s="67"/>
      <c r="E8" s="67"/>
      <c r="F8" s="67"/>
      <c r="G8" s="37"/>
      <c r="H8" s="68" t="s">
        <v>107</v>
      </c>
      <c r="I8" s="22">
        <v>100.8</v>
      </c>
      <c r="J8" s="69"/>
      <c r="K8" s="38">
        <f t="shared" si="0"/>
        <v>85667.572126802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86728.1149582533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85787.2083560885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55953.6225537118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48361.1648436544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82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0.2789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3673.1</v>
      </c>
      <c r="AT8" cm="1">
        <f t="array" ref="AT8">$E$10*(1+$AR8)+VLOOKUP($Q8,武学奇术!$A:$ZZ,4,FALSE)+SUM(_xlfn.XLOOKUP($R8:$AK8,增益!$A:$A,增益!$D:$D,0))-$I$2</f>
        <v>3673.1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1823.136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ht="14.25" spans="1:74">
      <c r="A9" s="41" t="s">
        <v>109</v>
      </c>
      <c r="B9" s="70">
        <v>0.7992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23063.9375450349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23350.6149821303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23083.6492863051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15064.912891697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13030.8263120568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82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0.5089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3673.1</v>
      </c>
      <c r="AT9" cm="1">
        <f t="array" ref="AT9">$E$10*(1+$AR9)+VLOOKUP($Q9,武学奇术!$A:$ZZ,4,FALSE)+SUM(_xlfn.XLOOKUP($R9:$AK9,增益!$A:$A,增益!$D:$D,0))-$I$2</f>
        <v>3673.1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1823.136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v>0.0929</v>
      </c>
      <c r="C10" s="45" t="s">
        <v>71</v>
      </c>
      <c r="D10">
        <f>(B2+B23)*IF($G$2="撼天",1.06,1)</f>
        <v>4231.1</v>
      </c>
      <c r="E10">
        <f>MAX(B2+B23,C2+B24)*IF($G$2="撼天",1.06,1)</f>
        <v>4231.1</v>
      </c>
      <c r="F10">
        <f>D2</f>
        <v>58.4</v>
      </c>
      <c r="G10" s="87">
        <f>E2</f>
        <v>0.025</v>
      </c>
      <c r="H10" s="68" t="s">
        <v>113</v>
      </c>
      <c r="I10" s="73">
        <f>SUM(K:K)</f>
        <v>10763814.2343509</v>
      </c>
      <c r="J10" s="74"/>
      <c r="K10" s="38">
        <f t="shared" si="0"/>
        <v>61485.4575044025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62293.8598161009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61186.2562602743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39931.9614205775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34540.7700557666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82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0.7139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3673.1</v>
      </c>
      <c r="AT10" cm="1">
        <f t="array" ref="AT10">$E$10*(1+$AR10)+VLOOKUP($Q10,武学奇术!$A:$ZZ,4,FALSE)+SUM(_xlfn.XLOOKUP($R10:$AK10,增益!$A:$A,增益!$D:$D,0))-$I$2</f>
        <v>3673.1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1823.136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ht="14.25" spans="1:74">
      <c r="A11" s="41" t="s">
        <v>116</v>
      </c>
      <c r="B11" s="70">
        <f>9.2%+IF(E24="断石之构",4.1%,0)</f>
        <v>0.092</v>
      </c>
      <c r="C11" s="45" t="s">
        <v>83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71"/>
      <c r="I11" s="75"/>
      <c r="J11" s="76"/>
      <c r="K11" s="38">
        <f t="shared" si="0"/>
        <v>163385.203361784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168624.559501057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137675.734613546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90658.3653231491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79334.7050066341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82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0.7091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4434.698</v>
      </c>
      <c r="AT11" cm="1">
        <f t="array" ref="AT11">$E$10*(1+$AR11)+VLOOKUP($Q11,武学奇术!$A:$ZZ,4,FALSE)+SUM(_xlfn.XLOOKUP($R11:$AK11,增益!$A:$A,增益!$D:$D,0))-$I$2</f>
        <v>4434.698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1920.804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v>0</v>
      </c>
      <c r="C12" s="45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8" t="s">
        <v>119</v>
      </c>
      <c r="I12" s="38">
        <f>I10/I8</f>
        <v>106783.871372529</v>
      </c>
      <c r="J12" s="77"/>
      <c r="K12" s="38">
        <f t="shared" si="0"/>
        <v>331914.653514153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342742.301247812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278187.053292651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183284.653073696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160504.82222691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82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0.7191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4434.698</v>
      </c>
      <c r="AT12" cm="1">
        <f t="array" ref="AT12">$E$10*(1+$AR12)+VLOOKUP($Q12,武学奇术!$A:$ZZ,4,FALSE)+SUM(_xlfn.XLOOKUP($R12:$AK12,增益!$A:$A,增益!$D:$D,0))-$I$2</f>
        <v>4434.698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1920.804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ht="14.25" spans="1:74">
      <c r="A13" s="41" t="s">
        <v>120</v>
      </c>
      <c r="B13" s="70">
        <f>54%+IF(G2="时雨",10%,0)</f>
        <v>0.54</v>
      </c>
      <c r="C13" s="45" t="s">
        <v>5</v>
      </c>
      <c r="D13">
        <f>(B5+IF($G$1=$C13,$B$7,0))*IF($G$2="撼天",1.06,1)</f>
        <v>571.2</v>
      </c>
      <c r="E13">
        <f>(MAX(B5,C5)+IF($G$1=$C13,$C$7,0))*IF($G$2="撼天",1.06,1)</f>
        <v>1627.8</v>
      </c>
      <c r="F13">
        <f>D5</f>
        <v>30</v>
      </c>
      <c r="G13" s="87">
        <f>E5</f>
        <v>0.15</v>
      </c>
      <c r="H13" s="71"/>
      <c r="I13" s="78"/>
      <c r="J13" s="76"/>
      <c r="K13" s="38">
        <f t="shared" si="0"/>
        <v>443203.36643378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460047.567395273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352458.76287278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232347.256260239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203613.947429529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82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0.7791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4434.698</v>
      </c>
      <c r="AT13" cm="1">
        <f t="array" ref="AT13">$E$10*(1+$AR13)+VLOOKUP($Q13,武学奇术!$A:$ZZ,4,FALSE)+SUM(_xlfn.XLOOKUP($R13:$AK13,增益!$A:$A,增益!$D:$D,0))-$I$2</f>
        <v>4434.698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1920.804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ht="14.25" spans="1:74">
      <c r="A14" s="41" t="s">
        <v>122</v>
      </c>
      <c r="B14" s="70">
        <v>0.35</v>
      </c>
      <c r="C14" s="53" t="s">
        <v>98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8">
        <f>E6</f>
        <v>0</v>
      </c>
      <c r="H14" s="36" t="s">
        <v>123</v>
      </c>
      <c r="I14" s="73">
        <f>RD!I14</f>
        <v>136299.310846696</v>
      </c>
      <c r="J14" s="74"/>
      <c r="K14" s="38">
        <f t="shared" si="0"/>
        <v>70347.5151704518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71381.8755220945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69104.3065023091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45178.4022291737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39168.4292714518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82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0.6291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3673.1</v>
      </c>
      <c r="AT14" cm="1">
        <f t="array" ref="AT14">$E$10*(1+$AR14)+VLOOKUP($Q14,武学奇术!$A:$ZZ,4,FALSE)+SUM(_xlfn.XLOOKUP($R14:$AK14,增益!$A:$A,增益!$D:$D,0))-$I$2</f>
        <v>3673.1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1823.136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ht="14.25" spans="1:74">
      <c r="A15" s="41" t="s">
        <v>125</v>
      </c>
      <c r="B15" s="70"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135858.664491722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140277.411431445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114206.873833583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74615.6443784281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64633.6044356832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82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0.8291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3673.1</v>
      </c>
      <c r="AT15" cm="1">
        <f t="array" ref="AT15">$E$10*(1+$AR15)+VLOOKUP($Q15,武学奇术!$A:$ZZ,4,FALSE)+SUM(_xlfn.XLOOKUP($R15:$AK15,增益!$A:$A,增益!$D:$D,0))-$I$2</f>
        <v>3673.1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1823.136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v>0.0887</v>
      </c>
      <c r="C16" s="39" t="s">
        <v>129</v>
      </c>
      <c r="D16" s="79" t="s">
        <v>130</v>
      </c>
      <c r="E16" s="39" t="s">
        <v>131</v>
      </c>
      <c r="F16" s="79" t="s">
        <v>130</v>
      </c>
      <c r="H16" s="68" t="s">
        <v>132</v>
      </c>
      <c r="I16" s="81">
        <f>I12/106783.87</f>
        <v>1.00000001285334</v>
      </c>
      <c r="J16" s="82"/>
      <c r="K16" s="38">
        <f t="shared" si="0"/>
        <v>21806.1953086165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22126.9952282532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21418.9757345891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14004.4273596539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12142.9467677604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82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0.5041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3673.1</v>
      </c>
      <c r="AT16" cm="1">
        <f t="array" ref="AT16">$E$10*(1+$AR16)+VLOOKUP($Q16,武学奇术!$A:$ZZ,4,FALSE)+SUM(_xlfn.XLOOKUP($R16:$AK16,增益!$A:$A,增益!$D:$D,0))-$I$2</f>
        <v>3673.1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1823.136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ht="14.25" spans="1:74">
      <c r="A17" s="41" t="s">
        <v>134</v>
      </c>
      <c r="B17" s="70">
        <v>0.0852</v>
      </c>
      <c r="C17" s="39" t="s">
        <v>135</v>
      </c>
      <c r="D17" s="79" t="s">
        <v>130</v>
      </c>
      <c r="E17" s="39" t="s">
        <v>136</v>
      </c>
      <c r="F17" s="79" t="s">
        <v>130</v>
      </c>
      <c r="H17" s="71"/>
      <c r="I17" s="83"/>
      <c r="J17" s="84"/>
      <c r="K17" s="38">
        <f t="shared" si="0"/>
        <v>33063.273859616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34155.4500939343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27660.0875965037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18071.6667163674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15654.3796575468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82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0.5041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3673.1</v>
      </c>
      <c r="AT17" cm="1">
        <f t="array" ref="AT17">$E$10*(1+$AR17)+VLOOKUP($Q17,武学奇术!$A:$ZZ,4,FALSE)+SUM(_xlfn.XLOOKUP($R17:$AK17,增益!$A:$A,增益!$D:$D,0))-$I$2</f>
        <v>3673.1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1823.136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v>0</v>
      </c>
      <c r="C18" s="39" t="s">
        <v>139</v>
      </c>
      <c r="D18" s="79" t="s">
        <v>130</v>
      </c>
      <c r="K18" s="38">
        <f t="shared" si="0"/>
        <v>104560.418422118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108067.657140531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87046.6852831981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56877.7142844898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49276.4024332772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82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0.5041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3673.1</v>
      </c>
      <c r="AT18" cm="1">
        <f t="array" ref="AT18">$E$10*(1+$AR18)+VLOOKUP($Q18,武学奇术!$A:$ZZ,4,FALSE)+SUM(_xlfn.XLOOKUP($R18:$AK18,增益!$A:$A,增益!$D:$D,0))-$I$2</f>
        <v>3673.1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1823.136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v>0</v>
      </c>
      <c r="C19" s="39" t="s">
        <v>143</v>
      </c>
      <c r="D19" s="79" t="s">
        <v>130</v>
      </c>
      <c r="I19" s="26"/>
      <c r="J19" s="26"/>
      <c r="K19" s="38">
        <f t="shared" si="0"/>
        <v>22052.2906515981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22407.0837754463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21418.9757345891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14004.4273596539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12142.9467677604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82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0.5041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3673.1</v>
      </c>
      <c r="AT19" cm="1">
        <f t="array" ref="AT19">$E$10*(1+$AR19)+VLOOKUP($Q19,武学奇术!$A:$ZZ,4,FALSE)+SUM(_xlfn.XLOOKUP($R19:$AK19,增益!$A:$A,增益!$D:$D,0))-$I$2</f>
        <v>3673.1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1823.136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v>0</v>
      </c>
      <c r="C20" s="39" t="s">
        <v>145</v>
      </c>
      <c r="D20" s="79" t="s">
        <v>130</v>
      </c>
      <c r="I20" s="26"/>
      <c r="K20" s="38">
        <f t="shared" si="0"/>
        <v>33222.05768221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34336.166761098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27660.0875965037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18071.6667163674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15654.3796575468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82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0.5041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3673.1</v>
      </c>
      <c r="AT20" cm="1">
        <f t="array" ref="AT20">$E$10*(1+$AR20)+VLOOKUP($Q20,武学奇术!$A:$ZZ,4,FALSE)+SUM(_xlfn.XLOOKUP($R20:$AK20,增益!$A:$A,增益!$D:$D,0))-$I$2</f>
        <v>3673.1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1823.136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ht="14.25" spans="1:74">
      <c r="A21" s="85" t="s">
        <v>146</v>
      </c>
      <c r="B21" s="89">
        <v>0.32</v>
      </c>
      <c r="E21" s="39" t="s">
        <v>147</v>
      </c>
      <c r="F21" s="39"/>
      <c r="K21" s="38">
        <f t="shared" si="0"/>
        <v>105060.165403747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108636.434283375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87046.6852831981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56877.7142844898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49276.4024332772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82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0.5041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3673.1</v>
      </c>
      <c r="AT21" cm="1">
        <f t="array" ref="AT21">$E$10*(1+$AR21)+VLOOKUP($Q21,武学奇术!$A:$ZZ,4,FALSE)+SUM(_xlfn.XLOOKUP($R21:$AK21,增益!$A:$A,增益!$D:$D,0))-$I$2</f>
        <v>3673.1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1823.136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v>0.5</v>
      </c>
      <c r="C22" s="39" t="s">
        <v>150</v>
      </c>
      <c r="D22" s="79" t="s">
        <v>151</v>
      </c>
      <c r="E22" s="39" t="s">
        <v>152</v>
      </c>
      <c r="F22" s="39"/>
      <c r="K22" s="38">
        <f t="shared" si="0"/>
        <v>93219.3150107155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94781.6726213803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90045.7157707324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58870.6041126586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51040.6780247747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82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0.3189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3673.1</v>
      </c>
      <c r="AT22" cm="1">
        <f t="array" ref="AT22">$E$10*(1+$AR22)+VLOOKUP($Q22,武学奇术!$A:$ZZ,4,FALSE)+SUM(_xlfn.XLOOKUP($R22:$AK22,增益!$A:$A,增益!$D:$D,0))-$I$2</f>
        <v>3673.1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1823.136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v>200</v>
      </c>
      <c r="E23" s="39" t="s">
        <v>154</v>
      </c>
      <c r="F23" s="39"/>
      <c r="K23" s="38">
        <f t="shared" si="0"/>
        <v>24375.219991541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24783.7285390643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23545.6029664949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15393.620210599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13346.0530386091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82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0.5189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3673.1</v>
      </c>
      <c r="AT23" cm="1">
        <f t="array" ref="AT23">$E$10*(1+$AR23)+VLOOKUP($Q23,武学奇术!$A:$ZZ,4,FALSE)+SUM(_xlfn.XLOOKUP($R23:$AK23,增益!$A:$A,增益!$D:$D,0))-$I$2</f>
        <v>3673.1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1823.136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v>400</v>
      </c>
      <c r="E24" s="40" t="s">
        <v>155</v>
      </c>
      <c r="F24" s="40"/>
      <c r="K24" s="38">
        <f t="shared" si="0"/>
        <v>60963.5075818461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62026.0861969997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58563.0942333448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38287.7075290122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33195.3452555468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82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0.6189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3673.1</v>
      </c>
      <c r="AT24" cm="1">
        <f t="array" ref="AT24">$E$10*(1+$AR24)+VLOOKUP($Q24,武学奇术!$A:$ZZ,4,FALSE)+SUM(_xlfn.XLOOKUP($R24:$AK24,增益!$A:$A,增益!$D:$D,0))-$I$2</f>
        <v>3673.1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1823.136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160146.281125822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165854.642911682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130360.090277336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85935.0481407678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75307.0664464716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82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0.6041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4434.698</v>
      </c>
      <c r="AT25" cm="1">
        <f t="array" ref="AT25">$E$10*(1+$AR25)+VLOOKUP($Q25,武学奇术!$A:$ZZ,4,FALSE)+SUM(_xlfn.XLOOKUP($R25:$AK25,增益!$A:$A,增益!$D:$D,0))-$I$2</f>
        <v>4434.698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1920.804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321802.671490902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333427.986786179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260720.180554673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171870.096281536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150614.132892943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82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0.6041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4434.698</v>
      </c>
      <c r="AT26" cm="1">
        <f t="array" ref="AT26">$E$10*(1+$AR26)+VLOOKUP($Q26,武学奇术!$A:$ZZ,4,FALSE)+SUM(_xlfn.XLOOKUP($R26:$AK26,增益!$A:$A,增益!$D:$D,0))-$I$2</f>
        <v>4434.698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1920.804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423452.072641453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440685.861965783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327694.924213291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216022.481355776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189307.981812818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82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0.6541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4434.698</v>
      </c>
      <c r="AT27" cm="1">
        <f t="array" ref="AT27">$E$10*(1+$AR27)+VLOOKUP($Q27,武学奇术!$A:$ZZ,4,FALSE)+SUM(_xlfn.XLOOKUP($R27:$AK27,增益!$A:$A,增益!$D:$D,0))-$I$2</f>
        <v>4434.698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1920.804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A28" t="s">
        <v>159</v>
      </c>
      <c r="B28">
        <v>1.3</v>
      </c>
      <c r="H28">
        <v>1</v>
      </c>
      <c r="K28" s="38">
        <f t="shared" si="0"/>
        <v>67148.7558509457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68407.4943590672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63801.9688233523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41711.8868043093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36163.0559616909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82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0.5041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3673.1</v>
      </c>
      <c r="AT28" cm="1">
        <f t="array" ref="AT28">$E$10*(1+$AR28)+VLOOKUP($Q28,武学奇术!$A:$ZZ,4,FALSE)+SUM(_xlfn.XLOOKUP($R28:$AK28,增益!$A:$A,增益!$D:$D,0))-$I$2</f>
        <v>3673.1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1823.136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A29" t="s">
        <v>104</v>
      </c>
      <c r="B29">
        <v>0.93</v>
      </c>
      <c r="H29">
        <v>21</v>
      </c>
      <c r="K29" s="38">
        <f t="shared" si="0"/>
        <v>130238.905682725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134861.892731639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106402.019408348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69516.4395523915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60216.5684319325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82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0.7041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3673.1</v>
      </c>
      <c r="AT29" cm="1">
        <f t="array" ref="AT29">$E$10*(1+$AR29)+VLOOKUP($Q29,武学奇术!$A:$ZZ,4,FALSE)+SUM(_xlfn.XLOOKUP($R29:$AK29,增益!$A:$A,增益!$D:$D,0))-$I$2</f>
        <v>3673.1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1823.136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A30" t="s">
        <v>108</v>
      </c>
      <c r="B30">
        <v>0.5</v>
      </c>
      <c r="E30" s="39" t="s">
        <v>160</v>
      </c>
      <c r="H30">
        <v>41</v>
      </c>
      <c r="K30" s="38">
        <f t="shared" si="0"/>
        <v>22544.4813375611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22967.2608698325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21418.9757345891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14004.4273596539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12142.9467677604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82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0.5041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3673.1</v>
      </c>
      <c r="AT30" cm="1">
        <f t="array" ref="AT30">$E$10*(1+$AR30)+VLOOKUP($Q30,武学奇术!$A:$ZZ,4,FALSE)+SUM(_xlfn.XLOOKUP($R30:$AK30,增益!$A:$A,增益!$D:$D,0))-$I$2</f>
        <v>3673.1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1823.136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A31" t="s">
        <v>161</v>
      </c>
      <c r="B31">
        <v>2.1</v>
      </c>
      <c r="D31" s="39" t="s">
        <v>159</v>
      </c>
      <c r="E31" s="39"/>
      <c r="H31">
        <v>73</v>
      </c>
      <c r="K31" s="38">
        <f t="shared" si="0"/>
        <v>33857.1929725861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35059.0334297527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27660.0875965037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18071.6667163674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15654.3796575468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82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0.5041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3673.1</v>
      </c>
      <c r="AT31" cm="1">
        <f t="array" ref="AT31">$E$10*(1+$AR31)+VLOOKUP($Q31,武学奇术!$A:$ZZ,4,FALSE)+SUM(_xlfn.XLOOKUP($R31:$AK31,增益!$A:$A,增益!$D:$D,0))-$I$2</f>
        <v>3673.1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1823.136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A32" t="s">
        <v>162</v>
      </c>
      <c r="B32">
        <v>0.1</v>
      </c>
      <c r="D32" s="39"/>
      <c r="E32" s="39"/>
      <c r="H32">
        <v>121</v>
      </c>
      <c r="K32" s="38">
        <f t="shared" si="0"/>
        <v>106559.406348633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110342.76571191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87046.6852831981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56877.7142844898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49276.4024332772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82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0.5041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3673.1</v>
      </c>
      <c r="AT32" cm="1">
        <f t="array" ref="AT32">$E$10*(1+$AR32)+VLOOKUP($Q32,武学奇术!$A:$ZZ,4,FALSE)+SUM(_xlfn.XLOOKUP($R32:$AK32,增益!$A:$A,增益!$D:$D,0))-$I$2</f>
        <v>3673.1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1823.136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1:74">
      <c r="A33" t="s">
        <v>163</v>
      </c>
      <c r="B33">
        <v>6.1</v>
      </c>
      <c r="D33" s="39"/>
      <c r="E33" s="39"/>
      <c r="H33">
        <v>141</v>
      </c>
      <c r="K33" s="38">
        <f t="shared" si="0"/>
        <v>22544.4813375611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22967.2608698325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21418.9757345891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14004.4273596539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12142.9467677604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82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0.5041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3673.1</v>
      </c>
      <c r="AT33" cm="1">
        <f t="array" ref="AT33">$E$10*(1+$AR33)+VLOOKUP($Q33,武学奇术!$A:$ZZ,4,FALSE)+SUM(_xlfn.XLOOKUP($R33:$AK33,增益!$A:$A,增益!$D:$D,0))-$I$2</f>
        <v>3673.1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1823.136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1:74">
      <c r="A34" t="s">
        <v>164</v>
      </c>
      <c r="B34">
        <v>2</v>
      </c>
      <c r="D34" s="39"/>
      <c r="E34" s="39"/>
      <c r="K34" s="38">
        <f t="shared" si="0"/>
        <v>33857.1929725861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35059.0334297527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27660.0875965037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18071.6667163674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15654.3796575468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82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0.5041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3673.1</v>
      </c>
      <c r="AT34" cm="1">
        <f t="array" ref="AT34">$E$10*(1+$AR34)+VLOOKUP($Q34,武学奇术!$A:$ZZ,4,FALSE)+SUM(_xlfn.XLOOKUP($R34:$AK34,增益!$A:$A,增益!$D:$D,0))-$I$2</f>
        <v>3673.1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1823.136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1:74">
      <c r="A35" t="s">
        <v>165</v>
      </c>
      <c r="B35">
        <v>1.6</v>
      </c>
      <c r="D35" s="39"/>
      <c r="E35" s="39"/>
      <c r="K35" s="38">
        <f t="shared" ref="K35:K60" si="11">($L35*$BS35+$M35*$BQ35+$N35*$BT35+$O35*$BU35)</f>
        <v>106559.406348633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110342.76571191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87046.6852831981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56877.7142844898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49276.4024332772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82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0.5041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3673.1</v>
      </c>
      <c r="AT35" cm="1">
        <f t="array" ref="AT35">$E$10*(1+$AR35)+VLOOKUP($Q35,武学奇术!$A:$ZZ,4,FALSE)+SUM(_xlfn.XLOOKUP($R35:$AK35,增益!$A:$A,增益!$D:$D,0))-$I$2</f>
        <v>3673.1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ref="AX35:AX66" si="12">$D$11*(1+$AW35)</f>
        <v>0</v>
      </c>
      <c r="AY35">
        <f t="shared" ref="AY35:AY66" si="13">$E$11*(1+$AW35)</f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ref="BB35:BB66" si="14">$D$12*(1+$AW35)</f>
        <v>0</v>
      </c>
      <c r="BC35">
        <f t="shared" ref="BC35:BC66" si="15">$E$12*(1+$AW35)</f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ref="BF35:BF66" si="16">$D$13*(1+$AW35)</f>
        <v>639.744</v>
      </c>
      <c r="BG35">
        <f t="shared" ref="BG35:BG66" si="17">$E$13*(1+$AW35)</f>
        <v>1823.136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ref="BJ35:BJ66" si="18">$D$14*(1+$AW35)</f>
        <v>0</v>
      </c>
      <c r="BK35">
        <f t="shared" ref="BK35:BK66" si="19">$E$14*(1+$AW35)</f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ref="BS35:BS66" si="20">MIN((1-BQ35)*BN35,BN35*BO35)</f>
        <v>0.87863408</v>
      </c>
      <c r="BT35" s="26">
        <f t="shared" ref="BT35:BT66" si="21">1-BQ35-BS35-BU35</f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1:74">
      <c r="A36" t="s">
        <v>166</v>
      </c>
      <c r="B36">
        <v>1.3</v>
      </c>
      <c r="D36" s="39"/>
      <c r="E36" s="39"/>
      <c r="K36" s="38">
        <f t="shared" si="11"/>
        <v>99525.7673020333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101438.032235649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94060.3997840483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61852.4586802739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54030.5471501416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82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0.4189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3673.1</v>
      </c>
      <c r="AT36" cm="1">
        <f t="array" ref="AT36">$E$10*(1+$AR36)+VLOOKUP($Q36,武学奇术!$A:$ZZ,4,FALSE)+SUM(_xlfn.XLOOKUP($R36:$AK36,增益!$A:$A,增益!$D:$D,0))-$I$2</f>
        <v>3673.1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2"/>
        <v>0</v>
      </c>
      <c r="AY36">
        <f t="shared" si="13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14"/>
        <v>0</v>
      </c>
      <c r="BC36">
        <f t="shared" si="15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16"/>
        <v>639.744</v>
      </c>
      <c r="BG36">
        <f t="shared" si="17"/>
        <v>1823.136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18"/>
        <v>0</v>
      </c>
      <c r="BK36">
        <f t="shared" si="19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20"/>
        <v>0.87863408</v>
      </c>
      <c r="BT36" s="26">
        <f t="shared" si="21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1:74">
      <c r="A37" t="s">
        <v>167</v>
      </c>
      <c r="B37">
        <v>1.3</v>
      </c>
      <c r="E37" s="39"/>
      <c r="K37" s="38">
        <f t="shared" si="11"/>
        <v>24190.2288717708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24654.9959811205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22862.0427869072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15033.5341348296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13132.221760839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82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0.5189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3673.1</v>
      </c>
      <c r="AT37" cm="1">
        <f t="array" ref="AT37">$E$10*(1+$AR37)+VLOOKUP($Q37,武学奇术!$A:$ZZ,4,FALSE)+SUM(_xlfn.XLOOKUP($R37:$AK37,增益!$A:$A,增益!$D:$D,0))-$I$2</f>
        <v>3673.1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2"/>
        <v>0</v>
      </c>
      <c r="AY37">
        <f t="shared" si="13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14"/>
        <v>0</v>
      </c>
      <c r="BC37">
        <f t="shared" si="15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16"/>
        <v>639.744</v>
      </c>
      <c r="BG37">
        <f t="shared" si="17"/>
        <v>1823.136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18"/>
        <v>0</v>
      </c>
      <c r="BK37">
        <f t="shared" si="19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20"/>
        <v>0.87863408</v>
      </c>
      <c r="BT37" s="26">
        <f t="shared" si="21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1:74">
      <c r="A38" t="s">
        <v>165</v>
      </c>
      <c r="B38">
        <v>1.6</v>
      </c>
      <c r="K38" s="38">
        <f t="shared" si="11"/>
        <v>61636.3252754473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62791.84034758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58563.0942333448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38287.7075290122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33195.3452555468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82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0.6189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3673.1</v>
      </c>
      <c r="AT38" cm="1">
        <f t="array" ref="AT38">$E$10*(1+$AR38)+VLOOKUP($Q38,武学奇术!$A:$ZZ,4,FALSE)+SUM(_xlfn.XLOOKUP($R38:$AK38,增益!$A:$A,增益!$D:$D,0))-$I$2</f>
        <v>3673.1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2"/>
        <v>0</v>
      </c>
      <c r="AY38">
        <f t="shared" si="13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14"/>
        <v>0</v>
      </c>
      <c r="BC38">
        <f t="shared" si="15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16"/>
        <v>639.744</v>
      </c>
      <c r="BG38">
        <f t="shared" si="17"/>
        <v>1823.136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18"/>
        <v>0</v>
      </c>
      <c r="BK38">
        <f t="shared" si="19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20"/>
        <v>0.87863408</v>
      </c>
      <c r="BT38" s="26">
        <f t="shared" si="21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1:74">
      <c r="A39" t="s">
        <v>167</v>
      </c>
      <c r="B39">
        <v>1.3</v>
      </c>
      <c r="F39" s="4"/>
      <c r="K39" s="38">
        <f t="shared" si="11"/>
        <v>243738.329325269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248087.259445432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233974.215691438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151272.719174044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129231.204502578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171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82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0.2337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3673.1</v>
      </c>
      <c r="AT39" cm="1">
        <f t="array" ref="AT39">$E$10*(1+$AR39)+VLOOKUP($Q39,武学奇术!$A:$ZZ,4,FALSE)+SUM(_xlfn.XLOOKUP($R39:$AK39,增益!$A:$A,增益!$D:$D,0))-$I$2</f>
        <v>3673.1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2"/>
        <v>0</v>
      </c>
      <c r="AY39">
        <f t="shared" si="13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14"/>
        <v>0</v>
      </c>
      <c r="BC39">
        <f t="shared" si="15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16"/>
        <v>639.744</v>
      </c>
      <c r="BG39">
        <f t="shared" si="17"/>
        <v>1823.136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18"/>
        <v>0</v>
      </c>
      <c r="BK39">
        <f t="shared" si="19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20"/>
        <v>0.87863408</v>
      </c>
      <c r="BT39" s="26">
        <f t="shared" si="21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1:74">
      <c r="A40" t="s">
        <v>162</v>
      </c>
      <c r="B40">
        <v>0.1</v>
      </c>
      <c r="K40" s="38">
        <f t="shared" si="11"/>
        <v>189892.567411298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196752.550761214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153848.394831811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101418.840598564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88875.9072476376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171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82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0.6041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4434.698</v>
      </c>
      <c r="AT40" cm="1">
        <f t="array" ref="AT40">$E$10*(1+$AR40)+VLOOKUP($Q40,武学奇术!$A:$ZZ,4,FALSE)+SUM(_xlfn.XLOOKUP($R40:$AK40,增益!$A:$A,增益!$D:$D,0))-$I$2</f>
        <v>4434.698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14"/>
        <v>0</v>
      </c>
      <c r="BC40">
        <f t="shared" si="15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16"/>
        <v>674.016</v>
      </c>
      <c r="BG40">
        <f t="shared" si="17"/>
        <v>1920.804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18"/>
        <v>0</v>
      </c>
      <c r="BK40">
        <f t="shared" si="19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20"/>
        <v>0.87863408</v>
      </c>
      <c r="BT40" s="26">
        <f t="shared" si="21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1:74">
      <c r="A41" t="s">
        <v>172</v>
      </c>
      <c r="B41">
        <v>0.8</v>
      </c>
      <c r="K41" s="38">
        <f t="shared" si="11"/>
        <v>379785.134822596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393505.101522427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307696.789663623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202837.681197128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177751.814495275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171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82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0.6041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4434.698</v>
      </c>
      <c r="AT41" cm="1">
        <f t="array" ref="AT41">$E$10*(1+$AR41)+VLOOKUP($Q41,武学奇术!$A:$ZZ,4,FALSE)+SUM(_xlfn.XLOOKUP($R41:$AK41,增益!$A:$A,增益!$D:$D,0))-$I$2</f>
        <v>4434.698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2"/>
        <v>0</v>
      </c>
      <c r="AY41">
        <f t="shared" si="13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14"/>
        <v>0</v>
      </c>
      <c r="BC41">
        <f t="shared" si="15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16"/>
        <v>674.016</v>
      </c>
      <c r="BG41">
        <f t="shared" si="17"/>
        <v>1920.804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18"/>
        <v>0</v>
      </c>
      <c r="BK41">
        <f t="shared" si="19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20"/>
        <v>0.87863408</v>
      </c>
      <c r="BT41" s="26">
        <f t="shared" si="21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1:74">
      <c r="A42" t="s">
        <v>161</v>
      </c>
      <c r="B42">
        <v>2.1</v>
      </c>
      <c r="K42" s="38">
        <f t="shared" si="11"/>
        <v>499749.743387661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520088.719977636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386739.054702172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254945.450969429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223417.528085398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171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82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0.6541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4434.698</v>
      </c>
      <c r="AT42" cm="1">
        <f t="array" ref="AT42">$E$10*(1+$AR42)+VLOOKUP($Q42,武学奇术!$A:$ZZ,4,FALSE)+SUM(_xlfn.XLOOKUP($R42:$AK42,增益!$A:$A,增益!$D:$D,0))-$I$2</f>
        <v>4434.698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2"/>
        <v>0</v>
      </c>
      <c r="AY42">
        <f t="shared" si="13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14"/>
        <v>0</v>
      </c>
      <c r="BC42">
        <f t="shared" si="15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16"/>
        <v>674.016</v>
      </c>
      <c r="BG42">
        <f t="shared" si="17"/>
        <v>1920.804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18"/>
        <v>0</v>
      </c>
      <c r="BK42">
        <f t="shared" si="19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20"/>
        <v>0.87863408</v>
      </c>
      <c r="BT42" s="26">
        <f t="shared" si="21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1:74">
      <c r="A43" t="s">
        <v>173</v>
      </c>
      <c r="B43">
        <v>1.8</v>
      </c>
      <c r="E43" s="39" t="s">
        <v>160</v>
      </c>
      <c r="K43" s="38">
        <f t="shared" si="11"/>
        <v>79247.630779044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80733.1690183586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75297.8190617941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49227.542084365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42678.9219007343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171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82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0.5041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3673.1</v>
      </c>
      <c r="AT43" cm="1">
        <f t="array" ref="AT43">$E$10*(1+$AR43)+VLOOKUP($Q43,武学奇术!$A:$ZZ,4,FALSE)+SUM(_xlfn.XLOOKUP($R43:$AK43,增益!$A:$A,增益!$D:$D,0))-$I$2</f>
        <v>3673.1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14"/>
        <v>0</v>
      </c>
      <c r="BC43">
        <f t="shared" si="15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16"/>
        <v>639.744</v>
      </c>
      <c r="BG43">
        <f t="shared" si="17"/>
        <v>1823.136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18"/>
        <v>0</v>
      </c>
      <c r="BK43">
        <f t="shared" si="19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20"/>
        <v>0.87863408</v>
      </c>
      <c r="BT43" s="26">
        <f t="shared" si="21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1:74">
      <c r="A44" t="s">
        <v>163</v>
      </c>
      <c r="B44">
        <v>6.1</v>
      </c>
      <c r="C44" s="4"/>
      <c r="E44" s="39"/>
      <c r="K44" s="38">
        <f t="shared" si="11"/>
        <v>153705.375175108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159161.332863466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125573.554436879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82041.924156426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71066.4005818303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171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82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0.7041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3673.1</v>
      </c>
      <c r="AT44" cm="1">
        <f t="array" ref="AT44">$E$10*(1+$AR44)+VLOOKUP($Q44,武学奇术!$A:$ZZ,4,FALSE)+SUM(_xlfn.XLOOKUP($R44:$AK44,增益!$A:$A,增益!$D:$D,0))-$I$2</f>
        <v>3673.1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14"/>
        <v>0</v>
      </c>
      <c r="BC44">
        <f t="shared" si="15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16"/>
        <v>639.744</v>
      </c>
      <c r="BG44">
        <f t="shared" si="17"/>
        <v>1823.136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18"/>
        <v>0</v>
      </c>
      <c r="BK44">
        <f t="shared" si="19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20"/>
        <v>0.87863408</v>
      </c>
      <c r="BT44" s="26">
        <f t="shared" si="21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1:74">
      <c r="A45" t="s">
        <v>164</v>
      </c>
      <c r="B45">
        <v>2</v>
      </c>
      <c r="E45" s="39"/>
      <c r="K45" s="38">
        <f t="shared" si="11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82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0.1837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3673.1</v>
      </c>
      <c r="AT45" cm="1">
        <f t="array" ref="AT45">$E$10*(1+$AR45)+VLOOKUP($Q45,武学奇术!$A:$ZZ,4,FALSE)+SUM(_xlfn.XLOOKUP($R45:$AK45,增益!$A:$A,增益!$D:$D,0))-$I$2</f>
        <v>3673.1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16"/>
        <v>571.2</v>
      </c>
      <c r="BG45">
        <f t="shared" si="17"/>
        <v>1627.8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20"/>
        <v>0.87863408</v>
      </c>
      <c r="BT45" s="26">
        <f t="shared" si="21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1:74">
      <c r="A46" t="s">
        <v>165</v>
      </c>
      <c r="B46">
        <v>1.6</v>
      </c>
      <c r="E46" s="39"/>
      <c r="K46" s="38">
        <f t="shared" si="11"/>
        <v>92511.4768444934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94288.9708334609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87431.2927445072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57493.2748984518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50222.6292454167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82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0.3189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3673.1</v>
      </c>
      <c r="AT46" cm="1">
        <f t="array" ref="AT46">$E$10*(1+$AR46)+VLOOKUP($Q46,武学奇术!$A:$ZZ,4,FALSE)+SUM(_xlfn.XLOOKUP($R46:$AK46,增益!$A:$A,增益!$D:$D,0))-$I$2</f>
        <v>3673.1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14"/>
        <v>0</v>
      </c>
      <c r="BC46">
        <f t="shared" si="15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16"/>
        <v>639.744</v>
      </c>
      <c r="BG46">
        <f t="shared" si="17"/>
        <v>1823.136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18"/>
        <v>0</v>
      </c>
      <c r="BK46">
        <f t="shared" si="19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20"/>
        <v>0.87863408</v>
      </c>
      <c r="BT46" s="26">
        <f t="shared" si="21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1:74">
      <c r="A47" t="s">
        <v>167</v>
      </c>
      <c r="B47">
        <v>1.3</v>
      </c>
      <c r="E47" s="39"/>
      <c r="K47" s="38">
        <f t="shared" si="11"/>
        <v>26412.4891506775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26907.6305778256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25095.7776301656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16407.0918157473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14224.7187202609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82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0.6189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3673.1</v>
      </c>
      <c r="AT47" cm="1">
        <f t="array" ref="AT47">$E$10*(1+$AR47)+VLOOKUP($Q47,武学奇术!$A:$ZZ,4,FALSE)+SUM(_xlfn.XLOOKUP($R47:$AK47,增益!$A:$A,增益!$D:$D,0))-$I$2</f>
        <v>3673.1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14"/>
        <v>0</v>
      </c>
      <c r="BC47">
        <f t="shared" si="15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16"/>
        <v>639.744</v>
      </c>
      <c r="BG47">
        <f t="shared" si="17"/>
        <v>1823.136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18"/>
        <v>0</v>
      </c>
      <c r="BK47">
        <f t="shared" si="19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20"/>
        <v>0.87863408</v>
      </c>
      <c r="BT47" s="26">
        <f t="shared" si="21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1:74">
      <c r="A48" t="s">
        <v>174</v>
      </c>
      <c r="B48">
        <v>1.3</v>
      </c>
      <c r="E48" s="39"/>
      <c r="K48" s="38">
        <f t="shared" si="11"/>
        <v>61636.3252754473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62791.84034758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58563.0942333448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38287.7075290122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33195.3452555468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82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0.6189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3673.1</v>
      </c>
      <c r="AT48" cm="1">
        <f t="array" ref="AT48">$E$10*(1+$AR48)+VLOOKUP($Q48,武学奇术!$A:$ZZ,4,FALSE)+SUM(_xlfn.XLOOKUP($R48:$AK48,增益!$A:$A,增益!$D:$D,0))-$I$2</f>
        <v>3673.1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14"/>
        <v>0</v>
      </c>
      <c r="BC48">
        <f t="shared" si="15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16"/>
        <v>639.744</v>
      </c>
      <c r="BG48">
        <f t="shared" si="17"/>
        <v>1823.136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18"/>
        <v>0</v>
      </c>
      <c r="BK48">
        <f t="shared" si="19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20"/>
        <v>0.87863408</v>
      </c>
      <c r="BT48" s="26">
        <f t="shared" si="21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A49" t="s">
        <v>165</v>
      </c>
      <c r="B49">
        <v>1.6</v>
      </c>
      <c r="E49" s="39"/>
      <c r="K49" s="38">
        <f t="shared" si="11"/>
        <v>160901.335745451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166713.993393089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130360.090277336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85935.0481407678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75307.0664464716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82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0.6041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4434.698</v>
      </c>
      <c r="AT49" cm="1">
        <f t="array" ref="AT49">$E$10*(1+$AR49)+VLOOKUP($Q49,武学奇术!$A:$ZZ,4,FALSE)+SUM(_xlfn.XLOOKUP($R49:$AK49,增益!$A:$A,增益!$D:$D,0))-$I$2</f>
        <v>4434.698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2"/>
        <v>0</v>
      </c>
      <c r="AY49">
        <f t="shared" si="13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14"/>
        <v>0</v>
      </c>
      <c r="BC49">
        <f t="shared" si="15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16"/>
        <v>674.016</v>
      </c>
      <c r="BG49">
        <f t="shared" si="17"/>
        <v>1920.804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18"/>
        <v>0</v>
      </c>
      <c r="BK49">
        <f t="shared" si="19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20"/>
        <v>0.87863408</v>
      </c>
      <c r="BT49" s="26">
        <f t="shared" si="21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A50" t="s">
        <v>167</v>
      </c>
      <c r="B50">
        <v>1.3</v>
      </c>
      <c r="E50" s="39"/>
      <c r="K50" s="38">
        <f t="shared" si="11"/>
        <v>321802.671490902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333427.986786179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260720.180554673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171870.096281536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150614.132892943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82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0.6041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4434.698</v>
      </c>
      <c r="AT50" cm="1">
        <f t="array" ref="AT50">$E$10*(1+$AR50)+VLOOKUP($Q50,武学奇术!$A:$ZZ,4,FALSE)+SUM(_xlfn.XLOOKUP($R50:$AK50,增益!$A:$A,增益!$D:$D,0))-$I$2</f>
        <v>4434.698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2"/>
        <v>0</v>
      </c>
      <c r="AY50">
        <f t="shared" si="13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14"/>
        <v>0</v>
      </c>
      <c r="BC50">
        <f t="shared" si="15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16"/>
        <v>674.016</v>
      </c>
      <c r="BG50">
        <f t="shared" si="17"/>
        <v>1920.804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18"/>
        <v>0</v>
      </c>
      <c r="BK50">
        <f t="shared" si="19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20"/>
        <v>0.87863408</v>
      </c>
      <c r="BT50" s="26">
        <f t="shared" si="21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A51" t="s">
        <v>162</v>
      </c>
      <c r="B51">
        <v>0.1</v>
      </c>
      <c r="K51" s="38">
        <f t="shared" si="11"/>
        <v>423452.072641453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440685.861965783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327694.924213291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216022.481355776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189307.981812818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82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0.6541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4434.698</v>
      </c>
      <c r="AT51" cm="1">
        <f t="array" ref="AT51">$E$10*(1+$AR51)+VLOOKUP($Q51,武学奇术!$A:$ZZ,4,FALSE)+SUM(_xlfn.XLOOKUP($R51:$AK51,增益!$A:$A,增益!$D:$D,0))-$I$2</f>
        <v>4434.698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2"/>
        <v>0</v>
      </c>
      <c r="AY51">
        <f t="shared" si="13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14"/>
        <v>0</v>
      </c>
      <c r="BC51">
        <f t="shared" si="15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16"/>
        <v>674.016</v>
      </c>
      <c r="BG51">
        <f t="shared" si="17"/>
        <v>1920.804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18"/>
        <v>0</v>
      </c>
      <c r="BK51">
        <f t="shared" si="19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20"/>
        <v>0.87863408</v>
      </c>
      <c r="BT51" s="26">
        <f t="shared" si="21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A52" t="s">
        <v>172</v>
      </c>
      <c r="B52">
        <v>0.8</v>
      </c>
      <c r="K52" s="38">
        <f t="shared" si="11"/>
        <v>67148.7558509457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68407.4943590672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63801.9688233523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41711.8868043093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36163.0559616909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82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0.5041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3673.1</v>
      </c>
      <c r="AT52" cm="1">
        <f t="array" ref="AT52">$E$10*(1+$AR52)+VLOOKUP($Q52,武学奇术!$A:$ZZ,4,FALSE)+SUM(_xlfn.XLOOKUP($R52:$AK52,增益!$A:$A,增益!$D:$D,0))-$I$2</f>
        <v>3673.1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14"/>
        <v>0</v>
      </c>
      <c r="BC52">
        <f t="shared" si="15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16"/>
        <v>639.744</v>
      </c>
      <c r="BG52">
        <f t="shared" si="17"/>
        <v>1823.136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18"/>
        <v>0</v>
      </c>
      <c r="BK52">
        <f t="shared" si="19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20"/>
        <v>0.87863408</v>
      </c>
      <c r="BT52" s="26">
        <f t="shared" si="21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A53" t="s">
        <v>161</v>
      </c>
      <c r="B53">
        <v>2.1</v>
      </c>
      <c r="E53" s="39" t="s">
        <v>160</v>
      </c>
      <c r="K53" s="38">
        <f t="shared" si="11"/>
        <v>130238.905682725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134861.892731639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106402.019408348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69516.4395523915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60216.5684319325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82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0.7041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3673.1</v>
      </c>
      <c r="AT53" cm="1">
        <f t="array" ref="AT53">$E$10*(1+$AR53)+VLOOKUP($Q53,武学奇术!$A:$ZZ,4,FALSE)+SUM(_xlfn.XLOOKUP($R53:$AK53,增益!$A:$A,增益!$D:$D,0))-$I$2</f>
        <v>3673.1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14"/>
        <v>0</v>
      </c>
      <c r="BC53">
        <f t="shared" si="15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16"/>
        <v>639.744</v>
      </c>
      <c r="BG53">
        <f t="shared" si="17"/>
        <v>1823.136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18"/>
        <v>0</v>
      </c>
      <c r="BK53">
        <f t="shared" si="19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20"/>
        <v>0.87863408</v>
      </c>
      <c r="BT53" s="26">
        <f t="shared" si="21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A54" t="s">
        <v>175</v>
      </c>
      <c r="B54">
        <v>1.7</v>
      </c>
      <c r="C54" s="39" t="s">
        <v>176</v>
      </c>
      <c r="E54" s="39"/>
      <c r="K54" s="38">
        <f t="shared" si="11"/>
        <v>22544.4813375611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22967.2608698325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21418.9757345891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14004.4273596539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12142.9467677604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82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0.5041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3673.1</v>
      </c>
      <c r="AT54" cm="1">
        <f t="array" ref="AT54">$E$10*(1+$AR54)+VLOOKUP($Q54,武学奇术!$A:$ZZ,4,FALSE)+SUM(_xlfn.XLOOKUP($R54:$AK54,增益!$A:$A,增益!$D:$D,0))-$I$2</f>
        <v>3673.1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2"/>
        <v>0</v>
      </c>
      <c r="AY54">
        <f t="shared" si="13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14"/>
        <v>0</v>
      </c>
      <c r="BC54">
        <f t="shared" si="15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16"/>
        <v>639.744</v>
      </c>
      <c r="BG54">
        <f t="shared" si="17"/>
        <v>1823.136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18"/>
        <v>0</v>
      </c>
      <c r="BK54">
        <f t="shared" si="19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20"/>
        <v>0.87863408</v>
      </c>
      <c r="BT54" s="26">
        <f t="shared" si="21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A55" t="s">
        <v>162</v>
      </c>
      <c r="B55">
        <v>0.1</v>
      </c>
      <c r="C55" s="39"/>
      <c r="E55" s="39"/>
      <c r="K55" s="38">
        <f t="shared" si="11"/>
        <v>33857.1929725861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35059.0334297527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27660.0875965037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18071.6667163674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15654.3796575468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82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0.5041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3673.1</v>
      </c>
      <c r="AT55" cm="1">
        <f t="array" ref="AT55">$E$10*(1+$AR55)+VLOOKUP($Q55,武学奇术!$A:$ZZ,4,FALSE)+SUM(_xlfn.XLOOKUP($R55:$AK55,增益!$A:$A,增益!$D:$D,0))-$I$2</f>
        <v>3673.1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2"/>
        <v>0</v>
      </c>
      <c r="AY55">
        <f t="shared" si="13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14"/>
        <v>0</v>
      </c>
      <c r="BC55">
        <f t="shared" si="15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16"/>
        <v>639.744</v>
      </c>
      <c r="BG55">
        <f t="shared" si="17"/>
        <v>1823.136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18"/>
        <v>0</v>
      </c>
      <c r="BK55">
        <f t="shared" si="19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20"/>
        <v>0.87863408</v>
      </c>
      <c r="BT55" s="26">
        <f t="shared" si="21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A56" t="s">
        <v>163</v>
      </c>
      <c r="B56">
        <v>6.1</v>
      </c>
      <c r="C56" s="39"/>
      <c r="E56" s="39"/>
      <c r="K56" s="38">
        <f t="shared" si="11"/>
        <v>106559.406348633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110342.76571191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87046.6852831981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56877.7142844898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49276.4024332772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82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0.5041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3673.1</v>
      </c>
      <c r="AT56" cm="1">
        <f t="array" ref="AT56">$E$10*(1+$AR56)+VLOOKUP($Q56,武学奇术!$A:$ZZ,4,FALSE)+SUM(_xlfn.XLOOKUP($R56:$AK56,增益!$A:$A,增益!$D:$D,0))-$I$2</f>
        <v>3673.1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2"/>
        <v>0</v>
      </c>
      <c r="AY56">
        <f t="shared" si="13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14"/>
        <v>0</v>
      </c>
      <c r="BC56">
        <f t="shared" si="15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16"/>
        <v>639.744</v>
      </c>
      <c r="BG56">
        <f t="shared" si="17"/>
        <v>1823.136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18"/>
        <v>0</v>
      </c>
      <c r="BK56">
        <f t="shared" si="19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20"/>
        <v>0.87863408</v>
      </c>
      <c r="BT56" s="26">
        <f t="shared" si="21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t="s">
        <v>164</v>
      </c>
      <c r="B57">
        <v>2</v>
      </c>
      <c r="C57" s="39"/>
      <c r="E57" s="39"/>
      <c r="K57" s="38">
        <f t="shared" si="11"/>
        <v>22544.4813375611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22967.2608698325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21418.9757345891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14004.4273596539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12142.9467677604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82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0.5041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3673.1</v>
      </c>
      <c r="AT57" cm="1">
        <f t="array" ref="AT57">$E$10*(1+$AR57)+VLOOKUP($Q57,武学奇术!$A:$ZZ,4,FALSE)+SUM(_xlfn.XLOOKUP($R57:$AK57,增益!$A:$A,增益!$D:$D,0))-$I$2</f>
        <v>3673.1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14"/>
        <v>0</v>
      </c>
      <c r="BC57">
        <f t="shared" si="15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16"/>
        <v>639.744</v>
      </c>
      <c r="BG57">
        <f t="shared" si="17"/>
        <v>1823.136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18"/>
        <v>0</v>
      </c>
      <c r="BK57">
        <f t="shared" si="19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20"/>
        <v>0.87863408</v>
      </c>
      <c r="BT57" s="26">
        <f t="shared" si="21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A58" t="s">
        <v>177</v>
      </c>
      <c r="B58">
        <v>19.56</v>
      </c>
      <c r="K58" s="38">
        <f t="shared" si="11"/>
        <v>33857.1929725861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35059.0334297527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27660.0875965037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18071.6667163674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15654.3796575468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82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0.5041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3673.1</v>
      </c>
      <c r="AT58" cm="1">
        <f t="array" ref="AT58">$E$10*(1+$AR58)+VLOOKUP($Q58,武学奇术!$A:$ZZ,4,FALSE)+SUM(_xlfn.XLOOKUP($R58:$AK58,增益!$A:$A,增益!$D:$D,0))-$I$2</f>
        <v>3673.1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2"/>
        <v>0</v>
      </c>
      <c r="AY58">
        <f t="shared" si="13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14"/>
        <v>0</v>
      </c>
      <c r="BC58">
        <f t="shared" si="15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16"/>
        <v>639.744</v>
      </c>
      <c r="BG58">
        <f t="shared" si="17"/>
        <v>1823.136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18"/>
        <v>0</v>
      </c>
      <c r="BK58">
        <f t="shared" si="19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20"/>
        <v>0.87863408</v>
      </c>
      <c r="BT58" s="26">
        <f t="shared" si="21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A59" t="s">
        <v>108</v>
      </c>
      <c r="B59">
        <v>0.5</v>
      </c>
      <c r="K59" s="38">
        <f t="shared" si="11"/>
        <v>104142.084537125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107879.932430154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84637.1447114246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55608.2125928628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48522.2439180037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82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0.5041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3673.1</v>
      </c>
      <c r="AT59" cm="1">
        <f t="array" ref="AT59">$E$10*(1+$AR59)+VLOOKUP($Q59,武学奇术!$A:$ZZ,4,FALSE)+SUM(_xlfn.XLOOKUP($R59:$AK59,增益!$A:$A,增益!$D:$D,0))-$I$2</f>
        <v>3673.1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2"/>
        <v>0</v>
      </c>
      <c r="AY59">
        <f t="shared" si="13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14"/>
        <v>0</v>
      </c>
      <c r="BC59">
        <f t="shared" si="15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16"/>
        <v>639.744</v>
      </c>
      <c r="BG59">
        <f t="shared" si="17"/>
        <v>1823.136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18"/>
        <v>0</v>
      </c>
      <c r="BK59">
        <f t="shared" si="19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20"/>
        <v>0.87863408</v>
      </c>
      <c r="BT59" s="26">
        <f t="shared" si="21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A60" t="s">
        <v>161</v>
      </c>
      <c r="B60">
        <v>2.1</v>
      </c>
      <c r="E60" s="39" t="s">
        <v>160</v>
      </c>
      <c r="K60" s="38">
        <f t="shared" si="11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82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0.1837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3673.1</v>
      </c>
      <c r="AT60" cm="1">
        <f t="array" ref="AT60">$E$10*(1+$AR60)+VLOOKUP($Q60,武学奇术!$A:$ZZ,4,FALSE)+SUM(_xlfn.XLOOKUP($R60:$AK60,增益!$A:$A,增益!$D:$D,0))-$I$2</f>
        <v>3673.1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16"/>
        <v>571.2</v>
      </c>
      <c r="BG60">
        <f t="shared" si="17"/>
        <v>1627.8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20"/>
        <v>0.87863408</v>
      </c>
      <c r="BT60" s="26">
        <f t="shared" si="21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t="s">
        <v>163</v>
      </c>
      <c r="B61">
        <v>6.1</v>
      </c>
      <c r="E61" s="39"/>
      <c r="K61" s="38">
        <f t="shared" ref="K61:K73" si="22">($L61*$BS61+$M61*$BQ61+$N61*$BT61+$O61*$BU61)</f>
        <v>19178.8133730411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19543.191141601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18170.2544776459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11916.5799643909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10373.7121675625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82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0.2789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3673.1</v>
      </c>
      <c r="AT61" cm="1">
        <f t="array" ref="AT61">$E$10*(1+$AR61)+VLOOKUP($Q61,武学奇术!$A:$ZZ,4,FALSE)+SUM(_xlfn.XLOOKUP($R61:$AK61,增益!$A:$A,增益!$D:$D,0))-$I$2</f>
        <v>3673.1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2"/>
        <v>0</v>
      </c>
      <c r="AY61">
        <f t="shared" si="13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16"/>
        <v>639.744</v>
      </c>
      <c r="BG61">
        <f t="shared" si="17"/>
        <v>1823.136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18"/>
        <v>0</v>
      </c>
      <c r="BK61">
        <f t="shared" si="19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20"/>
        <v>0.87863408</v>
      </c>
      <c r="BT61" s="26">
        <f t="shared" si="21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A62" t="s">
        <v>164</v>
      </c>
      <c r="B62">
        <v>2</v>
      </c>
      <c r="E62" s="39"/>
      <c r="K62" s="38">
        <f t="shared" si="22"/>
        <v>90092.2204975653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91763.9409880874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85787.2083560885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55953.6225537118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48361.1648436544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82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0.2789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3673.1</v>
      </c>
      <c r="AT62" cm="1">
        <f t="array" ref="AT62">$E$10*(1+$AR62)+VLOOKUP($Q62,武学奇术!$A:$ZZ,4,FALSE)+SUM(_xlfn.XLOOKUP($R62:$AK62,增益!$A:$A,增益!$D:$D,0))-$I$2</f>
        <v>3673.1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2"/>
        <v>0</v>
      </c>
      <c r="AY62">
        <f t="shared" si="13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14"/>
        <v>0</v>
      </c>
      <c r="BC62">
        <f t="shared" si="15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16"/>
        <v>639.744</v>
      </c>
      <c r="BG62">
        <f t="shared" si="17"/>
        <v>1823.136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18"/>
        <v>0</v>
      </c>
      <c r="BK62">
        <f t="shared" si="19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20"/>
        <v>0.87863408</v>
      </c>
      <c r="BT62" s="26">
        <f t="shared" si="21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A63" t="s">
        <v>165</v>
      </c>
      <c r="B63">
        <v>1.6</v>
      </c>
      <c r="E63" s="39"/>
      <c r="K63" s="38">
        <f t="shared" si="22"/>
        <v>25541.2086039705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26016.362750038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24307.5156412024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15863.6358231939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13721.7045047564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82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0.5889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3673.1</v>
      </c>
      <c r="AT63" cm="1">
        <f t="array" ref="AT63">$E$10*(1+$AR63)+VLOOKUP($Q63,武学奇术!$A:$ZZ,4,FALSE)+SUM(_xlfn.XLOOKUP($R63:$AK63,增益!$A:$A,增益!$D:$D,0))-$I$2</f>
        <v>3673.1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14"/>
        <v>0</v>
      </c>
      <c r="BC63">
        <f t="shared" si="15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16"/>
        <v>639.744</v>
      </c>
      <c r="BG63">
        <f t="shared" si="17"/>
        <v>1823.136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18"/>
        <v>0</v>
      </c>
      <c r="BK63">
        <f t="shared" si="19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20"/>
        <v>0.87863408</v>
      </c>
      <c r="BT63" s="26">
        <f t="shared" si="21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A64" t="s">
        <v>167</v>
      </c>
      <c r="B64">
        <v>1.3</v>
      </c>
      <c r="E64" s="39"/>
      <c r="K64" s="38">
        <f t="shared" si="22"/>
        <v>59603.2685404581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60712.1450154006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56723.7543450317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37019.6006191467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32021.6054271588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82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0.5889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3673.1</v>
      </c>
      <c r="AT64" cm="1">
        <f t="array" ref="AT64">$E$10*(1+$AR64)+VLOOKUP($Q64,武学奇术!$A:$ZZ,4,FALSE)+SUM(_xlfn.XLOOKUP($R64:$AK64,增益!$A:$A,增益!$D:$D,0))-$I$2</f>
        <v>3673.1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14"/>
        <v>0</v>
      </c>
      <c r="BC64">
        <f t="shared" si="15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16"/>
        <v>639.744</v>
      </c>
      <c r="BG64">
        <f t="shared" si="17"/>
        <v>1823.136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18"/>
        <v>0</v>
      </c>
      <c r="BK64">
        <f t="shared" si="19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20"/>
        <v>0.87863408</v>
      </c>
      <c r="BT64" s="26">
        <f t="shared" si="21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A65" t="s">
        <v>165</v>
      </c>
      <c r="B65">
        <v>1.6</v>
      </c>
      <c r="E65" s="39"/>
      <c r="K65" s="38">
        <f t="shared" si="22"/>
        <v>157341.926497264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163013.936005089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127606.419285776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84027.8020644787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73532.3305839384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82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0.5841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4434.698</v>
      </c>
      <c r="AT65" cm="1">
        <f t="array" ref="AT65">$E$10*(1+$AR65)+VLOOKUP($Q65,武学奇术!$A:$ZZ,4,FALSE)+SUM(_xlfn.XLOOKUP($R65:$AK65,增益!$A:$A,增益!$D:$D,0))-$I$2</f>
        <v>4434.698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2"/>
        <v>0</v>
      </c>
      <c r="AY65">
        <f t="shared" si="13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14"/>
        <v>0</v>
      </c>
      <c r="BC65">
        <f t="shared" si="15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16"/>
        <v>674.016</v>
      </c>
      <c r="BG65">
        <f t="shared" si="17"/>
        <v>1920.804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18"/>
        <v>0</v>
      </c>
      <c r="BK65">
        <f t="shared" si="19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20"/>
        <v>0.87863408</v>
      </c>
      <c r="BT65" s="26">
        <f t="shared" si="21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A66" t="s">
        <v>167</v>
      </c>
      <c r="B66">
        <v>1.3</v>
      </c>
      <c r="K66" s="38">
        <f t="shared" si="22"/>
        <v>318233.456780628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329717.693561556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257959.386687112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169957.574000802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148834.120825966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82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0.5941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4434.698</v>
      </c>
      <c r="AT66" cm="1">
        <f t="array" ref="AT66">$E$10*(1+$AR66)+VLOOKUP($Q66,武学奇术!$A:$ZZ,4,FALSE)+SUM(_xlfn.XLOOKUP($R66:$AK66,增益!$A:$A,增益!$D:$D,0))-$I$2</f>
        <v>4434.698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si="12"/>
        <v>0</v>
      </c>
      <c r="AY66">
        <f t="shared" si="13"/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si="14"/>
        <v>0</v>
      </c>
      <c r="BC66">
        <f t="shared" si="15"/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si="16"/>
        <v>674.016</v>
      </c>
      <c r="BG66">
        <f t="shared" si="17"/>
        <v>1920.804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si="18"/>
        <v>0</v>
      </c>
      <c r="BK66">
        <f t="shared" si="19"/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si="20"/>
        <v>0.87863408</v>
      </c>
      <c r="BT66" s="26">
        <f t="shared" si="21"/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A67" t="s">
        <v>177</v>
      </c>
      <c r="B67">
        <v>30</v>
      </c>
      <c r="K67" s="38">
        <f t="shared" si="22"/>
        <v>423452.072641453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440685.861965783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327694.924213291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216022.481355776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189307.981812818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82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0.6541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4434.698</v>
      </c>
      <c r="AT67" cm="1">
        <f t="array" ref="AT67">$E$10*(1+$AR67)+VLOOKUP($Q67,武学奇术!$A:$ZZ,4,FALSE)+SUM(_xlfn.XLOOKUP($R67:$AK67,增益!$A:$A,增益!$D:$D,0))-$I$2</f>
        <v>4434.698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ref="AX67:AX98" si="23">$D$11*(1+$AW67)</f>
        <v>0</v>
      </c>
      <c r="AY67">
        <f t="shared" ref="AY67:AY98" si="24">$E$11*(1+$AW67)</f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ref="BB67:BB98" si="25">$D$12*(1+$AW67)</f>
        <v>0</v>
      </c>
      <c r="BC67">
        <f t="shared" ref="BC67:BC98" si="26">$E$12*(1+$AW67)</f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ref="BF67:BF98" si="27">$D$13*(1+$AW67)</f>
        <v>674.016</v>
      </c>
      <c r="BG67">
        <f t="shared" ref="BG67:BG98" si="28">$E$13*(1+$AW67)</f>
        <v>1920.804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ref="BJ67:BJ98" si="29">$D$14*(1+$AW67)</f>
        <v>0</v>
      </c>
      <c r="BK67">
        <f t="shared" ref="BK67:BK98" si="30">$E$14*(1+$AW67)</f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ref="BS67:BS98" si="31">MIN((1-BQ67)*BN67,BN67*BO67)</f>
        <v>0.87863408</v>
      </c>
      <c r="BT67" s="26">
        <f t="shared" ref="BT67:BT98" si="32">1-BQ67-BS67-BU67</f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A68" t="s">
        <v>104</v>
      </c>
      <c r="B68">
        <v>0.93</v>
      </c>
      <c r="K68" s="38">
        <f t="shared" si="22"/>
        <v>67148.7558509457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68407.4943590672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63801.9688233523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41711.8868043093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36163.0559616909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82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0.5041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3673.1</v>
      </c>
      <c r="AT68" cm="1">
        <f t="array" ref="AT68">$E$10*(1+$AR68)+VLOOKUP($Q68,武学奇术!$A:$ZZ,4,FALSE)+SUM(_xlfn.XLOOKUP($R68:$AK68,增益!$A:$A,增益!$D:$D,0))-$I$2</f>
        <v>3673.1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25"/>
        <v>0</v>
      </c>
      <c r="BC68">
        <f t="shared" si="26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27"/>
        <v>639.744</v>
      </c>
      <c r="BG68">
        <f t="shared" si="28"/>
        <v>1823.136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29"/>
        <v>0</v>
      </c>
      <c r="BK68">
        <f t="shared" si="30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31"/>
        <v>0.87863408</v>
      </c>
      <c r="BT68" s="26">
        <f t="shared" si="32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A69" t="s">
        <v>108</v>
      </c>
      <c r="B69">
        <v>0.5</v>
      </c>
      <c r="K69" s="38">
        <f t="shared" si="22"/>
        <v>130238.905682725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134861.892731639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106402.019408348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69516.4395523915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60216.5684319325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82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0.7041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3673.1</v>
      </c>
      <c r="AT69" cm="1">
        <f t="array" ref="AT69">$E$10*(1+$AR69)+VLOOKUP($Q69,武学奇术!$A:$ZZ,4,FALSE)+SUM(_xlfn.XLOOKUP($R69:$AK69,增益!$A:$A,增益!$D:$D,0))-$I$2</f>
        <v>3673.1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25"/>
        <v>0</v>
      </c>
      <c r="BC69">
        <f t="shared" si="26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27"/>
        <v>639.744</v>
      </c>
      <c r="BG69">
        <f t="shared" si="28"/>
        <v>1823.136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29"/>
        <v>0</v>
      </c>
      <c r="BK69">
        <f t="shared" si="30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31"/>
        <v>0.87863408</v>
      </c>
      <c r="BT69" s="26">
        <f t="shared" si="32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A70" t="s">
        <v>161</v>
      </c>
      <c r="B70">
        <v>2.1</v>
      </c>
      <c r="K70" s="38">
        <f t="shared" si="22"/>
        <v>22544.4813375611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22967.2608698325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21418.9757345891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14004.4273596539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12142.9467677604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82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0.5041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3673.1</v>
      </c>
      <c r="AT70" cm="1">
        <f t="array" ref="AT70">$E$10*(1+$AR70)+VLOOKUP($Q70,武学奇术!$A:$ZZ,4,FALSE)+SUM(_xlfn.XLOOKUP($R70:$AK70,增益!$A:$A,增益!$D:$D,0))-$I$2</f>
        <v>3673.1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25"/>
        <v>0</v>
      </c>
      <c r="BC70">
        <f t="shared" si="26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27"/>
        <v>639.744</v>
      </c>
      <c r="BG70">
        <f t="shared" si="28"/>
        <v>1823.136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29"/>
        <v>0</v>
      </c>
      <c r="BK70">
        <f t="shared" si="30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31"/>
        <v>0.87863408</v>
      </c>
      <c r="BT70" s="26">
        <f t="shared" si="32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A71" t="s">
        <v>163</v>
      </c>
      <c r="B71">
        <v>6.1</v>
      </c>
      <c r="E71" s="39" t="s">
        <v>160</v>
      </c>
      <c r="K71" s="38">
        <f t="shared" si="22"/>
        <v>33857.1929725861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35059.0334297527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27660.0875965037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18071.6667163674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15654.3796575468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82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0.5041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3673.1</v>
      </c>
      <c r="AT71" cm="1">
        <f t="array" ref="AT71">$E$10*(1+$AR71)+VLOOKUP($Q71,武学奇术!$A:$ZZ,4,FALSE)+SUM(_xlfn.XLOOKUP($R71:$AK71,增益!$A:$A,增益!$D:$D,0))-$I$2</f>
        <v>3673.1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25"/>
        <v>0</v>
      </c>
      <c r="BC71">
        <f t="shared" si="26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27"/>
        <v>639.744</v>
      </c>
      <c r="BG71">
        <f t="shared" si="28"/>
        <v>1823.136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29"/>
        <v>0</v>
      </c>
      <c r="BK71">
        <f t="shared" si="30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31"/>
        <v>0.87863408</v>
      </c>
      <c r="BT71" s="26">
        <f t="shared" si="32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t="s">
        <v>164</v>
      </c>
      <c r="B72">
        <v>2</v>
      </c>
      <c r="E72" s="39"/>
      <c r="K72" s="38">
        <f t="shared" si="22"/>
        <v>106559.406348633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110342.76571191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87046.6852831981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56877.7142844898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49276.4024332772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82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0.5041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3673.1</v>
      </c>
      <c r="AT72" cm="1">
        <f t="array" ref="AT72">$E$10*(1+$AR72)+VLOOKUP($Q72,武学奇术!$A:$ZZ,4,FALSE)+SUM(_xlfn.XLOOKUP($R72:$AK72,增益!$A:$A,增益!$D:$D,0))-$I$2</f>
        <v>3673.1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23"/>
        <v>0</v>
      </c>
      <c r="AY72">
        <f t="shared" si="24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25"/>
        <v>0</v>
      </c>
      <c r="BC72">
        <f t="shared" si="26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27"/>
        <v>639.744</v>
      </c>
      <c r="BG72">
        <f t="shared" si="28"/>
        <v>1823.136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29"/>
        <v>0</v>
      </c>
      <c r="BK72">
        <f t="shared" si="30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31"/>
        <v>0.87863408</v>
      </c>
      <c r="BT72" s="26">
        <f t="shared" si="32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A73" t="s">
        <v>165</v>
      </c>
      <c r="B73">
        <v>1.6</v>
      </c>
      <c r="E73" s="39"/>
      <c r="K73" s="38">
        <f t="shared" si="22"/>
        <v>22544.4813375611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22967.2608698325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21418.9757345891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14004.4273596539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12142.9467677604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82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0.5041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3673.1</v>
      </c>
      <c r="AT73" cm="1">
        <f t="array" ref="AT73">$E$10*(1+$AR73)+VLOOKUP($Q73,武学奇术!$A:$ZZ,4,FALSE)+SUM(_xlfn.XLOOKUP($R73:$AK73,增益!$A:$A,增益!$D:$D,0))-$I$2</f>
        <v>3673.1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23"/>
        <v>0</v>
      </c>
      <c r="AY73">
        <f t="shared" si="24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25"/>
        <v>0</v>
      </c>
      <c r="BC73">
        <f t="shared" si="26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27"/>
        <v>639.744</v>
      </c>
      <c r="BG73">
        <f t="shared" si="28"/>
        <v>1823.136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29"/>
        <v>0</v>
      </c>
      <c r="BK73">
        <f t="shared" si="30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31"/>
        <v>0.87863408</v>
      </c>
      <c r="BT73" s="26">
        <f t="shared" si="32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A74" t="s">
        <v>167</v>
      </c>
      <c r="B74">
        <v>1.3</v>
      </c>
      <c r="E74" s="39"/>
      <c r="K74" s="38">
        <f t="shared" ref="K74:K92" si="33">($L74*$BS74+$M74*$BQ74+$N74*$BT74+$O74*$BU74)</f>
        <v>33857.1929725861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35059.0334297527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27660.0875965037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18071.6667163674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15654.3796575468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82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0.5041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3673.1</v>
      </c>
      <c r="AT74" cm="1">
        <f t="array" ref="AT74">$E$10*(1+$AR74)+VLOOKUP($Q74,武学奇术!$A:$ZZ,4,FALSE)+SUM(_xlfn.XLOOKUP($R74:$AK74,增益!$A:$A,增益!$D:$D,0))-$I$2</f>
        <v>3673.1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25"/>
        <v>0</v>
      </c>
      <c r="BC74">
        <f t="shared" si="26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27"/>
        <v>639.744</v>
      </c>
      <c r="BG74">
        <f t="shared" si="28"/>
        <v>1823.136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29"/>
        <v>0</v>
      </c>
      <c r="BK74">
        <f t="shared" si="30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31"/>
        <v>0.87863408</v>
      </c>
      <c r="BT74" s="26">
        <f t="shared" si="32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t="s">
        <v>165</v>
      </c>
      <c r="B75">
        <v>1.6</v>
      </c>
      <c r="E75" s="39"/>
      <c r="K75" s="38">
        <f t="shared" si="33"/>
        <v>104142.084537125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107879.932430154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84637.1447114246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55608.2125928628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48522.2439180037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82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0.5041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3673.1</v>
      </c>
      <c r="AT75" cm="1">
        <f t="array" ref="AT75">$E$10*(1+$AR75)+VLOOKUP($Q75,武学奇术!$A:$ZZ,4,FALSE)+SUM(_xlfn.XLOOKUP($R75:$AK75,增益!$A:$A,增益!$D:$D,0))-$I$2</f>
        <v>3673.1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23"/>
        <v>0</v>
      </c>
      <c r="AY75">
        <f t="shared" si="24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25"/>
        <v>0</v>
      </c>
      <c r="BC75">
        <f t="shared" si="26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27"/>
        <v>639.744</v>
      </c>
      <c r="BG75">
        <f t="shared" si="28"/>
        <v>1823.136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29"/>
        <v>0</v>
      </c>
      <c r="BK75">
        <f t="shared" si="30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31"/>
        <v>0.87863408</v>
      </c>
      <c r="BT75" s="26">
        <f t="shared" si="32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t="s">
        <v>167</v>
      </c>
      <c r="B76">
        <v>1.3</v>
      </c>
      <c r="E76" s="39"/>
      <c r="K76" s="38">
        <f t="shared" si="33"/>
        <v>58997.7948995376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60087.9995855456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56227.7794956754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36639.0241375278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31627.841241222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82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0.2337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3673.1</v>
      </c>
      <c r="AT76" cm="1">
        <f t="array" ref="AT76">$E$10*(1+$AR76)+VLOOKUP($Q76,武学奇术!$A:$ZZ,4,FALSE)+SUM(_xlfn.XLOOKUP($R76:$AK76,增益!$A:$A,增益!$D:$D,0))-$I$2</f>
        <v>3673.1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23"/>
        <v>0</v>
      </c>
      <c r="AY76">
        <f t="shared" si="24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25"/>
        <v>0</v>
      </c>
      <c r="BC76">
        <f t="shared" si="26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27"/>
        <v>639.744</v>
      </c>
      <c r="BG76">
        <f t="shared" si="28"/>
        <v>1823.136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29"/>
        <v>0</v>
      </c>
      <c r="BK76">
        <f t="shared" si="30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31"/>
        <v>0.87863408</v>
      </c>
      <c r="BT76" s="26">
        <f t="shared" si="32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t="s">
        <v>159</v>
      </c>
      <c r="B77">
        <v>1.3</v>
      </c>
      <c r="E77" s="39"/>
      <c r="K77" s="38">
        <f t="shared" si="33"/>
        <v>122892.374961761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125206.463566994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116654.506732433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76345.4046140207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66280.0635003129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171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82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0.2337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4434.698</v>
      </c>
      <c r="AT77" cm="1">
        <f t="array" ref="AT77">$E$10*(1+$AR77)+VLOOKUP($Q77,武学奇术!$A:$ZZ,4,FALSE)+SUM(_xlfn.XLOOKUP($R77:$AK77,增益!$A:$A,增益!$D:$D,0))-$I$2</f>
        <v>4434.698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25"/>
        <v>0</v>
      </c>
      <c r="BC77">
        <f t="shared" si="26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27"/>
        <v>674.016</v>
      </c>
      <c r="BG77">
        <f t="shared" si="28"/>
        <v>1920.804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29"/>
        <v>0</v>
      </c>
      <c r="BK77">
        <f t="shared" si="30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31"/>
        <v>0.87863408</v>
      </c>
      <c r="BT77" s="26">
        <f t="shared" si="32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t="s">
        <v>178</v>
      </c>
      <c r="B78">
        <v>0.5</v>
      </c>
      <c r="K78" s="38">
        <f t="shared" si="33"/>
        <v>99525.7673020333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101438.032235649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94060.3997840483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61852.4586802739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54030.5471501416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82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0.4189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3673.1</v>
      </c>
      <c r="AT78" cm="1">
        <f t="array" ref="AT78">$E$10*(1+$AR78)+VLOOKUP($Q78,武学奇术!$A:$ZZ,4,FALSE)+SUM(_xlfn.XLOOKUP($R78:$AK78,增益!$A:$A,增益!$D:$D,0))-$I$2</f>
        <v>3673.1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23"/>
        <v>0</v>
      </c>
      <c r="AY78">
        <f t="shared" si="24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25"/>
        <v>0</v>
      </c>
      <c r="BC78">
        <f t="shared" si="26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27"/>
        <v>639.744</v>
      </c>
      <c r="BG78">
        <f t="shared" si="28"/>
        <v>1823.136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29"/>
        <v>0</v>
      </c>
      <c r="BK78">
        <f t="shared" si="30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31"/>
        <v>0.87863408</v>
      </c>
      <c r="BT78" s="26">
        <f t="shared" si="32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A79" t="s">
        <v>108</v>
      </c>
      <c r="B79">
        <v>0.5</v>
      </c>
      <c r="K79" s="38">
        <f t="shared" si="33"/>
        <v>25782.8438478569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26278.2098846771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24367.2138177129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16023.298710169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13996.8094072173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82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0.6189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3673.1</v>
      </c>
      <c r="AT79" cm="1">
        <f t="array" ref="AT79">$E$10*(1+$AR79)+VLOOKUP($Q79,武学奇术!$A:$ZZ,4,FALSE)+SUM(_xlfn.XLOOKUP($R79:$AK79,增益!$A:$A,增益!$D:$D,0))-$I$2</f>
        <v>3673.1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23"/>
        <v>0</v>
      </c>
      <c r="AY79">
        <f t="shared" si="24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25"/>
        <v>0</v>
      </c>
      <c r="BC79">
        <f t="shared" si="26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27"/>
        <v>639.744</v>
      </c>
      <c r="BG79">
        <f t="shared" si="28"/>
        <v>1823.136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29"/>
        <v>0</v>
      </c>
      <c r="BK79">
        <f t="shared" si="30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31"/>
        <v>0.87863408</v>
      </c>
      <c r="BT79" s="26">
        <f t="shared" si="32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A80" t="s">
        <v>161</v>
      </c>
      <c r="B80">
        <v>2.1</v>
      </c>
      <c r="D80" s="39" t="s">
        <v>159</v>
      </c>
      <c r="K80" s="38">
        <f t="shared" si="33"/>
        <v>60909.7280993751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62080.029592795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57564.9671523562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37853.6765809725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33066.6367527924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82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0.6389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3673.1</v>
      </c>
      <c r="AT80" cm="1">
        <f t="array" ref="AT80">$E$10*(1+$AR80)+VLOOKUP($Q80,武学奇术!$A:$ZZ,4,FALSE)+SUM(_xlfn.XLOOKUP($R80:$AK80,增益!$A:$A,增益!$D:$D,0))-$I$2</f>
        <v>3673.1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23"/>
        <v>0</v>
      </c>
      <c r="AY80">
        <f t="shared" si="24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25"/>
        <v>0</v>
      </c>
      <c r="BC80">
        <f t="shared" si="26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27"/>
        <v>639.744</v>
      </c>
      <c r="BG80">
        <f t="shared" si="28"/>
        <v>1823.136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29"/>
        <v>0</v>
      </c>
      <c r="BK80">
        <f t="shared" si="30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31"/>
        <v>0.87863408</v>
      </c>
      <c r="BT80" s="26">
        <f t="shared" si="32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A81" t="s">
        <v>175</v>
      </c>
      <c r="B81">
        <v>1.7</v>
      </c>
      <c r="D81" s="39"/>
      <c r="K81" s="38">
        <f t="shared" si="33"/>
        <v>205222.096479905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208992.074944544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195827.902524766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127434.192039356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109810.678504812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82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0.2537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3673.1</v>
      </c>
      <c r="AT81" cm="1">
        <f t="array" ref="AT81">$E$10*(1+$AR81)+VLOOKUP($Q81,武学奇术!$A:$ZZ,4,FALSE)+SUM(_xlfn.XLOOKUP($R81:$AK81,增益!$A:$A,增益!$D:$D,0))-$I$2</f>
        <v>3673.1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25"/>
        <v>0</v>
      </c>
      <c r="BC81">
        <f t="shared" si="26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27"/>
        <v>639.744</v>
      </c>
      <c r="BG81">
        <f t="shared" si="28"/>
        <v>1823.136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29"/>
        <v>0</v>
      </c>
      <c r="BK81">
        <f t="shared" si="30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31"/>
        <v>0.87863408</v>
      </c>
      <c r="BT81" s="26">
        <f t="shared" si="32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t="s">
        <v>163</v>
      </c>
      <c r="B82">
        <v>6.1</v>
      </c>
      <c r="C82" s="39" t="s">
        <v>176</v>
      </c>
      <c r="D82" s="39"/>
      <c r="E82" s="39" t="s">
        <v>160</v>
      </c>
      <c r="K82" s="38">
        <f t="shared" si="33"/>
        <v>204690.005804423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212084.555527221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165837.079673141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109321.935838774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95801.5904381835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171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82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0.7291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4434.698</v>
      </c>
      <c r="AT82" cm="1">
        <f t="array" ref="AT82">$E$10*(1+$AR82)+VLOOKUP($Q82,武学奇术!$A:$ZZ,4,FALSE)+SUM(_xlfn.XLOOKUP($R82:$AK82,增益!$A:$A,增益!$D:$D,0))-$I$2</f>
        <v>4434.698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23"/>
        <v>0</v>
      </c>
      <c r="AY82">
        <f t="shared" si="24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25"/>
        <v>0</v>
      </c>
      <c r="BC82">
        <f t="shared" si="26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27"/>
        <v>674.016</v>
      </c>
      <c r="BG82">
        <f t="shared" si="28"/>
        <v>1920.804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29"/>
        <v>0</v>
      </c>
      <c r="BK82">
        <f t="shared" si="30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31"/>
        <v>0.87863408</v>
      </c>
      <c r="BT82" s="26">
        <f t="shared" si="32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t="s">
        <v>164</v>
      </c>
      <c r="B83">
        <v>2</v>
      </c>
      <c r="C83" s="39"/>
      <c r="D83" s="39"/>
      <c r="E83" s="39"/>
      <c r="K83" s="38">
        <f t="shared" si="33"/>
        <v>409380.011608847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424169.111054441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331674.159346281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218643.871677547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191603.180876367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171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82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0.7291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4434.698</v>
      </c>
      <c r="AT83" cm="1">
        <f t="array" ref="AT83">$E$10*(1+$AR83)+VLOOKUP($Q83,武学奇术!$A:$ZZ,4,FALSE)+SUM(_xlfn.XLOOKUP($R83:$AK83,增益!$A:$A,增益!$D:$D,0))-$I$2</f>
        <v>4434.698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23"/>
        <v>0</v>
      </c>
      <c r="AY83">
        <f t="shared" si="24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25"/>
        <v>0</v>
      </c>
      <c r="BC83">
        <f t="shared" si="26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27"/>
        <v>674.016</v>
      </c>
      <c r="BG83">
        <f t="shared" si="28"/>
        <v>1920.804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29"/>
        <v>0</v>
      </c>
      <c r="BK83">
        <f t="shared" si="30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31"/>
        <v>0.87863408</v>
      </c>
      <c r="BT83" s="26">
        <f t="shared" si="32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t="s">
        <v>179</v>
      </c>
      <c r="B84">
        <v>1.4</v>
      </c>
      <c r="C84" s="39"/>
      <c r="D84" s="39"/>
      <c r="E84" s="39"/>
      <c r="K84" s="38">
        <f t="shared" si="33"/>
        <v>537515.729678367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559391.718585462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415964.846273281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274211.626757579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240301.14516458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171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82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0.7791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4434.698</v>
      </c>
      <c r="AT84" cm="1">
        <f t="array" ref="AT84">$E$10*(1+$AR84)+VLOOKUP($Q84,武学奇术!$A:$ZZ,4,FALSE)+SUM(_xlfn.XLOOKUP($R84:$AK84,增益!$A:$A,增益!$D:$D,0))-$I$2</f>
        <v>4434.698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23"/>
        <v>0</v>
      </c>
      <c r="AY84">
        <f t="shared" si="24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25"/>
        <v>0</v>
      </c>
      <c r="BC84">
        <f t="shared" si="26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27"/>
        <v>674.016</v>
      </c>
      <c r="BG84">
        <f t="shared" si="28"/>
        <v>1920.804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29"/>
        <v>0</v>
      </c>
      <c r="BK84">
        <f t="shared" si="30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31"/>
        <v>0.87863408</v>
      </c>
      <c r="BT84" s="26">
        <f t="shared" si="32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K85" s="38">
        <f t="shared" si="33"/>
        <v>85833.5983658936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87442.5940082494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81555.5328991216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53318.6548830789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46225.8039149567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171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82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0.6291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3673.1</v>
      </c>
      <c r="AT85" cm="1">
        <f t="array" ref="AT85">$E$10*(1+$AR85)+VLOOKUP($Q85,武学奇术!$A:$ZZ,4,FALSE)+SUM(_xlfn.XLOOKUP($R85:$AK85,增益!$A:$A,增益!$D:$D,0))-$I$2</f>
        <v>3673.1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25"/>
        <v>0</v>
      </c>
      <c r="BC85">
        <f t="shared" si="26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27"/>
        <v>639.744</v>
      </c>
      <c r="BG85">
        <f t="shared" si="28"/>
        <v>1823.136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29"/>
        <v>0</v>
      </c>
      <c r="BK85">
        <f t="shared" si="30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31"/>
        <v>0.87863408</v>
      </c>
      <c r="BT85" s="26">
        <f t="shared" si="32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K86" s="38">
        <f t="shared" si="33"/>
        <v>164980.049136078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170836.214975979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134784.688938734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88059.9046267935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76279.2989285991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171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82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0.8291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3673.1</v>
      </c>
      <c r="AT86" cm="1">
        <f t="array" ref="AT86">$E$10*(1+$AR86)+VLOOKUP($Q86,武学奇术!$A:$ZZ,4,FALSE)+SUM(_xlfn.XLOOKUP($R86:$AK86,增益!$A:$A,增益!$D:$D,0))-$I$2</f>
        <v>3673.1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25"/>
        <v>0</v>
      </c>
      <c r="BC86">
        <f t="shared" si="26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27"/>
        <v>639.744</v>
      </c>
      <c r="BG86">
        <f t="shared" si="28"/>
        <v>1823.136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29"/>
        <v>0</v>
      </c>
      <c r="BK86">
        <f t="shared" si="30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31"/>
        <v>0.87863408</v>
      </c>
      <c r="BT86" s="26">
        <f t="shared" si="32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33"/>
        <v>204690.005804423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212084.555527221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165837.079673141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109321.935838774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95801.5904381835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171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82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0.7291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4434.698</v>
      </c>
      <c r="AT87" cm="1">
        <f t="array" ref="AT87">$E$10*(1+$AR87)+VLOOKUP($Q87,武学奇术!$A:$ZZ,4,FALSE)+SUM(_xlfn.XLOOKUP($R87:$AK87,增益!$A:$A,增益!$D:$D,0))-$I$2</f>
        <v>4434.698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23"/>
        <v>0</v>
      </c>
      <c r="AY87">
        <f t="shared" si="24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25"/>
        <v>0</v>
      </c>
      <c r="BC87">
        <f t="shared" si="26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27"/>
        <v>674.016</v>
      </c>
      <c r="BG87">
        <f t="shared" si="28"/>
        <v>1920.804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29"/>
        <v>0</v>
      </c>
      <c r="BK87">
        <f t="shared" si="30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31"/>
        <v>0.87863408</v>
      </c>
      <c r="BT87" s="26">
        <f t="shared" si="32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33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82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0.1837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3673.1</v>
      </c>
      <c r="AT88" cm="1">
        <f t="array" ref="AT88">$E$10*(1+$AR88)+VLOOKUP($Q88,武学奇术!$A:$ZZ,4,FALSE)+SUM(_xlfn.XLOOKUP($R88:$AK88,增益!$A:$A,增益!$D:$D,0))-$I$2</f>
        <v>3673.1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27"/>
        <v>571.2</v>
      </c>
      <c r="BG88">
        <f t="shared" si="28"/>
        <v>1627.8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31"/>
        <v>0.87863408</v>
      </c>
      <c r="BT88" s="26">
        <f t="shared" si="32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33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82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0.1837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3673.1</v>
      </c>
      <c r="AT89" cm="1">
        <f t="array" ref="AT89">$E$10*(1+$AR89)+VLOOKUP($Q89,武学奇术!$A:$ZZ,4,FALSE)+SUM(_xlfn.XLOOKUP($R89:$AK89,增益!$A:$A,增益!$D:$D,0))-$I$2</f>
        <v>3673.1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27"/>
        <v>571.2</v>
      </c>
      <c r="BG89">
        <f t="shared" si="28"/>
        <v>1627.8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31"/>
        <v>0.87863408</v>
      </c>
      <c r="BT89" s="26">
        <f t="shared" si="32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33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82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0.1837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3673.1</v>
      </c>
      <c r="AT90" cm="1">
        <f t="array" ref="AT90">$E$10*(1+$AR90)+VLOOKUP($Q90,武学奇术!$A:$ZZ,4,FALSE)+SUM(_xlfn.XLOOKUP($R90:$AK90,增益!$A:$A,增益!$D:$D,0))-$I$2</f>
        <v>3673.1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27"/>
        <v>571.2</v>
      </c>
      <c r="BG90">
        <f t="shared" si="28"/>
        <v>1627.8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31"/>
        <v>0.87863408</v>
      </c>
      <c r="BT90" s="26">
        <f t="shared" si="32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33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82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0.1837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3673.1</v>
      </c>
      <c r="AT91" cm="1">
        <f t="array" ref="AT91">$E$10*(1+$AR91)+VLOOKUP($Q91,武学奇术!$A:$ZZ,4,FALSE)+SUM(_xlfn.XLOOKUP($R91:$AK91,增益!$A:$A,增益!$D:$D,0))-$I$2</f>
        <v>3673.1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27"/>
        <v>571.2</v>
      </c>
      <c r="BG91">
        <f t="shared" si="28"/>
        <v>1627.8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31"/>
        <v>0.87863408</v>
      </c>
      <c r="BT91" s="26">
        <f t="shared" si="32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33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82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0.1837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3673.1</v>
      </c>
      <c r="AT92" cm="1">
        <f t="array" ref="AT92">$E$10*(1+$AR92)+VLOOKUP($Q92,武学奇术!$A:$ZZ,4,FALSE)+SUM(_xlfn.XLOOKUP($R92:$AK92,增益!$A:$A,增益!$D:$D,0))-$I$2</f>
        <v>3673.1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27"/>
        <v>571.2</v>
      </c>
      <c r="BG92">
        <f t="shared" si="28"/>
        <v>1627.8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31"/>
        <v>0.87863408</v>
      </c>
      <c r="BT92" s="26">
        <f t="shared" si="32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ref="K93:K112" si="34">($L93*$BS93+$M93*$BQ93+$N93*$BT93+$O93*$BU93)</f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82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0.1837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3673.1</v>
      </c>
      <c r="AT93" cm="1">
        <f t="array" ref="AT93">$E$10*(1+$AR93)+VLOOKUP($Q93,武学奇术!$A:$ZZ,4,FALSE)+SUM(_xlfn.XLOOKUP($R93:$AK93,增益!$A:$A,增益!$D:$D,0))-$I$2</f>
        <v>3673.1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27"/>
        <v>571.2</v>
      </c>
      <c r="BG93">
        <f t="shared" si="28"/>
        <v>1627.8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31"/>
        <v>0.87863408</v>
      </c>
      <c r="BT93" s="26">
        <f t="shared" si="32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34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82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0.1837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3673.1</v>
      </c>
      <c r="AT94" cm="1">
        <f t="array" ref="AT94">$E$10*(1+$AR94)+VLOOKUP($Q94,武学奇术!$A:$ZZ,4,FALSE)+SUM(_xlfn.XLOOKUP($R94:$AK94,增益!$A:$A,增益!$D:$D,0))-$I$2</f>
        <v>3673.1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27"/>
        <v>571.2</v>
      </c>
      <c r="BG94">
        <f t="shared" si="28"/>
        <v>1627.8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31"/>
        <v>0.87863408</v>
      </c>
      <c r="BT94" s="26">
        <f t="shared" si="32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34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82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0.1837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3673.1</v>
      </c>
      <c r="AT95" cm="1">
        <f t="array" ref="AT95">$E$10*(1+$AR95)+VLOOKUP($Q95,武学奇术!$A:$ZZ,4,FALSE)+SUM(_xlfn.XLOOKUP($R95:$AK95,增益!$A:$A,增益!$D:$D,0))-$I$2</f>
        <v>3673.1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27"/>
        <v>571.2</v>
      </c>
      <c r="BG95">
        <f t="shared" si="28"/>
        <v>1627.8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31"/>
        <v>0.87863408</v>
      </c>
      <c r="BT95" s="26">
        <f t="shared" si="32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34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82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0.1837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3673.1</v>
      </c>
      <c r="AT96" cm="1">
        <f t="array" ref="AT96">$E$10*(1+$AR96)+VLOOKUP($Q96,武学奇术!$A:$ZZ,4,FALSE)+SUM(_xlfn.XLOOKUP($R96:$AK96,增益!$A:$A,增益!$D:$D,0))-$I$2</f>
        <v>3673.1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27"/>
        <v>571.2</v>
      </c>
      <c r="BG96">
        <f t="shared" si="28"/>
        <v>1627.8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31"/>
        <v>0.87863408</v>
      </c>
      <c r="BT96" s="26">
        <f t="shared" si="32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34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82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0.1837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3673.1</v>
      </c>
      <c r="AT97" cm="1">
        <f t="array" ref="AT97">$E$10*(1+$AR97)+VLOOKUP($Q97,武学奇术!$A:$ZZ,4,FALSE)+SUM(_xlfn.XLOOKUP($R97:$AK97,增益!$A:$A,增益!$D:$D,0))-$I$2</f>
        <v>3673.1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27"/>
        <v>571.2</v>
      </c>
      <c r="BG97">
        <f t="shared" si="28"/>
        <v>1627.8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31"/>
        <v>0.87863408</v>
      </c>
      <c r="BT97" s="26">
        <f t="shared" si="32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34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82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0.1837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3673.1</v>
      </c>
      <c r="AT98" cm="1">
        <f t="array" ref="AT98">$E$10*(1+$AR98)+VLOOKUP($Q98,武学奇术!$A:$ZZ,4,FALSE)+SUM(_xlfn.XLOOKUP($R98:$AK98,增益!$A:$A,增益!$D:$D,0))-$I$2</f>
        <v>3673.1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27"/>
        <v>571.2</v>
      </c>
      <c r="BG98">
        <f t="shared" si="28"/>
        <v>1627.8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31"/>
        <v>0.87863408</v>
      </c>
      <c r="BT98" s="26">
        <f t="shared" si="32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34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82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0.1837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3673.1</v>
      </c>
      <c r="AT99" cm="1">
        <f t="array" ref="AT99">$E$10*(1+$AR99)+VLOOKUP($Q99,武学奇术!$A:$ZZ,4,FALSE)+SUM(_xlfn.XLOOKUP($R99:$AK99,增益!$A:$A,增益!$D:$D,0))-$I$2</f>
        <v>3673.1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ref="BB99:BB121" si="37">$D$12*(1+$AW99)</f>
        <v>0</v>
      </c>
      <c r="BC99">
        <f t="shared" ref="BC99:BC121" si="38">$E$12*(1+$AW99)</f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ref="BF99:BF121" si="39">$D$13*(1+$AW99)</f>
        <v>571.2</v>
      </c>
      <c r="BG99">
        <f t="shared" ref="BG99:BG121" si="40">$E$13*(1+$AW99)</f>
        <v>1627.8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ref="BJ99:BJ121" si="41">$D$14*(1+$AW99)</f>
        <v>0</v>
      </c>
      <c r="BK99">
        <f t="shared" ref="BK99:BK121" si="42">$E$14*(1+$AW99)</f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ref="BS99:BS121" si="43">MIN((1-BQ99)*BN99,BN99*BO99)</f>
        <v>0.87863408</v>
      </c>
      <c r="BT99" s="26">
        <f t="shared" ref="BT99:BT121" si="44">1-BQ99-BS99-BU99</f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34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82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0.1837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3673.1</v>
      </c>
      <c r="AT100" cm="1">
        <f t="array" ref="AT100">$E$10*(1+$AR100)+VLOOKUP($Q100,武学奇术!$A:$ZZ,4,FALSE)+SUM(_xlfn.XLOOKUP($R100:$AK100,增益!$A:$A,增益!$D:$D,0))-$I$2</f>
        <v>3673.1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39"/>
        <v>571.2</v>
      </c>
      <c r="BG100">
        <f t="shared" si="40"/>
        <v>1627.8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43"/>
        <v>0.87863408</v>
      </c>
      <c r="BT100" s="26">
        <f t="shared" si="44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34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82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0.1837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3673.1</v>
      </c>
      <c r="AT101" cm="1">
        <f t="array" ref="AT101">$E$10*(1+$AR101)+VLOOKUP($Q101,武学奇术!$A:$ZZ,4,FALSE)+SUM(_xlfn.XLOOKUP($R101:$AK101,增益!$A:$A,增益!$D:$D,0))-$I$2</f>
        <v>3673.1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39"/>
        <v>571.2</v>
      </c>
      <c r="BG101">
        <f t="shared" si="40"/>
        <v>1627.8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43"/>
        <v>0.87863408</v>
      </c>
      <c r="BT101" s="26">
        <f t="shared" si="44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34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82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0.1837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3673.1</v>
      </c>
      <c r="AT102" cm="1">
        <f t="array" ref="AT102">$E$10*(1+$AR102)+VLOOKUP($Q102,武学奇术!$A:$ZZ,4,FALSE)+SUM(_xlfn.XLOOKUP($R102:$AK102,增益!$A:$A,增益!$D:$D,0))-$I$2</f>
        <v>3673.1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39"/>
        <v>571.2</v>
      </c>
      <c r="BG102">
        <f t="shared" si="40"/>
        <v>1627.8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43"/>
        <v>0.87863408</v>
      </c>
      <c r="BT102" s="26">
        <f t="shared" si="44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34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82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0.1837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3673.1</v>
      </c>
      <c r="AT103" cm="1">
        <f t="array" ref="AT103">$E$10*(1+$AR103)+VLOOKUP($Q103,武学奇术!$A:$ZZ,4,FALSE)+SUM(_xlfn.XLOOKUP($R103:$AK103,增益!$A:$A,增益!$D:$D,0))-$I$2</f>
        <v>3673.1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39"/>
        <v>571.2</v>
      </c>
      <c r="BG103">
        <f t="shared" si="40"/>
        <v>1627.8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43"/>
        <v>0.87863408</v>
      </c>
      <c r="BT103" s="26">
        <f t="shared" si="44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34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82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0.1837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3673.1</v>
      </c>
      <c r="AT104" cm="1">
        <f t="array" ref="AT104">$E$10*(1+$AR104)+VLOOKUP($Q104,武学奇术!$A:$ZZ,4,FALSE)+SUM(_xlfn.XLOOKUP($R104:$AK104,增益!$A:$A,增益!$D:$D,0))-$I$2</f>
        <v>3673.1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39"/>
        <v>571.2</v>
      </c>
      <c r="BG104">
        <f t="shared" si="40"/>
        <v>1627.8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43"/>
        <v>0.87863408</v>
      </c>
      <c r="BT104" s="26">
        <f t="shared" si="44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34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82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0.1837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3673.1</v>
      </c>
      <c r="AT105" cm="1">
        <f t="array" ref="AT105">$E$10*(1+$AR105)+VLOOKUP($Q105,武学奇术!$A:$ZZ,4,FALSE)+SUM(_xlfn.XLOOKUP($R105:$AK105,增益!$A:$A,增益!$D:$D,0))-$I$2</f>
        <v>3673.1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39"/>
        <v>571.2</v>
      </c>
      <c r="BG105">
        <f t="shared" si="40"/>
        <v>1627.8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43"/>
        <v>0.87863408</v>
      </c>
      <c r="BT105" s="26">
        <f t="shared" si="44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34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82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0.1837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3673.1</v>
      </c>
      <c r="AT106" cm="1">
        <f t="array" ref="AT106">$E$10*(1+$AR106)+VLOOKUP($Q106,武学奇术!$A:$ZZ,4,FALSE)+SUM(_xlfn.XLOOKUP($R106:$AK106,增益!$A:$A,增益!$D:$D,0))-$I$2</f>
        <v>3673.1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39"/>
        <v>571.2</v>
      </c>
      <c r="BG106">
        <f t="shared" si="40"/>
        <v>1627.8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43"/>
        <v>0.87863408</v>
      </c>
      <c r="BT106" s="26">
        <f t="shared" si="44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34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82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0.1837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3673.1</v>
      </c>
      <c r="AT107" cm="1">
        <f t="array" ref="AT107">$E$10*(1+$AR107)+VLOOKUP($Q107,武学奇术!$A:$ZZ,4,FALSE)+SUM(_xlfn.XLOOKUP($R107:$AK107,增益!$A:$A,增益!$D:$D,0))-$I$2</f>
        <v>3673.1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39"/>
        <v>571.2</v>
      </c>
      <c r="BG107">
        <f t="shared" si="40"/>
        <v>1627.8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43"/>
        <v>0.87863408</v>
      </c>
      <c r="BT107" s="26">
        <f t="shared" si="44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34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82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0.1837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3673.1</v>
      </c>
      <c r="AT108" cm="1">
        <f t="array" ref="AT108">$E$10*(1+$AR108)+VLOOKUP($Q108,武学奇术!$A:$ZZ,4,FALSE)+SUM(_xlfn.XLOOKUP($R108:$AK108,增益!$A:$A,增益!$D:$D,0))-$I$2</f>
        <v>3673.1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39"/>
        <v>571.2</v>
      </c>
      <c r="BG108">
        <f t="shared" si="40"/>
        <v>1627.8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43"/>
        <v>0.87863408</v>
      </c>
      <c r="BT108" s="26">
        <f t="shared" si="44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34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82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0.1837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3673.1</v>
      </c>
      <c r="AT109" cm="1">
        <f t="array" ref="AT109">$E$10*(1+$AR109)+VLOOKUP($Q109,武学奇术!$A:$ZZ,4,FALSE)+SUM(_xlfn.XLOOKUP($R109:$AK109,增益!$A:$A,增益!$D:$D,0))-$I$2</f>
        <v>3673.1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39"/>
        <v>571.2</v>
      </c>
      <c r="BG109">
        <f t="shared" si="40"/>
        <v>1627.8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43"/>
        <v>0.87863408</v>
      </c>
      <c r="BT109" s="26">
        <f t="shared" si="44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34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82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0.1837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3673.1</v>
      </c>
      <c r="AT110" cm="1">
        <f t="array" ref="AT110">$E$10*(1+$AR110)+VLOOKUP($Q110,武学奇术!$A:$ZZ,4,FALSE)+SUM(_xlfn.XLOOKUP($R110:$AK110,增益!$A:$A,增益!$D:$D,0))-$I$2</f>
        <v>3673.1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39"/>
        <v>571.2</v>
      </c>
      <c r="BG110">
        <f t="shared" si="40"/>
        <v>1627.8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43"/>
        <v>0.87863408</v>
      </c>
      <c r="BT110" s="26">
        <f t="shared" si="44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34"/>
        <v>21396.2418149946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21746.3458201574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20589.7435491475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13851.1756816289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12450.6894750004</v>
      </c>
      <c r="P111" s="39">
        <f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82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0.3587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4434.698</v>
      </c>
      <c r="AT111" cm="1">
        <f t="array" ref="AT111">$E$10*(1+$AR111)+VLOOKUP($Q111,武学奇术!$A:$ZZ,4,FALSE)+SUM(_xlfn.XLOOKUP($R111:$AK111,增益!$A:$A,增益!$D:$D,0))-$I$2</f>
        <v>4434.698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37"/>
        <v>0</v>
      </c>
      <c r="BC111">
        <f t="shared" si="38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39"/>
        <v>674.016</v>
      </c>
      <c r="BG111">
        <f t="shared" si="40"/>
        <v>1920.804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41"/>
        <v>0</v>
      </c>
      <c r="BK111">
        <f t="shared" si="42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43"/>
        <v>0.87863408</v>
      </c>
      <c r="BT111" s="26">
        <f t="shared" si="44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34"/>
        <v>16685.4394820442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16997.5406109424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15765.6344785568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10557.4786403369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9436.70951877989</v>
      </c>
      <c r="P112" s="39">
        <f t="shared" ref="P112:P121" si="45">IF($E$22="易水歌",1,0)</f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82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0.2337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3673.1</v>
      </c>
      <c r="AT112" cm="1">
        <f t="array" ref="AT112">$E$10*(1+$AR112)+VLOOKUP($Q112,武学奇术!$A:$ZZ,4,FALSE)+SUM(_xlfn.XLOOKUP($R112:$AK112,增益!$A:$A,增益!$D:$D,0))-$I$2</f>
        <v>3673.1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37"/>
        <v>0</v>
      </c>
      <c r="BC112">
        <f t="shared" si="38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39"/>
        <v>639.744</v>
      </c>
      <c r="BG112">
        <f t="shared" si="40"/>
        <v>1823.136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41"/>
        <v>0</v>
      </c>
      <c r="BK112">
        <f t="shared" si="42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43"/>
        <v>0.87863408</v>
      </c>
      <c r="BT112" s="26">
        <f t="shared" si="44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ref="K113:K121" si="46">($L113*$BS113+$M113*$BQ113+$N113*$BT113+$O113*$BU113)</f>
        <v>20201.3266273731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20626.0694185751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18695.493204227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12576.8715966921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11305.2297087716</v>
      </c>
      <c r="P113" s="39">
        <f t="shared" si="45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82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0.2337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4434.698</v>
      </c>
      <c r="AT113" cm="1">
        <f t="array" ref="AT113">$E$10*(1+$AR113)+VLOOKUP($Q113,武学奇术!$A:$ZZ,4,FALSE)+SUM(_xlfn.XLOOKUP($R113:$AK113,增益!$A:$A,增益!$D:$D,0))-$I$2</f>
        <v>4434.698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37"/>
        <v>0</v>
      </c>
      <c r="BC113">
        <f t="shared" si="38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39"/>
        <v>674.016</v>
      </c>
      <c r="BG113">
        <f t="shared" si="40"/>
        <v>1920.804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41"/>
        <v>0</v>
      </c>
      <c r="BK113">
        <f t="shared" si="42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43"/>
        <v>0.87863408</v>
      </c>
      <c r="BT113" s="26">
        <f t="shared" si="44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46"/>
        <v>16963.7242980124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17314.2649701526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15765.6344785568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10557.4786403369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9436.70951877989</v>
      </c>
      <c r="P114" s="39">
        <f t="shared" si="45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82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0.2337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3673.1</v>
      </c>
      <c r="AT114" cm="1">
        <f t="array" ref="AT114">$E$10*(1+$AR114)+VLOOKUP($Q114,武学奇术!$A:$ZZ,4,FALSE)+SUM(_xlfn.XLOOKUP($R114:$AK114,增益!$A:$A,增益!$D:$D,0))-$I$2</f>
        <v>3673.1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35"/>
        <v>0</v>
      </c>
      <c r="AY114">
        <f t="shared" si="36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37"/>
        <v>0</v>
      </c>
      <c r="BC114">
        <f t="shared" si="38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39"/>
        <v>639.744</v>
      </c>
      <c r="BG114">
        <f t="shared" si="40"/>
        <v>1823.136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41"/>
        <v>0</v>
      </c>
      <c r="BK114">
        <f t="shared" si="42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43"/>
        <v>0.87863408</v>
      </c>
      <c r="BT114" s="26">
        <f t="shared" si="44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46"/>
        <v>23841.2052989719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24342.4783228228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22064.050538322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14842.9745870871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13342.2080346764</v>
      </c>
      <c r="P115" s="39">
        <f t="shared" si="45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171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82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0.2337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4434.698</v>
      </c>
      <c r="AT115" cm="1">
        <f t="array" ref="AT115">$E$10*(1+$AR115)+VLOOKUP($Q115,武学奇术!$A:$ZZ,4,FALSE)+SUM(_xlfn.XLOOKUP($R115:$AK115,增益!$A:$A,增益!$D:$D,0))-$I$2</f>
        <v>4434.698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35"/>
        <v>0</v>
      </c>
      <c r="AY115">
        <f t="shared" si="36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37"/>
        <v>0</v>
      </c>
      <c r="BC115">
        <f t="shared" si="38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39"/>
        <v>674.016</v>
      </c>
      <c r="BG115">
        <f t="shared" si="40"/>
        <v>1920.804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41"/>
        <v>0</v>
      </c>
      <c r="BK115">
        <f t="shared" si="42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43"/>
        <v>0.87863408</v>
      </c>
      <c r="BT115" s="26">
        <f t="shared" si="44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46"/>
        <v>17259.5912884696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17608.5250008183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16124.2482859354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10736.9054883038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9529.92335739626</v>
      </c>
      <c r="P116" s="39">
        <f t="shared" si="45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82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0.2337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3673.1</v>
      </c>
      <c r="AT116" cm="1">
        <f t="array" ref="AT116">$E$10*(1+$AR116)+VLOOKUP($Q116,武学奇术!$A:$ZZ,4,FALSE)+SUM(_xlfn.XLOOKUP($R116:$AK116,增益!$A:$A,增益!$D:$D,0))-$I$2</f>
        <v>3673.1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35"/>
        <v>0</v>
      </c>
      <c r="AY116">
        <f t="shared" si="36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37"/>
        <v>0</v>
      </c>
      <c r="BC116">
        <f t="shared" si="38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39"/>
        <v>639.744</v>
      </c>
      <c r="BG116">
        <f t="shared" si="40"/>
        <v>1823.136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41"/>
        <v>0</v>
      </c>
      <c r="BK116">
        <f t="shared" si="42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43"/>
        <v>0.87863408</v>
      </c>
      <c r="BT116" s="26">
        <f t="shared" si="44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46"/>
        <v>20201.3266273731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20626.0694185751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18695.493204227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12576.8715966921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11305.2297087716</v>
      </c>
      <c r="P117" s="39">
        <f t="shared" si="45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82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0.2337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4434.698</v>
      </c>
      <c r="AT117" cm="1">
        <f t="array" ref="AT117">$E$10*(1+$AR117)+VLOOKUP($Q117,武学奇术!$A:$ZZ,4,FALSE)+SUM(_xlfn.XLOOKUP($R117:$AK117,增益!$A:$A,增益!$D:$D,0))-$I$2</f>
        <v>4434.698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35"/>
        <v>0</v>
      </c>
      <c r="AY117">
        <f t="shared" si="36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37"/>
        <v>0</v>
      </c>
      <c r="BC117">
        <f t="shared" si="38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39"/>
        <v>674.016</v>
      </c>
      <c r="BG117">
        <f t="shared" si="40"/>
        <v>1920.804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41"/>
        <v>0</v>
      </c>
      <c r="BK117">
        <f t="shared" si="42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43"/>
        <v>0.87863408</v>
      </c>
      <c r="BT117" s="26">
        <f t="shared" si="44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46"/>
        <v>20201.3266273731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20626.0694185751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18695.493204227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12576.8715966921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11305.2297087716</v>
      </c>
      <c r="P118" s="39">
        <f t="shared" si="45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82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0.2337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4434.698</v>
      </c>
      <c r="AT118" cm="1">
        <f t="array" ref="AT118">$E$10*(1+$AR118)+VLOOKUP($Q118,武学奇术!$A:$ZZ,4,FALSE)+SUM(_xlfn.XLOOKUP($R118:$AK118,增益!$A:$A,增益!$D:$D,0))-$I$2</f>
        <v>4434.698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37"/>
        <v>0</v>
      </c>
      <c r="BC118">
        <f t="shared" si="38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39"/>
        <v>674.016</v>
      </c>
      <c r="BG118">
        <f t="shared" si="40"/>
        <v>1920.804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41"/>
        <v>0</v>
      </c>
      <c r="BK118">
        <f t="shared" si="42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43"/>
        <v>0.87863408</v>
      </c>
      <c r="BT118" s="26">
        <f t="shared" si="44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46"/>
        <v>16963.7242980124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17314.2649701526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15765.6344785568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10557.4786403369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9436.70951877989</v>
      </c>
      <c r="P119" s="39">
        <f t="shared" si="45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82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0.2337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3673.1</v>
      </c>
      <c r="AT119" cm="1">
        <f t="array" ref="AT119">$E$10*(1+$AR119)+VLOOKUP($Q119,武学奇术!$A:$ZZ,4,FALSE)+SUM(_xlfn.XLOOKUP($R119:$AK119,增益!$A:$A,增益!$D:$D,0))-$I$2</f>
        <v>3673.1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35"/>
        <v>0</v>
      </c>
      <c r="AY119">
        <f t="shared" si="36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37"/>
        <v>0</v>
      </c>
      <c r="BC119">
        <f t="shared" si="38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39"/>
        <v>639.744</v>
      </c>
      <c r="BG119">
        <f t="shared" si="40"/>
        <v>1823.136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41"/>
        <v>0</v>
      </c>
      <c r="BK119">
        <f t="shared" si="42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43"/>
        <v>0.87863408</v>
      </c>
      <c r="BT119" s="26">
        <f t="shared" si="44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46"/>
        <v>26256.8255165057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26808.8881391095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24299.6072516966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16346.8830116521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14694.0569479735</v>
      </c>
      <c r="P120" s="39">
        <f t="shared" si="45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171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82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0.3587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4434.698</v>
      </c>
      <c r="AT120" cm="1">
        <f t="array" ref="AT120">$E$10*(1+$AR120)+VLOOKUP($Q120,武学奇术!$A:$ZZ,4,FALSE)+SUM(_xlfn.XLOOKUP($R120:$AK120,增益!$A:$A,增益!$D:$D,0))-$I$2</f>
        <v>4434.698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35"/>
        <v>0</v>
      </c>
      <c r="AY120">
        <f t="shared" si="36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37"/>
        <v>0</v>
      </c>
      <c r="BC120">
        <f t="shared" si="38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39"/>
        <v>674.016</v>
      </c>
      <c r="BG120">
        <f t="shared" si="40"/>
        <v>1920.804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41"/>
        <v>0</v>
      </c>
      <c r="BK120">
        <f t="shared" si="42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43"/>
        <v>0.87863408</v>
      </c>
      <c r="BT120" s="26">
        <f t="shared" si="44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46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45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82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0.1837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3673.1</v>
      </c>
      <c r="AT121" cm="1">
        <f t="array" ref="AT121">$E$10*(1+$AR121)+VLOOKUP($Q121,武学奇术!$A:$ZZ,4,FALSE)+SUM(_xlfn.XLOOKUP($R121:$AK121,增益!$A:$A,增益!$D:$D,0))-$I$2</f>
        <v>3673.1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39"/>
        <v>571.2</v>
      </c>
      <c r="BG121">
        <f t="shared" si="40"/>
        <v>1627.8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43"/>
        <v>0.87863408</v>
      </c>
      <c r="BT121" s="26">
        <f t="shared" si="44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28">
    <mergeCell ref="H1:I1"/>
    <mergeCell ref="C8:G8"/>
    <mergeCell ref="C15:D15"/>
    <mergeCell ref="E21:F21"/>
    <mergeCell ref="E22:F22"/>
    <mergeCell ref="E23:F23"/>
    <mergeCell ref="E24:F24"/>
    <mergeCell ref="A23:A24"/>
    <mergeCell ref="C54:C57"/>
    <mergeCell ref="C82:C84"/>
    <mergeCell ref="D31:D36"/>
    <mergeCell ref="D80:D84"/>
    <mergeCell ref="E30:E37"/>
    <mergeCell ref="E43:E50"/>
    <mergeCell ref="E53:E57"/>
    <mergeCell ref="E60:E65"/>
    <mergeCell ref="E71:E77"/>
    <mergeCell ref="E82:E8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D36" sqref="D36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/>
      <c r="C2" s="31"/>
      <c r="D2" s="31"/>
      <c r="E2" s="42"/>
      <c r="F2" s="43" t="s">
        <v>72</v>
      </c>
      <c r="G2" s="44" t="s">
        <v>73</v>
      </c>
      <c r="H2" s="45" t="s">
        <v>74</v>
      </c>
      <c r="I2" s="11">
        <f>620*(1-IF(F17="√",0.06,0)-IF(F23="√",0.04,0))</f>
        <v>620</v>
      </c>
      <c r="K2" s="38">
        <f t="shared" ref="K2:K65" si="0">($L2*$BS2+$M2*$BQ2+$N2*$BT2+$O2*$BU2)</f>
        <v>29733.3850089994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30099.7102753736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29794.076466547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19419.1679195959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16768.6495676755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0.2387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4372.698</v>
      </c>
      <c r="AT2" cm="1">
        <f t="array" ref="AT2">$E$10*(1+$AR2)+VLOOKUP($Q2,武学奇术!$A:$ZZ,4,FALSE)+SUM(_xlfn.XLOOKUP($R2:$AK2,增益!$A:$A,增益!$D:$D,0))-$I$2</f>
        <v>4372.698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 t="shared" ref="BF2:BF65" si="5">$D$13*(1+$AW2)</f>
        <v>674.016</v>
      </c>
      <c r="BG2">
        <f t="shared" ref="BG2:BG65" si="6">$E$13*(1+$AW2)</f>
        <v>1920.804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 t="shared" ref="BS2:BS65" si="9">MIN((1-BQ2)*BN2,BN2*BO2)</f>
        <v>0.87863408</v>
      </c>
      <c r="BT2" s="26">
        <f t="shared" ref="BT2:BT65" si="10"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0.1037</v>
      </c>
      <c r="H3" s="45" t="s">
        <v>84</v>
      </c>
      <c r="I3" s="11">
        <f>25-IF(D17="√",10,0)-IF(F17="√",10,0)</f>
        <v>25</v>
      </c>
      <c r="K3" s="38">
        <f t="shared" si="0"/>
        <v>30996.2725284576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31385.4119333726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31045.007337049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20118.853803444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17241.4058757405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0.2487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4372.698</v>
      </c>
      <c r="AT3" cm="1">
        <f t="array" ref="AT3">$E$10*(1+$AR3)+VLOOKUP($Q3,武学奇术!$A:$ZZ,4,FALSE)+SUM(_xlfn.XLOOKUP($R3:$AK3,增益!$A:$A,增益!$D:$D,0))-$I$2</f>
        <v>4372.698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si="5"/>
        <v>674.016</v>
      </c>
      <c r="BG3">
        <f t="shared" si="6"/>
        <v>1920.804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si="9"/>
        <v>0.87863408</v>
      </c>
      <c r="BT3" s="26">
        <f t="shared" si="10"/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ht="14.25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31600.6828307898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32021.8076066168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31450.3388236916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20396.0558003928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17495.5643239771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0.2587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4372.698</v>
      </c>
      <c r="AT4" cm="1">
        <f t="array" ref="AT4">$E$10*(1+$AR4)+VLOOKUP($Q4,武学奇术!$A:$ZZ,4,FALSE)+SUM(_xlfn.XLOOKUP($R4:$AK4,增益!$A:$A,增益!$D:$D,0))-$I$2</f>
        <v>4372.698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1920.804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/>
      <c r="C5" s="55"/>
      <c r="D5" s="55"/>
      <c r="E5" s="56"/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28014.8621441136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28382.7594922713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27997.1809186966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17963.7718305514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15188.891128735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0.2687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3611.1</v>
      </c>
      <c r="AT5" cm="1">
        <f t="array" ref="AT5">$E$10*(1+$AR5)+VLOOKUP($Q5,武学奇术!$A:$ZZ,4,FALSE)+SUM(_xlfn.XLOOKUP($R5:$AK5,增益!$A:$A,增益!$D:$D,0))-$I$2</f>
        <v>3611.1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1823.136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28547.5444916931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28944.1663966969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28350.8515551307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18203.8782369163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15407.1256922543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0.2787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3611.1</v>
      </c>
      <c r="AT6" cm="1">
        <f t="array" ref="AT6">$E$10*(1+$AR6)+VLOOKUP($Q6,武学奇术!$A:$ZZ,4,FALSE)+SUM(_xlfn.XLOOKUP($R6:$AK6,增益!$A:$A,增益!$D:$D,0))-$I$2</f>
        <v>3611.1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1823.136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ht="14.25" spans="1:74">
      <c r="A7" s="41" t="s">
        <v>102</v>
      </c>
      <c r="B7" s="60"/>
      <c r="C7" s="61"/>
      <c r="D7" s="62"/>
      <c r="E7" s="63"/>
      <c r="F7" s="53" t="s">
        <v>103</v>
      </c>
      <c r="G7" s="64">
        <f>B20</f>
        <v>0</v>
      </c>
      <c r="K7" s="38">
        <f t="shared" si="0"/>
        <v>16871.4131108781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17078.0397669859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16919.2496967771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11018.0901722489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9503.40279132964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0.1989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3611.1</v>
      </c>
      <c r="AT7" cm="1">
        <f t="array" ref="AT7">$E$10*(1+$AR7)+VLOOKUP($Q7,武学奇术!$A:$ZZ,4,FALSE)+SUM(_xlfn.XLOOKUP($R7:$AK7,增益!$A:$A,增益!$D:$D,0))-$I$2</f>
        <v>3611.1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1823.136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f>期望!B8</f>
        <v>0.9859</v>
      </c>
      <c r="C8" s="67" t="s">
        <v>106</v>
      </c>
      <c r="D8" s="67"/>
      <c r="E8" s="67"/>
      <c r="F8" s="67"/>
      <c r="G8" s="37"/>
      <c r="H8" s="68" t="s">
        <v>107</v>
      </c>
      <c r="I8" s="22">
        <f>期望!I8</f>
        <v>100.8</v>
      </c>
      <c r="J8" s="69"/>
      <c r="K8" s="38">
        <f t="shared" si="0"/>
        <v>75547.1774031521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76433.8307410484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76180.0542564559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49312.1488651925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42194.6279107881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0.1989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3611.1</v>
      </c>
      <c r="AT8" cm="1">
        <f t="array" ref="AT8">$E$10*(1+$AR8)+VLOOKUP($Q8,武学奇术!$A:$ZZ,4,FALSE)+SUM(_xlfn.XLOOKUP($R8:$AK8,增益!$A:$A,增益!$D:$D,0))-$I$2</f>
        <v>3611.1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1823.136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ht="14.25" spans="1:74">
      <c r="A9" s="41" t="s">
        <v>109</v>
      </c>
      <c r="B9" s="70">
        <f>期望!B9</f>
        <v>0.7992</v>
      </c>
      <c r="C9" s="20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20550.8292937418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20793.163992825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20710.6015756629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13414.9445115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11488.7026706571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0.4289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3611.1</v>
      </c>
      <c r="AT9" cm="1">
        <f t="array" ref="AT9">$E$10*(1+$AR9)+VLOOKUP($Q9,武学奇术!$A:$ZZ,4,FALSE)+SUM(_xlfn.XLOOKUP($R9:$AK9,增益!$A:$A,增益!$D:$D,0))-$I$2</f>
        <v>3611.1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1823.136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f>期望!B10</f>
        <v>0.0929</v>
      </c>
      <c r="C10" s="20" t="s">
        <v>71</v>
      </c>
      <c r="D10">
        <f>期望!D10</f>
        <v>4231.1</v>
      </c>
      <c r="E10">
        <f>期望!E10</f>
        <v>4231.1</v>
      </c>
      <c r="F10">
        <f>期望!F10</f>
        <v>58.4</v>
      </c>
      <c r="G10" s="49">
        <f>期望!G10</f>
        <v>0.025</v>
      </c>
      <c r="H10" s="68" t="s">
        <v>113</v>
      </c>
      <c r="I10" s="73">
        <f>SUM(K:K)</f>
        <v>9626330.533347</v>
      </c>
      <c r="J10" s="74"/>
      <c r="K10" s="38">
        <f t="shared" si="0"/>
        <v>55153.1189455295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55843.2778194454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55264.3003467726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35796.9729611829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30657.4271469788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0.6339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3611.1</v>
      </c>
      <c r="AT10" cm="1">
        <f t="array" ref="AT10">$E$10*(1+$AR10)+VLOOKUP($Q10,武学奇术!$A:$ZZ,4,FALSE)+SUM(_xlfn.XLOOKUP($R10:$AK10,增益!$A:$A,增益!$D:$D,0))-$I$2</f>
        <v>3611.1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1823.136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ht="14.25" spans="1:74">
      <c r="A11" s="41" t="s">
        <v>116</v>
      </c>
      <c r="B11" s="70">
        <f>期望!B11</f>
        <v>0.092</v>
      </c>
      <c r="C11" s="20" t="s">
        <v>83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5"/>
      <c r="J11" s="76"/>
      <c r="K11" s="38">
        <f t="shared" si="0"/>
        <v>146778.118285979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151412.183092695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124467.325614485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81404.3995122015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70610.7800507104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0.6291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4372.698</v>
      </c>
      <c r="AT11" cm="1">
        <f t="array" ref="AT11">$E$10*(1+$AR11)+VLOOKUP($Q11,武学奇术!$A:$ZZ,4,FALSE)+SUM(_xlfn.XLOOKUP($R11:$AK11,增益!$A:$A,增益!$D:$D,0))-$I$2</f>
        <v>4372.698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1920.804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f>期望!B12</f>
        <v>0</v>
      </c>
      <c r="C12" s="20" t="s">
        <v>88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119</v>
      </c>
      <c r="I12" s="38">
        <f>I10/I8</f>
        <v>95499.3108466964</v>
      </c>
      <c r="J12" s="77"/>
      <c r="K12" s="38">
        <f t="shared" si="0"/>
        <v>298331.618751126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307917.834286404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251615.285017295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164661.943468665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142942.194331927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0.6391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4372.698</v>
      </c>
      <c r="AT12" cm="1">
        <f t="array" ref="AT12">$E$10*(1+$AR12)+VLOOKUP($Q12,武学奇术!$A:$ZZ,4,FALSE)+SUM(_xlfn.XLOOKUP($R12:$AK12,增益!$A:$A,增益!$D:$D,0))-$I$2</f>
        <v>4372.698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1920.804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ht="14.25" spans="1:74">
      <c r="A13" s="41" t="s">
        <v>120</v>
      </c>
      <c r="B13" s="70">
        <f>期望!B13</f>
        <v>0.54</v>
      </c>
      <c r="C13" s="20" t="s">
        <v>5</v>
      </c>
      <c r="D13">
        <f>期望!D13</f>
        <v>571.2</v>
      </c>
      <c r="E13">
        <f>期望!E13</f>
        <v>1627.8</v>
      </c>
      <c r="F13">
        <f>期望!F13</f>
        <v>30</v>
      </c>
      <c r="G13" s="49">
        <f>期望!G13</f>
        <v>0.15</v>
      </c>
      <c r="H13" s="71"/>
      <c r="I13" s="78"/>
      <c r="J13" s="76"/>
      <c r="K13" s="38">
        <f t="shared" si="0"/>
        <v>399099.106545802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414082.528064569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319374.712104501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209132.5899316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181691.319045052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0.6991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4372.698</v>
      </c>
      <c r="AT13" cm="1">
        <f t="array" ref="AT13">$E$10*(1+$AR13)+VLOOKUP($Q13,武学奇术!$A:$ZZ,4,FALSE)+SUM(_xlfn.XLOOKUP($R13:$AK13,增益!$A:$A,增益!$D:$D,0))-$I$2</f>
        <v>4372.698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1920.804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ht="14.25" spans="1:74">
      <c r="A14" s="41" t="s">
        <v>122</v>
      </c>
      <c r="B14" s="70">
        <f>期望!B14</f>
        <v>0.35</v>
      </c>
      <c r="C14" s="21" t="s">
        <v>98</v>
      </c>
      <c r="D14" s="21">
        <f>期望!D14</f>
        <v>0</v>
      </c>
      <c r="E14" s="21">
        <f>期望!E14</f>
        <v>0</v>
      </c>
      <c r="F14" s="21">
        <f>期望!F14</f>
        <v>0</v>
      </c>
      <c r="G14" s="64">
        <f>期望!G14</f>
        <v>0</v>
      </c>
      <c r="H14" s="36" t="s">
        <v>123</v>
      </c>
      <c r="I14" s="73">
        <f>I12+120000*34%</f>
        <v>136299.310846696</v>
      </c>
      <c r="J14" s="74"/>
      <c r="K14" s="38">
        <f t="shared" si="0"/>
        <v>62982.7705448097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63870.2953828088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62287.757443951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40424.2375840562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34709.3955800006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0.5491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3611.1</v>
      </c>
      <c r="AT14" cm="1">
        <f t="array" ref="AT14">$E$10*(1+$AR14)+VLOOKUP($Q14,武学奇术!$A:$ZZ,4,FALSE)+SUM(_xlfn.XLOOKUP($R14:$AK14,增益!$A:$A,增益!$D:$D,0))-$I$2</f>
        <v>3611.1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1823.136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ht="14.25" spans="1:74">
      <c r="A15" s="41" t="s">
        <v>125</v>
      </c>
      <c r="B15" s="70">
        <f>期望!B15</f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122602.808804703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126527.40357089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103743.804113815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67301.8104100477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57756.3585135658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0.7491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3611.1</v>
      </c>
      <c r="AT15" cm="1">
        <f t="array" ref="AT15">$E$10*(1+$AR15)+VLOOKUP($Q15,武学奇术!$A:$ZZ,4,FALSE)+SUM(_xlfn.XLOOKUP($R15:$AK15,增益!$A:$A,增益!$D:$D,0))-$I$2</f>
        <v>3611.1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1823.136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f>期望!B16</f>
        <v>0.0887</v>
      </c>
      <c r="C16" s="39" t="s">
        <v>129</v>
      </c>
      <c r="D16" s="79" t="s">
        <v>151</v>
      </c>
      <c r="E16" s="39" t="s">
        <v>131</v>
      </c>
      <c r="F16" s="79" t="s">
        <v>130</v>
      </c>
      <c r="H16" s="68" t="s">
        <v>132</v>
      </c>
      <c r="I16" s="81"/>
      <c r="J16" s="82"/>
      <c r="K16" s="38">
        <f t="shared" si="0"/>
        <v>19439.7584777636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19713.8592548529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19223.4577866219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12477.1261106664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10714.6538608721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0.4241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3611.1</v>
      </c>
      <c r="AT16" cm="1">
        <f t="array" ref="AT16">$E$10*(1+$AR16)+VLOOKUP($Q16,武学奇术!$A:$ZZ,4,FALSE)+SUM(_xlfn.XLOOKUP($R16:$AK16,增益!$A:$A,增益!$D:$D,0))-$I$2</f>
        <v>3611.1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1823.136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ht="14.25" spans="1:74">
      <c r="A17" s="41" t="s">
        <v>134</v>
      </c>
      <c r="B17" s="70">
        <f>期望!B17</f>
        <v>0.0852</v>
      </c>
      <c r="C17" s="39" t="s">
        <v>135</v>
      </c>
      <c r="D17" s="79" t="s">
        <v>151</v>
      </c>
      <c r="E17" s="39" t="s">
        <v>136</v>
      </c>
      <c r="F17" s="79" t="s">
        <v>151</v>
      </c>
      <c r="H17" s="71"/>
      <c r="I17" s="83"/>
      <c r="J17" s="84"/>
      <c r="K17" s="38">
        <f t="shared" si="0"/>
        <v>29542.3718114595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30503.1273315375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24877.7153804586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16139.2208103373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13850.5043018164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0.4241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3611.1</v>
      </c>
      <c r="AT17" cm="1">
        <f t="array" ref="AT17">$E$10*(1+$AR17)+VLOOKUP($Q17,武学奇术!$A:$ZZ,4,FALSE)+SUM(_xlfn.XLOOKUP($R17:$AK17,增益!$A:$A,增益!$D:$D,0))-$I$2</f>
        <v>3611.1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1823.136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f>期望!B18</f>
        <v>0</v>
      </c>
      <c r="C18" s="39" t="s">
        <v>139</v>
      </c>
      <c r="D18" s="79" t="s">
        <v>151</v>
      </c>
      <c r="K18" s="38">
        <f t="shared" si="0"/>
        <v>93424.0777676391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96510.2073744733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78289.0104881327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50794.8459865649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43597.8323522907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0.4241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3611.1</v>
      </c>
      <c r="AT18" cm="1">
        <f t="array" ref="AT18">$E$10*(1+$AR18)+VLOOKUP($Q18,武学奇术!$A:$ZZ,4,FALSE)+SUM(_xlfn.XLOOKUP($R18:$AK18,增益!$A:$A,增益!$D:$D,0))-$I$2</f>
        <v>3611.1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1823.136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f>期望!B19</f>
        <v>0</v>
      </c>
      <c r="C19" s="39" t="s">
        <v>143</v>
      </c>
      <c r="D19" s="79" t="s">
        <v>151</v>
      </c>
      <c r="K19" s="38">
        <f t="shared" si="0"/>
        <v>19659.0150421894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19963.4017770662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19223.4577866219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12477.1261106664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10714.6538608721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0.4241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3611.1</v>
      </c>
      <c r="AT19" cm="1">
        <f t="array" ref="AT19">$E$10*(1+$AR19)+VLOOKUP($Q19,武学奇术!$A:$ZZ,4,FALSE)+SUM(_xlfn.XLOOKUP($R19:$AK19,增益!$A:$A,增益!$D:$D,0))-$I$2</f>
        <v>3611.1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1823.136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f>期望!B20</f>
        <v>0</v>
      </c>
      <c r="C20" s="39" t="s">
        <v>145</v>
      </c>
      <c r="D20" s="79" t="s">
        <v>151</v>
      </c>
      <c r="K20" s="38">
        <f t="shared" si="0"/>
        <v>29684.1765057456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30664.5195396409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24877.7153804586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16139.2208103373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13850.5043018164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0.4241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3611.1</v>
      </c>
      <c r="AT20" cm="1">
        <f t="array" ref="AT20">$E$10*(1+$AR20)+VLOOKUP($Q20,武学奇术!$A:$ZZ,4,FALSE)+SUM(_xlfn.XLOOKUP($R20:$AK20,增益!$A:$A,增益!$D:$D,0))-$I$2</f>
        <v>3611.1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1823.136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ht="14.25" spans="1:74">
      <c r="A21" s="85" t="s">
        <v>146</v>
      </c>
      <c r="B21" s="86">
        <f>期望!B21</f>
        <v>0.32</v>
      </c>
      <c r="E21" s="39" t="s">
        <v>147</v>
      </c>
      <c r="F21" s="39"/>
      <c r="K21" s="38">
        <f t="shared" si="0"/>
        <v>93870.3785953605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97018.1558343389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78289.0104881327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50794.8459865649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43597.8323522907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0.4241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3611.1</v>
      </c>
      <c r="AT21" cm="1">
        <f t="array" ref="AT21">$E$10*(1+$AR21)+VLOOKUP($Q21,武学奇术!$A:$ZZ,4,FALSE)+SUM(_xlfn.XLOOKUP($R21:$AK21,增益!$A:$A,增益!$D:$D,0))-$I$2</f>
        <v>3611.1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1823.136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f>期望!B22</f>
        <v>0.5</v>
      </c>
      <c r="C22" s="39" t="s">
        <v>150</v>
      </c>
      <c r="D22" s="79" t="s">
        <v>151</v>
      </c>
      <c r="E22" s="39" t="str">
        <f>期望!E22</f>
        <v>易水歌</v>
      </c>
      <c r="F22" s="39"/>
      <c r="K22" s="38">
        <f t="shared" si="0"/>
        <v>82447.3092731151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83779.4340592349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80179.0716109138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52036.9155647422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44681.9262325113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0.2389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3611.1</v>
      </c>
      <c r="AT22" cm="1">
        <f t="array" ref="AT22">$E$10*(1+$AR22)+VLOOKUP($Q22,武学奇术!$A:$ZZ,4,FALSE)+SUM(_xlfn.XLOOKUP($R22:$AK22,增益!$A:$A,增益!$D:$D,0))-$I$2</f>
        <v>3611.1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1823.136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f>期望!B23</f>
        <v>200</v>
      </c>
      <c r="E23" s="39" t="s">
        <v>154</v>
      </c>
      <c r="F23" s="39"/>
      <c r="K23" s="38">
        <f t="shared" si="0"/>
        <v>21741.7198682343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22092.9863412963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21143.8001672634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13722.3517647803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11782.6293315877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0.4389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3611.1</v>
      </c>
      <c r="AT23" cm="1">
        <f t="array" ref="AT23">$E$10*(1+$AR23)+VLOOKUP($Q23,武学奇术!$A:$ZZ,4,FALSE)+SUM(_xlfn.XLOOKUP($R23:$AK23,增益!$A:$A,增益!$D:$D,0))-$I$2</f>
        <v>3611.1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1823.136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f>期望!B24</f>
        <v>400</v>
      </c>
      <c r="E24" s="39" t="str">
        <f>期望!E24</f>
        <v>弦墨篇</v>
      </c>
      <c r="F24" s="39"/>
      <c r="K24" s="38">
        <f t="shared" si="0"/>
        <v>54564.150632287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55482.4651413176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52770.3551936239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34248.4352724183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29407.7185495596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0.5389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3611.1</v>
      </c>
      <c r="AT24" cm="1">
        <f t="array" ref="AT24">$E$10*(1+$AR24)+VLOOKUP($Q24,武学奇术!$A:$ZZ,4,FALSE)+SUM(_xlfn.XLOOKUP($R24:$AK24,增益!$A:$A,增益!$D:$D,0))-$I$2</f>
        <v>3611.1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1823.136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143470.261120205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148516.445025646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117516.78012505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76951.5259200236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66853.5850807512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0.5241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4372.698</v>
      </c>
      <c r="AT25" cm="1">
        <f t="array" ref="AT25">$E$10*(1+$AR25)+VLOOKUP($Q25,武学奇术!$A:$ZZ,4,FALSE)+SUM(_xlfn.XLOOKUP($R25:$AK25,增益!$A:$A,增益!$D:$D,0))-$I$2</f>
        <v>4372.698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1920.804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288292.766904037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298571.920569692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235033.560250099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153903.051840047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133707.170161502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0.5241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4372.698</v>
      </c>
      <c r="AT26" cm="1">
        <f t="array" ref="AT26">$E$10*(1+$AR26)+VLOOKUP($Q26,武学奇术!$A:$ZZ,4,FALSE)+SUM(_xlfn.XLOOKUP($R26:$AK26,增益!$A:$A,增益!$D:$D,0))-$I$2</f>
        <v>4372.698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1920.804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379952.005485106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395243.978585791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295878.838398973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193747.048326368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168324.586727571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0.5741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4372.698</v>
      </c>
      <c r="AT27" cm="1">
        <f t="array" ref="AT27">$E$10*(1+$AR27)+VLOOKUP($Q27,武学奇术!$A:$ZZ,4,FALSE)+SUM(_xlfn.XLOOKUP($R27:$AK27,增益!$A:$A,增益!$D:$D,0))-$I$2</f>
        <v>4372.698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1920.804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K28" s="38">
        <f t="shared" si="0"/>
        <v>59859.6889801294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60946.2120323189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57261.6328035185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37162.3244099506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31908.6245209985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0.4241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3611.1</v>
      </c>
      <c r="AT28" cm="1">
        <f t="array" ref="AT28">$E$10*(1+$AR28)+VLOOKUP($Q28,武学奇术!$A:$ZZ,4,FALSE)+SUM(_xlfn.XLOOKUP($R28:$AK28,增益!$A:$A,增益!$D:$D,0))-$I$2</f>
        <v>3611.1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1823.136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K29" s="38">
        <f t="shared" si="0"/>
        <v>117135.418688676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121234.605429478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96329.719433564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62492.0646543699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53628.781580174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0.6241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3611.1</v>
      </c>
      <c r="AT29" cm="1">
        <f t="array" ref="AT29">$E$10*(1+$AR29)+VLOOKUP($Q29,武学奇术!$A:$ZZ,4,FALSE)+SUM(_xlfn.XLOOKUP($R29:$AK29,增益!$A:$A,增益!$D:$D,0))-$I$2</f>
        <v>3611.1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1823.136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K30" s="38">
        <f t="shared" si="0"/>
        <v>20097.528171041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20462.4868214928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19223.4577866219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12477.1261106664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10714.6538608721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0.4241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3611.1</v>
      </c>
      <c r="AT30" cm="1">
        <f t="array" ref="AT30">$E$10*(1+$AR30)+VLOOKUP($Q30,武学奇术!$A:$ZZ,4,FALSE)+SUM(_xlfn.XLOOKUP($R30:$AK30,增益!$A:$A,增益!$D:$D,0))-$I$2</f>
        <v>3611.1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1823.136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K31" s="38">
        <f t="shared" si="0"/>
        <v>30251.3952828899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31310.0883720544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24877.7153804586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16139.2208103373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13850.5043018164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0.4241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3611.1</v>
      </c>
      <c r="AT31" cm="1">
        <f t="array" ref="AT31">$E$10*(1+$AR31)+VLOOKUP($Q31,武学奇术!$A:$ZZ,4,FALSE)+SUM(_xlfn.XLOOKUP($R31:$AK31,增益!$A:$A,增益!$D:$D,0))-$I$2</f>
        <v>3611.1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1823.136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K32" s="38">
        <f t="shared" si="0"/>
        <v>95209.281078525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98542.0012139359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78289.0104881327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50794.8459865649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43597.8323522907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0.4241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3611.1</v>
      </c>
      <c r="AT32" cm="1">
        <f t="array" ref="AT32">$E$10*(1+$AR32)+VLOOKUP($Q32,武学奇术!$A:$ZZ,4,FALSE)+SUM(_xlfn.XLOOKUP($R32:$AK32,增益!$A:$A,增益!$D:$D,0))-$I$2</f>
        <v>3611.1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1823.136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3:74">
      <c r="K33" s="38">
        <f t="shared" si="0"/>
        <v>20097.528171041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20462.4868214928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19223.4577866219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12477.1261106664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10714.6538608721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0.4241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3611.1</v>
      </c>
      <c r="AT33" cm="1">
        <f t="array" ref="AT33">$E$10*(1+$AR33)+VLOOKUP($Q33,武学奇术!$A:$ZZ,4,FALSE)+SUM(_xlfn.XLOOKUP($R33:$AK33,增益!$A:$A,增益!$D:$D,0))-$I$2</f>
        <v>3611.1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1823.136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3:74">
      <c r="K34" s="38">
        <f t="shared" si="0"/>
        <v>30251.3952828899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31310.0883720544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24877.7153804586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16139.2208103373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13850.5043018164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0.4241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3611.1</v>
      </c>
      <c r="AT34" cm="1">
        <f t="array" ref="AT34">$E$10*(1+$AR34)+VLOOKUP($Q34,武学奇术!$A:$ZZ,4,FALSE)+SUM(_xlfn.XLOOKUP($R34:$AK34,增益!$A:$A,增益!$D:$D,0))-$I$2</f>
        <v>3611.1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1823.136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3:74">
      <c r="K35" s="38">
        <f t="shared" si="0"/>
        <v>95209.281078525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98542.0012139359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78289.0104881327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50794.8459865649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43597.8323522907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0.4241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3611.1</v>
      </c>
      <c r="AT35" cm="1">
        <f t="array" ref="AT35">$E$10*(1+$AR35)+VLOOKUP($Q35,武学奇术!$A:$ZZ,4,FALSE)+SUM(_xlfn.XLOOKUP($R35:$AK35,增益!$A:$A,增益!$D:$D,0))-$I$2</f>
        <v>3611.1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si="1"/>
        <v>0</v>
      </c>
      <c r="AY35">
        <f t="shared" si="2"/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si="5"/>
        <v>639.744</v>
      </c>
      <c r="BG35">
        <f t="shared" si="6"/>
        <v>1823.136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si="9"/>
        <v>0.87863408</v>
      </c>
      <c r="BT35" s="26">
        <f t="shared" si="10"/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3:74">
      <c r="K36" s="38">
        <f t="shared" si="0"/>
        <v>88290.6712917046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89935.8809509501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83996.7983475494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54838.9517993598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47458.0529709053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0.3389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3611.1</v>
      </c>
      <c r="AT36" cm="1">
        <f t="array" ref="AT36">$E$10*(1+$AR36)+VLOOKUP($Q36,武学奇术!$A:$ZZ,4,FALSE)+SUM(_xlfn.XLOOKUP($R36:$AK36,增益!$A:$A,增益!$D:$D,0))-$I$2</f>
        <v>3611.1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"/>
        <v>0</v>
      </c>
      <c r="AY36">
        <f t="shared" si="2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5"/>
        <v>639.744</v>
      </c>
      <c r="BG36">
        <f t="shared" si="6"/>
        <v>1823.136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9"/>
        <v>0.87863408</v>
      </c>
      <c r="BT36" s="26">
        <f t="shared" si="10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3:74">
      <c r="C37" s="39"/>
      <c r="K37" s="38">
        <f t="shared" si="0"/>
        <v>21543.7904685461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21945.2193530874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20496.2428939678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13381.2313128582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11580.0604820365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0.4389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3611.1</v>
      </c>
      <c r="AT37" cm="1">
        <f t="array" ref="AT37">$E$10*(1+$AR37)+VLOOKUP($Q37,武学奇术!$A:$ZZ,4,FALSE)+SUM(_xlfn.XLOOKUP($R37:$AK37,增益!$A:$A,增益!$D:$D,0))-$I$2</f>
        <v>3611.1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"/>
        <v>0</v>
      </c>
      <c r="AY37">
        <f t="shared" si="2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5"/>
        <v>639.744</v>
      </c>
      <c r="BG37">
        <f t="shared" si="6"/>
        <v>1823.136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9"/>
        <v>0.87863408</v>
      </c>
      <c r="BT37" s="26">
        <f t="shared" si="10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3:74">
      <c r="C38" s="39"/>
      <c r="K38" s="38">
        <f t="shared" si="0"/>
        <v>55165.9874806274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56167.433846766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52770.3551936239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34248.4352724183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29407.7185495596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0.5389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3611.1</v>
      </c>
      <c r="AT38" cm="1">
        <f t="array" ref="AT38">$E$10*(1+$AR38)+VLOOKUP($Q38,武学奇术!$A:$ZZ,4,FALSE)+SUM(_xlfn.XLOOKUP($R38:$AK38,增益!$A:$A,增益!$D:$D,0))-$I$2</f>
        <v>3611.1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"/>
        <v>0</v>
      </c>
      <c r="AY38">
        <f t="shared" si="2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5"/>
        <v>639.744</v>
      </c>
      <c r="BG38">
        <f t="shared" si="6"/>
        <v>1823.136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9"/>
        <v>0.87863408</v>
      </c>
      <c r="BT38" s="26">
        <f t="shared" si="10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3:74">
      <c r="C39" s="39"/>
      <c r="E39" s="4"/>
      <c r="F39" s="4"/>
      <c r="K39" s="38">
        <f t="shared" si="0"/>
        <v>214013.863772189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217686.654255508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207019.779097076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132735.764789944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112123.545063535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80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0.1537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3611.1</v>
      </c>
      <c r="AT39" cm="1">
        <f t="array" ref="AT39">$E$10*(1+$AR39)+VLOOKUP($Q39,武学奇术!$A:$ZZ,4,FALSE)+SUM(_xlfn.XLOOKUP($R39:$AK39,增益!$A:$A,增益!$D:$D,0))-$I$2</f>
        <v>3611.1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"/>
        <v>0</v>
      </c>
      <c r="AY39">
        <f t="shared" si="2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3"/>
        <v>0</v>
      </c>
      <c r="BC39">
        <f t="shared" si="4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5"/>
        <v>639.744</v>
      </c>
      <c r="BG39">
        <f t="shared" si="6"/>
        <v>1823.136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9"/>
        <v>0.87863408</v>
      </c>
      <c r="BT39" s="26">
        <f t="shared" si="10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3:74">
      <c r="C40" s="39"/>
      <c r="K40" s="38">
        <f t="shared" si="0"/>
        <v>170118.704794725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176184.331507341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138690.974742176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90816.6657254333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78899.276086292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80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0.5241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4372.698</v>
      </c>
      <c r="AT40" cm="1">
        <f t="array" ref="AT40">$E$10*(1+$AR40)+VLOOKUP($Q40,武学奇术!$A:$ZZ,4,FALSE)+SUM(_xlfn.XLOOKUP($R40:$AK40,增益!$A:$A,增益!$D:$D,0))-$I$2</f>
        <v>4372.698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3"/>
        <v>0</v>
      </c>
      <c r="BC40">
        <f t="shared" si="4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5"/>
        <v>674.016</v>
      </c>
      <c r="BG40">
        <f t="shared" si="6"/>
        <v>1920.804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9"/>
        <v>0.87863408</v>
      </c>
      <c r="BT40" s="26">
        <f t="shared" si="10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3:74">
      <c r="K41" s="38">
        <f t="shared" si="0"/>
        <v>340237.409589449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352368.663014681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277381.949484351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181633.331450867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157798.552172584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80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0.5241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4372.698</v>
      </c>
      <c r="AT41" cm="1">
        <f t="array" ref="AT41">$E$10*(1+$AR41)+VLOOKUP($Q41,武学奇术!$A:$ZZ,4,FALSE)+SUM(_xlfn.XLOOKUP($R41:$AK41,增益!$A:$A,增益!$D:$D,0))-$I$2</f>
        <v>4372.698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"/>
        <v>0</v>
      </c>
      <c r="AY41">
        <f t="shared" si="2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3"/>
        <v>0</v>
      </c>
      <c r="BC41">
        <f t="shared" si="4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5"/>
        <v>674.016</v>
      </c>
      <c r="BG41">
        <f t="shared" si="6"/>
        <v>1920.804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9"/>
        <v>0.87863408</v>
      </c>
      <c r="BT41" s="26">
        <f t="shared" si="10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3:74">
      <c r="K42" s="38">
        <f t="shared" si="0"/>
        <v>448411.826293233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466459.10986251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349190.340813202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228656.426403191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198653.341092899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80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0.5741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4372.698</v>
      </c>
      <c r="AT42" cm="1">
        <f t="array" ref="AT42">$E$10*(1+$AR42)+VLOOKUP($Q42,武学奇术!$A:$ZZ,4,FALSE)+SUM(_xlfn.XLOOKUP($R42:$AK42,增益!$A:$A,增益!$D:$D,0))-$I$2</f>
        <v>4372.698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"/>
        <v>0</v>
      </c>
      <c r="AY42">
        <f t="shared" si="2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3"/>
        <v>0</v>
      </c>
      <c r="BC42">
        <f t="shared" si="4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5"/>
        <v>674.016</v>
      </c>
      <c r="BG42">
        <f t="shared" si="6"/>
        <v>1920.804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7"/>
        <v>0</v>
      </c>
      <c r="BK42">
        <f t="shared" si="8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9"/>
        <v>0.87863408</v>
      </c>
      <c r="BT42" s="26">
        <f t="shared" si="10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3:74">
      <c r="K43" s="38">
        <f t="shared" si="0"/>
        <v>70645.2185260986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71927.5114976016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67579.0441194678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43858.2387180498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37657.9262364938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80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0.4241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3611.1</v>
      </c>
      <c r="AT43" cm="1">
        <f t="array" ref="AT43">$E$10*(1+$AR43)+VLOOKUP($Q43,武学奇术!$A:$ZZ,4,FALSE)+SUM(_xlfn.XLOOKUP($R43:$AK43,增益!$A:$A,增益!$D:$D,0))-$I$2</f>
        <v>3611.1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3"/>
        <v>0</v>
      </c>
      <c r="BC43">
        <f t="shared" si="4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5"/>
        <v>639.744</v>
      </c>
      <c r="BG43">
        <f t="shared" si="6"/>
        <v>1823.136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9"/>
        <v>0.87863408</v>
      </c>
      <c r="BT43" s="26">
        <f t="shared" si="10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3:74">
      <c r="C44" s="4"/>
      <c r="K44" s="38">
        <f t="shared" si="0"/>
        <v>138240.899533483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143078.678479834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113686.42563781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73751.8961236258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63291.6251081332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80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0.6241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3611.1</v>
      </c>
      <c r="AT44" cm="1">
        <f t="array" ref="AT44">$E$10*(1+$AR44)+VLOOKUP($Q44,武学奇术!$A:$ZZ,4,FALSE)+SUM(_xlfn.XLOOKUP($R44:$AK44,增益!$A:$A,增益!$D:$D,0))-$I$2</f>
        <v>3611.1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3"/>
        <v>0</v>
      </c>
      <c r="BC44">
        <f t="shared" si="4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5"/>
        <v>639.744</v>
      </c>
      <c r="BG44">
        <f t="shared" si="6"/>
        <v>1823.136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9"/>
        <v>0.87863408</v>
      </c>
      <c r="BT44" s="26">
        <f t="shared" si="10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3:74">
      <c r="K45" s="38">
        <f t="shared" si="0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0.1037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3611.1</v>
      </c>
      <c r="AT45" cm="1">
        <f t="array" ref="AT45">$E$10*(1+$AR45)+VLOOKUP($Q45,武学奇术!$A:$ZZ,4,FALSE)+SUM(_xlfn.XLOOKUP($R45:$AK45,增益!$A:$A,增益!$D:$D,0))-$I$2</f>
        <v>3611.1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0.167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5"/>
        <v>571.2</v>
      </c>
      <c r="BG45">
        <f t="shared" si="6"/>
        <v>1627.8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9"/>
        <v>0.87863408</v>
      </c>
      <c r="BT45" s="26">
        <f t="shared" si="10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3:74">
      <c r="K46" s="38">
        <f t="shared" si="0"/>
        <v>81696.4020190401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83218.7339682815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77723.2306167592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50743.1304684643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43913.497517107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0.2389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3611.1</v>
      </c>
      <c r="AT46" cm="1">
        <f t="array" ref="AT46">$E$10*(1+$AR46)+VLOOKUP($Q46,武学奇术!$A:$ZZ,4,FALSE)+SUM(_xlfn.XLOOKUP($R46:$AK46,增益!$A:$A,增益!$D:$D,0))-$I$2</f>
        <v>3611.1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5"/>
        <v>639.744</v>
      </c>
      <c r="BG46">
        <f t="shared" si="6"/>
        <v>1823.136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9"/>
        <v>0.87863408</v>
      </c>
      <c r="BT46" s="26">
        <f t="shared" si="10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3:74">
      <c r="K47" s="38">
        <f t="shared" si="0"/>
        <v>23639.5613344188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24068.6750257457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22613.2421136991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14676.021357162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12601.4930004728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0.5389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3611.1</v>
      </c>
      <c r="AT47" cm="1">
        <f t="array" ref="AT47">$E$10*(1+$AR47)+VLOOKUP($Q47,武学奇术!$A:$ZZ,4,FALSE)+SUM(_xlfn.XLOOKUP($R47:$AK47,增益!$A:$A,增益!$D:$D,0))-$I$2</f>
        <v>3611.1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5"/>
        <v>639.744</v>
      </c>
      <c r="BG47">
        <f t="shared" si="6"/>
        <v>1823.136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9"/>
        <v>0.87863408</v>
      </c>
      <c r="BT47" s="26">
        <f t="shared" si="10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3:74">
      <c r="K48" s="38">
        <f t="shared" si="0"/>
        <v>55165.9874806274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56167.433846766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52770.3551936239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34248.4352724183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29407.7185495596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0.5389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3611.1</v>
      </c>
      <c r="AT48" cm="1">
        <f t="array" ref="AT48">$E$10*(1+$AR48)+VLOOKUP($Q48,武学奇术!$A:$ZZ,4,FALSE)+SUM(_xlfn.XLOOKUP($R48:$AK48,增益!$A:$A,增益!$D:$D,0))-$I$2</f>
        <v>3611.1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5"/>
        <v>639.744</v>
      </c>
      <c r="BG48">
        <f t="shared" si="6"/>
        <v>1823.136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9"/>
        <v>0.87863408</v>
      </c>
      <c r="BT48" s="26">
        <f t="shared" si="10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K49" s="38">
        <f t="shared" si="0"/>
        <v>144146.383452019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149285.960284846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117516.78012505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76951.5259200236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66853.5850807512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0.5241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4372.698</v>
      </c>
      <c r="AT49" cm="1">
        <f t="array" ref="AT49">$E$10*(1+$AR49)+VLOOKUP($Q49,武学奇术!$A:$ZZ,4,FALSE)+SUM(_xlfn.XLOOKUP($R49:$AK49,增益!$A:$A,增益!$D:$D,0))-$I$2</f>
        <v>4372.698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"/>
        <v>0</v>
      </c>
      <c r="AY49">
        <f t="shared" si="2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5"/>
        <v>674.016</v>
      </c>
      <c r="BG49">
        <f t="shared" si="6"/>
        <v>1920.804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9"/>
        <v>0.87863408</v>
      </c>
      <c r="BT49" s="26">
        <f t="shared" si="10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K50" s="38">
        <f t="shared" si="0"/>
        <v>288292.766904037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298571.920569692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235033.560250099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153903.051840047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133707.170161502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0.5241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4372.698</v>
      </c>
      <c r="AT50" cm="1">
        <f t="array" ref="AT50">$E$10*(1+$AR50)+VLOOKUP($Q50,武学奇术!$A:$ZZ,4,FALSE)+SUM(_xlfn.XLOOKUP($R50:$AK50,增益!$A:$A,增益!$D:$D,0))-$I$2</f>
        <v>4372.698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"/>
        <v>0</v>
      </c>
      <c r="AY50">
        <f t="shared" si="2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5"/>
        <v>674.016</v>
      </c>
      <c r="BG50">
        <f t="shared" si="6"/>
        <v>1920.804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9"/>
        <v>0.87863408</v>
      </c>
      <c r="BT50" s="26">
        <f t="shared" si="10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K51" s="38">
        <f t="shared" si="0"/>
        <v>379952.005485106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395243.978585791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295878.838398973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193747.048326368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168324.586727571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0.5741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4372.698</v>
      </c>
      <c r="AT51" cm="1">
        <f t="array" ref="AT51">$E$10*(1+$AR51)+VLOOKUP($Q51,武学奇术!$A:$ZZ,4,FALSE)+SUM(_xlfn.XLOOKUP($R51:$AK51,增益!$A:$A,增益!$D:$D,0))-$I$2</f>
        <v>4372.698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"/>
        <v>0</v>
      </c>
      <c r="AY51">
        <f t="shared" si="2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5"/>
        <v>674.016</v>
      </c>
      <c r="BG51">
        <f t="shared" si="6"/>
        <v>1920.804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9"/>
        <v>0.87863408</v>
      </c>
      <c r="BT51" s="26">
        <f t="shared" si="10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K52" s="38">
        <f t="shared" si="0"/>
        <v>59859.6889801294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60946.2120323189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57261.6328035185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37162.3244099506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31908.6245209985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0.4241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3611.1</v>
      </c>
      <c r="AT52" cm="1">
        <f t="array" ref="AT52">$E$10*(1+$AR52)+VLOOKUP($Q52,武学奇术!$A:$ZZ,4,FALSE)+SUM(_xlfn.XLOOKUP($R52:$AK52,增益!$A:$A,增益!$D:$D,0))-$I$2</f>
        <v>3611.1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5"/>
        <v>639.744</v>
      </c>
      <c r="BG52">
        <f t="shared" si="6"/>
        <v>1823.136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9"/>
        <v>0.87863408</v>
      </c>
      <c r="BT52" s="26">
        <f t="shared" si="10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K53" s="38">
        <f t="shared" si="0"/>
        <v>117135.418688676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121234.605429478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96329.719433564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62492.0646543699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53628.781580174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0.6241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3611.1</v>
      </c>
      <c r="AT53" cm="1">
        <f t="array" ref="AT53">$E$10*(1+$AR53)+VLOOKUP($Q53,武学奇术!$A:$ZZ,4,FALSE)+SUM(_xlfn.XLOOKUP($R53:$AK53,增益!$A:$A,增益!$D:$D,0))-$I$2</f>
        <v>3611.1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5"/>
        <v>639.744</v>
      </c>
      <c r="BG53">
        <f t="shared" si="6"/>
        <v>1823.136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9"/>
        <v>0.87863408</v>
      </c>
      <c r="BT53" s="26">
        <f t="shared" si="10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K54" s="38">
        <f t="shared" si="0"/>
        <v>20097.528171041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20462.4868214928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19223.4577866219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12477.1261106664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10714.6538608721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0.4241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3611.1</v>
      </c>
      <c r="AT54" cm="1">
        <f t="array" ref="AT54">$E$10*(1+$AR54)+VLOOKUP($Q54,武学奇术!$A:$ZZ,4,FALSE)+SUM(_xlfn.XLOOKUP($R54:$AK54,增益!$A:$A,增益!$D:$D,0))-$I$2</f>
        <v>3611.1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"/>
        <v>0</v>
      </c>
      <c r="AY54">
        <f t="shared" si="2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5"/>
        <v>639.744</v>
      </c>
      <c r="BG54">
        <f t="shared" si="6"/>
        <v>1823.136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9"/>
        <v>0.87863408</v>
      </c>
      <c r="BT54" s="26">
        <f t="shared" si="10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K55" s="38">
        <f t="shared" si="0"/>
        <v>30251.3952828899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31310.0883720544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24877.7153804586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16139.2208103373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13850.5043018164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0.4241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3611.1</v>
      </c>
      <c r="AT55" cm="1">
        <f t="array" ref="AT55">$E$10*(1+$AR55)+VLOOKUP($Q55,武学奇术!$A:$ZZ,4,FALSE)+SUM(_xlfn.XLOOKUP($R55:$AK55,增益!$A:$A,增益!$D:$D,0))-$I$2</f>
        <v>3611.1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"/>
        <v>0</v>
      </c>
      <c r="AY55">
        <f t="shared" si="2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5"/>
        <v>639.744</v>
      </c>
      <c r="BG55">
        <f t="shared" si="6"/>
        <v>1823.136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9"/>
        <v>0.87863408</v>
      </c>
      <c r="BT55" s="26">
        <f t="shared" si="10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K56" s="38">
        <f t="shared" si="0"/>
        <v>95209.281078525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98542.0012139359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78289.0104881327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50794.8459865649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43597.8323522907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0.4241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3611.1</v>
      </c>
      <c r="AT56" cm="1">
        <f t="array" ref="AT56">$E$10*(1+$AR56)+VLOOKUP($Q56,武学奇术!$A:$ZZ,4,FALSE)+SUM(_xlfn.XLOOKUP($R56:$AK56,增益!$A:$A,增益!$D:$D,0))-$I$2</f>
        <v>3611.1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"/>
        <v>0</v>
      </c>
      <c r="AY56">
        <f t="shared" si="2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5"/>
        <v>639.744</v>
      </c>
      <c r="BG56">
        <f t="shared" si="6"/>
        <v>1823.136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9"/>
        <v>0.87863408</v>
      </c>
      <c r="BT56" s="26">
        <f t="shared" si="10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s="4"/>
      <c r="B57" s="4"/>
      <c r="D57" s="4"/>
      <c r="E57" s="4"/>
      <c r="K57" s="38">
        <f t="shared" si="0"/>
        <v>20097.528171041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20462.4868214928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19223.4577866219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12477.1261106664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10714.6538608721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0.4241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3611.1</v>
      </c>
      <c r="AT57" cm="1">
        <f t="array" ref="AT57">$E$10*(1+$AR57)+VLOOKUP($Q57,武学奇术!$A:$ZZ,4,FALSE)+SUM(_xlfn.XLOOKUP($R57:$AK57,增益!$A:$A,增益!$D:$D,0))-$I$2</f>
        <v>3611.1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5"/>
        <v>639.744</v>
      </c>
      <c r="BG57">
        <f t="shared" si="6"/>
        <v>1823.136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9"/>
        <v>0.87863408</v>
      </c>
      <c r="BT57" s="26">
        <f t="shared" si="10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K58" s="38">
        <f t="shared" si="0"/>
        <v>30251.3952828899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31310.0883720544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24877.7153804586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16139.2208103373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13850.5043018164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0.4241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3611.1</v>
      </c>
      <c r="AT58" cm="1">
        <f t="array" ref="AT58">$E$10*(1+$AR58)+VLOOKUP($Q58,武学奇术!$A:$ZZ,4,FALSE)+SUM(_xlfn.XLOOKUP($R58:$AK58,增益!$A:$A,增益!$D:$D,0))-$I$2</f>
        <v>3611.1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"/>
        <v>0</v>
      </c>
      <c r="AY58">
        <f t="shared" si="2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5"/>
        <v>639.744</v>
      </c>
      <c r="BG58">
        <f t="shared" si="6"/>
        <v>1823.136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9"/>
        <v>0.87863408</v>
      </c>
      <c r="BT58" s="26">
        <f t="shared" si="10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K59" s="38">
        <f t="shared" si="0"/>
        <v>92920.5316657413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96210.1609928408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76007.6284468704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49592.866491155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42883.7859846283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0.4241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3611.1</v>
      </c>
      <c r="AT59" cm="1">
        <f t="array" ref="AT59">$E$10*(1+$AR59)+VLOOKUP($Q59,武学奇术!$A:$ZZ,4,FALSE)+SUM(_xlfn.XLOOKUP($R59:$AK59,增益!$A:$A,增益!$D:$D,0))-$I$2</f>
        <v>3611.1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"/>
        <v>0</v>
      </c>
      <c r="AY59">
        <f t="shared" si="2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5"/>
        <v>639.744</v>
      </c>
      <c r="BG59">
        <f t="shared" si="6"/>
        <v>1823.136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9"/>
        <v>0.87863408</v>
      </c>
      <c r="BT59" s="26">
        <f t="shared" si="10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K60" s="38">
        <f t="shared" si="0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0.1037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3611.1</v>
      </c>
      <c r="AT60" cm="1">
        <f t="array" ref="AT60">$E$10*(1+$AR60)+VLOOKUP($Q60,武学奇术!$A:$ZZ,4,FALSE)+SUM(_xlfn.XLOOKUP($R60:$AK60,增益!$A:$A,增益!$D:$D,0))-$I$2</f>
        <v>3611.1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0.167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5"/>
        <v>571.2</v>
      </c>
      <c r="BG60">
        <f t="shared" si="6"/>
        <v>1627.8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9"/>
        <v>0.87863408</v>
      </c>
      <c r="BT60" s="26">
        <f t="shared" si="10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s="4"/>
      <c r="B61" s="4"/>
      <c r="K61" s="38">
        <f t="shared" si="0"/>
        <v>16887.8913197277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17198.5772611131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16109.9455145103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10486.9373543373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9040.58173496321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0.1989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3611.1</v>
      </c>
      <c r="AT61" cm="1">
        <f t="array" ref="AT61">$E$10*(1+$AR61)+VLOOKUP($Q61,武学奇术!$A:$ZZ,4,FALSE)+SUM(_xlfn.XLOOKUP($R61:$AK61,增益!$A:$A,增益!$D:$D,0))-$I$2</f>
        <v>3611.1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"/>
        <v>0</v>
      </c>
      <c r="AY61">
        <f t="shared" si="2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5"/>
        <v>639.744</v>
      </c>
      <c r="BG61">
        <f t="shared" si="6"/>
        <v>1823.136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7"/>
        <v>0</v>
      </c>
      <c r="BK61">
        <f t="shared" si="8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9"/>
        <v>0.87863408</v>
      </c>
      <c r="BT61" s="26">
        <f t="shared" si="10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K62" s="38">
        <f t="shared" si="0"/>
        <v>79446.6375127413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80871.9241389157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76180.0542564559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49312.1488651925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42194.6279107881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0.1989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3611.1</v>
      </c>
      <c r="AT62" cm="1">
        <f t="array" ref="AT62">$E$10*(1+$AR62)+VLOOKUP($Q62,武学奇术!$A:$ZZ,4,FALSE)+SUM(_xlfn.XLOOKUP($R62:$AK62,增益!$A:$A,增益!$D:$D,0))-$I$2</f>
        <v>3611.1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"/>
        <v>0</v>
      </c>
      <c r="AY62">
        <f t="shared" si="2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5"/>
        <v>639.744</v>
      </c>
      <c r="BG62">
        <f t="shared" si="6"/>
        <v>1823.136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9"/>
        <v>0.87863408</v>
      </c>
      <c r="BT62" s="26">
        <f t="shared" si="10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K63" s="38">
        <f t="shared" si="0"/>
        <v>22821.6175190902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23232.2542013996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21870.1285726908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14166.00865939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12131.9220797498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0.5089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3611.1</v>
      </c>
      <c r="AT63" cm="1">
        <f t="array" ref="AT63">$E$10*(1+$AR63)+VLOOKUP($Q63,武学奇术!$A:$ZZ,4,FALSE)+SUM(_xlfn.XLOOKUP($R63:$AK63,增益!$A:$A,增益!$D:$D,0))-$I$2</f>
        <v>3611.1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5"/>
        <v>639.744</v>
      </c>
      <c r="BG63">
        <f t="shared" si="6"/>
        <v>1823.136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9"/>
        <v>0.87863408</v>
      </c>
      <c r="BT63" s="26">
        <f t="shared" si="10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K64" s="38">
        <f t="shared" si="0"/>
        <v>53257.3769282218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54215.7084900248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51036.3564436289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33058.358835381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28312.0091939998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0.5089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3611.1</v>
      </c>
      <c r="AT64" cm="1">
        <f t="array" ref="AT64">$E$10*(1+$AR64)+VLOOKUP($Q64,武学奇术!$A:$ZZ,4,FALSE)+SUM(_xlfn.XLOOKUP($R64:$AK64,增益!$A:$A,增益!$D:$D,0))-$I$2</f>
        <v>3611.1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5"/>
        <v>639.744</v>
      </c>
      <c r="BG64">
        <f t="shared" si="6"/>
        <v>1823.136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9"/>
        <v>0.87863408</v>
      </c>
      <c r="BT64" s="26">
        <f t="shared" si="10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K65" s="38">
        <f t="shared" si="0"/>
        <v>140798.839463309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145807.067199206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114917.0121274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75158.2820614464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65192.8514359299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0.5041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4372.698</v>
      </c>
      <c r="AT65" cm="1">
        <f t="array" ref="AT65">$E$10*(1+$AR65)+VLOOKUP($Q65,武学奇术!$A:$ZZ,4,FALSE)+SUM(_xlfn.XLOOKUP($R65:$AK65,增益!$A:$A,增益!$D:$D,0))-$I$2</f>
        <v>4372.698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"/>
        <v>0</v>
      </c>
      <c r="AY65">
        <f t="shared" si="2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5"/>
        <v>674.016</v>
      </c>
      <c r="BG65">
        <f t="shared" si="6"/>
        <v>1920.804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9"/>
        <v>0.87863408</v>
      </c>
      <c r="BT65" s="26">
        <f t="shared" si="10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K66" s="38">
        <f t="shared" ref="K66:K121" si="11">($L66*$BS66+$M66*$BQ66+$N66*$BT66+$O66*$BU66)</f>
        <v>284935.542819026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295082.922515684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232426.760444565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152104.599234889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132041.2277701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0.5141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4372.698</v>
      </c>
      <c r="AT66" cm="1">
        <f t="array" ref="AT66">$E$10*(1+$AR66)+VLOOKUP($Q66,武学奇术!$A:$ZZ,4,FALSE)+SUM(_xlfn.XLOOKUP($R66:$AK66,增益!$A:$A,增益!$D:$D,0))-$I$2</f>
        <v>4372.698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ref="AX66:AX121" si="12">$D$11*(1+$AW66)</f>
        <v>0</v>
      </c>
      <c r="AY66">
        <f t="shared" ref="AY66:AY121" si="13">$E$11*(1+$AW66)</f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674.016</v>
      </c>
      <c r="BG66">
        <f t="shared" ref="BG66:BG121" si="17">$E$13*(1+$AW66)</f>
        <v>1920.804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ref="BS66:BS121" si="20">MIN((1-BQ66)*BN66,BN66*BO66)</f>
        <v>0.87863408</v>
      </c>
      <c r="BT66" s="26">
        <f t="shared" ref="BT66:BT121" si="21">1-BQ66-BS66-BU66</f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K67" s="38">
        <f t="shared" si="11"/>
        <v>379952.005485106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395243.978585791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295878.838398973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193747.048326368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168324.586727571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0.5741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4372.698</v>
      </c>
      <c r="AT67" cm="1">
        <f t="array" ref="AT67">$E$10*(1+$AR67)+VLOOKUP($Q67,武学奇术!$A:$ZZ,4,FALSE)+SUM(_xlfn.XLOOKUP($R67:$AK67,增益!$A:$A,增益!$D:$D,0))-$I$2</f>
        <v>4372.698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si="12"/>
        <v>0</v>
      </c>
      <c r="AY67">
        <f t="shared" si="13"/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si="16"/>
        <v>674.016</v>
      </c>
      <c r="BG67">
        <f t="shared" si="17"/>
        <v>1920.804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si="20"/>
        <v>0.87863408</v>
      </c>
      <c r="BT67" s="26">
        <f t="shared" si="21"/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K68" s="38">
        <f t="shared" si="11"/>
        <v>59859.6889801294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60946.2120323189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57261.6328035185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37162.3244099506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31908.6245209985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0.4241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3611.1</v>
      </c>
      <c r="AT68" cm="1">
        <f t="array" ref="AT68">$E$10*(1+$AR68)+VLOOKUP($Q68,武学奇术!$A:$ZZ,4,FALSE)+SUM(_xlfn.XLOOKUP($R68:$AK68,增益!$A:$A,增益!$D:$D,0))-$I$2</f>
        <v>3611.1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16"/>
        <v>639.744</v>
      </c>
      <c r="BG68">
        <f t="shared" si="17"/>
        <v>1823.136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20"/>
        <v>0.87863408</v>
      </c>
      <c r="BT68" s="26">
        <f t="shared" si="21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K69" s="38">
        <f t="shared" si="11"/>
        <v>117135.418688676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121234.605429478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96329.719433564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62492.0646543699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53628.781580174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0.6241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3611.1</v>
      </c>
      <c r="AT69" cm="1">
        <f t="array" ref="AT69">$E$10*(1+$AR69)+VLOOKUP($Q69,武学奇术!$A:$ZZ,4,FALSE)+SUM(_xlfn.XLOOKUP($R69:$AK69,增益!$A:$A,增益!$D:$D,0))-$I$2</f>
        <v>3611.1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16"/>
        <v>639.744</v>
      </c>
      <c r="BG69">
        <f t="shared" si="17"/>
        <v>1823.136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20"/>
        <v>0.87863408</v>
      </c>
      <c r="BT69" s="26">
        <f t="shared" si="21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K70" s="38">
        <f t="shared" si="11"/>
        <v>20097.528171041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20462.4868214928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19223.4577866219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12477.1261106664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10714.6538608721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0.4241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3611.1</v>
      </c>
      <c r="AT70" cm="1">
        <f t="array" ref="AT70">$E$10*(1+$AR70)+VLOOKUP($Q70,武学奇术!$A:$ZZ,4,FALSE)+SUM(_xlfn.XLOOKUP($R70:$AK70,增益!$A:$A,增益!$D:$D,0))-$I$2</f>
        <v>3611.1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16"/>
        <v>639.744</v>
      </c>
      <c r="BG70">
        <f t="shared" si="17"/>
        <v>1823.136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20"/>
        <v>0.87863408</v>
      </c>
      <c r="BT70" s="26">
        <f t="shared" si="21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C71" s="4"/>
      <c r="K71" s="38">
        <f t="shared" si="11"/>
        <v>30251.3952828899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31310.0883720544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24877.7153804586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16139.2208103373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13850.5043018164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80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0.4241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3611.1</v>
      </c>
      <c r="AT71" cm="1">
        <f t="array" ref="AT71">$E$10*(1+$AR71)+VLOOKUP($Q71,武学奇术!$A:$ZZ,4,FALSE)+SUM(_xlfn.XLOOKUP($R71:$AK71,增益!$A:$A,增益!$D:$D,0))-$I$2</f>
        <v>3611.1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16"/>
        <v>639.744</v>
      </c>
      <c r="BG71">
        <f t="shared" si="17"/>
        <v>1823.136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20"/>
        <v>0.87863408</v>
      </c>
      <c r="BT71" s="26">
        <f t="shared" si="21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s="4"/>
      <c r="B72" s="4"/>
      <c r="K72" s="38">
        <f t="shared" si="11"/>
        <v>95209.281078525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98542.0012139359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78289.0104881327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50794.8459865649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43597.8323522907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80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0.4241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3611.1</v>
      </c>
      <c r="AT72" cm="1">
        <f t="array" ref="AT72">$E$10*(1+$AR72)+VLOOKUP($Q72,武学奇术!$A:$ZZ,4,FALSE)+SUM(_xlfn.XLOOKUP($R72:$AK72,增益!$A:$A,增益!$D:$D,0))-$I$2</f>
        <v>3611.1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12"/>
        <v>0</v>
      </c>
      <c r="AY72">
        <f t="shared" si="13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16"/>
        <v>639.744</v>
      </c>
      <c r="BG72">
        <f t="shared" si="17"/>
        <v>1823.136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20"/>
        <v>0.87863408</v>
      </c>
      <c r="BT72" s="26">
        <f t="shared" si="21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C73" s="4"/>
      <c r="K73" s="38">
        <f t="shared" si="11"/>
        <v>20097.528171041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20462.4868214928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19223.4577866219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12477.1261106664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10714.6538608721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80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0.4241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3611.1</v>
      </c>
      <c r="AT73" cm="1">
        <f t="array" ref="AT73">$E$10*(1+$AR73)+VLOOKUP($Q73,武学奇术!$A:$ZZ,4,FALSE)+SUM(_xlfn.XLOOKUP($R73:$AK73,增益!$A:$A,增益!$D:$D,0))-$I$2</f>
        <v>3611.1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12"/>
        <v>0</v>
      </c>
      <c r="AY73">
        <f t="shared" si="13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16"/>
        <v>639.744</v>
      </c>
      <c r="BG73">
        <f t="shared" si="17"/>
        <v>1823.136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20"/>
        <v>0.87863408</v>
      </c>
      <c r="BT73" s="26">
        <f t="shared" si="21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C74" s="4"/>
      <c r="K74" s="38">
        <f t="shared" si="11"/>
        <v>30251.3952828899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31310.0883720544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24877.7153804586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16139.2208103373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13850.5043018164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80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0.4241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3611.1</v>
      </c>
      <c r="AT74" cm="1">
        <f t="array" ref="AT74">$E$10*(1+$AR74)+VLOOKUP($Q74,武学奇术!$A:$ZZ,4,FALSE)+SUM(_xlfn.XLOOKUP($R74:$AK74,增益!$A:$A,增益!$D:$D,0))-$I$2</f>
        <v>3611.1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16"/>
        <v>639.744</v>
      </c>
      <c r="BG74">
        <f t="shared" si="17"/>
        <v>1823.136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20"/>
        <v>0.87863408</v>
      </c>
      <c r="BT74" s="26">
        <f t="shared" si="21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s="4"/>
      <c r="B75" s="4"/>
      <c r="K75" s="38">
        <f t="shared" si="11"/>
        <v>92920.5316657413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96210.1609928408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76007.6284468704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49592.866491155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42883.7859846283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80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0.4241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3611.1</v>
      </c>
      <c r="AT75" cm="1">
        <f t="array" ref="AT75">$E$10*(1+$AR75)+VLOOKUP($Q75,武学奇术!$A:$ZZ,4,FALSE)+SUM(_xlfn.XLOOKUP($R75:$AK75,增益!$A:$A,增益!$D:$D,0))-$I$2</f>
        <v>3611.1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12"/>
        <v>0</v>
      </c>
      <c r="AY75">
        <f t="shared" si="13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16"/>
        <v>639.744</v>
      </c>
      <c r="BG75">
        <f t="shared" si="17"/>
        <v>1823.136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20"/>
        <v>0.87863408</v>
      </c>
      <c r="BT75" s="26">
        <f t="shared" si="21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s="4"/>
      <c r="B76" s="4"/>
      <c r="K76" s="38">
        <f t="shared" si="11"/>
        <v>51719.7298297034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52641.4844044845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49659.3394689093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32098.4661002954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27412.2362976951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80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0.1537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3611.1</v>
      </c>
      <c r="AT76" cm="1">
        <f t="array" ref="AT76">$E$10*(1+$AR76)+VLOOKUP($Q76,武学奇术!$A:$ZZ,4,FALSE)+SUM(_xlfn.XLOOKUP($R76:$AK76,增益!$A:$A,增益!$D:$D,0))-$I$2</f>
        <v>3611.1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12"/>
        <v>0</v>
      </c>
      <c r="AY76">
        <f t="shared" si="13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16"/>
        <v>639.744</v>
      </c>
      <c r="BG76">
        <f t="shared" si="17"/>
        <v>1823.136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20"/>
        <v>0.87863408</v>
      </c>
      <c r="BT76" s="26">
        <f t="shared" si="21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s="4"/>
      <c r="B77" s="4"/>
      <c r="K77" s="38">
        <f t="shared" si="11"/>
        <v>107822.75960251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109785.730987685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103079.475532792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66942.5188949298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57529.8707285323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80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0.1537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4372.698</v>
      </c>
      <c r="AT77" cm="1">
        <f t="array" ref="AT77">$E$10*(1+$AR77)+VLOOKUP($Q77,武学奇术!$A:$ZZ,4,FALSE)+SUM(_xlfn.XLOOKUP($R77:$AK77,增益!$A:$A,增益!$D:$D,0))-$I$2</f>
        <v>4372.698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14"/>
        <v>0</v>
      </c>
      <c r="BC77">
        <f t="shared" si="15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16"/>
        <v>674.016</v>
      </c>
      <c r="BG77">
        <f t="shared" si="17"/>
        <v>1920.804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20"/>
        <v>0.87863408</v>
      </c>
      <c r="BT77" s="26">
        <f t="shared" si="21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s="4"/>
      <c r="B78" s="4"/>
      <c r="K78" s="38">
        <f t="shared" si="11"/>
        <v>88290.6712917046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89935.8809509501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83996.7983475494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54838.9517993598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47458.0529709053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0.3389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3611.1</v>
      </c>
      <c r="AT78" cm="1">
        <f t="array" ref="AT78">$E$10*(1+$AR78)+VLOOKUP($Q78,武学奇术!$A:$ZZ,4,FALSE)+SUM(_xlfn.XLOOKUP($R78:$AK78,增益!$A:$A,增益!$D:$D,0))-$I$2</f>
        <v>3611.1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12"/>
        <v>0</v>
      </c>
      <c r="AY78">
        <f t="shared" si="13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16"/>
        <v>639.744</v>
      </c>
      <c r="BG78">
        <f t="shared" si="17"/>
        <v>1823.136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20"/>
        <v>0.87863408</v>
      </c>
      <c r="BT78" s="26">
        <f t="shared" si="21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K79" s="38">
        <f t="shared" si="11"/>
        <v>23041.0307540799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23470.3579557066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21920.6812075384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14311.1938754308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12384.846115648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0.5389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3611.1</v>
      </c>
      <c r="AT79" cm="1">
        <f t="array" ref="AT79">$E$10*(1+$AR79)+VLOOKUP($Q79,武学奇术!$A:$ZZ,4,FALSE)+SUM(_xlfn.XLOOKUP($R79:$AK79,增益!$A:$A,增益!$D:$D,0))-$I$2</f>
        <v>3611.1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12"/>
        <v>0</v>
      </c>
      <c r="AY79">
        <f t="shared" si="13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16"/>
        <v>639.744</v>
      </c>
      <c r="BG79">
        <f t="shared" si="17"/>
        <v>1823.136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20"/>
        <v>0.87863408</v>
      </c>
      <c r="BT79" s="26">
        <f t="shared" si="21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K80" s="38">
        <f t="shared" si="11"/>
        <v>54467.521324384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55482.4689450517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51818.5926541022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33830.7737469827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29277.4047872231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0.5589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3611.1</v>
      </c>
      <c r="AT80" cm="1">
        <f t="array" ref="AT80">$E$10*(1+$AR80)+VLOOKUP($Q80,武学奇术!$A:$ZZ,4,FALSE)+SUM(_xlfn.XLOOKUP($R80:$AK80,增益!$A:$A,增益!$D:$D,0))-$I$2</f>
        <v>3611.1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12"/>
        <v>0</v>
      </c>
      <c r="AY80">
        <f t="shared" si="13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16"/>
        <v>639.744</v>
      </c>
      <c r="BG80">
        <f t="shared" si="17"/>
        <v>1823.136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20"/>
        <v>0.87863408</v>
      </c>
      <c r="BT80" s="26">
        <f t="shared" si="21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K81" s="38">
        <f t="shared" si="11"/>
        <v>180128.13305991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183317.797554786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173175.411056576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111779.144850479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95280.2074368274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0.1737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3611.1</v>
      </c>
      <c r="AT81" cm="1">
        <f t="array" ref="AT81">$E$10*(1+$AR81)+VLOOKUP($Q81,武学奇术!$A:$ZZ,4,FALSE)+SUM(_xlfn.XLOOKUP($R81:$AK81,增益!$A:$A,增益!$D:$D,0))-$I$2</f>
        <v>3611.1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16"/>
        <v>639.744</v>
      </c>
      <c r="BG81">
        <f t="shared" si="17"/>
        <v>1823.136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20"/>
        <v>0.87863408</v>
      </c>
      <c r="BT81" s="26">
        <f t="shared" si="21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s="4"/>
      <c r="B82" s="4"/>
      <c r="K82" s="38">
        <f t="shared" si="11"/>
        <v>184071.095123011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190634.197945512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150065.800437846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98265.0504873775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85370.2487985723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80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0.6491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4372.698</v>
      </c>
      <c r="AT82" cm="1">
        <f t="array" ref="AT82">$E$10*(1+$AR82)+VLOOKUP($Q82,武学奇术!$A:$ZZ,4,FALSE)+SUM(_xlfn.XLOOKUP($R82:$AK82,增益!$A:$A,增益!$D:$D,0))-$I$2</f>
        <v>4372.698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12"/>
        <v>0</v>
      </c>
      <c r="AY82">
        <f t="shared" si="13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14"/>
        <v>0</v>
      </c>
      <c r="BC82">
        <f t="shared" si="15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16"/>
        <v>674.016</v>
      </c>
      <c r="BG82">
        <f t="shared" si="17"/>
        <v>1920.804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20"/>
        <v>0.87863408</v>
      </c>
      <c r="BT82" s="26">
        <f t="shared" si="21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s="4"/>
      <c r="B83" s="4"/>
      <c r="K83" s="38">
        <f t="shared" si="11"/>
        <v>368142.190246021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381268.395891024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300131.600875693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196530.100974755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170740.497597145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0.6491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4372.698</v>
      </c>
      <c r="AT83" cm="1">
        <f t="array" ref="AT83">$E$10*(1+$AR83)+VLOOKUP($Q83,武学奇术!$A:$ZZ,4,FALSE)+SUM(_xlfn.XLOOKUP($R83:$AK83,增益!$A:$A,增益!$D:$D,0))-$I$2</f>
        <v>4372.698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12"/>
        <v>0</v>
      </c>
      <c r="AY83">
        <f t="shared" si="13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14"/>
        <v>0</v>
      </c>
      <c r="BC83">
        <f t="shared" si="15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16"/>
        <v>674.016</v>
      </c>
      <c r="BG83">
        <f t="shared" si="17"/>
        <v>1920.804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20"/>
        <v>0.87863408</v>
      </c>
      <c r="BT83" s="26">
        <f t="shared" si="21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s="4"/>
      <c r="B84" s="4"/>
      <c r="K84" s="38">
        <f t="shared" si="11"/>
        <v>484020.414239777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503500.840840729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376919.705276483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246814.137667024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214428.493647764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0.6991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4372.698</v>
      </c>
      <c r="AT84" cm="1">
        <f t="array" ref="AT84">$E$10*(1+$AR84)+VLOOKUP($Q84,武学奇术!$A:$ZZ,4,FALSE)+SUM(_xlfn.XLOOKUP($R84:$AK84,增益!$A:$A,增益!$D:$D,0))-$I$2</f>
        <v>4372.698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12"/>
        <v>0</v>
      </c>
      <c r="AY84">
        <f t="shared" si="13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14"/>
        <v>0</v>
      </c>
      <c r="BC84">
        <f t="shared" si="15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16"/>
        <v>674.016</v>
      </c>
      <c r="BG84">
        <f t="shared" si="17"/>
        <v>1920.804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20"/>
        <v>0.87863408</v>
      </c>
      <c r="BT84" s="26">
        <f t="shared" si="21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A85" s="4"/>
      <c r="B85" s="4"/>
      <c r="K85" s="38">
        <f t="shared" si="11"/>
        <v>76846.0838556136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78240.9297527805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73510.7768032214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47707.8839955979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40963.3407295502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80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0.5491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3611.1</v>
      </c>
      <c r="AT85" cm="1">
        <f t="array" ref="AT85">$E$10*(1+$AR85)+VLOOKUP($Q85,武学奇术!$A:$ZZ,4,FALSE)+SUM(_xlfn.XLOOKUP($R85:$AK85,增益!$A:$A,增益!$D:$D,0))-$I$2</f>
        <v>3611.1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14"/>
        <v>0</v>
      </c>
      <c r="BC85">
        <f t="shared" si="15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16"/>
        <v>639.744</v>
      </c>
      <c r="BG85">
        <f t="shared" si="17"/>
        <v>1823.136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20"/>
        <v>0.87863408</v>
      </c>
      <c r="BT85" s="26">
        <f t="shared" si="21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A86" s="4"/>
      <c r="B86" s="4"/>
      <c r="K86" s="38">
        <f t="shared" si="11"/>
        <v>148880.707699042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154090.829708194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122436.381431619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79428.2627361824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68162.9095970912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80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0.7491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3611.1</v>
      </c>
      <c r="AT86" cm="1">
        <f t="array" ref="AT86">$E$10*(1+$AR86)+VLOOKUP($Q86,武学奇术!$A:$ZZ,4,FALSE)+SUM(_xlfn.XLOOKUP($R86:$AK86,增益!$A:$A,增益!$D:$D,0))-$I$2</f>
        <v>3611.1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14"/>
        <v>0</v>
      </c>
      <c r="BC86">
        <f t="shared" si="15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16"/>
        <v>639.744</v>
      </c>
      <c r="BG86">
        <f t="shared" si="17"/>
        <v>1823.136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20"/>
        <v>0.87863408</v>
      </c>
      <c r="BT86" s="26">
        <f t="shared" si="21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11"/>
        <v>184071.095123011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190634.197945512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150065.800437846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98265.0504873775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85370.2487985723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80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0.6491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4372.698</v>
      </c>
      <c r="AT87" cm="1">
        <f t="array" ref="AT87">$E$10*(1+$AR87)+VLOOKUP($Q87,武学奇术!$A:$ZZ,4,FALSE)+SUM(_xlfn.XLOOKUP($R87:$AK87,增益!$A:$A,增益!$D:$D,0))-$I$2</f>
        <v>4372.698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12"/>
        <v>0</v>
      </c>
      <c r="AY87">
        <f t="shared" si="13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14"/>
        <v>0</v>
      </c>
      <c r="BC87">
        <f t="shared" si="15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16"/>
        <v>674.016</v>
      </c>
      <c r="BG87">
        <f t="shared" si="17"/>
        <v>1920.804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20"/>
        <v>0.87863408</v>
      </c>
      <c r="BT87" s="26">
        <f t="shared" si="21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11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0.1037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3611.1</v>
      </c>
      <c r="AT88" cm="1">
        <f t="array" ref="AT88">$E$10*(1+$AR88)+VLOOKUP($Q88,武学奇术!$A:$ZZ,4,FALSE)+SUM(_xlfn.XLOOKUP($R88:$AK88,增益!$A:$A,增益!$D:$D,0))-$I$2</f>
        <v>3611.1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16"/>
        <v>571.2</v>
      </c>
      <c r="BG88">
        <f t="shared" si="17"/>
        <v>1627.8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20"/>
        <v>0.87863408</v>
      </c>
      <c r="BT88" s="26">
        <f t="shared" si="21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11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0.1037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3611.1</v>
      </c>
      <c r="AT89" cm="1">
        <f t="array" ref="AT89">$E$10*(1+$AR89)+VLOOKUP($Q89,武学奇术!$A:$ZZ,4,FALSE)+SUM(_xlfn.XLOOKUP($R89:$AK89,增益!$A:$A,增益!$D:$D,0))-$I$2</f>
        <v>3611.1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16"/>
        <v>571.2</v>
      </c>
      <c r="BG89">
        <f t="shared" si="17"/>
        <v>1627.8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20"/>
        <v>0.87863408</v>
      </c>
      <c r="BT89" s="26">
        <f t="shared" si="21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11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0.1037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3611.1</v>
      </c>
      <c r="AT90" cm="1">
        <f t="array" ref="AT90">$E$10*(1+$AR90)+VLOOKUP($Q90,武学奇术!$A:$ZZ,4,FALSE)+SUM(_xlfn.XLOOKUP($R90:$AK90,增益!$A:$A,增益!$D:$D,0))-$I$2</f>
        <v>3611.1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16"/>
        <v>571.2</v>
      </c>
      <c r="BG90">
        <f t="shared" si="17"/>
        <v>1627.8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20"/>
        <v>0.87863408</v>
      </c>
      <c r="BT90" s="26">
        <f t="shared" si="21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11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0.1037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3611.1</v>
      </c>
      <c r="AT91" cm="1">
        <f t="array" ref="AT91">$E$10*(1+$AR91)+VLOOKUP($Q91,武学奇术!$A:$ZZ,4,FALSE)+SUM(_xlfn.XLOOKUP($R91:$AK91,增益!$A:$A,增益!$D:$D,0))-$I$2</f>
        <v>3611.1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16"/>
        <v>571.2</v>
      </c>
      <c r="BG91">
        <f t="shared" si="17"/>
        <v>1627.8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20"/>
        <v>0.87863408</v>
      </c>
      <c r="BT91" s="26">
        <f t="shared" si="21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11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0.1037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3611.1</v>
      </c>
      <c r="AT92" cm="1">
        <f t="array" ref="AT92">$E$10*(1+$AR92)+VLOOKUP($Q92,武学奇术!$A:$ZZ,4,FALSE)+SUM(_xlfn.XLOOKUP($R92:$AK92,增益!$A:$A,增益!$D:$D,0))-$I$2</f>
        <v>3611.1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16"/>
        <v>571.2</v>
      </c>
      <c r="BG92">
        <f t="shared" si="17"/>
        <v>1627.8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20"/>
        <v>0.87863408</v>
      </c>
      <c r="BT92" s="26">
        <f t="shared" si="21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si="11"/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0.1037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3611.1</v>
      </c>
      <c r="AT93" cm="1">
        <f t="array" ref="AT93">$E$10*(1+$AR93)+VLOOKUP($Q93,武学奇术!$A:$ZZ,4,FALSE)+SUM(_xlfn.XLOOKUP($R93:$AK93,增益!$A:$A,增益!$D:$D,0))-$I$2</f>
        <v>3611.1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16"/>
        <v>571.2</v>
      </c>
      <c r="BG93">
        <f t="shared" si="17"/>
        <v>1627.8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20"/>
        <v>0.87863408</v>
      </c>
      <c r="BT93" s="26">
        <f t="shared" si="21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11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0.1037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3611.1</v>
      </c>
      <c r="AT94" cm="1">
        <f t="array" ref="AT94">$E$10*(1+$AR94)+VLOOKUP($Q94,武学奇术!$A:$ZZ,4,FALSE)+SUM(_xlfn.XLOOKUP($R94:$AK94,增益!$A:$A,增益!$D:$D,0))-$I$2</f>
        <v>3611.1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16"/>
        <v>571.2</v>
      </c>
      <c r="BG94">
        <f t="shared" si="17"/>
        <v>1627.8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20"/>
        <v>0.87863408</v>
      </c>
      <c r="BT94" s="26">
        <f t="shared" si="21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11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0.1037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3611.1</v>
      </c>
      <c r="AT95" cm="1">
        <f t="array" ref="AT95">$E$10*(1+$AR95)+VLOOKUP($Q95,武学奇术!$A:$ZZ,4,FALSE)+SUM(_xlfn.XLOOKUP($R95:$AK95,增益!$A:$A,增益!$D:$D,0))-$I$2</f>
        <v>3611.1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16"/>
        <v>571.2</v>
      </c>
      <c r="BG95">
        <f t="shared" si="17"/>
        <v>1627.8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20"/>
        <v>0.87863408</v>
      </c>
      <c r="BT95" s="26">
        <f t="shared" si="21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11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0.1037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3611.1</v>
      </c>
      <c r="AT96" cm="1">
        <f t="array" ref="AT96">$E$10*(1+$AR96)+VLOOKUP($Q96,武学奇术!$A:$ZZ,4,FALSE)+SUM(_xlfn.XLOOKUP($R96:$AK96,增益!$A:$A,增益!$D:$D,0))-$I$2</f>
        <v>3611.1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16"/>
        <v>571.2</v>
      </c>
      <c r="BG96">
        <f t="shared" si="17"/>
        <v>1627.8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20"/>
        <v>0.87863408</v>
      </c>
      <c r="BT96" s="26">
        <f t="shared" si="21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11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0.1037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3611.1</v>
      </c>
      <c r="AT97" cm="1">
        <f t="array" ref="AT97">$E$10*(1+$AR97)+VLOOKUP($Q97,武学奇术!$A:$ZZ,4,FALSE)+SUM(_xlfn.XLOOKUP($R97:$AK97,增益!$A:$A,增益!$D:$D,0))-$I$2</f>
        <v>3611.1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16"/>
        <v>571.2</v>
      </c>
      <c r="BG97">
        <f t="shared" si="17"/>
        <v>1627.8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20"/>
        <v>0.87863408</v>
      </c>
      <c r="BT97" s="26">
        <f t="shared" si="21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11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0.1037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3611.1</v>
      </c>
      <c r="AT98" cm="1">
        <f t="array" ref="AT98">$E$10*(1+$AR98)+VLOOKUP($Q98,武学奇术!$A:$ZZ,4,FALSE)+SUM(_xlfn.XLOOKUP($R98:$AK98,增益!$A:$A,增益!$D:$D,0))-$I$2</f>
        <v>3611.1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16"/>
        <v>571.2</v>
      </c>
      <c r="BG98">
        <f t="shared" si="17"/>
        <v>1627.8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20"/>
        <v>0.87863408</v>
      </c>
      <c r="BT98" s="26">
        <f t="shared" si="21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11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0.1037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3611.1</v>
      </c>
      <c r="AT99" cm="1">
        <f t="array" ref="AT99">$E$10*(1+$AR99)+VLOOKUP($Q99,武学奇术!$A:$ZZ,4,FALSE)+SUM(_xlfn.XLOOKUP($R99:$AK99,增益!$A:$A,增益!$D:$D,0))-$I$2</f>
        <v>3611.1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si="16"/>
        <v>571.2</v>
      </c>
      <c r="BG99">
        <f t="shared" si="17"/>
        <v>1627.8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si="20"/>
        <v>0.87863408</v>
      </c>
      <c r="BT99" s="26">
        <f t="shared" si="21"/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11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0.1037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3611.1</v>
      </c>
      <c r="AT100" cm="1">
        <f t="array" ref="AT100">$E$10*(1+$AR100)+VLOOKUP($Q100,武学奇术!$A:$ZZ,4,FALSE)+SUM(_xlfn.XLOOKUP($R100:$AK100,增益!$A:$A,增益!$D:$D,0))-$I$2</f>
        <v>3611.1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16"/>
        <v>571.2</v>
      </c>
      <c r="BG100">
        <f t="shared" si="17"/>
        <v>1627.8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20"/>
        <v>0.87863408</v>
      </c>
      <c r="BT100" s="26">
        <f t="shared" si="21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11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0.1037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3611.1</v>
      </c>
      <c r="AT101" cm="1">
        <f t="array" ref="AT101">$E$10*(1+$AR101)+VLOOKUP($Q101,武学奇术!$A:$ZZ,4,FALSE)+SUM(_xlfn.XLOOKUP($R101:$AK101,增益!$A:$A,增益!$D:$D,0))-$I$2</f>
        <v>3611.1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16"/>
        <v>571.2</v>
      </c>
      <c r="BG101">
        <f t="shared" si="17"/>
        <v>1627.8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20"/>
        <v>0.87863408</v>
      </c>
      <c r="BT101" s="26">
        <f t="shared" si="21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11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0.1037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3611.1</v>
      </c>
      <c r="AT102" cm="1">
        <f t="array" ref="AT102">$E$10*(1+$AR102)+VLOOKUP($Q102,武学奇术!$A:$ZZ,4,FALSE)+SUM(_xlfn.XLOOKUP($R102:$AK102,增益!$A:$A,增益!$D:$D,0))-$I$2</f>
        <v>3611.1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16"/>
        <v>571.2</v>
      </c>
      <c r="BG102">
        <f t="shared" si="17"/>
        <v>1627.8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20"/>
        <v>0.87863408</v>
      </c>
      <c r="BT102" s="26">
        <f t="shared" si="21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11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0.1037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3611.1</v>
      </c>
      <c r="AT103" cm="1">
        <f t="array" ref="AT103">$E$10*(1+$AR103)+VLOOKUP($Q103,武学奇术!$A:$ZZ,4,FALSE)+SUM(_xlfn.XLOOKUP($R103:$AK103,增益!$A:$A,增益!$D:$D,0))-$I$2</f>
        <v>3611.1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16"/>
        <v>571.2</v>
      </c>
      <c r="BG103">
        <f t="shared" si="17"/>
        <v>1627.8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20"/>
        <v>0.87863408</v>
      </c>
      <c r="BT103" s="26">
        <f t="shared" si="21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11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0.1037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3611.1</v>
      </c>
      <c r="AT104" cm="1">
        <f t="array" ref="AT104">$E$10*(1+$AR104)+VLOOKUP($Q104,武学奇术!$A:$ZZ,4,FALSE)+SUM(_xlfn.XLOOKUP($R104:$AK104,增益!$A:$A,增益!$D:$D,0))-$I$2</f>
        <v>3611.1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16"/>
        <v>571.2</v>
      </c>
      <c r="BG104">
        <f t="shared" si="17"/>
        <v>1627.8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20"/>
        <v>0.87863408</v>
      </c>
      <c r="BT104" s="26">
        <f t="shared" si="21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11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0.1037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3611.1</v>
      </c>
      <c r="AT105" cm="1">
        <f t="array" ref="AT105">$E$10*(1+$AR105)+VLOOKUP($Q105,武学奇术!$A:$ZZ,4,FALSE)+SUM(_xlfn.XLOOKUP($R105:$AK105,增益!$A:$A,增益!$D:$D,0))-$I$2</f>
        <v>3611.1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16"/>
        <v>571.2</v>
      </c>
      <c r="BG105">
        <f t="shared" si="17"/>
        <v>1627.8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20"/>
        <v>0.87863408</v>
      </c>
      <c r="BT105" s="26">
        <f t="shared" si="21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11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0.1037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3611.1</v>
      </c>
      <c r="AT106" cm="1">
        <f t="array" ref="AT106">$E$10*(1+$AR106)+VLOOKUP($Q106,武学奇术!$A:$ZZ,4,FALSE)+SUM(_xlfn.XLOOKUP($R106:$AK106,增益!$A:$A,增益!$D:$D,0))-$I$2</f>
        <v>3611.1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16"/>
        <v>571.2</v>
      </c>
      <c r="BG106">
        <f t="shared" si="17"/>
        <v>1627.8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20"/>
        <v>0.87863408</v>
      </c>
      <c r="BT106" s="26">
        <f t="shared" si="21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11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0.1037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3611.1</v>
      </c>
      <c r="AT107" cm="1">
        <f t="array" ref="AT107">$E$10*(1+$AR107)+VLOOKUP($Q107,武学奇术!$A:$ZZ,4,FALSE)+SUM(_xlfn.XLOOKUP($R107:$AK107,增益!$A:$A,增益!$D:$D,0))-$I$2</f>
        <v>3611.1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16"/>
        <v>571.2</v>
      </c>
      <c r="BG107">
        <f t="shared" si="17"/>
        <v>1627.8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20"/>
        <v>0.87863408</v>
      </c>
      <c r="BT107" s="26">
        <f t="shared" si="21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11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0.1037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3611.1</v>
      </c>
      <c r="AT108" cm="1">
        <f t="array" ref="AT108">$E$10*(1+$AR108)+VLOOKUP($Q108,武学奇术!$A:$ZZ,4,FALSE)+SUM(_xlfn.XLOOKUP($R108:$AK108,增益!$A:$A,增益!$D:$D,0))-$I$2</f>
        <v>3611.1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16"/>
        <v>571.2</v>
      </c>
      <c r="BG108">
        <f t="shared" si="17"/>
        <v>1627.8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20"/>
        <v>0.87863408</v>
      </c>
      <c r="BT108" s="26">
        <f t="shared" si="21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11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0.1037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3611.1</v>
      </c>
      <c r="AT109" cm="1">
        <f t="array" ref="AT109">$E$10*(1+$AR109)+VLOOKUP($Q109,武学奇术!$A:$ZZ,4,FALSE)+SUM(_xlfn.XLOOKUP($R109:$AK109,增益!$A:$A,增益!$D:$D,0))-$I$2</f>
        <v>3611.1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16"/>
        <v>571.2</v>
      </c>
      <c r="BG109">
        <f t="shared" si="17"/>
        <v>1627.8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20"/>
        <v>0.87863408</v>
      </c>
      <c r="BT109" s="26">
        <f t="shared" si="21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11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0.1037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3611.1</v>
      </c>
      <c r="AT110" cm="1">
        <f t="array" ref="AT110">$E$10*(1+$AR110)+VLOOKUP($Q110,武学奇术!$A:$ZZ,4,FALSE)+SUM(_xlfn.XLOOKUP($R110:$AK110,增益!$A:$A,增益!$D:$D,0))-$I$2</f>
        <v>3611.1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16"/>
        <v>571.2</v>
      </c>
      <c r="BG110">
        <f t="shared" si="17"/>
        <v>1627.8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20"/>
        <v>0.87863408</v>
      </c>
      <c r="BT110" s="26">
        <f t="shared" si="21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11"/>
        <v>18769.0516263197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19065.8460960222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18173.5337599605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12143.8510165747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10825.8251739193</v>
      </c>
      <c r="P111" s="39">
        <f t="shared" ref="P111:P121" si="22"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0.2787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4372.698</v>
      </c>
      <c r="AT111" cm="1">
        <f t="array" ref="AT111">$E$10*(1+$AR111)+VLOOKUP($Q111,武学奇术!$A:$ZZ,4,FALSE)+SUM(_xlfn.XLOOKUP($R111:$AK111,增益!$A:$A,增益!$D:$D,0))-$I$2</f>
        <v>4372.698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16"/>
        <v>674.016</v>
      </c>
      <c r="BG111">
        <f t="shared" si="17"/>
        <v>1920.804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20"/>
        <v>0.87863408</v>
      </c>
      <c r="BT111" s="26">
        <f t="shared" si="21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11"/>
        <v>14525.8055712361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14789.1424015059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13815.7581480105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9185.80273385458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8137.71054325691</v>
      </c>
      <c r="P112" s="39">
        <f t="shared" si="22"/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0.1537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3611.1</v>
      </c>
      <c r="AT112" cm="1">
        <f t="array" ref="AT112">$E$10*(1+$AR112)+VLOOKUP($Q112,武学奇术!$A:$ZZ,4,FALSE)+SUM(_xlfn.XLOOKUP($R112:$AK112,增益!$A:$A,增益!$D:$D,0))-$I$2</f>
        <v>3611.1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16"/>
        <v>639.744</v>
      </c>
      <c r="BG112">
        <f t="shared" si="17"/>
        <v>1823.136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20"/>
        <v>0.87863408</v>
      </c>
      <c r="BT112" s="26">
        <f t="shared" si="21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si="11"/>
        <v>17608.1594600532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17969.0247166876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16396.9702814315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10956.7223882241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9767.54086427677</v>
      </c>
      <c r="P113" s="39">
        <f t="shared" si="22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0.1537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4372.698</v>
      </c>
      <c r="AT113" cm="1">
        <f t="array" ref="AT113">$E$10*(1+$AR113)+VLOOKUP($Q113,武学奇术!$A:$ZZ,4,FALSE)+SUM(_xlfn.XLOOKUP($R113:$AK113,增益!$A:$A,增益!$D:$D,0))-$I$2</f>
        <v>4372.698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16"/>
        <v>674.016</v>
      </c>
      <c r="BG113">
        <f t="shared" si="17"/>
        <v>1920.804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20"/>
        <v>0.87863408</v>
      </c>
      <c r="BT113" s="26">
        <f t="shared" si="21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11"/>
        <v>14767.9343512597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15064.7164835215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13815.7581480105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9185.80273385458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8137.71054325691</v>
      </c>
      <c r="P114" s="39">
        <f t="shared" si="22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0.1537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3611.1</v>
      </c>
      <c r="AT114" cm="1">
        <f t="array" ref="AT114">$E$10*(1+$AR114)+VLOOKUP($Q114,武学奇术!$A:$ZZ,4,FALSE)+SUM(_xlfn.XLOOKUP($R114:$AK114,增益!$A:$A,增益!$D:$D,0))-$I$2</f>
        <v>3611.1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12"/>
        <v>0</v>
      </c>
      <c r="AY114">
        <f t="shared" si="13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16"/>
        <v>639.744</v>
      </c>
      <c r="BG114">
        <f t="shared" si="17"/>
        <v>1823.136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20"/>
        <v>0.87863408</v>
      </c>
      <c r="BT114" s="26">
        <f t="shared" si="21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11"/>
        <v>20780.8008042069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21206.6868278024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19351.3793411489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12930.9066023186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11527.4581371194</v>
      </c>
      <c r="P115" s="39">
        <f t="shared" si="22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0.1537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4372.698</v>
      </c>
      <c r="AT115" cm="1">
        <f t="array" ref="AT115">$E$10*(1+$AR115)+VLOOKUP($Q115,武学奇术!$A:$ZZ,4,FALSE)+SUM(_xlfn.XLOOKUP($R115:$AK115,增益!$A:$A,增益!$D:$D,0))-$I$2</f>
        <v>4372.698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12"/>
        <v>0</v>
      </c>
      <c r="AY115">
        <f t="shared" si="13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14"/>
        <v>0</v>
      </c>
      <c r="BC115">
        <f t="shared" si="15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16"/>
        <v>674.016</v>
      </c>
      <c r="BG115">
        <f t="shared" si="17"/>
        <v>1920.804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20"/>
        <v>0.87863408</v>
      </c>
      <c r="BT115" s="26">
        <f t="shared" si="21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11"/>
        <v>15044.6156732104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15339.8950499307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14151.1174327416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9353.5945426407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8224.8798758432</v>
      </c>
      <c r="P116" s="39">
        <f t="shared" si="22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0.1537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3611.1</v>
      </c>
      <c r="AT116" cm="1">
        <f t="array" ref="AT116">$E$10*(1+$AR116)+VLOOKUP($Q116,武学奇术!$A:$ZZ,4,FALSE)+SUM(_xlfn.XLOOKUP($R116:$AK116,增益!$A:$A,增益!$D:$D,0))-$I$2</f>
        <v>3611.1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12"/>
        <v>0</v>
      </c>
      <c r="AY116">
        <f t="shared" si="13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16"/>
        <v>639.744</v>
      </c>
      <c r="BG116">
        <f t="shared" si="17"/>
        <v>1823.136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20"/>
        <v>0.87863408</v>
      </c>
      <c r="BT116" s="26">
        <f t="shared" si="21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11"/>
        <v>17608.1594600532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17969.0247166876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16396.9702814315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10956.7223882241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9767.54086427677</v>
      </c>
      <c r="P117" s="39">
        <f t="shared" si="22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0.1537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4372.698</v>
      </c>
      <c r="AT117" cm="1">
        <f t="array" ref="AT117">$E$10*(1+$AR117)+VLOOKUP($Q117,武学奇术!$A:$ZZ,4,FALSE)+SUM(_xlfn.XLOOKUP($R117:$AK117,增益!$A:$A,增益!$D:$D,0))-$I$2</f>
        <v>4372.698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12"/>
        <v>0</v>
      </c>
      <c r="AY117">
        <f t="shared" si="13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16"/>
        <v>674.016</v>
      </c>
      <c r="BG117">
        <f t="shared" si="17"/>
        <v>1920.804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20"/>
        <v>0.87863408</v>
      </c>
      <c r="BT117" s="26">
        <f t="shared" si="21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11"/>
        <v>17608.1594600532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17969.0247166876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16396.9702814315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10956.7223882241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9767.54086427677</v>
      </c>
      <c r="P118" s="39">
        <f t="shared" si="22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0.1537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4372.698</v>
      </c>
      <c r="AT118" cm="1">
        <f t="array" ref="AT118">$E$10*(1+$AR118)+VLOOKUP($Q118,武学奇术!$A:$ZZ,4,FALSE)+SUM(_xlfn.XLOOKUP($R118:$AK118,增益!$A:$A,增益!$D:$D,0))-$I$2</f>
        <v>4372.698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0.257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16"/>
        <v>674.016</v>
      </c>
      <c r="BG118">
        <f t="shared" si="17"/>
        <v>1920.804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20"/>
        <v>0.87863408</v>
      </c>
      <c r="BT118" s="26">
        <f t="shared" si="21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11"/>
        <v>14767.9343512597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15064.7164835215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13815.7581480105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9185.80273385458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8137.71054325691</v>
      </c>
      <c r="P119" s="39">
        <f t="shared" si="22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0.1537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3611.1</v>
      </c>
      <c r="AT119" cm="1">
        <f t="array" ref="AT119">$E$10*(1+$AR119)+VLOOKUP($Q119,武学奇术!$A:$ZZ,4,FALSE)+SUM(_xlfn.XLOOKUP($R119:$AK119,增益!$A:$A,增益!$D:$D,0))-$I$2</f>
        <v>3611.1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12"/>
        <v>0</v>
      </c>
      <c r="AY119">
        <f t="shared" si="13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14"/>
        <v>0</v>
      </c>
      <c r="BC119">
        <f t="shared" si="15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16"/>
        <v>639.744</v>
      </c>
      <c r="BG119">
        <f t="shared" si="17"/>
        <v>1823.136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18"/>
        <v>0</v>
      </c>
      <c r="BK119">
        <f t="shared" si="19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20"/>
        <v>0.87863408</v>
      </c>
      <c r="BT119" s="26">
        <f t="shared" si="21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11"/>
        <v>23032.3394195539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23504.3689405487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21448.0443473408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14331.9322808223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12776.4243043552</v>
      </c>
      <c r="P120" s="39">
        <f t="shared" si="22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0.2787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4372.698</v>
      </c>
      <c r="AT120" cm="1">
        <f t="array" ref="AT120">$E$10*(1+$AR120)+VLOOKUP($Q120,武学奇术!$A:$ZZ,4,FALSE)+SUM(_xlfn.XLOOKUP($R120:$AK120,增益!$A:$A,增益!$D:$D,0))-$I$2</f>
        <v>4372.698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12"/>
        <v>0</v>
      </c>
      <c r="AY120">
        <f t="shared" si="13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14"/>
        <v>0</v>
      </c>
      <c r="BC120">
        <f t="shared" si="15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16"/>
        <v>674.016</v>
      </c>
      <c r="BG120">
        <f t="shared" si="17"/>
        <v>1920.804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18"/>
        <v>0</v>
      </c>
      <c r="BK120">
        <f t="shared" si="19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20"/>
        <v>0.87863408</v>
      </c>
      <c r="BT120" s="26">
        <f t="shared" si="21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11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22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0.1037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3611.1</v>
      </c>
      <c r="AT121" cm="1">
        <f t="array" ref="AT121">$E$10*(1+$AR121)+VLOOKUP($Q121,武学奇术!$A:$ZZ,4,FALSE)+SUM(_xlfn.XLOOKUP($R121:$AK121,增益!$A:$A,增益!$D:$D,0))-$I$2</f>
        <v>3611.1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16"/>
        <v>571.2</v>
      </c>
      <c r="BG121">
        <f t="shared" si="17"/>
        <v>1627.8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20"/>
        <v>0.87863408</v>
      </c>
      <c r="BT121" s="26">
        <f t="shared" si="21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K38" sqref="K37:K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1">
      <c r="B1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6" t="s">
        <v>109</v>
      </c>
      <c r="R1" t="s">
        <v>187</v>
      </c>
      <c r="S1" t="s">
        <v>112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34</v>
      </c>
      <c r="Z1" s="26" t="s">
        <v>35</v>
      </c>
      <c r="AA1" s="27" t="s">
        <v>36</v>
      </c>
      <c r="AB1" s="26" t="s">
        <v>37</v>
      </c>
      <c r="AC1" s="27" t="s">
        <v>38</v>
      </c>
      <c r="AD1" t="s">
        <v>193</v>
      </c>
    </row>
    <row r="2" spans="1:31">
      <c r="A2" t="s">
        <v>124</v>
      </c>
      <c r="E2" s="29"/>
      <c r="F2">
        <f>IF(期望!$E$24="弦墨篇",8,0)</f>
        <v>8</v>
      </c>
      <c r="G2" s="29">
        <v>0.12</v>
      </c>
      <c r="I2">
        <f>IF(期望!$E$24="弦墨篇",8,0)</f>
        <v>8</v>
      </c>
      <c r="K2">
        <f>IF(期望!$E$24="弦墨篇",8,0)</f>
        <v>8</v>
      </c>
      <c r="M2">
        <f>IF(期望!$E$24="弦墨篇",8,0)</f>
        <v>8</v>
      </c>
      <c r="N2" s="29">
        <v>0.12</v>
      </c>
      <c r="O2">
        <f>IF(期望!$E$24="弦墨篇",8,0)</f>
        <v>8</v>
      </c>
      <c r="Y2" t="s">
        <v>89</v>
      </c>
      <c r="Z2" s="26">
        <f>62.85%*4</f>
        <v>2.514</v>
      </c>
      <c r="AA2" s="27">
        <f>174*4</f>
        <v>696</v>
      </c>
      <c r="AB2" s="26">
        <f>94.27%*4</f>
        <v>3.7708</v>
      </c>
      <c r="AC2" s="27">
        <f>94*4</f>
        <v>376</v>
      </c>
    </row>
    <row r="3" spans="1:31">
      <c r="A3" t="s">
        <v>127</v>
      </c>
      <c r="B3" s="29">
        <v>0.2</v>
      </c>
      <c r="E3" s="29"/>
      <c r="F3">
        <f>IF(期望!$E$24="弦墨篇",20,0)</f>
        <v>20</v>
      </c>
      <c r="G3" s="29">
        <v>0.12</v>
      </c>
      <c r="I3">
        <f>IF(期望!$E$24="弦墨篇",20,0)</f>
        <v>20</v>
      </c>
      <c r="K3">
        <f>IF(期望!$E$24="弦墨篇",20,0)</f>
        <v>20</v>
      </c>
      <c r="M3">
        <f>IF(期望!$E$24="弦墨篇",20,0)</f>
        <v>20</v>
      </c>
      <c r="N3" s="29">
        <v>0.12</v>
      </c>
      <c r="O3">
        <f>IF(期望!$E$24="弦墨篇",20,0)</f>
        <v>20</v>
      </c>
      <c r="R3" s="29">
        <v>0.3</v>
      </c>
      <c r="Y3" t="s">
        <v>89</v>
      </c>
      <c r="Z3" s="26">
        <f>252.12%*1.4</f>
        <v>3.52968</v>
      </c>
      <c r="AA3" s="27">
        <f>698*1.4</f>
        <v>977.2</v>
      </c>
      <c r="AB3" s="26">
        <f>378.18%*1.4</f>
        <v>5.29452</v>
      </c>
      <c r="AC3" s="27">
        <f>380*1.4</f>
        <v>532</v>
      </c>
    </row>
    <row r="4" spans="1:31">
      <c r="A4" t="s">
        <v>117</v>
      </c>
      <c r="B4" s="29">
        <v>0.1</v>
      </c>
      <c r="E4" s="29"/>
      <c r="F4">
        <f>IF(期望!$E$24="弦墨篇",20,0)</f>
        <v>20</v>
      </c>
      <c r="G4" s="29">
        <v>0.12</v>
      </c>
      <c r="I4">
        <f>IF(期望!$E$24="弦墨篇",20,0)</f>
        <v>20</v>
      </c>
      <c r="K4">
        <f>IF(期望!$E$24="弦墨篇",20,0)</f>
        <v>20</v>
      </c>
      <c r="M4">
        <f>IF(期望!$E$24="弦墨篇",20,0)</f>
        <v>20</v>
      </c>
      <c r="N4" s="29">
        <v>0.12</v>
      </c>
      <c r="O4">
        <f>IF(期望!$E$24="弦墨篇",20,0)</f>
        <v>20</v>
      </c>
      <c r="R4" s="29">
        <v>0.3</v>
      </c>
      <c r="Y4" t="s">
        <v>89</v>
      </c>
      <c r="Z4" s="26">
        <f>181.25%*1.7</f>
        <v>3.08125</v>
      </c>
      <c r="AA4" s="27">
        <f>501*1.7</f>
        <v>851.7</v>
      </c>
      <c r="AB4" s="26">
        <f>271.88%*1.7</f>
        <v>4.62196</v>
      </c>
      <c r="AC4" s="27">
        <f>273*1.7</f>
        <v>464.1</v>
      </c>
      <c r="AD4" t="s">
        <v>194</v>
      </c>
    </row>
    <row r="5" spans="1:31">
      <c r="A5" t="s">
        <v>121</v>
      </c>
      <c r="B5" s="29">
        <v>0.15</v>
      </c>
      <c r="E5" s="29"/>
      <c r="F5">
        <f>IF(期望!$E$24="弦墨篇",20,0)</f>
        <v>20</v>
      </c>
      <c r="G5" s="29">
        <v>0.12</v>
      </c>
      <c r="I5">
        <f>IF(期望!$E$24="弦墨篇",20,0)</f>
        <v>20</v>
      </c>
      <c r="K5">
        <f>IF(期望!$E$24="弦墨篇",20,0)</f>
        <v>20</v>
      </c>
      <c r="M5">
        <f>IF(期望!$E$24="弦墨篇",20,0)</f>
        <v>20</v>
      </c>
      <c r="N5" s="29">
        <v>0.12</v>
      </c>
      <c r="O5">
        <f>IF(期望!$E$24="弦墨篇",20,0)</f>
        <v>20</v>
      </c>
      <c r="R5" s="29">
        <v>0.4</v>
      </c>
      <c r="Y5" t="s">
        <v>89</v>
      </c>
      <c r="Z5" s="26">
        <f>220.91%*1.7</f>
        <v>3.75547</v>
      </c>
      <c r="AA5" s="27">
        <f>611*1.7</f>
        <v>1038.7</v>
      </c>
      <c r="AB5" s="26">
        <f>331.37%*1.7</f>
        <v>5.63329</v>
      </c>
      <c r="AC5" s="27">
        <f>333*1.7</f>
        <v>566.1</v>
      </c>
      <c r="AD5" t="s">
        <v>194</v>
      </c>
    </row>
    <row r="6" spans="1:31">
      <c r="A6" t="s">
        <v>133</v>
      </c>
      <c r="E6" s="29"/>
      <c r="F6">
        <f>IF(期望!$E$24="弦墨篇",8,0)</f>
        <v>8</v>
      </c>
      <c r="G6" s="29">
        <v>0.12</v>
      </c>
      <c r="I6">
        <f>IF(期望!$E$24="弦墨篇",8,0)</f>
        <v>8</v>
      </c>
      <c r="K6">
        <f>IF(期望!$E$24="弦墨篇",8,0)</f>
        <v>8</v>
      </c>
      <c r="M6">
        <f>IF(期望!$E$24="弦墨篇",8,0)</f>
        <v>8</v>
      </c>
      <c r="N6" s="29">
        <v>0.12</v>
      </c>
      <c r="O6">
        <f>IF(期望!$E$24="弦墨篇",8,0)</f>
        <v>8</v>
      </c>
      <c r="Y6" t="s">
        <v>89</v>
      </c>
      <c r="Z6" s="26">
        <f>49.17%+35.17%</f>
        <v>0.8434</v>
      </c>
      <c r="AA6" s="27">
        <f>137+98</f>
        <v>235</v>
      </c>
      <c r="AB6" s="26">
        <f>73.75%+52.75%</f>
        <v>1.265</v>
      </c>
      <c r="AC6" s="27">
        <f>74+53</f>
        <v>127</v>
      </c>
    </row>
    <row r="7" spans="1:31">
      <c r="A7" t="s">
        <v>137</v>
      </c>
      <c r="B7" s="29"/>
      <c r="E7" s="29"/>
      <c r="F7">
        <f>IF(期望!$E$24="弦墨篇",20,0)</f>
        <v>20</v>
      </c>
      <c r="G7" s="29">
        <v>0.12</v>
      </c>
      <c r="I7">
        <f>IF(期望!$E$24="弦墨篇",20,0)</f>
        <v>20</v>
      </c>
      <c r="K7">
        <f>IF(期望!$E$24="弦墨篇",20,0)</f>
        <v>20</v>
      </c>
      <c r="M7">
        <f>IF(期望!$E$24="弦墨篇",20,0)</f>
        <v>20</v>
      </c>
      <c r="N7" s="29">
        <v>0.12</v>
      </c>
      <c r="O7">
        <f>IF(期望!$E$24="弦墨篇",20,0)</f>
        <v>20</v>
      </c>
      <c r="R7" s="29">
        <v>0.3</v>
      </c>
      <c r="Y7" t="s">
        <v>89</v>
      </c>
      <c r="Z7" s="26">
        <f>74.24%*1.4</f>
        <v>1.03936</v>
      </c>
      <c r="AA7" s="27">
        <f>206*1.4</f>
        <v>288.4</v>
      </c>
      <c r="AB7" s="26">
        <f>111.37%*1.4</f>
        <v>1.55918</v>
      </c>
      <c r="AC7" s="27">
        <f>112*1.4</f>
        <v>156.8</v>
      </c>
    </row>
    <row r="8" spans="1:31">
      <c r="A8" t="s">
        <v>140</v>
      </c>
      <c r="B8" s="29"/>
      <c r="E8" s="29"/>
      <c r="F8">
        <f>IF(期望!$E$24="弦墨篇",20,0)</f>
        <v>20</v>
      </c>
      <c r="G8" s="29">
        <v>0.12</v>
      </c>
      <c r="I8">
        <f>IF(期望!$E$24="弦墨篇",20,0)</f>
        <v>20</v>
      </c>
      <c r="K8">
        <f>IF(期望!$E$24="弦墨篇",20,0)</f>
        <v>20</v>
      </c>
      <c r="M8">
        <f>IF(期望!$E$24="弦墨篇",20,0)</f>
        <v>20</v>
      </c>
      <c r="N8" s="29">
        <v>0.12</v>
      </c>
      <c r="O8">
        <f>IF(期望!$E$24="弦墨篇",20,0)</f>
        <v>20</v>
      </c>
      <c r="R8" s="29">
        <v>0.3</v>
      </c>
      <c r="Y8" t="s">
        <v>89</v>
      </c>
      <c r="Z8" s="26">
        <f>233.47%*1.4</f>
        <v>3.26858</v>
      </c>
      <c r="AA8" s="27">
        <f>656*1.4</f>
        <v>918.4</v>
      </c>
      <c r="AB8" s="26">
        <f>350.21%*1.4</f>
        <v>4.90294</v>
      </c>
      <c r="AC8" s="27">
        <f>352*1.4</f>
        <v>492.8</v>
      </c>
    </row>
    <row r="9" spans="1:31">
      <c r="A9" t="s">
        <v>104</v>
      </c>
      <c r="B9" s="29"/>
      <c r="E9" s="29"/>
      <c r="F9">
        <f>IF(期望!$E$24="弦墨篇",8,0)</f>
        <v>8</v>
      </c>
      <c r="G9" s="29">
        <v>0.12</v>
      </c>
      <c r="I9">
        <f>IF(期望!$E$24="弦墨篇",8,0)</f>
        <v>8</v>
      </c>
      <c r="K9">
        <f>IF(期望!$E$24="弦墨篇",8,0)</f>
        <v>8</v>
      </c>
      <c r="M9">
        <f>IF(期望!$E$24="弦墨篇",8,0)</f>
        <v>8</v>
      </c>
      <c r="N9" s="29">
        <v>0.12</v>
      </c>
      <c r="O9">
        <f>IF(期望!$E$24="弦墨篇",8,0)</f>
        <v>8</v>
      </c>
      <c r="R9" s="29"/>
      <c r="Y9" t="s">
        <v>93</v>
      </c>
      <c r="Z9" s="26">
        <v>0.9271</v>
      </c>
      <c r="AA9" s="27">
        <v>257</v>
      </c>
      <c r="AB9" s="26">
        <v>1.3907</v>
      </c>
      <c r="AC9" s="27">
        <v>140</v>
      </c>
    </row>
    <row r="10" spans="1:31">
      <c r="A10" t="s">
        <v>108</v>
      </c>
      <c r="B10" s="29"/>
      <c r="E10" s="29"/>
      <c r="F10">
        <f>IF(期望!$E$24="弦墨篇",8,0)</f>
        <v>8</v>
      </c>
      <c r="G10" s="29">
        <v>0.12</v>
      </c>
      <c r="I10">
        <f>IF(期望!$E$24="弦墨篇",8,0)</f>
        <v>8</v>
      </c>
      <c r="K10">
        <f>IF(期望!$E$24="弦墨篇",8,0)</f>
        <v>8</v>
      </c>
      <c r="M10">
        <f>IF(期望!$E$24="弦墨篇",8,0)</f>
        <v>8</v>
      </c>
      <c r="N10" s="29">
        <v>0.12</v>
      </c>
      <c r="O10">
        <f>IF(期望!$E$24="弦墨篇",8,0)</f>
        <v>8</v>
      </c>
      <c r="R10" s="29"/>
      <c r="Y10" t="s">
        <v>93</v>
      </c>
      <c r="Z10" s="26">
        <f>(101.69%+221.94%)*1.25</f>
        <v>4.045375</v>
      </c>
      <c r="AA10" s="27">
        <f>(281+614)*1.25</f>
        <v>1118.75</v>
      </c>
      <c r="AB10" s="26">
        <f>(152.54%+332.91%)*1.25</f>
        <v>6.068125</v>
      </c>
      <c r="AC10" s="27">
        <f>(153+334)*1.25</f>
        <v>608.75</v>
      </c>
    </row>
    <row r="11" spans="1:31">
      <c r="A11" t="s">
        <v>110</v>
      </c>
      <c r="B11" s="29">
        <v>0.2</v>
      </c>
      <c r="E11" s="29"/>
      <c r="F11">
        <f>IF(期望!$E$24="弦墨篇",8,0)</f>
        <v>8</v>
      </c>
      <c r="G11" s="29">
        <v>0.12</v>
      </c>
      <c r="I11">
        <f>IF(期望!$E$24="弦墨篇",8,0)</f>
        <v>8</v>
      </c>
      <c r="K11">
        <f>IF(期望!$E$24="弦墨篇",8,0)</f>
        <v>8</v>
      </c>
      <c r="M11">
        <f>IF(期望!$E$24="弦墨篇",8,0)</f>
        <v>8</v>
      </c>
      <c r="N11" s="29">
        <v>0.12</v>
      </c>
      <c r="O11">
        <f>IF(期望!$E$24="弦墨篇",8,0)</f>
        <v>8</v>
      </c>
      <c r="R11" s="29"/>
      <c r="Y11" t="s">
        <v>93</v>
      </c>
      <c r="Z11" s="26">
        <v>0.9186</v>
      </c>
      <c r="AA11" s="27">
        <v>254</v>
      </c>
      <c r="AB11" s="26">
        <v>1.3779</v>
      </c>
      <c r="AC11" s="27">
        <v>138</v>
      </c>
    </row>
    <row r="12" customFormat="1" spans="1:31">
      <c r="A12" t="s">
        <v>114</v>
      </c>
      <c r="B12" s="29">
        <v>0.2</v>
      </c>
      <c r="E12" s="29"/>
      <c r="F12">
        <f>IF(期望!$E$24="弦墨篇",8,0)</f>
        <v>8</v>
      </c>
      <c r="G12" s="29">
        <v>0.12</v>
      </c>
      <c r="I12">
        <f>IF(期望!$E$24="弦墨篇",8,0)</f>
        <v>8</v>
      </c>
      <c r="K12">
        <f>IF(期望!$E$24="弦墨篇",8,0)</f>
        <v>8</v>
      </c>
      <c r="M12">
        <f>IF(期望!$E$24="弦墨篇",8,0)</f>
        <v>8</v>
      </c>
      <c r="N12" s="29">
        <v>0.12</v>
      </c>
      <c r="O12">
        <f>IF(期望!$E$24="弦墨篇",8,0)</f>
        <v>8</v>
      </c>
      <c r="Q12" s="26"/>
      <c r="R12" s="29"/>
      <c r="Y12" t="s">
        <v>93</v>
      </c>
      <c r="Z12" s="26">
        <v>2.1435</v>
      </c>
      <c r="AA12" s="27">
        <v>592</v>
      </c>
      <c r="AB12" s="26">
        <v>3.2152</v>
      </c>
      <c r="AC12" s="27">
        <v>323</v>
      </c>
    </row>
    <row r="13" customFormat="1" spans="1:31">
      <c r="A13" t="s">
        <v>195</v>
      </c>
      <c r="B13"/>
      <c r="F13">
        <f>IF(期望!$E$24="弦墨篇",8,0)</f>
        <v>8</v>
      </c>
      <c r="G13" s="29">
        <v>0.12</v>
      </c>
      <c r="I13">
        <f>IF(期望!$E$24="弦墨篇",8,0)</f>
        <v>8</v>
      </c>
      <c r="K13">
        <f>IF(期望!$E$24="弦墨篇",8,0)</f>
        <v>8</v>
      </c>
      <c r="M13">
        <f>IF(期望!$E$24="弦墨篇",8,0)</f>
        <v>8</v>
      </c>
      <c r="N13" s="29">
        <v>0.12</v>
      </c>
      <c r="O13">
        <f>IF(期望!$E$24="弦墨篇",8,0)</f>
        <v>8</v>
      </c>
      <c r="Q13" s="26"/>
      <c r="R13" s="29"/>
      <c r="Y13" t="s">
        <v>103</v>
      </c>
      <c r="Z13" s="26">
        <v>3.9746</v>
      </c>
      <c r="AA13" s="27">
        <v>1008</v>
      </c>
      <c r="AB13" s="26">
        <v>5.9619</v>
      </c>
      <c r="AC13" s="27"/>
      <c r="AE13">
        <v>1</v>
      </c>
    </row>
    <row r="14" customFormat="1" spans="1:31">
      <c r="A14" t="s">
        <v>75</v>
      </c>
      <c r="B14"/>
      <c r="F14">
        <f>IF(期望!$E$24="弦墨篇",8,0)</f>
        <v>8</v>
      </c>
      <c r="G14" s="29">
        <v>0.12</v>
      </c>
      <c r="I14">
        <f>IF(期望!$E$24="弦墨篇",8,0)</f>
        <v>8</v>
      </c>
      <c r="K14">
        <f>IF(期望!$E$24="弦墨篇",8,0)</f>
        <v>8</v>
      </c>
      <c r="M14">
        <f>IF(期望!$E$24="弦墨篇",8,0)</f>
        <v>8</v>
      </c>
      <c r="N14" s="29">
        <v>0.12</v>
      </c>
      <c r="O14">
        <f>IF(期望!$E$24="弦墨篇",8,0)</f>
        <v>8</v>
      </c>
      <c r="Q14" s="26"/>
      <c r="R14" s="29"/>
      <c r="Y14" t="s">
        <v>103</v>
      </c>
      <c r="Z14" s="26">
        <v>1.4904</v>
      </c>
      <c r="AA14" s="27">
        <v>378</v>
      </c>
      <c r="AB14" s="26">
        <v>2.2356</v>
      </c>
      <c r="AC14" s="27"/>
      <c r="AE14">
        <v>1</v>
      </c>
    </row>
    <row r="15" customFormat="1" spans="1:31">
      <c r="A15" t="s">
        <v>168</v>
      </c>
      <c r="B15" s="29"/>
      <c r="F15">
        <f>IF(期望!$E$24="弦墨篇",8,0)</f>
        <v>8</v>
      </c>
      <c r="G15" s="29">
        <v>0.12</v>
      </c>
      <c r="I15">
        <f>IF(期望!$E$24="弦墨篇",8,0)</f>
        <v>8</v>
      </c>
      <c r="K15">
        <f>IF(期望!$E$24="弦墨篇",8,0)</f>
        <v>8</v>
      </c>
      <c r="M15">
        <f>IF(期望!$E$24="弦墨篇",8,0)</f>
        <v>8</v>
      </c>
      <c r="N15" s="29">
        <v>0.12</v>
      </c>
      <c r="O15">
        <f>IF(期望!$E$24="弦墨篇",8,0)</f>
        <v>8</v>
      </c>
      <c r="R15" s="29"/>
      <c r="Y15" t="s">
        <v>103</v>
      </c>
      <c r="Z15" s="26">
        <v>10.315755</v>
      </c>
      <c r="AA15" s="27">
        <v>1992.6</v>
      </c>
      <c r="AB15" s="26">
        <v>15.4736325</v>
      </c>
      <c r="AC15" s="27"/>
      <c r="AE15">
        <v>1</v>
      </c>
    </row>
    <row r="16" customFormat="1" spans="1:31">
      <c r="A16" t="s">
        <v>196</v>
      </c>
      <c r="B16" s="29"/>
      <c r="F16">
        <f>IF(期望!$E$24="弦墨篇",8,0)</f>
        <v>8</v>
      </c>
      <c r="G16" s="29">
        <v>0.12</v>
      </c>
      <c r="I16">
        <f>IF(期望!$E$24="弦墨篇",8,0)</f>
        <v>8</v>
      </c>
      <c r="K16">
        <f>IF(期望!$E$24="弦墨篇",8,0)</f>
        <v>8</v>
      </c>
      <c r="M16">
        <f>IF(期望!$E$24="弦墨篇",8,0)</f>
        <v>8</v>
      </c>
      <c r="N16" s="29">
        <v>0.12</v>
      </c>
      <c r="O16">
        <f>IF(期望!$E$24="弦墨篇",8,0)</f>
        <v>8</v>
      </c>
      <c r="Q16" s="26"/>
      <c r="R16" s="29"/>
      <c r="Y16" t="s">
        <v>99</v>
      </c>
      <c r="Z16" s="26">
        <v>7.1084</v>
      </c>
      <c r="AA16" s="27">
        <v>1369</v>
      </c>
      <c r="AB16" s="26">
        <v>10.6626</v>
      </c>
      <c r="AC16" s="27"/>
      <c r="AE16">
        <v>1</v>
      </c>
    </row>
    <row r="17" customFormat="1" spans="1:31">
      <c r="A17" t="s">
        <v>197</v>
      </c>
      <c r="B17" s="29">
        <v>0.47</v>
      </c>
      <c r="F17">
        <f>IF(期望!$E$24="弦墨篇",8,0)</f>
        <v>8</v>
      </c>
      <c r="G17" s="29">
        <v>0.12</v>
      </c>
      <c r="I17">
        <f>IF(期望!$E$24="弦墨篇",8,0)</f>
        <v>8</v>
      </c>
      <c r="K17">
        <f>IF(期望!$E$24="弦墨篇",8,0)</f>
        <v>8</v>
      </c>
      <c r="M17">
        <f>IF(期望!$E$24="弦墨篇",8,0)</f>
        <v>8</v>
      </c>
      <c r="N17" s="29">
        <v>0.12</v>
      </c>
      <c r="O17">
        <f>IF(期望!$E$24="弦墨篇",8,0)</f>
        <v>8</v>
      </c>
      <c r="Q17" s="26"/>
      <c r="R17" s="29"/>
      <c r="V17">
        <v>1</v>
      </c>
      <c r="Y17" t="s">
        <v>99</v>
      </c>
      <c r="Z17" s="26">
        <v>25.201792</v>
      </c>
      <c r="AA17" s="27">
        <v>4869.48</v>
      </c>
      <c r="AB17" s="26">
        <v>37.802688</v>
      </c>
      <c r="AC17" s="27"/>
      <c r="AE17">
        <v>1</v>
      </c>
    </row>
    <row r="18" customFormat="1" spans="1:31">
      <c r="A18" t="s">
        <v>198</v>
      </c>
      <c r="B18"/>
      <c r="F18">
        <f>IF(期望!$E$24="弦墨篇",8,0)</f>
        <v>8</v>
      </c>
      <c r="G18" s="29">
        <v>0.12</v>
      </c>
      <c r="I18">
        <f>IF(期望!$E$24="弦墨篇",8,0)</f>
        <v>8</v>
      </c>
      <c r="K18">
        <f>IF(期望!$E$24="弦墨篇",8,0)</f>
        <v>8</v>
      </c>
      <c r="M18">
        <f>IF(期望!$E$24="弦墨篇",8,0)</f>
        <v>8</v>
      </c>
      <c r="N18" s="29">
        <v>0.12</v>
      </c>
      <c r="O18">
        <f>IF(期望!$E$24="弦墨篇",8,0)</f>
        <v>8</v>
      </c>
      <c r="Q18" s="26"/>
      <c r="R18" s="29"/>
      <c r="Y18" t="s">
        <v>103</v>
      </c>
      <c r="Z18" s="26">
        <v>23.7726</v>
      </c>
      <c r="AA18" s="27">
        <v>4592</v>
      </c>
      <c r="AB18" s="26">
        <v>35.6589</v>
      </c>
      <c r="AC18" s="27"/>
      <c r="AE18">
        <v>1</v>
      </c>
    </row>
    <row r="19" customFormat="1" spans="1:31">
      <c r="A19" t="s">
        <v>199</v>
      </c>
      <c r="B19" s="29"/>
      <c r="F19">
        <f>IF(期望!$E$24="弦墨篇",8,0)</f>
        <v>8</v>
      </c>
      <c r="G19" s="29">
        <v>0.12</v>
      </c>
      <c r="I19">
        <f>IF(期望!$E$24="弦墨篇",8,0)</f>
        <v>8</v>
      </c>
      <c r="K19">
        <f>IF(期望!$E$24="弦墨篇",8,0)</f>
        <v>8</v>
      </c>
      <c r="M19">
        <f>IF(期望!$E$24="弦墨篇",8,0)</f>
        <v>8</v>
      </c>
      <c r="N19" s="29">
        <v>0.12</v>
      </c>
      <c r="O19">
        <f>IF(期望!$E$24="弦墨篇",8,0)</f>
        <v>8</v>
      </c>
      <c r="Q19" s="26"/>
      <c r="R19" s="29"/>
      <c r="Y19" t="s">
        <v>99</v>
      </c>
      <c r="Z19" s="26">
        <v>1.28505</v>
      </c>
      <c r="AA19" s="27">
        <v>251</v>
      </c>
      <c r="AB19" s="26">
        <v>1.927575</v>
      </c>
      <c r="AC19" s="27"/>
      <c r="AE19">
        <v>1</v>
      </c>
    </row>
    <row r="20" customFormat="1" spans="1:31">
      <c r="A20" t="s">
        <v>200</v>
      </c>
      <c r="B20"/>
      <c r="F20">
        <f>IF(期望!$E$24="弦墨篇",8,0)</f>
        <v>8</v>
      </c>
      <c r="G20" s="29">
        <v>0.12</v>
      </c>
      <c r="I20">
        <f>IF(期望!$E$24="弦墨篇",8,0)</f>
        <v>8</v>
      </c>
      <c r="K20">
        <f>IF(期望!$E$24="弦墨篇",8,0)</f>
        <v>8</v>
      </c>
      <c r="M20">
        <f>IF(期望!$E$24="弦墨篇",8,0)</f>
        <v>8</v>
      </c>
      <c r="N20" s="29">
        <v>0.12</v>
      </c>
      <c r="O20">
        <f>IF(期望!$E$24="弦墨篇",8,0)</f>
        <v>8</v>
      </c>
      <c r="Q20" s="26"/>
      <c r="R20" s="29"/>
      <c r="Y20" t="s">
        <v>99</v>
      </c>
      <c r="Z20" s="26">
        <v>3.9863</v>
      </c>
      <c r="AA20" s="27">
        <v>778</v>
      </c>
      <c r="AB20" s="26">
        <v>5.97945</v>
      </c>
      <c r="AC20" s="27"/>
      <c r="AE20">
        <v>1</v>
      </c>
    </row>
    <row r="21" customFormat="1" spans="1:31">
      <c r="A21" t="s">
        <v>201</v>
      </c>
      <c r="B21"/>
      <c r="F21">
        <f>IF(期望!$E$24="弦墨篇",8,0)</f>
        <v>8</v>
      </c>
      <c r="G21" s="29">
        <v>0.12</v>
      </c>
      <c r="I21">
        <f>IF(期望!$E$24="弦墨篇",8,0)</f>
        <v>8</v>
      </c>
      <c r="K21">
        <f>IF(期望!$E$24="弦墨篇",8,0)</f>
        <v>8</v>
      </c>
      <c r="M21">
        <f>IF(期望!$E$24="弦墨篇",8,0)</f>
        <v>8</v>
      </c>
      <c r="N21" s="29">
        <v>0.12</v>
      </c>
      <c r="O21">
        <f>IF(期望!$E$24="弦墨篇",8,0)</f>
        <v>8</v>
      </c>
      <c r="Q21" s="26"/>
      <c r="R21" s="29"/>
      <c r="T21" s="29"/>
      <c r="Y21" t="s">
        <v>99</v>
      </c>
      <c r="Z21" s="26">
        <v>0.236</v>
      </c>
      <c r="AA21" s="27">
        <v>46</v>
      </c>
      <c r="AB21" s="26">
        <v>0.354</v>
      </c>
      <c r="AC21" s="27"/>
      <c r="AE21">
        <v>0.5</v>
      </c>
    </row>
    <row r="22" customFormat="1" spans="1:31">
      <c r="A22" t="s">
        <v>202</v>
      </c>
      <c r="B22" s="29"/>
      <c r="F22">
        <f>IF(期望!$E$24="弦墨篇",8,0)</f>
        <v>8</v>
      </c>
      <c r="G22" s="29">
        <v>0.12</v>
      </c>
      <c r="I22">
        <f>IF(期望!$E$24="弦墨篇",8,0)</f>
        <v>8</v>
      </c>
      <c r="K22">
        <f>IF(期望!$E$24="弦墨篇",8,0)</f>
        <v>8</v>
      </c>
      <c r="M22">
        <f>IF(期望!$E$24="弦墨篇",8,0)</f>
        <v>8</v>
      </c>
      <c r="N22" s="29">
        <v>0.12</v>
      </c>
      <c r="O22">
        <f>IF(期望!$E$24="弦墨篇",8,0)</f>
        <v>8</v>
      </c>
      <c r="Q22" s="26"/>
      <c r="R22" s="29"/>
      <c r="Y22" t="s">
        <v>99</v>
      </c>
      <c r="Z22" s="26">
        <v>1.3621</v>
      </c>
      <c r="AA22" s="27">
        <v>264</v>
      </c>
      <c r="AB22" s="26">
        <v>2.04315</v>
      </c>
      <c r="AC22" s="27"/>
      <c r="AE22">
        <v>1</v>
      </c>
    </row>
    <row r="23" customFormat="1" spans="1:31">
      <c r="A23" t="s">
        <v>203</v>
      </c>
      <c r="B23"/>
      <c r="F23">
        <f>IF(期望!$E$24="弦墨篇",8,0)</f>
        <v>8</v>
      </c>
      <c r="G23" s="29">
        <v>0.12</v>
      </c>
      <c r="I23">
        <f>IF(期望!$E$24="弦墨篇",8,0)</f>
        <v>8</v>
      </c>
      <c r="K23">
        <f>IF(期望!$E$24="弦墨篇",8,0)</f>
        <v>8</v>
      </c>
      <c r="M23">
        <f>IF(期望!$E$24="弦墨篇",8,0)</f>
        <v>8</v>
      </c>
      <c r="N23" s="29">
        <v>0.12</v>
      </c>
      <c r="O23">
        <f>IF(期望!$E$24="弦墨篇",8,0)</f>
        <v>8</v>
      </c>
      <c r="Q23" s="26"/>
      <c r="R23" s="29"/>
      <c r="Y23" t="s">
        <v>99</v>
      </c>
      <c r="Z23" s="26">
        <v>4.2253</v>
      </c>
      <c r="AA23" s="27">
        <v>819</v>
      </c>
      <c r="AB23" s="26">
        <v>6.33795</v>
      </c>
      <c r="AC23" s="27"/>
      <c r="AE23">
        <v>1</v>
      </c>
    </row>
    <row r="24" customFormat="1" spans="1:31">
      <c r="A24" t="s">
        <v>204</v>
      </c>
      <c r="B24"/>
      <c r="F24">
        <f>IF(期望!$E$24="弦墨篇",8,0)</f>
        <v>8</v>
      </c>
      <c r="G24" s="29">
        <v>0.12</v>
      </c>
      <c r="I24">
        <f>IF(期望!$E$24="弦墨篇",8,0)</f>
        <v>8</v>
      </c>
      <c r="K24">
        <f>IF(期望!$E$24="弦墨篇",8,0)</f>
        <v>8</v>
      </c>
      <c r="M24">
        <f>IF(期望!$E$24="弦墨篇",8,0)</f>
        <v>8</v>
      </c>
      <c r="N24" s="29">
        <v>0.12</v>
      </c>
      <c r="O24">
        <f>IF(期望!$E$24="弦墨篇",8,0)</f>
        <v>8</v>
      </c>
      <c r="Q24" s="26"/>
      <c r="R24" s="29"/>
      <c r="T24" s="29"/>
      <c r="Y24" t="s">
        <v>99</v>
      </c>
      <c r="Z24" s="26">
        <v>0.2958</v>
      </c>
      <c r="AA24" s="27">
        <v>57</v>
      </c>
      <c r="AB24" s="26">
        <v>0.4437</v>
      </c>
      <c r="AC24" s="27"/>
      <c r="AE24">
        <v>0.5</v>
      </c>
    </row>
    <row r="25" customFormat="1" spans="1:31">
      <c r="A25" t="s">
        <v>205</v>
      </c>
      <c r="B25"/>
      <c r="F25">
        <f>IF(期望!$E$24="弦墨篇",8,0)</f>
        <v>8</v>
      </c>
      <c r="G25" s="29">
        <v>0.12</v>
      </c>
      <c r="I25">
        <f>IF(期望!$E$24="弦墨篇",8,0)</f>
        <v>8</v>
      </c>
      <c r="K25">
        <f>IF(期望!$E$24="弦墨篇",8,0)</f>
        <v>8</v>
      </c>
      <c r="M25">
        <f>IF(期望!$E$24="弦墨篇",8,0)</f>
        <v>8</v>
      </c>
      <c r="N25" s="29">
        <v>0.12</v>
      </c>
      <c r="O25">
        <f>IF(期望!$E$24="弦墨篇",8,0)</f>
        <v>8</v>
      </c>
      <c r="Q25" s="26"/>
      <c r="R25" s="29"/>
      <c r="Y25" t="s">
        <v>99</v>
      </c>
      <c r="Z25" s="26">
        <v>1.0239</v>
      </c>
      <c r="AA25" s="27">
        <v>196</v>
      </c>
      <c r="AB25" s="26">
        <v>1.53585</v>
      </c>
      <c r="AC25" s="27"/>
      <c r="AE25">
        <v>1</v>
      </c>
    </row>
    <row r="26" customFormat="1" spans="1:31">
      <c r="A26" t="s">
        <v>206</v>
      </c>
      <c r="B26" s="29">
        <v>0.8</v>
      </c>
      <c r="F26">
        <f>IF(期望!$E$24="弦墨篇",8,0)</f>
        <v>8</v>
      </c>
      <c r="G26" s="29">
        <v>0.12</v>
      </c>
      <c r="I26">
        <f>IF(期望!$E$24="弦墨篇",8,0)</f>
        <v>8</v>
      </c>
      <c r="K26">
        <f>IF(期望!$E$24="弦墨篇",8,0)</f>
        <v>8</v>
      </c>
      <c r="M26">
        <f>IF(期望!$E$24="弦墨篇",8,0)</f>
        <v>8</v>
      </c>
      <c r="N26" s="29">
        <v>0.12</v>
      </c>
      <c r="O26">
        <f>IF(期望!$E$24="弦墨篇",8,0)</f>
        <v>8</v>
      </c>
      <c r="Q26" s="26"/>
      <c r="R26" s="29"/>
      <c r="Y26" t="s">
        <v>99</v>
      </c>
      <c r="Z26" s="26">
        <v>1.7065</v>
      </c>
      <c r="AA26" s="27">
        <v>327</v>
      </c>
      <c r="AB26" s="26">
        <v>2.55975</v>
      </c>
      <c r="AC26" s="27"/>
      <c r="AE26">
        <v>1</v>
      </c>
    </row>
    <row r="27" customFormat="1" spans="1:31">
      <c r="A27" t="s">
        <v>207</v>
      </c>
      <c r="B27"/>
      <c r="F27">
        <f>IF(期望!$E$24="弦墨篇",8,0)</f>
        <v>8</v>
      </c>
      <c r="G27" s="29">
        <v>0.12</v>
      </c>
      <c r="I27">
        <f>IF(期望!$E$24="弦墨篇",8,0)</f>
        <v>8</v>
      </c>
      <c r="K27">
        <f>IF(期望!$E$24="弦墨篇",8,0)</f>
        <v>8</v>
      </c>
      <c r="M27">
        <f>IF(期望!$E$24="弦墨篇",8,0)</f>
        <v>8</v>
      </c>
      <c r="N27" s="29">
        <v>0.12</v>
      </c>
      <c r="O27">
        <f>IF(期望!$E$24="弦墨篇",8,0)</f>
        <v>8</v>
      </c>
      <c r="Q27" s="26"/>
      <c r="R27" s="29"/>
      <c r="Y27" t="s">
        <v>99</v>
      </c>
      <c r="Z27" s="26">
        <v>0.7021</v>
      </c>
      <c r="AA27" s="27">
        <v>134</v>
      </c>
      <c r="AB27" s="26">
        <v>1.05315</v>
      </c>
      <c r="AC27" s="27"/>
      <c r="AE27">
        <v>1</v>
      </c>
    </row>
    <row r="28" customFormat="1" spans="1:31">
      <c r="A28" t="s">
        <v>208</v>
      </c>
      <c r="B28"/>
      <c r="F28">
        <f>IF(期望!$E$24="弦墨篇",8,0)</f>
        <v>8</v>
      </c>
      <c r="G28" s="29">
        <v>0.12</v>
      </c>
      <c r="I28">
        <f>IF(期望!$E$24="弦墨篇",8,0)</f>
        <v>8</v>
      </c>
      <c r="K28">
        <f>IF(期望!$E$24="弦墨篇",8,0)</f>
        <v>8</v>
      </c>
      <c r="M28">
        <f>IF(期望!$E$24="弦墨篇",8,0)</f>
        <v>8</v>
      </c>
      <c r="N28" s="29">
        <v>0.12</v>
      </c>
      <c r="O28">
        <f>IF(期望!$E$24="弦墨篇",8,0)</f>
        <v>8</v>
      </c>
      <c r="Q28" s="26"/>
      <c r="R28" s="29"/>
      <c r="Y28" t="s">
        <v>99</v>
      </c>
      <c r="Z28" s="26">
        <v>1.609</v>
      </c>
      <c r="AA28" s="27">
        <v>308</v>
      </c>
      <c r="AB28" s="26">
        <v>2.4135</v>
      </c>
      <c r="AC28" s="27"/>
      <c r="AE28">
        <v>1</v>
      </c>
    </row>
    <row r="29" customFormat="1" spans="1:31">
      <c r="A29" t="s">
        <v>180</v>
      </c>
      <c r="F29">
        <f>IF(期望!$E$24="弦墨篇",8,0)</f>
        <v>8</v>
      </c>
      <c r="G29" s="29">
        <v>0.12</v>
      </c>
      <c r="I29">
        <f>IF(期望!$E$24="弦墨篇",8,0)</f>
        <v>8</v>
      </c>
      <c r="K29">
        <f>IF(期望!$E$24="弦墨篇",8,0)</f>
        <v>8</v>
      </c>
      <c r="M29">
        <f>IF(期望!$E$24="弦墨篇",8,0)</f>
        <v>8</v>
      </c>
      <c r="N29" s="29">
        <v>0.12</v>
      </c>
      <c r="O29">
        <f>IF(期望!$E$24="弦墨篇",8,0)</f>
        <v>8</v>
      </c>
      <c r="Q29" s="26"/>
      <c r="R29" s="29"/>
      <c r="Y29" t="s">
        <v>209</v>
      </c>
      <c r="Z29" s="26">
        <v>1</v>
      </c>
      <c r="AA29" s="27"/>
      <c r="AB29" s="26">
        <v>1</v>
      </c>
      <c r="AC29" s="27"/>
      <c r="AE29">
        <v>1</v>
      </c>
    </row>
    <row r="30" customFormat="1" spans="1:31">
      <c r="A30" t="s">
        <v>210</v>
      </c>
      <c r="Q30" s="26"/>
      <c r="Y30" t="s">
        <v>103</v>
      </c>
      <c r="Z30" s="26">
        <v>6.87717</v>
      </c>
      <c r="AA30" s="27">
        <v>1328.4</v>
      </c>
      <c r="AB30" s="26">
        <v>10.315755</v>
      </c>
      <c r="AC30" s="27"/>
      <c r="AE30">
        <v>1</v>
      </c>
    </row>
    <row r="31" spans="1:31">
      <c r="A31" t="s">
        <v>80</v>
      </c>
      <c r="Y31" t="s">
        <v>209</v>
      </c>
      <c r="Z31" s="26">
        <v>0</v>
      </c>
      <c r="AB31" s="26">
        <v>0</v>
      </c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K32" sqref="K32"/>
    </sheetView>
  </sheetViews>
  <sheetFormatPr defaultColWidth="9" defaultRowHeight="13.5"/>
  <cols>
    <col min="1" max="1" width="15.875" customWidth="1"/>
    <col min="2" max="2" width="9.00833333333333" style="26" customWidth="1"/>
    <col min="23" max="23" width="9" style="26"/>
    <col min="24" max="24" width="9.375" style="26"/>
    <col min="25" max="25" width="9" style="27"/>
  </cols>
  <sheetData>
    <row r="1" spans="1:27">
      <c r="B1" s="26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109</v>
      </c>
      <c r="R1" t="s">
        <v>187</v>
      </c>
      <c r="S1" t="s">
        <v>112</v>
      </c>
      <c r="T1" t="s">
        <v>188</v>
      </c>
      <c r="U1" s="26" t="s">
        <v>116</v>
      </c>
      <c r="V1" s="27" t="s">
        <v>118</v>
      </c>
      <c r="W1" s="26" t="s">
        <v>70</v>
      </c>
    </row>
    <row r="2" customFormat="1" spans="1:27">
      <c r="A2" t="s">
        <v>87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7"/>
    </row>
    <row r="3" customFormat="1" spans="1:27">
      <c r="A3" t="s">
        <v>211</v>
      </c>
      <c r="B3" s="26">
        <f>IF(期望!$D$20="√",25%,0)</f>
        <v>0.25</v>
      </c>
      <c r="R3" s="29"/>
      <c r="W3" s="28"/>
      <c r="X3" s="26"/>
      <c r="Y3" s="27"/>
    </row>
    <row r="4" customFormat="1" spans="1:27">
      <c r="A4" t="s">
        <v>82</v>
      </c>
      <c r="B4" s="29"/>
      <c r="G4" s="29">
        <f>IF(期望!$D$22="√",2%,0)</f>
        <v>0</v>
      </c>
      <c r="J4" s="29">
        <f>IF(期望!$D$22="√",2%,0)</f>
        <v>0</v>
      </c>
      <c r="L4" s="29">
        <f>IF(期望!$D$22="√",2%,0)</f>
        <v>0</v>
      </c>
      <c r="N4" s="29">
        <f>IF(期望!$D$22="√",2%,0)</f>
        <v>0</v>
      </c>
      <c r="P4" s="29">
        <f>IF(期望!$D$22="√",2%,0)</f>
        <v>0</v>
      </c>
      <c r="W4" s="28"/>
      <c r="X4" s="28"/>
      <c r="Y4" s="30"/>
      <c r="Z4" s="28"/>
      <c r="AA4" s="27"/>
    </row>
    <row r="5" spans="1:27">
      <c r="A5" t="s">
        <v>111</v>
      </c>
      <c r="B5" s="26">
        <v>0.02</v>
      </c>
      <c r="R5" s="29"/>
      <c r="W5" s="28"/>
    </row>
    <row r="6" customFormat="1" spans="1:27">
      <c r="A6" t="s">
        <v>79</v>
      </c>
      <c r="B6" s="26">
        <v>0.125</v>
      </c>
      <c r="R6" s="29"/>
      <c r="W6" s="28"/>
      <c r="X6" s="26"/>
      <c r="Y6" s="27"/>
    </row>
    <row r="7" customFormat="1" spans="1:27">
      <c r="A7" t="s">
        <v>212</v>
      </c>
      <c r="B7" s="26">
        <v>0.2</v>
      </c>
      <c r="R7" s="29"/>
      <c r="W7" s="28"/>
      <c r="X7" s="26"/>
      <c r="Y7" s="27"/>
    </row>
    <row r="8" spans="1:27">
      <c r="A8" t="s">
        <v>81</v>
      </c>
      <c r="R8" s="29"/>
      <c r="W8" s="28">
        <v>0.05</v>
      </c>
    </row>
    <row r="9" spans="1:27">
      <c r="A9" t="s">
        <v>169</v>
      </c>
      <c r="W9" s="26">
        <v>0.1</v>
      </c>
    </row>
    <row r="10" spans="1:27">
      <c r="A10" t="s">
        <v>170</v>
      </c>
      <c r="J10" s="29">
        <f>IF(期望!$D$18="√",10%,0)</f>
        <v>0.1</v>
      </c>
      <c r="W10" s="26">
        <f>IF(期望!$D$18="√",10%,0)</f>
        <v>0.1</v>
      </c>
      <c r="X10" s="28"/>
    </row>
    <row r="11" spans="1:27">
      <c r="A11" t="s">
        <v>115</v>
      </c>
      <c r="B11" s="26">
        <v>0.1</v>
      </c>
      <c r="X11" s="28"/>
    </row>
    <row r="12" spans="1:27">
      <c r="A12" t="s">
        <v>73</v>
      </c>
      <c r="G12" s="29">
        <v>0.06</v>
      </c>
      <c r="J12" s="29">
        <v>0.06</v>
      </c>
      <c r="L12" s="29">
        <v>0.06</v>
      </c>
      <c r="M12" s="29"/>
      <c r="N12" s="29">
        <v>0.06</v>
      </c>
      <c r="P12" s="29">
        <v>0.06</v>
      </c>
      <c r="R12" s="29"/>
      <c r="X12" s="28"/>
    </row>
    <row r="13" spans="1:27">
      <c r="A13" t="s">
        <v>97</v>
      </c>
      <c r="H13" s="29">
        <v>0.12</v>
      </c>
      <c r="R13" s="29"/>
      <c r="S13" s="29"/>
      <c r="T13" s="29"/>
      <c r="X13" s="28"/>
    </row>
    <row r="14" spans="1:27">
      <c r="A14" t="s">
        <v>78</v>
      </c>
      <c r="E14" s="29">
        <v>0.18</v>
      </c>
      <c r="H14" s="29">
        <v>0.18</v>
      </c>
      <c r="R14" s="29"/>
      <c r="S14" s="29"/>
      <c r="T14" s="29"/>
      <c r="X14" s="28"/>
    </row>
    <row r="15" customFormat="1" spans="1:27">
      <c r="A15" t="s">
        <v>171</v>
      </c>
      <c r="B15" s="26"/>
      <c r="F15">
        <f>IF(期望!$E$24="断石之构",25,0)</f>
        <v>0</v>
      </c>
      <c r="R15">
        <f>IF(期望!$E$24="断石之构",25%,0)</f>
        <v>0</v>
      </c>
      <c r="S15" s="29"/>
      <c r="T15" s="29"/>
      <c r="W15" s="26"/>
      <c r="X15" s="28"/>
      <c r="Y15" s="27"/>
    </row>
    <row r="16" spans="1:27">
      <c r="A16" t="s">
        <v>77</v>
      </c>
      <c r="R16" s="29">
        <f>IF(期望!$F$16="√",1%,0)</f>
        <v>0.01</v>
      </c>
      <c r="S16" s="29"/>
      <c r="T16" s="29"/>
      <c r="X16" s="28"/>
    </row>
    <row r="17" spans="1:24">
      <c r="A17" t="s">
        <v>86</v>
      </c>
      <c r="R17" s="29">
        <f>IF(期望!$F$16="√",2%,0)</f>
        <v>0.02</v>
      </c>
      <c r="S17" s="29"/>
      <c r="T17" s="29"/>
      <c r="X17" s="28"/>
    </row>
    <row r="18" spans="1:24">
      <c r="A18" t="s">
        <v>92</v>
      </c>
      <c r="R18" s="29">
        <f>IF(期望!$F$16="√",3%,0)</f>
        <v>0.03</v>
      </c>
      <c r="S18" s="29"/>
      <c r="T18" s="29"/>
      <c r="X18" s="28"/>
    </row>
    <row r="19" spans="1:24">
      <c r="A19" t="s">
        <v>96</v>
      </c>
      <c r="R19" s="29">
        <f>IF(期望!$F$16="√",4%,0)</f>
        <v>0.04</v>
      </c>
      <c r="S19" s="29"/>
      <c r="T19" s="29"/>
      <c r="X19" s="28"/>
    </row>
    <row r="20" spans="1:24">
      <c r="A20" t="s">
        <v>101</v>
      </c>
      <c r="R20" s="29">
        <f>IF(期望!$F$16="√",5%,0)</f>
        <v>0.05</v>
      </c>
      <c r="S20" s="29"/>
      <c r="T20" s="29"/>
      <c r="X20" s="28"/>
    </row>
    <row r="21" spans="1:24">
      <c r="A21" t="s">
        <v>141</v>
      </c>
      <c r="R21" s="29">
        <f>IF(期望!$F$16="√",6%,0)</f>
        <v>0.06</v>
      </c>
      <c r="S21" s="29"/>
      <c r="T21" s="29"/>
      <c r="X21" s="28"/>
    </row>
    <row r="22" spans="1:24">
      <c r="A22" t="s">
        <v>148</v>
      </c>
      <c r="R22" s="29">
        <f>IF(期望!$F$16="√",7%,0)</f>
        <v>0.07</v>
      </c>
      <c r="S22" s="29"/>
      <c r="T22" s="29"/>
      <c r="X22" s="28"/>
    </row>
    <row r="23" spans="1:24">
      <c r="A23" t="s">
        <v>156</v>
      </c>
      <c r="R23" s="29">
        <f>IF(期望!$F$16="√",8%,0)</f>
        <v>0.08</v>
      </c>
      <c r="S23" s="29"/>
      <c r="T23" s="29"/>
      <c r="X23" s="28"/>
    </row>
    <row r="24" spans="1:24">
      <c r="A24" t="s">
        <v>157</v>
      </c>
      <c r="R24" s="29">
        <f>IF(期望!$F$16="√",9%,0)</f>
        <v>0.09</v>
      </c>
      <c r="S24" s="29"/>
      <c r="T24" s="29"/>
      <c r="X24" s="28"/>
    </row>
    <row r="25" spans="1:24">
      <c r="A25" t="s">
        <v>158</v>
      </c>
      <c r="R25" s="29">
        <f>IF(期望!$F$16="√",10%,0)</f>
        <v>0.1</v>
      </c>
      <c r="S25" s="29"/>
      <c r="T25" s="29"/>
      <c r="X25" s="28"/>
    </row>
    <row r="26" spans="1:24">
      <c r="A26" t="s">
        <v>76</v>
      </c>
      <c r="B26" s="26">
        <f>1%*IF(期望!$E$22="易水歌",1,0)</f>
        <v>0.01</v>
      </c>
      <c r="F26">
        <f>2*IF(期望!$E$22="易水歌",1,0)</f>
        <v>2</v>
      </c>
      <c r="X26" s="28"/>
    </row>
    <row r="27" spans="1:24">
      <c r="A27" t="s">
        <v>85</v>
      </c>
      <c r="B27" s="26">
        <f>2%*IF(期望!$E$22="易水歌",1,0)</f>
        <v>0.02</v>
      </c>
      <c r="F27">
        <f>4*IF(期望!$E$22="易水歌",1,0)</f>
        <v>4</v>
      </c>
      <c r="X27" s="28"/>
    </row>
    <row r="28" spans="1:24">
      <c r="A28" t="s">
        <v>91</v>
      </c>
      <c r="B28" s="26">
        <f>3%*IF(期望!$E$22="易水歌",1,0)</f>
        <v>0.03</v>
      </c>
      <c r="F28">
        <f>6*IF(期望!$E$22="易水歌",1,0)</f>
        <v>6</v>
      </c>
      <c r="X28" s="28"/>
    </row>
    <row r="29" spans="1:24">
      <c r="A29" t="s">
        <v>95</v>
      </c>
      <c r="B29" s="26">
        <f>4%*IF(期望!$E$22="易水歌",1,0)</f>
        <v>0.04</v>
      </c>
      <c r="F29">
        <f>8*IF(期望!$E$22="易水歌",1,0)</f>
        <v>8</v>
      </c>
      <c r="X29" s="28"/>
    </row>
    <row r="30" spans="1:24">
      <c r="A30" t="s">
        <v>100</v>
      </c>
      <c r="B30" s="26">
        <f>5%*IF(期望!$E$22="易水歌",1,0)</f>
        <v>0.05</v>
      </c>
      <c r="F30">
        <f>10*IF(期望!$E$22="易水歌",1,0)</f>
        <v>10</v>
      </c>
      <c r="X30" s="28"/>
    </row>
    <row r="31" spans="1:24">
      <c r="A31" t="s">
        <v>80</v>
      </c>
      <c r="X31" s="28"/>
    </row>
    <row r="32" spans="1:24">
      <c r="X32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1" sqref="C3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213</v>
      </c>
      <c r="B1" s="3" t="s">
        <v>214</v>
      </c>
      <c r="C1" s="4" t="s">
        <v>215</v>
      </c>
      <c r="D1" s="5" t="s">
        <v>216</v>
      </c>
    </row>
    <row r="2" spans="1:4">
      <c r="A2" s="6">
        <v>0.1</v>
      </c>
      <c r="B2" s="7">
        <v>1</v>
      </c>
      <c r="C2" s="8" t="s">
        <v>217</v>
      </c>
      <c r="D2" s="4" t="s">
        <v>218</v>
      </c>
    </row>
    <row r="3" spans="1:4">
      <c r="A3" s="9"/>
      <c r="B3" s="10">
        <v>2</v>
      </c>
      <c r="C3" s="11" t="s">
        <v>219</v>
      </c>
    </row>
    <row r="4" ht="14.25" spans="1:4">
      <c r="A4" s="12"/>
      <c r="B4" s="13">
        <v>3</v>
      </c>
      <c r="C4" s="14" t="s">
        <v>220</v>
      </c>
    </row>
    <row r="5" ht="14.25" spans="1:4">
      <c r="A5" s="15">
        <v>0.2</v>
      </c>
      <c r="B5" s="16">
        <v>1</v>
      </c>
      <c r="C5" s="17" t="s">
        <v>221</v>
      </c>
    </row>
    <row r="6" ht="14.25" spans="1:4">
      <c r="A6" s="15">
        <v>0.3</v>
      </c>
      <c r="B6" s="16">
        <v>1</v>
      </c>
      <c r="C6" s="17" t="s">
        <v>222</v>
      </c>
    </row>
    <row r="7" ht="14.25" spans="1:4">
      <c r="A7" s="15">
        <v>0.4</v>
      </c>
      <c r="B7" s="16">
        <v>7</v>
      </c>
      <c r="C7" s="17" t="s">
        <v>223</v>
      </c>
    </row>
    <row r="8" ht="14.25" spans="1:4">
      <c r="A8" s="18">
        <v>0.5</v>
      </c>
      <c r="B8" s="16">
        <v>1</v>
      </c>
      <c r="C8" s="17" t="s">
        <v>224</v>
      </c>
    </row>
    <row r="9" ht="14.25" spans="1:4">
      <c r="A9" s="18">
        <v>1</v>
      </c>
      <c r="B9" s="16">
        <v>1</v>
      </c>
      <c r="C9" s="17" t="s">
        <v>225</v>
      </c>
    </row>
    <row r="10" spans="1:4">
      <c r="A10" s="6">
        <v>1.1</v>
      </c>
      <c r="B10" s="19">
        <v>1</v>
      </c>
      <c r="C10" s="8" t="s">
        <v>226</v>
      </c>
    </row>
    <row r="11" spans="1:4">
      <c r="A11" s="9"/>
      <c r="B11" s="20">
        <v>2</v>
      </c>
      <c r="C11" s="11" t="s">
        <v>227</v>
      </c>
    </row>
    <row r="12" ht="14.25" spans="1:4">
      <c r="A12" s="12"/>
      <c r="B12" s="21">
        <v>3</v>
      </c>
      <c r="C12" s="14" t="s">
        <v>228</v>
      </c>
    </row>
    <row r="13" spans="1:4">
      <c r="A13" s="22">
        <v>1.2</v>
      </c>
      <c r="B13" s="19">
        <v>1</v>
      </c>
      <c r="C13" s="8" t="s">
        <v>229</v>
      </c>
    </row>
    <row r="14" ht="14.25" spans="1:4">
      <c r="A14" s="23"/>
      <c r="B14" s="20">
        <v>2</v>
      </c>
      <c r="C14" s="11" t="s">
        <v>230</v>
      </c>
    </row>
    <row r="15" spans="1:4">
      <c r="A15" s="22">
        <v>2</v>
      </c>
      <c r="B15" s="19">
        <v>1</v>
      </c>
      <c r="C15" s="8" t="s">
        <v>231</v>
      </c>
    </row>
    <row r="16" ht="14.25" spans="1:4">
      <c r="A16" s="24"/>
      <c r="B16" s="21">
        <v>2</v>
      </c>
      <c r="C16" s="14" t="s">
        <v>232</v>
      </c>
    </row>
    <row r="17" spans="1:3">
      <c r="A17" s="22">
        <v>2.1</v>
      </c>
      <c r="B17" s="19">
        <v>1</v>
      </c>
      <c r="C17" s="8" t="s">
        <v>233</v>
      </c>
    </row>
    <row r="18" ht="14.25" spans="1:3">
      <c r="A18" s="24"/>
      <c r="B18" s="21">
        <v>2</v>
      </c>
      <c r="C18" s="14" t="s">
        <v>234</v>
      </c>
    </row>
    <row r="19" ht="14.25" spans="1:3">
      <c r="A19" s="18">
        <v>2.2</v>
      </c>
      <c r="B19" s="16">
        <v>1</v>
      </c>
      <c r="C19" s="17" t="s">
        <v>235</v>
      </c>
    </row>
    <row r="20" spans="1:3">
      <c r="A20" s="25"/>
      <c r="B20" s="20"/>
      <c r="C20" s="20"/>
    </row>
    <row r="21" spans="1:3">
      <c r="A21" s="25"/>
      <c r="B21" s="20"/>
      <c r="C21" s="20"/>
    </row>
    <row r="22" spans="1:3">
      <c r="A22" s="25"/>
      <c r="B22" s="20"/>
      <c r="C22" s="20"/>
    </row>
    <row r="23" spans="1:3">
      <c r="A23" s="25"/>
      <c r="B23" s="20"/>
      <c r="C23" s="20"/>
    </row>
  </sheetData>
  <mergeCells count="5">
    <mergeCell ref="A2:A4"/>
    <mergeCell ref="A10:A12"/>
    <mergeCell ref="A13:A14"/>
    <mergeCell ref="A15:A16"/>
    <mergeCell ref="A17:A1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2026-08-14T08:36:19Z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